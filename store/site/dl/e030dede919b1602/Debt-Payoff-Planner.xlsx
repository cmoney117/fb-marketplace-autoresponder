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My Debts" sheetId="2" state="visible" r:id="rId4"/>
    <sheet name="Snowball" sheetId="3" state="visible" r:id="rId5"/>
    <sheet name="Avalanche" sheetId="4" state="visible" r:id="rId6"/>
    <sheet name="Progress" sheetId="5" state="visible" r:id="rId7"/>
    <sheet name="Snowball Schedule" sheetId="6" state="visible" r:id="rId8"/>
    <sheet name="Avalanche Schedule" sheetId="7" state="visible" r:id="rId9"/>
  </sheets>
  <definedNames>
    <definedName function="false" hidden="false" localSheetId="6" name="_xlnm.Print_Area" vbProcedure="false">'Avalanche Schedule'!$A$1:$O$74</definedName>
    <definedName function="false" hidden="false" localSheetId="5" name="_xlnm.Print_Area" vbProcedure="false">'Snowball Schedule'!$A$1:$O$74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<sst xmlns="http://schemas.openxmlformats.org/spreadsheetml/2006/main" count="246" uniqueCount="147">
  <si>
    <t xml:space="preserve">DEBT PAYOFF PLANNER</t>
  </si>
  <si>
    <t xml:space="preserve">Snowball or Avalanche — see your projected debt-free date either way.</t>
  </si>
  <si>
    <t xml:space="preserve">HOW TO USE</t>
  </si>
  <si>
    <t xml:space="preserve">1. 'My Debts' tab: list every debt in the yellow cells (up to 10) and your extra payment at the top.</t>
  </si>
  <si>
    <t xml:space="preserve">2. The Snowball and Avalanche tabs re-order your debts automatically and run the month-by-month</t>
  </si>
  <si>
    <t xml:space="preserve">    math: your projected debt-free month and year, per debt and overall, plus total interest.</t>
  </si>
  <si>
    <t xml:space="preserve">3. 'The Verdict' on My Debts puts both plans side by side. Pick the one you'll actually stick to.</t>
  </si>
  <si>
    <t xml:space="preserve">4. Log every win on the Progress tab — the charts there update as you pay things down.</t>
  </si>
  <si>
    <t xml:space="preserve">COLOR LEGEND</t>
  </si>
  <si>
    <t xml:space="preserve">Yellow cells = yours to edit. Everything else calculates automatically — please don't type over it.</t>
  </si>
  <si>
    <t xml:space="preserve">The strategy tabs and the two Schedule tabs have NO yellow: they are 100% calculated for you.</t>
  </si>
  <si>
    <t xml:space="preserve">The pre-filled numbers are a realistic example — replace them with your own.</t>
  </si>
  <si>
    <t xml:space="preserve">HOW THE MATH WORKS (the honest fine print)</t>
  </si>
  <si>
    <t xml:space="preserve">• Interest compounds monthly at APR ÷ 12. Every month each debt gets its minimum payment;</t>
  </si>
  <si>
    <t xml:space="preserve">   your whole extra payment — plus every freed-up minimum — attacks the top unpaid debt.</t>
  </si>
  <si>
    <t xml:space="preserve">• The Schedule tabs show all 360 months of that math. Look under the hood any time.</t>
  </si>
  <si>
    <t xml:space="preserve">• Dates project from today and assume steady payments; real due dates shift things a few weeks.</t>
  </si>
  <si>
    <t xml:space="preserve">• '30+ years' means the payment doesn't cover the interest — raise it. This is a calculator,</t>
  </si>
  <si>
    <t xml:space="preserve">   not financial advice.</t>
  </si>
  <si>
    <t xml:space="preserve">CHARTS &amp; COMPATIBILITY</t>
  </si>
  <si>
    <t xml:space="preserve">Native Excel charts (Progress tab): full support in Excel 2010+. Google Sheets converts them on</t>
  </si>
  <si>
    <t xml:space="preserve">upload — colors can shift slightly there, the data is identical. Formulas work everywhere; no macros.</t>
  </si>
  <si>
    <t xml:space="preserve">Snowball = smallest balance first (fastest wins, best motivation).</t>
  </si>
  <si>
    <t xml:space="preserve">Avalanche = highest interest rate first (mathematically cheapest).</t>
  </si>
  <si>
    <t xml:space="preserve">Questions? Message us — real humans, fast replies, we'll fix anything.</t>
  </si>
  <si>
    <t xml:space="preserve">MY DEBTS</t>
  </si>
  <si>
    <t xml:space="preserve">Monthly EXTRA payment (beyond minimums):</t>
  </si>
  <si>
    <t xml:space="preserve">Debt name</t>
  </si>
  <si>
    <t xml:space="preserve">Balance</t>
  </si>
  <si>
    <t xml:space="preserve">APR</t>
  </si>
  <si>
    <t xml:space="preserve">Min payment</t>
  </si>
  <si>
    <t xml:space="preserve">Notes</t>
  </si>
  <si>
    <t xml:space="preserve">Store card</t>
  </si>
  <si>
    <t xml:space="preserve">Medical bill</t>
  </si>
  <si>
    <t xml:space="preserve">Credit card A</t>
  </si>
  <si>
    <t xml:space="preserve">Credit card B</t>
  </si>
  <si>
    <t xml:space="preserve">Car loan</t>
  </si>
  <si>
    <t xml:space="preserve">Total</t>
  </si>
  <si>
    <t xml:space="preserve">Total monthly attack (minimums + extra):</t>
  </si>
  <si>
    <t xml:space="preserve">THE VERDICT — PICK YOUR PLAN</t>
  </si>
  <si>
    <t xml:space="preserve">Strategy</t>
  </si>
  <si>
    <t xml:space="preserve">Debt-free date</t>
  </si>
  <si>
    <t xml:space="preserve">Months</t>
  </si>
  <si>
    <t xml:space="preserve">Total interest</t>
  </si>
  <si>
    <t xml:space="preserve">Snowball</t>
  </si>
  <si>
    <t xml:space="preserve">Avalanche</t>
  </si>
  <si>
    <t xml:space="preserve">Same monthly attack either way. Snowball = faster first wins; Avalanche usually pays less interest. The Schedule tabs show every month of the math.</t>
  </si>
  <si>
    <t xml:space="preserve">SNOWBALL PLAN</t>
  </si>
  <si>
    <t xml:space="preserve">Smallest balance first for quick wins. This tab reads My Debts, re-orders itself, and runs the month-by-month math — nothing to type here.</t>
  </si>
  <si>
    <t xml:space="preserve">PROJECTED DEBT-FREE DATE</t>
  </si>
  <si>
    <t xml:space="preserve">Months from today</t>
  </si>
  <si>
    <t xml:space="preserve">Total interest on this plan</t>
  </si>
  <si>
    <t xml:space="preserve">Months saved by your extra payment</t>
  </si>
  <si>
    <t xml:space="preserve">Interest saved by your extra payment</t>
  </si>
  <si>
    <t xml:space="preserve">Debt (attack order)</t>
  </si>
  <si>
    <t xml:space="preserve">Paid off (month #)</t>
  </si>
  <si>
    <t xml:space="preserve">How the math works: interest compounds monthly (APR ÷ 12); every debt gets its minimum; your whole extra payment plus every freed-up minimum attacks the top unpaid debt.</t>
  </si>
  <si>
    <t xml:space="preserve">Dates project from today. Nothing on this tab is typed by you — it all follows My Debts. Full month-by-month math: see the Snowball Schedule tab.</t>
  </si>
  <si>
    <t xml:space="preserve">AVALANCHE PLAN</t>
  </si>
  <si>
    <t xml:space="preserve">Highest interest rate first — the mathematically cheapest path. Reads My Debts and re-orders itself; nothing to type here.</t>
  </si>
  <si>
    <t xml:space="preserve">Dates project from today. Nothing on this tab is typed by you — it all follows My Debts. Full month-by-month math: see the Avalanche Schedule tab.</t>
  </si>
  <si>
    <t xml:space="preserve">PROGRESS — DEBTS DESTROYED</t>
  </si>
  <si>
    <t xml:space="preserve">Debt</t>
  </si>
  <si>
    <t xml:space="preserve">Paid off (date)</t>
  </si>
  <si>
    <t xml:space="preserve">Amount killed</t>
  </si>
  <si>
    <t xml:space="preserve">How it felt</t>
  </si>
  <si>
    <t xml:space="preserve">Total destroyed</t>
  </si>
  <si>
    <t xml:space="preserve">Charts update from My Debts and the Schedule engines — nothing to type.</t>
  </si>
  <si>
    <t xml:space="preserve">SNOWBALL ENGINE — month-by-month payoff math. Nothing to edit here; it recalculates from My Debts. Column banks: balances, then min-due and payment helpers, then the same engine run again with minimums only (for the 'saved' lines).</t>
  </si>
  <si>
    <t xml:space="preserve">Slot (attack order)</t>
  </si>
  <si>
    <t xml:space="preserve">Months to debt-free (this plan)</t>
  </si>
  <si>
    <t xml:space="preserve">Sort key (internal)</t>
  </si>
  <si>
    <t xml:space="preserve">Total interest (this plan)</t>
  </si>
  <si>
    <t xml:space="preserve">Feeds from debt #</t>
  </si>
  <si>
    <t xml:space="preserve">Months to debt-free (minimums only)</t>
  </si>
  <si>
    <t xml:space="preserve">Start balance</t>
  </si>
  <si>
    <t xml:space="preserve">Total interest (minimums only)</t>
  </si>
  <si>
    <t xml:space="preserve">Monthly rate</t>
  </si>
  <si>
    <t xml:space="preserve">Paid off in month #</t>
  </si>
  <si>
    <t xml:space="preserve">Monthly budget (minimums + extra)</t>
  </si>
  <si>
    <t xml:space="preserve">Budget if minimums only</t>
  </si>
  <si>
    <t xml:space="preserve">Month</t>
  </si>
  <si>
    <t xml:space="preserve">Bal 1</t>
  </si>
  <si>
    <t xml:space="preserve">Bal 2</t>
  </si>
  <si>
    <t xml:space="preserve">Bal 3</t>
  </si>
  <si>
    <t xml:space="preserve">Bal 4</t>
  </si>
  <si>
    <t xml:space="preserve">Bal 5</t>
  </si>
  <si>
    <t xml:space="preserve">Bal 6</t>
  </si>
  <si>
    <t xml:space="preserve">Bal 7</t>
  </si>
  <si>
    <t xml:space="preserve">Bal 8</t>
  </si>
  <si>
    <t xml:space="preserve">Bal 9</t>
  </si>
  <si>
    <t xml:space="preserve">Bal 10</t>
  </si>
  <si>
    <t xml:space="preserve">Total balance</t>
  </si>
  <si>
    <t xml:space="preserve">Interest</t>
  </si>
  <si>
    <t xml:space="preserve">Min due 1</t>
  </si>
  <si>
    <t xml:space="preserve">Min due 2</t>
  </si>
  <si>
    <t xml:space="preserve">Min due 3</t>
  </si>
  <si>
    <t xml:space="preserve">Min due 4</t>
  </si>
  <si>
    <t xml:space="preserve">Min due 5</t>
  </si>
  <si>
    <t xml:space="preserve">Min due 6</t>
  </si>
  <si>
    <t xml:space="preserve">Min due 7</t>
  </si>
  <si>
    <t xml:space="preserve">Min due 8</t>
  </si>
  <si>
    <t xml:space="preserve">Min due 9</t>
  </si>
  <si>
    <t xml:space="preserve">Min due 10</t>
  </si>
  <si>
    <t xml:space="preserve">Pay 1</t>
  </si>
  <si>
    <t xml:space="preserve">Pay 2</t>
  </si>
  <si>
    <t xml:space="preserve">Pay 3</t>
  </si>
  <si>
    <t xml:space="preserve">Pay 4</t>
  </si>
  <si>
    <t xml:space="preserve">Pay 5</t>
  </si>
  <si>
    <t xml:space="preserve">Pay 6</t>
  </si>
  <si>
    <t xml:space="preserve">Pay 7</t>
  </si>
  <si>
    <t xml:space="preserve">Pay 8</t>
  </si>
  <si>
    <t xml:space="preserve">Pay 9</t>
  </si>
  <si>
    <t xml:space="preserve">Pay 10</t>
  </si>
  <si>
    <t xml:space="preserve">(min-only) Bal 1</t>
  </si>
  <si>
    <t xml:space="preserve">(min-only) Bal 2</t>
  </si>
  <si>
    <t xml:space="preserve">(min-only) Bal 3</t>
  </si>
  <si>
    <t xml:space="preserve">(min-only) Bal 4</t>
  </si>
  <si>
    <t xml:space="preserve">(min-only) Bal 5</t>
  </si>
  <si>
    <t xml:space="preserve">(min-only) Bal 6</t>
  </si>
  <si>
    <t xml:space="preserve">(min-only) Bal 7</t>
  </si>
  <si>
    <t xml:space="preserve">(min-only) Bal 8</t>
  </si>
  <si>
    <t xml:space="preserve">(min-only) Bal 9</t>
  </si>
  <si>
    <t xml:space="preserve">(min-only) Bal 10</t>
  </si>
  <si>
    <t xml:space="preserve">(min-only) Total</t>
  </si>
  <si>
    <t xml:space="preserve">(min-only) Interest</t>
  </si>
  <si>
    <t xml:space="preserve">(min-only) Min due 1</t>
  </si>
  <si>
    <t xml:space="preserve">(min-only) Min due 2</t>
  </si>
  <si>
    <t xml:space="preserve">(min-only) Min due 3</t>
  </si>
  <si>
    <t xml:space="preserve">(min-only) Min due 4</t>
  </si>
  <si>
    <t xml:space="preserve">(min-only) Min due 5</t>
  </si>
  <si>
    <t xml:space="preserve">(min-only) Min due 6</t>
  </si>
  <si>
    <t xml:space="preserve">(min-only) Min due 7</t>
  </si>
  <si>
    <t xml:space="preserve">(min-only) Min due 8</t>
  </si>
  <si>
    <t xml:space="preserve">(min-only) Min due 9</t>
  </si>
  <si>
    <t xml:space="preserve">(min-only) Min due 10</t>
  </si>
  <si>
    <t xml:space="preserve">(min-only) Pay 1</t>
  </si>
  <si>
    <t xml:space="preserve">(min-only) Pay 2</t>
  </si>
  <si>
    <t xml:space="preserve">(min-only) Pay 3</t>
  </si>
  <si>
    <t xml:space="preserve">(min-only) Pay 4</t>
  </si>
  <si>
    <t xml:space="preserve">(min-only) Pay 5</t>
  </si>
  <si>
    <t xml:space="preserve">(min-only) Pay 6</t>
  </si>
  <si>
    <t xml:space="preserve">(min-only) Pay 7</t>
  </si>
  <si>
    <t xml:space="preserve">(min-only) Pay 8</t>
  </si>
  <si>
    <t xml:space="preserve">(min-only) Pay 9</t>
  </si>
  <si>
    <t xml:space="preserve">(min-only) Pay 10</t>
  </si>
  <si>
    <t xml:space="preserve">AVALANCHE ENGINE — month-by-month payoff math. Nothing to edit here; it recalculates from My Debts. Column banks: balances, then min-due and payment helpers, then the same engine run again with minimums only (for the 'saved' lines).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</si>
</sst>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.00;&quot;($&quot;#,##0.00\);\-"/>
    <numFmt numFmtId="166" formatCode="0.0%"/>
    <numFmt numFmtId="167" formatCode="\$#,##0.00;&quot;($&quot;#,##0.00\)"/>
    <numFmt numFmtId="168" formatCode="0"/>
    <numFmt numFmtId="169" formatCode="General"/>
    <numFmt numFmtId="170" formatCode="\$#,##0"/>
    <numFmt numFmtId="171" formatCode="#,##0.00"/>
    <numFmt numFmtId="172" formatCode="0.0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2E7D6B"/>
        <bgColor rgb="FF008080"/>
      </patternFill>
    </fill>
    <fill>
      <patternFill patternType="solid">
        <fgColor rgb="FFFFF2CC"/>
        <bgColor rgb="FFF4F6F8"/>
      </patternFill>
    </fill>
    <fill>
      <patternFill patternType="solid">
        <fgColor rgb="FFF4F6F8"/>
        <bgColor rgb="FFFFFFFF"/>
      </patternFill>
    </fill>
    <fill>
      <patternFill patternType="solid">
        <fgColor rgb="FFF2C14E"/>
        <bgColor rgb="FFFF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2CC"/>
      <rgbColor rgb="FFF4F6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C14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2E7D6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balance, month by month (first 10 years)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"Snowball"</c:f>
              <c:strCache>
                <c:ptCount val="1"/>
                <c:pt idx="0">
                  <c:v>Snowball</c:v>
                </c:pt>
              </c:strCache>
            </c:strRef>
          </c:tx>
          <c:spPr>
            <a:solidFill>
              <a:srgbClr val="1f3a5f"/>
            </a:solidFill>
            <a:ln w="28080">
              <a:solidFill>
                <a:srgbClr val="1f3a5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'Snowball Schedule'!$A$14:$A$134</c:f>
              <c:strCach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strCache>
            </c:strRef>
          </c:cat>
          <c:val>
            <c:numRef>
              <c:f>'Snowball Schedule'!$L$14:$L$134</c:f>
              <c:numCache>
                <c:formatCode>#,##0.00</c:formatCode>
                <c:ptCount val="121"/>
                <c:pt idx="0">
                  <c:v>18190</c:v>
                </c:pt>
                <c:pt idx="1">
                  <c:v>17677.19</c:v>
                </c:pt>
                <c:pt idx="2">
                  <c:v>17158.24</c:v>
                </c:pt>
                <c:pt idx="3">
                  <c:v>16633.04</c:v>
                </c:pt>
                <c:pt idx="4">
                  <c:v>16101.47</c:v>
                </c:pt>
                <c:pt idx="5">
                  <c:v>15564.91</c:v>
                </c:pt>
                <c:pt idx="6">
                  <c:v>15026.1</c:v>
                </c:pt>
                <c:pt idx="7">
                  <c:v>14484.98</c:v>
                </c:pt>
                <c:pt idx="8">
                  <c:v>13941.55</c:v>
                </c:pt>
                <c:pt idx="9">
                  <c:v>13395.68</c:v>
                </c:pt>
                <c:pt idx="10">
                  <c:v>12842.63</c:v>
                </c:pt>
                <c:pt idx="11">
                  <c:v>12282.27</c:v>
                </c:pt>
                <c:pt idx="12">
                  <c:v>11714.47</c:v>
                </c:pt>
                <c:pt idx="13">
                  <c:v>11139.11</c:v>
                </c:pt>
                <c:pt idx="14">
                  <c:v>10556.05</c:v>
                </c:pt>
                <c:pt idx="15">
                  <c:v>9965.17</c:v>
                </c:pt>
                <c:pt idx="16">
                  <c:v>9366.32</c:v>
                </c:pt>
                <c:pt idx="17">
                  <c:v>8759.37</c:v>
                </c:pt>
                <c:pt idx="18">
                  <c:v>8144.18</c:v>
                </c:pt>
                <c:pt idx="19">
                  <c:v>7520.8</c:v>
                </c:pt>
                <c:pt idx="20">
                  <c:v>6889.59</c:v>
                </c:pt>
                <c:pt idx="21">
                  <c:v>6250.43</c:v>
                </c:pt>
                <c:pt idx="22">
                  <c:v>5603.19</c:v>
                </c:pt>
                <c:pt idx="23">
                  <c:v>4947.75</c:v>
                </c:pt>
                <c:pt idx="24">
                  <c:v>4283.98</c:v>
                </c:pt>
                <c:pt idx="25">
                  <c:v>3611.74</c:v>
                </c:pt>
                <c:pt idx="26">
                  <c:v>2930.91</c:v>
                </c:pt>
                <c:pt idx="27">
                  <c:v>2241.34</c:v>
                </c:pt>
                <c:pt idx="28">
                  <c:v>1542.91</c:v>
                </c:pt>
                <c:pt idx="29">
                  <c:v>836.78</c:v>
                </c:pt>
                <c:pt idx="30">
                  <c:v>126.59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"Avalanche"</c:f>
              <c:strCache>
                <c:ptCount val="1"/>
                <c:pt idx="0">
                  <c:v>Avalanche</c:v>
                </c:pt>
              </c:strCache>
            </c:strRef>
          </c:tx>
          <c:spPr>
            <a:solidFill>
              <a:srgbClr val="2e7d6b"/>
            </a:solidFill>
            <a:ln w="28080">
              <a:solidFill>
                <a:srgbClr val="2e7d6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'Snowball Schedule'!$A$14:$A$134</c:f>
              <c:strCach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strCache>
            </c:strRef>
          </c:cat>
          <c:val>
            <c:numRef>
              <c:f>'Avalanche Schedule'!$L$14:$L$134</c:f>
              <c:numCache>
                <c:formatCode>#,##0.00</c:formatCode>
                <c:ptCount val="121"/>
                <c:pt idx="0">
                  <c:v>18190</c:v>
                </c:pt>
                <c:pt idx="1">
                  <c:v>17677.19</c:v>
                </c:pt>
                <c:pt idx="2">
                  <c:v>17158.24</c:v>
                </c:pt>
                <c:pt idx="3">
                  <c:v>16633.04</c:v>
                </c:pt>
                <c:pt idx="4">
                  <c:v>16101.47</c:v>
                </c:pt>
                <c:pt idx="5">
                  <c:v>15563.59</c:v>
                </c:pt>
                <c:pt idx="6">
                  <c:v>15019.63</c:v>
                </c:pt>
                <c:pt idx="7">
                  <c:v>14469.47</c:v>
                </c:pt>
                <c:pt idx="8">
                  <c:v>13913.02</c:v>
                </c:pt>
                <c:pt idx="9">
                  <c:v>13350.16</c:v>
                </c:pt>
                <c:pt idx="10">
                  <c:v>12780.8</c:v>
                </c:pt>
                <c:pt idx="11">
                  <c:v>12204.83</c:v>
                </c:pt>
                <c:pt idx="12">
                  <c:v>11622.12</c:v>
                </c:pt>
                <c:pt idx="13">
                  <c:v>11032.57</c:v>
                </c:pt>
                <c:pt idx="14">
                  <c:v>10436.05</c:v>
                </c:pt>
                <c:pt idx="15">
                  <c:v>9832.46</c:v>
                </c:pt>
                <c:pt idx="16">
                  <c:v>9221.66</c:v>
                </c:pt>
                <c:pt idx="17">
                  <c:v>8603.61</c:v>
                </c:pt>
                <c:pt idx="18">
                  <c:v>7978.71</c:v>
                </c:pt>
                <c:pt idx="19">
                  <c:v>7346.83</c:v>
                </c:pt>
                <c:pt idx="20">
                  <c:v>6707.88</c:v>
                </c:pt>
                <c:pt idx="21">
                  <c:v>6061.75</c:v>
                </c:pt>
                <c:pt idx="22">
                  <c:v>5408.33</c:v>
                </c:pt>
                <c:pt idx="23">
                  <c:v>4747.51</c:v>
                </c:pt>
                <c:pt idx="24">
                  <c:v>4079.17</c:v>
                </c:pt>
                <c:pt idx="25">
                  <c:v>3403.2</c:v>
                </c:pt>
                <c:pt idx="26">
                  <c:v>2718.56</c:v>
                </c:pt>
                <c:pt idx="27">
                  <c:v>2025.12</c:v>
                </c:pt>
                <c:pt idx="28">
                  <c:v>1322.74</c:v>
                </c:pt>
                <c:pt idx="29">
                  <c:v>615.35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"Minimums only"</c:f>
              <c:strCache>
                <c:ptCount val="1"/>
                <c:pt idx="0">
                  <c:v>Minimums only</c:v>
                </c:pt>
              </c:strCache>
            </c:strRef>
          </c:tx>
          <c:spPr>
            <a:solidFill>
              <a:srgbClr val="f2c14e"/>
            </a:solidFill>
            <a:ln w="28080">
              <a:solidFill>
                <a:srgbClr val="f2c14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'Snowball Schedule'!$A$14:$A$134</c:f>
              <c:strCache>
                <c:ptCount val="1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</c:strCache>
            </c:strRef>
          </c:cat>
          <c:val>
            <c:numRef>
              <c:f>'Snowball Schedule'!$AS$14:$AS$134</c:f>
              <c:numCache>
                <c:formatCode>#,##0.00</c:formatCode>
                <c:ptCount val="121"/>
                <c:pt idx="0">
                  <c:v>18190</c:v>
                </c:pt>
                <c:pt idx="1">
                  <c:v>17827.19</c:v>
                </c:pt>
                <c:pt idx="2">
                  <c:v>17461.73</c:v>
                </c:pt>
                <c:pt idx="3">
                  <c:v>17093.58</c:v>
                </c:pt>
                <c:pt idx="4">
                  <c:v>16722.71</c:v>
                </c:pt>
                <c:pt idx="5">
                  <c:v>16349.09</c:v>
                </c:pt>
                <c:pt idx="6">
                  <c:v>15972.71</c:v>
                </c:pt>
                <c:pt idx="7">
                  <c:v>15593.49</c:v>
                </c:pt>
                <c:pt idx="8">
                  <c:v>15211.43</c:v>
                </c:pt>
                <c:pt idx="9">
                  <c:v>14826.47</c:v>
                </c:pt>
                <c:pt idx="10">
                  <c:v>14438.59</c:v>
                </c:pt>
                <c:pt idx="11">
                  <c:v>14047.75</c:v>
                </c:pt>
                <c:pt idx="12">
                  <c:v>13653.89</c:v>
                </c:pt>
                <c:pt idx="13">
                  <c:v>13257</c:v>
                </c:pt>
                <c:pt idx="14">
                  <c:v>12857.01</c:v>
                </c:pt>
                <c:pt idx="15">
                  <c:v>12453.9</c:v>
                </c:pt>
                <c:pt idx="16">
                  <c:v>12047.63</c:v>
                </c:pt>
                <c:pt idx="17">
                  <c:v>11638.15</c:v>
                </c:pt>
                <c:pt idx="18">
                  <c:v>11225.42</c:v>
                </c:pt>
                <c:pt idx="19">
                  <c:v>10809.39</c:v>
                </c:pt>
                <c:pt idx="20">
                  <c:v>10390.02</c:v>
                </c:pt>
                <c:pt idx="21">
                  <c:v>9967.27</c:v>
                </c:pt>
                <c:pt idx="22">
                  <c:v>9541.09</c:v>
                </c:pt>
                <c:pt idx="23">
                  <c:v>9111.44</c:v>
                </c:pt>
                <c:pt idx="24">
                  <c:v>8678.26</c:v>
                </c:pt>
                <c:pt idx="25">
                  <c:v>8241.51</c:v>
                </c:pt>
                <c:pt idx="26">
                  <c:v>7800.19</c:v>
                </c:pt>
                <c:pt idx="27">
                  <c:v>7354.25</c:v>
                </c:pt>
                <c:pt idx="28">
                  <c:v>6903.63</c:v>
                </c:pt>
                <c:pt idx="29">
                  <c:v>6448.25</c:v>
                </c:pt>
                <c:pt idx="30">
                  <c:v>5988.05</c:v>
                </c:pt>
                <c:pt idx="31">
                  <c:v>5522.95</c:v>
                </c:pt>
                <c:pt idx="32">
                  <c:v>5052.88</c:v>
                </c:pt>
                <c:pt idx="33">
                  <c:v>4577.76</c:v>
                </c:pt>
                <c:pt idx="34">
                  <c:v>4097.52</c:v>
                </c:pt>
                <c:pt idx="35">
                  <c:v>3609.41</c:v>
                </c:pt>
                <c:pt idx="36">
                  <c:v>3111.38</c:v>
                </c:pt>
                <c:pt idx="37">
                  <c:v>2603.22</c:v>
                </c:pt>
                <c:pt idx="38">
                  <c:v>2085.73</c:v>
                </c:pt>
                <c:pt idx="39">
                  <c:v>1558.79</c:v>
                </c:pt>
                <c:pt idx="40">
                  <c:v>1022.24</c:v>
                </c:pt>
                <c:pt idx="41">
                  <c:v>475.9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9768022"/>
        <c:axId val="24433225"/>
      </c:lineChart>
      <c:catAx>
        <c:axId val="497680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Months from today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433225"/>
        <c:crosses val="autoZero"/>
        <c:auto val="1"/>
        <c:lblAlgn val="ctr"/>
        <c:lblOffset val="100"/>
        <c:noMultiLvlLbl val="0"/>
      </c:catAx>
      <c:valAx>
        <c:axId val="244332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76802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Your debts today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"Balance"</c:f>
              <c:strCache>
                <c:ptCount val="1"/>
                <c:pt idx="0">
                  <c:v>Balance</c:v>
                </c:pt>
              </c:strCache>
            </c:strRef>
          </c:tx>
          <c:spPr>
            <a:solidFill>
              <a:srgbClr val="f2c14e"/>
            </a:solidFill>
            <a:ln w="0">
              <a:solidFill>
                <a:srgbClr val="1f3a5f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'My Debts'!$B$7:$B$16</c:f>
              <c:strCache>
                <c:ptCount val="10"/>
                <c:pt idx="0">
                  <c:v>Store card</c:v>
                </c:pt>
                <c:pt idx="1">
                  <c:v>Medical bill</c:v>
                </c:pt>
                <c:pt idx="2">
                  <c:v>Credit card A</c:v>
                </c:pt>
                <c:pt idx="3">
                  <c:v>Credit card B</c:v>
                </c:pt>
                <c:pt idx="4">
                  <c:v>Car loan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'My Debts'!$C$7:$C$16</c:f>
              <c:numCache>
                <c:formatCode>\$#,##0.00;"($"#,##0.00\);\-</c:formatCode>
                <c:ptCount val="10"/>
                <c:pt idx="0">
                  <c:v>640</c:v>
                </c:pt>
                <c:pt idx="1">
                  <c:v>1200</c:v>
                </c:pt>
                <c:pt idx="2">
                  <c:v>2850</c:v>
                </c:pt>
                <c:pt idx="3">
                  <c:v>4100</c:v>
                </c:pt>
                <c:pt idx="4">
                  <c:v>9400</c:v>
                </c:pt>
              </c:numCache>
            </c:numRef>
          </c:val>
        </c:ser>
        <c:gapWidth val="150"/>
        <c:overlap val="0"/>
        <c:axId val="97573764"/>
        <c:axId val="49560687"/>
      </c:barChart>
      <c:catAx>
        <c:axId val="975737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560687"/>
        <c:crosses val="autoZero"/>
        <c:auto val="1"/>
        <c:lblAlgn val="ctr"/>
        <c:lblOffset val="100"/>
        <c:noMultiLvlLbl val="0"/>
      </c:catAx>
      <c:valAx>
        <c:axId val="495606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5737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16</xdr:col>
      <xdr:colOff>331560</xdr:colOff>
      <xdr:row>23</xdr:row>
      <xdr:rowOff>149760</xdr:rowOff>
    </xdr:to>
    <xdr:graphicFrame>
      <xdr:nvGraphicFramePr>
        <xdr:cNvPr id="0" name="Chart 1"/>
        <xdr:cNvGraphicFramePr/>
      </xdr:nvGraphicFramePr>
      <xdr:xfrm>
        <a:off x="8670960" y="76212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26</xdr:row>
      <xdr:rowOff>0</xdr:rowOff>
    </xdr:from>
    <xdr:to>
      <xdr:col>16</xdr:col>
      <xdr:colOff>331560</xdr:colOff>
      <xdr:row>44</xdr:row>
      <xdr:rowOff>170640</xdr:rowOff>
    </xdr:to>
    <xdr:graphicFrame>
      <xdr:nvGraphicFramePr>
        <xdr:cNvPr id="1" name="Chart 2"/>
        <xdr:cNvGraphicFramePr/>
      </xdr:nvGraphicFramePr>
      <xdr:xfrm>
        <a:off x="8670960" y="5143680"/>
        <a:ext cx="791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5" min="3" style="0" width="30"/>
  </cols>
  <sheetData>
    <row r="2" customFormat="false" ht="30" hidden="false" customHeight="true" outlineLevel="0" collapsed="false">
      <c r="B2" s="1" t="s">
        <v>0</v>
      </c>
      <c r="C2" s="1"/>
      <c r="D2" s="1"/>
      <c r="E2" s="1"/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2"/>
    </row>
    <row r="6" customFormat="false" ht="19.5" hidden="false" customHeight="tru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2" t="s">
        <v>3</v>
      </c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/>
    </row>
    <row r="13" customFormat="false" ht="19.5" hidden="false" customHeight="true" outlineLevel="0" collapsed="false">
      <c r="B13" s="3" t="s">
        <v>8</v>
      </c>
      <c r="C13" s="3"/>
      <c r="D13" s="3"/>
      <c r="E13" s="3"/>
    </row>
    <row r="14" customFormat="false" ht="15" hidden="false" customHeight="false" outlineLevel="0" collapsed="false">
      <c r="B14" s="2" t="s">
        <v>9</v>
      </c>
    </row>
    <row r="15" customFormat="false" ht="1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2"/>
    </row>
    <row r="18" customFormat="false" ht="19.5" hidden="false" customHeight="true" outlineLevel="0" collapsed="false">
      <c r="B18" s="3" t="s">
        <v>12</v>
      </c>
      <c r="C18" s="3"/>
      <c r="D18" s="3"/>
      <c r="E18" s="3"/>
    </row>
    <row r="19" customFormat="false" ht="15" hidden="false" customHeight="false" outlineLevel="0" collapsed="false">
      <c r="B19" s="2" t="s">
        <v>13</v>
      </c>
    </row>
    <row r="20" customFormat="false" ht="15" hidden="false" customHeight="false" outlineLevel="0" collapsed="false">
      <c r="B20" s="2" t="s">
        <v>14</v>
      </c>
    </row>
    <row r="21" customFormat="false" ht="15" hidden="false" customHeight="false" outlineLevel="0" collapsed="false">
      <c r="B21" s="2" t="s">
        <v>15</v>
      </c>
    </row>
    <row r="22" customFormat="false" ht="15" hidden="false" customHeight="false" outlineLevel="0" collapsed="false">
      <c r="B22" s="2" t="s">
        <v>16</v>
      </c>
    </row>
    <row r="23" customFormat="false" ht="15" hidden="false" customHeight="false" outlineLevel="0" collapsed="false">
      <c r="B23" s="2" t="s">
        <v>17</v>
      </c>
    </row>
    <row r="24" customFormat="false" ht="15" hidden="false" customHeight="false" outlineLevel="0" collapsed="false">
      <c r="B24" s="2" t="s">
        <v>18</v>
      </c>
    </row>
    <row r="25" customFormat="false" ht="15" hidden="false" customHeight="false" outlineLevel="0" collapsed="false">
      <c r="B25" s="2"/>
    </row>
    <row r="26" customFormat="false" ht="19.5" hidden="false" customHeight="true" outlineLevel="0" collapsed="false">
      <c r="B26" s="3" t="s">
        <v>19</v>
      </c>
      <c r="C26" s="3"/>
      <c r="D26" s="3"/>
      <c r="E26" s="3"/>
    </row>
    <row r="27" customFormat="false" ht="15" hidden="false" customHeight="false" outlineLevel="0" collapsed="false">
      <c r="B27" s="2" t="s">
        <v>20</v>
      </c>
    </row>
    <row r="28" customFormat="false" ht="15" hidden="false" customHeight="false" outlineLevel="0" collapsed="false">
      <c r="B28" s="2" t="s">
        <v>21</v>
      </c>
    </row>
    <row r="29" customFormat="false" ht="15" hidden="false" customHeight="false" outlineLevel="0" collapsed="false">
      <c r="B29" s="2"/>
    </row>
    <row r="30" customFormat="false" ht="15" hidden="false" customHeight="false" outlineLevel="0" collapsed="false">
      <c r="B30" s="2" t="s">
        <v>22</v>
      </c>
    </row>
    <row r="31" customFormat="false" ht="15" hidden="false" customHeight="false" outlineLevel="0" collapsed="false">
      <c r="B31" s="2" t="s">
        <v>23</v>
      </c>
    </row>
    <row r="32" customFormat="false" ht="15" hidden="false" customHeight="false" outlineLevel="0" collapsed="false">
      <c r="B32" s="2"/>
    </row>
    <row r="33" customFormat="false" ht="15" hidden="false" customHeight="false" outlineLevel="0" collapsed="false">
      <c r="B33" s="2" t="s">
        <v>24</v>
      </c>
    </row>
  </sheetData>
  <mergeCells count="5">
    <mergeCell ref="B2:E2"/>
    <mergeCell ref="B6:E6"/>
    <mergeCell ref="B13:E13"/>
    <mergeCell ref="B18:E18"/>
    <mergeCell ref="B26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22"/>
  </cols>
  <sheetData>
    <row r="2" customFormat="false" ht="30" hidden="false" customHeight="true" outlineLevel="0" collapsed="false">
      <c r="B2" s="1" t="s">
        <v>25</v>
      </c>
      <c r="C2" s="1"/>
      <c r="D2" s="1"/>
      <c r="E2" s="1"/>
      <c r="F2" s="1"/>
    </row>
    <row r="4" customFormat="false" ht="15" hidden="false" customHeight="false" outlineLevel="0" collapsed="false">
      <c r="B4" s="4" t="s">
        <v>26</v>
      </c>
      <c r="E4" s="5" t="n">
        <v>150</v>
      </c>
    </row>
    <row r="6" customFormat="false" ht="15" hidden="false" customHeight="false" outlineLevel="0" collapsed="false">
      <c r="B6" s="6" t="s">
        <v>27</v>
      </c>
      <c r="C6" s="6" t="s">
        <v>28</v>
      </c>
      <c r="D6" s="6" t="s">
        <v>29</v>
      </c>
      <c r="E6" s="6" t="s">
        <v>30</v>
      </c>
      <c r="F6" s="6" t="s">
        <v>31</v>
      </c>
    </row>
    <row r="7" customFormat="false" ht="15" hidden="false" customHeight="false" outlineLevel="0" collapsed="false">
      <c r="B7" s="7" t="s">
        <v>32</v>
      </c>
      <c r="C7" s="5" t="n">
        <v>640</v>
      </c>
      <c r="D7" s="8" t="n">
        <v>0.279</v>
      </c>
      <c r="E7" s="5" t="n">
        <v>35</v>
      </c>
      <c r="F7" s="7"/>
    </row>
    <row r="8" customFormat="false" ht="15" hidden="false" customHeight="false" outlineLevel="0" collapsed="false">
      <c r="B8" s="7" t="s">
        <v>33</v>
      </c>
      <c r="C8" s="5" t="n">
        <v>1200</v>
      </c>
      <c r="D8" s="8" t="n">
        <v>0</v>
      </c>
      <c r="E8" s="5" t="n">
        <v>50</v>
      </c>
      <c r="F8" s="7"/>
    </row>
    <row r="9" customFormat="false" ht="15" hidden="false" customHeight="false" outlineLevel="0" collapsed="false">
      <c r="B9" s="7" t="s">
        <v>34</v>
      </c>
      <c r="C9" s="5" t="n">
        <v>2850</v>
      </c>
      <c r="D9" s="8" t="n">
        <v>0.246</v>
      </c>
      <c r="E9" s="5" t="n">
        <v>75</v>
      </c>
      <c r="F9" s="7"/>
    </row>
    <row r="10" customFormat="false" ht="15" hidden="false" customHeight="false" outlineLevel="0" collapsed="false">
      <c r="B10" s="7" t="s">
        <v>35</v>
      </c>
      <c r="C10" s="5" t="n">
        <v>4100</v>
      </c>
      <c r="D10" s="8" t="n">
        <v>0.219</v>
      </c>
      <c r="E10" s="5" t="n">
        <v>95</v>
      </c>
      <c r="F10" s="7"/>
    </row>
    <row r="11" customFormat="false" ht="15" hidden="false" customHeight="false" outlineLevel="0" collapsed="false">
      <c r="B11" s="7" t="s">
        <v>36</v>
      </c>
      <c r="C11" s="5" t="n">
        <v>9400</v>
      </c>
      <c r="D11" s="8" t="n">
        <v>0.069</v>
      </c>
      <c r="E11" s="5" t="n">
        <v>310</v>
      </c>
      <c r="F11" s="7"/>
    </row>
    <row r="12" customFormat="false" ht="15" hidden="false" customHeight="false" outlineLevel="0" collapsed="false">
      <c r="B12" s="7"/>
      <c r="C12" s="5"/>
      <c r="D12" s="8"/>
      <c r="E12" s="5"/>
      <c r="F12" s="7"/>
    </row>
    <row r="13" customFormat="false" ht="15" hidden="false" customHeight="false" outlineLevel="0" collapsed="false">
      <c r="B13" s="7"/>
      <c r="C13" s="5"/>
      <c r="D13" s="8"/>
      <c r="E13" s="5"/>
      <c r="F13" s="7"/>
    </row>
    <row r="14" customFormat="false" ht="15" hidden="false" customHeight="false" outlineLevel="0" collapsed="false">
      <c r="B14" s="7"/>
      <c r="C14" s="5"/>
      <c r="D14" s="8"/>
      <c r="E14" s="5"/>
      <c r="F14" s="7"/>
    </row>
    <row r="15" customFormat="false" ht="15" hidden="false" customHeight="false" outlineLevel="0" collapsed="false">
      <c r="B15" s="7"/>
      <c r="C15" s="5"/>
      <c r="D15" s="8"/>
      <c r="E15" s="5"/>
      <c r="F15" s="7"/>
    </row>
    <row r="16" customFormat="false" ht="15" hidden="false" customHeight="false" outlineLevel="0" collapsed="false">
      <c r="B16" s="7"/>
      <c r="C16" s="5"/>
      <c r="D16" s="8"/>
      <c r="E16" s="5"/>
      <c r="F16" s="7"/>
    </row>
    <row r="17" customFormat="false" ht="15" hidden="false" customHeight="false" outlineLevel="0" collapsed="false">
      <c r="B17" s="6" t="s">
        <v>37</v>
      </c>
      <c r="C17" s="9" t="n">
        <f aca="false">SUM(C7:C16)</f>
        <v>18190</v>
      </c>
      <c r="D17" s="10"/>
      <c r="E17" s="11" t="n">
        <f aca="false">SUM(E7:E16)</f>
        <v>565</v>
      </c>
      <c r="F17" s="10"/>
    </row>
    <row r="19" customFormat="false" ht="15" hidden="false" customHeight="false" outlineLevel="0" collapsed="false">
      <c r="B19" s="4" t="s">
        <v>38</v>
      </c>
      <c r="E19" s="12" t="n">
        <f aca="false">E17+E4</f>
        <v>715</v>
      </c>
    </row>
    <row r="21" customFormat="false" ht="19.5" hidden="false" customHeight="true" outlineLevel="0" collapsed="false">
      <c r="B21" s="3" t="s">
        <v>39</v>
      </c>
      <c r="C21" s="3"/>
      <c r="D21" s="3"/>
      <c r="E21" s="3"/>
      <c r="F21" s="3"/>
    </row>
    <row r="22" customFormat="false" ht="15" hidden="false" customHeight="false" outlineLevel="0" collapsed="false">
      <c r="B22" s="6" t="s">
        <v>40</v>
      </c>
      <c r="C22" s="6" t="s">
        <v>41</v>
      </c>
      <c r="D22" s="6" t="s">
        <v>42</v>
      </c>
      <c r="E22" s="6" t="s">
        <v>43</v>
      </c>
    </row>
    <row r="23" customFormat="false" ht="15" hidden="false" customHeight="false" outlineLevel="0" collapsed="false">
      <c r="B23" s="13" t="s">
        <v>44</v>
      </c>
      <c r="C23" s="13" t="str">
        <f aca="true">IF('Snowball Schedule'!$L$14&lt;=0,"—",IF('Snowball Schedule'!$O$2=999,"30+ years",TEXT(EDATE(TODAY(),'Snowball Schedule'!$O$2),"MMM YYYY")))</f>
        <v>Mar 2029</v>
      </c>
      <c r="D23" s="14" t="n">
        <f aca="false">IF('Snowball Schedule'!$L$14&lt;=0,"—",IF('Snowball Schedule'!$O$2=999,"360+",'Snowball Schedule'!$O$2))</f>
        <v>31</v>
      </c>
      <c r="E23" s="15" t="n">
        <f aca="false">IF('Snowball Schedule'!$L$14&lt;=0,"—",ROUND('Snowball Schedule'!$O$3,2))</f>
        <v>3387.3</v>
      </c>
    </row>
    <row r="24" customFormat="false" ht="15" hidden="false" customHeight="false" outlineLevel="0" collapsed="false">
      <c r="B24" s="13" t="s">
        <v>45</v>
      </c>
      <c r="C24" s="13" t="str">
        <f aca="true">IF('Avalanche Schedule'!$L$14&lt;=0,"—",IF('Avalanche Schedule'!$O$2=999,"30+ years",TEXT(EDATE(TODAY(),'Avalanche Schedule'!$O$2),"MMM YYYY")))</f>
        <v>Feb 2029</v>
      </c>
      <c r="D24" s="14" t="n">
        <f aca="false">IF('Avalanche Schedule'!$L$14&lt;=0,"—",IF('Avalanche Schedule'!$O$2=999,"360+",'Avalanche Schedule'!$O$2))</f>
        <v>30</v>
      </c>
      <c r="E24" s="15" t="n">
        <f aca="false">IF('Avalanche Schedule'!$L$14&lt;=0,"—",ROUND('Avalanche Schedule'!$O$3,2))</f>
        <v>3163.88</v>
      </c>
    </row>
    <row r="25" customFormat="false" ht="15" hidden="false" customHeight="false" outlineLevel="0" collapsed="false">
      <c r="B25" s="16" t="s">
        <v>46</v>
      </c>
    </row>
  </sheetData>
  <mergeCells count="2">
    <mergeCell ref="B2:F2"/>
    <mergeCell ref="B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6"/>
  </cols>
  <sheetData>
    <row r="2" customFormat="false" ht="30" hidden="false" customHeight="true" outlineLevel="0" collapsed="false">
      <c r="B2" s="1" t="s">
        <v>47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6" t="s">
        <v>48</v>
      </c>
    </row>
    <row r="6" customFormat="false" ht="24" hidden="false" customHeight="true" outlineLevel="0" collapsed="false">
      <c r="B6" s="17" t="s">
        <v>49</v>
      </c>
      <c r="D6" s="18" t="str">
        <f aca="true">IF('Snowball Schedule'!$L$14&lt;=0,"add your debts first",IF('Snowball Schedule'!$O$2=999,"30+ years — raise your payment",TEXT(EDATE(TODAY(),'Snowball Schedule'!$O$2),"MMMM YYYY")))</f>
        <v>March 2029</v>
      </c>
      <c r="E6" s="18"/>
      <c r="F6" s="18"/>
    </row>
    <row r="7" customFormat="false" ht="15" hidden="false" customHeight="false" outlineLevel="0" collapsed="false">
      <c r="B7" s="4" t="s">
        <v>50</v>
      </c>
      <c r="D7" s="19" t="n">
        <f aca="false">IF('Snowball Schedule'!$L$14&lt;=0,"—",IF('Snowball Schedule'!$O$2=999,"360+",'Snowball Schedule'!$O$2))</f>
        <v>31</v>
      </c>
    </row>
    <row r="8" customFormat="false" ht="15" hidden="false" customHeight="false" outlineLevel="0" collapsed="false">
      <c r="B8" s="4" t="s">
        <v>51</v>
      </c>
      <c r="D8" s="9" t="n">
        <f aca="false">IF('Snowball Schedule'!$L$14&lt;=0,"—",ROUND('Snowball Schedule'!$O$3,2))</f>
        <v>3387.3</v>
      </c>
    </row>
    <row r="9" customFormat="false" ht="15" hidden="false" customHeight="false" outlineLevel="0" collapsed="false">
      <c r="B9" s="4" t="s">
        <v>52</v>
      </c>
      <c r="D9" s="19" t="n">
        <f aca="false">IF('Snowball Schedule'!$L$14&lt;=0,"—",IF(OR('Snowball Schedule'!$O$2=999,'Snowball Schedule'!$O$4=999),"—",'Snowball Schedule'!$O$4-'Snowball Schedule'!$O$2))</f>
        <v>11</v>
      </c>
    </row>
    <row r="10" customFormat="false" ht="15" hidden="false" customHeight="false" outlineLevel="0" collapsed="false">
      <c r="B10" s="4" t="s">
        <v>53</v>
      </c>
      <c r="D10" s="9" t="n">
        <f aca="false">IF('Snowball Schedule'!$L$14&lt;=0,"—",IF(OR('Snowball Schedule'!$O$2=999,'Snowball Schedule'!$O$4=999),"—",ROUND('Snowball Schedule'!$O$5-'Snowball Schedule'!$O$3,2)))</f>
        <v>2072.27</v>
      </c>
    </row>
    <row r="12" customFormat="false" ht="15" hidden="false" customHeight="false" outlineLevel="0" collapsed="false">
      <c r="B12" s="20" t="s">
        <v>54</v>
      </c>
      <c r="C12" s="20" t="s">
        <v>28</v>
      </c>
      <c r="D12" s="20" t="s">
        <v>29</v>
      </c>
      <c r="E12" s="20" t="s">
        <v>30</v>
      </c>
      <c r="F12" s="20" t="s">
        <v>55</v>
      </c>
      <c r="G12" s="20" t="s">
        <v>41</v>
      </c>
    </row>
    <row r="13" customFormat="false" ht="15" hidden="false" customHeight="false" outlineLevel="0" collapsed="false">
      <c r="B13" s="21" t="str">
        <f aca="false">INDEX('Snowball Schedule'!$B$6:$K$6,1)</f>
        <v>Store card</v>
      </c>
      <c r="C13" s="22" t="n">
        <f aca="false">IF(INDEX('Snowball Schedule'!$B$5:$K$5,1)&lt;=0,"",INDEX('Snowball Schedule'!$B$5:$K$5,1))</f>
        <v>640</v>
      </c>
      <c r="D13" s="23" t="n">
        <f aca="false">IF(C13="","",INDEX('Snowball Schedule'!$B$7:$K$7,1))</f>
        <v>0.279</v>
      </c>
      <c r="E13" s="22" t="n">
        <f aca="false">IF(C13="","",INDEX('Snowball Schedule'!$B$9:$K$9,1))</f>
        <v>35</v>
      </c>
      <c r="F13" s="24" t="n">
        <f aca="false">IF(C13="","",IF(INDEX('Snowball Schedule'!$B$10:$K$10,1)=999,"360+",INDEX('Snowball Schedule'!$B$10:$K$10,1)))</f>
        <v>4</v>
      </c>
      <c r="G13" s="24" t="str">
        <f aca="true">IF(C13="","",IF(INDEX('Snowball Schedule'!$B$10:$K$10,1)=999,"—",TEXT(EDATE(TODAY(),INDEX('Snowball Schedule'!$B$10:$K$10,1)),"MMM YYYY")))</f>
        <v>Dec 2026</v>
      </c>
    </row>
    <row r="14" customFormat="false" ht="15" hidden="false" customHeight="false" outlineLevel="0" collapsed="false">
      <c r="B14" s="21" t="str">
        <f aca="false">INDEX('Snowball Schedule'!$B$6:$K$6,2)</f>
        <v>Medical bill</v>
      </c>
      <c r="C14" s="22" t="n">
        <f aca="false">IF(INDEX('Snowball Schedule'!$B$5:$K$5,2)&lt;=0,"",INDEX('Snowball Schedule'!$B$5:$K$5,2))</f>
        <v>1200</v>
      </c>
      <c r="D14" s="23" t="n">
        <f aca="false">IF(C14="","",INDEX('Snowball Schedule'!$B$7:$K$7,2))</f>
        <v>0</v>
      </c>
      <c r="E14" s="22" t="n">
        <f aca="false">IF(C14="","",INDEX('Snowball Schedule'!$B$9:$K$9,2))</f>
        <v>50</v>
      </c>
      <c r="F14" s="24" t="n">
        <f aca="false">IF(C14="","",IF(INDEX('Snowball Schedule'!$B$10:$K$10,2)=999,"360+",INDEX('Snowball Schedule'!$B$10:$K$10,2)))</f>
        <v>8</v>
      </c>
      <c r="G14" s="24" t="str">
        <f aca="true">IF(C14="","",IF(INDEX('Snowball Schedule'!$B$10:$K$10,2)=999,"—",TEXT(EDATE(TODAY(),INDEX('Snowball Schedule'!$B$10:$K$10,2)),"MMM YYYY")))</f>
        <v>Apr 2027</v>
      </c>
    </row>
    <row r="15" customFormat="false" ht="15" hidden="false" customHeight="false" outlineLevel="0" collapsed="false">
      <c r="B15" s="21" t="str">
        <f aca="false">INDEX('Snowball Schedule'!$B$6:$K$6,3)</f>
        <v>Credit card A</v>
      </c>
      <c r="C15" s="22" t="n">
        <f aca="false">IF(INDEX('Snowball Schedule'!$B$5:$K$5,3)&lt;=0,"",INDEX('Snowball Schedule'!$B$5:$K$5,3))</f>
        <v>2850</v>
      </c>
      <c r="D15" s="23" t="n">
        <f aca="false">IF(C15="","",INDEX('Snowball Schedule'!$B$7:$K$7,3))</f>
        <v>0.246</v>
      </c>
      <c r="E15" s="22" t="n">
        <f aca="false">IF(C15="","",INDEX('Snowball Schedule'!$B$9:$K$9,3))</f>
        <v>75</v>
      </c>
      <c r="F15" s="24" t="n">
        <f aca="false">IF(C15="","",IF(INDEX('Snowball Schedule'!$B$10:$K$10,3)=999,"360+",INDEX('Snowball Schedule'!$B$10:$K$10,3)))</f>
        <v>18</v>
      </c>
      <c r="G15" s="24" t="str">
        <f aca="true">IF(C15="","",IF(INDEX('Snowball Schedule'!$B$10:$K$10,3)=999,"—",TEXT(EDATE(TODAY(),INDEX('Snowball Schedule'!$B$10:$K$10,3)),"MMM YYYY")))</f>
        <v>Feb 2028</v>
      </c>
    </row>
    <row r="16" customFormat="false" ht="15" hidden="false" customHeight="false" outlineLevel="0" collapsed="false">
      <c r="B16" s="21" t="str">
        <f aca="false">INDEX('Snowball Schedule'!$B$6:$K$6,4)</f>
        <v>Credit card B</v>
      </c>
      <c r="C16" s="22" t="n">
        <f aca="false">IF(INDEX('Snowball Schedule'!$B$5:$K$5,4)&lt;=0,"",INDEX('Snowball Schedule'!$B$5:$K$5,4))</f>
        <v>4100</v>
      </c>
      <c r="D16" s="23" t="n">
        <f aca="false">IF(C16="","",INDEX('Snowball Schedule'!$B$7:$K$7,4))</f>
        <v>0.219</v>
      </c>
      <c r="E16" s="22" t="n">
        <f aca="false">IF(C16="","",INDEX('Snowball Schedule'!$B$9:$K$9,4))</f>
        <v>95</v>
      </c>
      <c r="F16" s="24" t="n">
        <f aca="false">IF(C16="","",IF(INDEX('Snowball Schedule'!$B$10:$K$10,4)=999,"360+",INDEX('Snowball Schedule'!$B$10:$K$10,4)))</f>
        <v>28</v>
      </c>
      <c r="G16" s="24" t="str">
        <f aca="true">IF(C16="","",IF(INDEX('Snowball Schedule'!$B$10:$K$10,4)=999,"—",TEXT(EDATE(TODAY(),INDEX('Snowball Schedule'!$B$10:$K$10,4)),"MMM YYYY")))</f>
        <v>Dec 2028</v>
      </c>
    </row>
    <row r="17" customFormat="false" ht="15" hidden="false" customHeight="false" outlineLevel="0" collapsed="false">
      <c r="B17" s="21" t="str">
        <f aca="false">INDEX('Snowball Schedule'!$B$6:$K$6,5)</f>
        <v>Car loan</v>
      </c>
      <c r="C17" s="22" t="n">
        <f aca="false">IF(INDEX('Snowball Schedule'!$B$5:$K$5,5)&lt;=0,"",INDEX('Snowball Schedule'!$B$5:$K$5,5))</f>
        <v>9400</v>
      </c>
      <c r="D17" s="23" t="n">
        <f aca="false">IF(C17="","",INDEX('Snowball Schedule'!$B$7:$K$7,5))</f>
        <v>0.069</v>
      </c>
      <c r="E17" s="22" t="n">
        <f aca="false">IF(C17="","",INDEX('Snowball Schedule'!$B$9:$K$9,5))</f>
        <v>310</v>
      </c>
      <c r="F17" s="24" t="n">
        <f aca="false">IF(C17="","",IF(INDEX('Snowball Schedule'!$B$10:$K$10,5)=999,"360+",INDEX('Snowball Schedule'!$B$10:$K$10,5)))</f>
        <v>31</v>
      </c>
      <c r="G17" s="24" t="str">
        <f aca="true">IF(C17="","",IF(INDEX('Snowball Schedule'!$B$10:$K$10,5)=999,"—",TEXT(EDATE(TODAY(),INDEX('Snowball Schedule'!$B$10:$K$10,5)),"MMM YYYY")))</f>
        <v>Mar 2029</v>
      </c>
    </row>
    <row r="18" customFormat="false" ht="15" hidden="false" customHeight="false" outlineLevel="0" collapsed="false">
      <c r="B18" s="21" t="str">
        <f aca="false">INDEX('Snowball Schedule'!$B$6:$K$6,6)</f>
        <v/>
      </c>
      <c r="C18" s="22" t="str">
        <f aca="false">IF(INDEX('Snowball Schedule'!$B$5:$K$5,6)&lt;=0,"",INDEX('Snowball Schedule'!$B$5:$K$5,6))</f>
        <v/>
      </c>
      <c r="D18" s="23" t="str">
        <f aca="false">IF(C18="","",INDEX('Snowball Schedule'!$B$7:$K$7,6))</f>
        <v/>
      </c>
      <c r="E18" s="22" t="str">
        <f aca="false">IF(C18="","",INDEX('Snowball Schedule'!$B$9:$K$9,6))</f>
        <v/>
      </c>
      <c r="F18" s="24" t="str">
        <f aca="false">IF(C18="","",IF(INDEX('Snowball Schedule'!$B$10:$K$10,6)=999,"360+",INDEX('Snowball Schedule'!$B$10:$K$10,6)))</f>
        <v/>
      </c>
      <c r="G18" s="24" t="str">
        <f aca="true">IF(C18="","",IF(INDEX('Snowball Schedule'!$B$10:$K$10,6)=999,"—",TEXT(EDATE(TODAY(),INDEX('Snowball Schedule'!$B$10:$K$10,6)),"MMM YYYY")))</f>
        <v/>
      </c>
    </row>
    <row r="19" customFormat="false" ht="15" hidden="false" customHeight="false" outlineLevel="0" collapsed="false">
      <c r="B19" s="21" t="str">
        <f aca="false">INDEX('Snowball Schedule'!$B$6:$K$6,7)</f>
        <v/>
      </c>
      <c r="C19" s="22" t="str">
        <f aca="false">IF(INDEX('Snowball Schedule'!$B$5:$K$5,7)&lt;=0,"",INDEX('Snowball Schedule'!$B$5:$K$5,7))</f>
        <v/>
      </c>
      <c r="D19" s="23" t="str">
        <f aca="false">IF(C19="","",INDEX('Snowball Schedule'!$B$7:$K$7,7))</f>
        <v/>
      </c>
      <c r="E19" s="22" t="str">
        <f aca="false">IF(C19="","",INDEX('Snowball Schedule'!$B$9:$K$9,7))</f>
        <v/>
      </c>
      <c r="F19" s="24" t="str">
        <f aca="false">IF(C19="","",IF(INDEX('Snowball Schedule'!$B$10:$K$10,7)=999,"360+",INDEX('Snowball Schedule'!$B$10:$K$10,7)))</f>
        <v/>
      </c>
      <c r="G19" s="24" t="str">
        <f aca="true">IF(C19="","",IF(INDEX('Snowball Schedule'!$B$10:$K$10,7)=999,"—",TEXT(EDATE(TODAY(),INDEX('Snowball Schedule'!$B$10:$K$10,7)),"MMM YYYY")))</f>
        <v/>
      </c>
    </row>
    <row r="20" customFormat="false" ht="15" hidden="false" customHeight="false" outlineLevel="0" collapsed="false">
      <c r="B20" s="21" t="str">
        <f aca="false">INDEX('Snowball Schedule'!$B$6:$K$6,8)</f>
        <v/>
      </c>
      <c r="C20" s="22" t="str">
        <f aca="false">IF(INDEX('Snowball Schedule'!$B$5:$K$5,8)&lt;=0,"",INDEX('Snowball Schedule'!$B$5:$K$5,8))</f>
        <v/>
      </c>
      <c r="D20" s="23" t="str">
        <f aca="false">IF(C20="","",INDEX('Snowball Schedule'!$B$7:$K$7,8))</f>
        <v/>
      </c>
      <c r="E20" s="22" t="str">
        <f aca="false">IF(C20="","",INDEX('Snowball Schedule'!$B$9:$K$9,8))</f>
        <v/>
      </c>
      <c r="F20" s="24" t="str">
        <f aca="false">IF(C20="","",IF(INDEX('Snowball Schedule'!$B$10:$K$10,8)=999,"360+",INDEX('Snowball Schedule'!$B$10:$K$10,8)))</f>
        <v/>
      </c>
      <c r="G20" s="24" t="str">
        <f aca="true">IF(C20="","",IF(INDEX('Snowball Schedule'!$B$10:$K$10,8)=999,"—",TEXT(EDATE(TODAY(),INDEX('Snowball Schedule'!$B$10:$K$10,8)),"MMM YYYY")))</f>
        <v/>
      </c>
    </row>
    <row r="21" customFormat="false" ht="15" hidden="false" customHeight="false" outlineLevel="0" collapsed="false">
      <c r="B21" s="21" t="str">
        <f aca="false">INDEX('Snowball Schedule'!$B$6:$K$6,9)</f>
        <v/>
      </c>
      <c r="C21" s="22" t="str">
        <f aca="false">IF(INDEX('Snowball Schedule'!$B$5:$K$5,9)&lt;=0,"",INDEX('Snowball Schedule'!$B$5:$K$5,9))</f>
        <v/>
      </c>
      <c r="D21" s="23" t="str">
        <f aca="false">IF(C21="","",INDEX('Snowball Schedule'!$B$7:$K$7,9))</f>
        <v/>
      </c>
      <c r="E21" s="22" t="str">
        <f aca="false">IF(C21="","",INDEX('Snowball Schedule'!$B$9:$K$9,9))</f>
        <v/>
      </c>
      <c r="F21" s="24" t="str">
        <f aca="false">IF(C21="","",IF(INDEX('Snowball Schedule'!$B$10:$K$10,9)=999,"360+",INDEX('Snowball Schedule'!$B$10:$K$10,9)))</f>
        <v/>
      </c>
      <c r="G21" s="24" t="str">
        <f aca="true">IF(C21="","",IF(INDEX('Snowball Schedule'!$B$10:$K$10,9)=999,"—",TEXT(EDATE(TODAY(),INDEX('Snowball Schedule'!$B$10:$K$10,9)),"MMM YYYY")))</f>
        <v/>
      </c>
    </row>
    <row r="22" customFormat="false" ht="15" hidden="false" customHeight="false" outlineLevel="0" collapsed="false">
      <c r="B22" s="21" t="str">
        <f aca="false">INDEX('Snowball Schedule'!$B$6:$K$6,10)</f>
        <v/>
      </c>
      <c r="C22" s="22" t="str">
        <f aca="false">IF(INDEX('Snowball Schedule'!$B$5:$K$5,10)&lt;=0,"",INDEX('Snowball Schedule'!$B$5:$K$5,10))</f>
        <v/>
      </c>
      <c r="D22" s="23" t="str">
        <f aca="false">IF(C22="","",INDEX('Snowball Schedule'!$B$7:$K$7,10))</f>
        <v/>
      </c>
      <c r="E22" s="22" t="str">
        <f aca="false">IF(C22="","",INDEX('Snowball Schedule'!$B$9:$K$9,10))</f>
        <v/>
      </c>
      <c r="F22" s="24" t="str">
        <f aca="false">IF(C22="","",IF(INDEX('Snowball Schedule'!$B$10:$K$10,10)=999,"360+",INDEX('Snowball Schedule'!$B$10:$K$10,10)))</f>
        <v/>
      </c>
      <c r="G22" s="24" t="str">
        <f aca="true">IF(C22="","",IF(INDEX('Snowball Schedule'!$B$10:$K$10,10)=999,"—",TEXT(EDATE(TODAY(),INDEX('Snowball Schedule'!$B$10:$K$10,10)),"MMM YYYY")))</f>
        <v/>
      </c>
    </row>
    <row r="24" customFormat="false" ht="15" hidden="false" customHeight="false" outlineLevel="0" collapsed="false">
      <c r="B24" s="16" t="s">
        <v>56</v>
      </c>
    </row>
    <row r="25" customFormat="false" ht="15" hidden="false" customHeight="false" outlineLevel="0" collapsed="false">
      <c r="B25" s="16" t="s">
        <v>57</v>
      </c>
    </row>
  </sheetData>
  <mergeCells count="2">
    <mergeCell ref="B2:G2"/>
    <mergeCell ref="D6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7" min="6" style="0" width="16"/>
  </cols>
  <sheetData>
    <row r="2" customFormat="false" ht="30" hidden="false" customHeight="true" outlineLevel="0" collapsed="false">
      <c r="B2" s="1" t="s">
        <v>58</v>
      </c>
      <c r="C2" s="1"/>
      <c r="D2" s="1"/>
      <c r="E2" s="1"/>
      <c r="F2" s="1"/>
      <c r="G2" s="1"/>
    </row>
    <row r="4" customFormat="false" ht="15" hidden="false" customHeight="false" outlineLevel="0" collapsed="false">
      <c r="B4" s="16" t="s">
        <v>59</v>
      </c>
    </row>
    <row r="6" customFormat="false" ht="24" hidden="false" customHeight="true" outlineLevel="0" collapsed="false">
      <c r="B6" s="17" t="s">
        <v>49</v>
      </c>
      <c r="D6" s="18" t="str">
        <f aca="true">IF('Avalanche Schedule'!$L$14&lt;=0,"add your debts first",IF('Avalanche Schedule'!$O$2=999,"30+ years — raise your payment",TEXT(EDATE(TODAY(),'Avalanche Schedule'!$O$2),"MMMM YYYY")))</f>
        <v>February 2029</v>
      </c>
      <c r="E6" s="18"/>
      <c r="F6" s="18"/>
    </row>
    <row r="7" customFormat="false" ht="15" hidden="false" customHeight="false" outlineLevel="0" collapsed="false">
      <c r="B7" s="4" t="s">
        <v>50</v>
      </c>
      <c r="D7" s="19" t="n">
        <f aca="false">IF('Avalanche Schedule'!$L$14&lt;=0,"—",IF('Avalanche Schedule'!$O$2=999,"360+",'Avalanche Schedule'!$O$2))</f>
        <v>30</v>
      </c>
    </row>
    <row r="8" customFormat="false" ht="15" hidden="false" customHeight="false" outlineLevel="0" collapsed="false">
      <c r="B8" s="4" t="s">
        <v>51</v>
      </c>
      <c r="D8" s="9" t="n">
        <f aca="false">IF('Avalanche Schedule'!$L$14&lt;=0,"—",ROUND('Avalanche Schedule'!$O$3,2))</f>
        <v>3163.88</v>
      </c>
    </row>
    <row r="9" customFormat="false" ht="15" hidden="false" customHeight="false" outlineLevel="0" collapsed="false">
      <c r="B9" s="4" t="s">
        <v>52</v>
      </c>
      <c r="D9" s="19" t="n">
        <f aca="false">IF('Avalanche Schedule'!$L$14&lt;=0,"—",IF(OR('Avalanche Schedule'!$O$2=999,'Avalanche Schedule'!$O$4=999),"—",'Avalanche Schedule'!$O$4-'Avalanche Schedule'!$O$2))</f>
        <v>12</v>
      </c>
    </row>
    <row r="10" customFormat="false" ht="15" hidden="false" customHeight="false" outlineLevel="0" collapsed="false">
      <c r="B10" s="4" t="s">
        <v>53</v>
      </c>
      <c r="D10" s="9" t="n">
        <f aca="false">IF('Avalanche Schedule'!$L$14&lt;=0,"—",IF(OR('Avalanche Schedule'!$O$2=999,'Avalanche Schedule'!$O$4=999),"—",ROUND('Avalanche Schedule'!$O$5-'Avalanche Schedule'!$O$3,2)))</f>
        <v>2295.69</v>
      </c>
    </row>
    <row r="12" customFormat="false" ht="15" hidden="false" customHeight="false" outlineLevel="0" collapsed="false">
      <c r="B12" s="20" t="s">
        <v>54</v>
      </c>
      <c r="C12" s="20" t="s">
        <v>28</v>
      </c>
      <c r="D12" s="20" t="s">
        <v>29</v>
      </c>
      <c r="E12" s="20" t="s">
        <v>30</v>
      </c>
      <c r="F12" s="20" t="s">
        <v>55</v>
      </c>
      <c r="G12" s="20" t="s">
        <v>41</v>
      </c>
    </row>
    <row r="13" customFormat="false" ht="15" hidden="false" customHeight="false" outlineLevel="0" collapsed="false">
      <c r="B13" s="21" t="str">
        <f aca="false">INDEX('Avalanche Schedule'!$B$6:$K$6,1)</f>
        <v>Store card</v>
      </c>
      <c r="C13" s="22" t="n">
        <f aca="false">IF(INDEX('Avalanche Schedule'!$B$5:$K$5,1)&lt;=0,"",INDEX('Avalanche Schedule'!$B$5:$K$5,1))</f>
        <v>640</v>
      </c>
      <c r="D13" s="23" t="n">
        <f aca="false">IF(C13="","",INDEX('Avalanche Schedule'!$B$7:$K$7,1))</f>
        <v>0.279</v>
      </c>
      <c r="E13" s="22" t="n">
        <f aca="false">IF(C13="","",INDEX('Avalanche Schedule'!$B$9:$K$9,1))</f>
        <v>35</v>
      </c>
      <c r="F13" s="24" t="n">
        <f aca="false">IF(C13="","",IF(INDEX('Avalanche Schedule'!$B$10:$K$10,1)=999,"360+",INDEX('Avalanche Schedule'!$B$10:$K$10,1)))</f>
        <v>4</v>
      </c>
      <c r="G13" s="24" t="str">
        <f aca="true">IF(C13="","",IF(INDEX('Avalanche Schedule'!$B$10:$K$10,1)=999,"—",TEXT(EDATE(TODAY(),INDEX('Avalanche Schedule'!$B$10:$K$10,1)),"MMM YYYY")))</f>
        <v>Dec 2026</v>
      </c>
    </row>
    <row r="14" customFormat="false" ht="15" hidden="false" customHeight="false" outlineLevel="0" collapsed="false">
      <c r="B14" s="21" t="str">
        <f aca="false">INDEX('Avalanche Schedule'!$B$6:$K$6,2)</f>
        <v>Credit card A</v>
      </c>
      <c r="C14" s="22" t="n">
        <f aca="false">IF(INDEX('Avalanche Schedule'!$B$5:$K$5,2)&lt;=0,"",INDEX('Avalanche Schedule'!$B$5:$K$5,2))</f>
        <v>2850</v>
      </c>
      <c r="D14" s="23" t="n">
        <f aca="false">IF(C14="","",INDEX('Avalanche Schedule'!$B$7:$K$7,2))</f>
        <v>0.246</v>
      </c>
      <c r="E14" s="22" t="n">
        <f aca="false">IF(C14="","",INDEX('Avalanche Schedule'!$B$9:$K$9,2))</f>
        <v>75</v>
      </c>
      <c r="F14" s="24" t="n">
        <f aca="false">IF(C14="","",IF(INDEX('Avalanche Schedule'!$B$10:$K$10,2)=999,"360+",INDEX('Avalanche Schedule'!$B$10:$K$10,2)))</f>
        <v>16</v>
      </c>
      <c r="G14" s="24" t="str">
        <f aca="true">IF(C14="","",IF(INDEX('Avalanche Schedule'!$B$10:$K$10,2)=999,"—",TEXT(EDATE(TODAY(),INDEX('Avalanche Schedule'!$B$10:$K$10,2)),"MMM YYYY")))</f>
        <v>Dec 2027</v>
      </c>
    </row>
    <row r="15" customFormat="false" ht="15" hidden="false" customHeight="false" outlineLevel="0" collapsed="false">
      <c r="B15" s="21" t="str">
        <f aca="false">INDEX('Avalanche Schedule'!$B$6:$K$6,3)</f>
        <v>Credit card B</v>
      </c>
      <c r="C15" s="22" t="n">
        <f aca="false">IF(INDEX('Avalanche Schedule'!$B$5:$K$5,3)&lt;=0,"",INDEX('Avalanche Schedule'!$B$5:$K$5,3))</f>
        <v>4100</v>
      </c>
      <c r="D15" s="23" t="n">
        <f aca="false">IF(C15="","",INDEX('Avalanche Schedule'!$B$7:$K$7,3))</f>
        <v>0.219</v>
      </c>
      <c r="E15" s="22" t="n">
        <f aca="false">IF(C15="","",INDEX('Avalanche Schedule'!$B$9:$K$9,3))</f>
        <v>95</v>
      </c>
      <c r="F15" s="24" t="n">
        <f aca="false">IF(C15="","",IF(INDEX('Avalanche Schedule'!$B$10:$K$10,3)=999,"360+",INDEX('Avalanche Schedule'!$B$10:$K$10,3)))</f>
        <v>28</v>
      </c>
      <c r="G15" s="24" t="str">
        <f aca="true">IF(C15="","",IF(INDEX('Avalanche Schedule'!$B$10:$K$10,3)=999,"—",TEXT(EDATE(TODAY(),INDEX('Avalanche Schedule'!$B$10:$K$10,3)),"MMM YYYY")))</f>
        <v>Dec 2028</v>
      </c>
    </row>
    <row r="16" customFormat="false" ht="15" hidden="false" customHeight="false" outlineLevel="0" collapsed="false">
      <c r="B16" s="21" t="str">
        <f aca="false">INDEX('Avalanche Schedule'!$B$6:$K$6,4)</f>
        <v>Car loan</v>
      </c>
      <c r="C16" s="22" t="n">
        <f aca="false">IF(INDEX('Avalanche Schedule'!$B$5:$K$5,4)&lt;=0,"",INDEX('Avalanche Schedule'!$B$5:$K$5,4))</f>
        <v>9400</v>
      </c>
      <c r="D16" s="23" t="n">
        <f aca="false">IF(C16="","",INDEX('Avalanche Schedule'!$B$7:$K$7,4))</f>
        <v>0.069</v>
      </c>
      <c r="E16" s="22" t="n">
        <f aca="false">IF(C16="","",INDEX('Avalanche Schedule'!$B$9:$K$9,4))</f>
        <v>310</v>
      </c>
      <c r="F16" s="24" t="n">
        <f aca="false">IF(C16="","",IF(INDEX('Avalanche Schedule'!$B$10:$K$10,4)=999,"360+",INDEX('Avalanche Schedule'!$B$10:$K$10,4)))</f>
        <v>30</v>
      </c>
      <c r="G16" s="24" t="str">
        <f aca="true">IF(C16="","",IF(INDEX('Avalanche Schedule'!$B$10:$K$10,4)=999,"—",TEXT(EDATE(TODAY(),INDEX('Avalanche Schedule'!$B$10:$K$10,4)),"MMM YYYY")))</f>
        <v>Feb 2029</v>
      </c>
    </row>
    <row r="17" customFormat="false" ht="15" hidden="false" customHeight="false" outlineLevel="0" collapsed="false">
      <c r="B17" s="21" t="str">
        <f aca="false">INDEX('Avalanche Schedule'!$B$6:$K$6,5)</f>
        <v>Medical bill</v>
      </c>
      <c r="C17" s="22" t="n">
        <f aca="false">IF(INDEX('Avalanche Schedule'!$B$5:$K$5,5)&lt;=0,"",INDEX('Avalanche Schedule'!$B$5:$K$5,5))</f>
        <v>1200</v>
      </c>
      <c r="D17" s="23" t="n">
        <f aca="false">IF(C17="","",INDEX('Avalanche Schedule'!$B$7:$K$7,5))</f>
        <v>0</v>
      </c>
      <c r="E17" s="22" t="n">
        <f aca="false">IF(C17="","",INDEX('Avalanche Schedule'!$B$9:$K$9,5))</f>
        <v>50</v>
      </c>
      <c r="F17" s="24" t="n">
        <f aca="false">IF(C17="","",IF(INDEX('Avalanche Schedule'!$B$10:$K$10,5)=999,"360+",INDEX('Avalanche Schedule'!$B$10:$K$10,5)))</f>
        <v>24</v>
      </c>
      <c r="G17" s="24" t="str">
        <f aca="true">IF(C17="","",IF(INDEX('Avalanche Schedule'!$B$10:$K$10,5)=999,"—",TEXT(EDATE(TODAY(),INDEX('Avalanche Schedule'!$B$10:$K$10,5)),"MMM YYYY")))</f>
        <v>Aug 2028</v>
      </c>
    </row>
    <row r="18" customFormat="false" ht="15" hidden="false" customHeight="false" outlineLevel="0" collapsed="false">
      <c r="B18" s="21" t="str">
        <f aca="false">INDEX('Avalanche Schedule'!$B$6:$K$6,6)</f>
        <v/>
      </c>
      <c r="C18" s="22" t="str">
        <f aca="false">IF(INDEX('Avalanche Schedule'!$B$5:$K$5,6)&lt;=0,"",INDEX('Avalanche Schedule'!$B$5:$K$5,6))</f>
        <v/>
      </c>
      <c r="D18" s="23" t="str">
        <f aca="false">IF(C18="","",INDEX('Avalanche Schedule'!$B$7:$K$7,6))</f>
        <v/>
      </c>
      <c r="E18" s="22" t="str">
        <f aca="false">IF(C18="","",INDEX('Avalanche Schedule'!$B$9:$K$9,6))</f>
        <v/>
      </c>
      <c r="F18" s="24" t="str">
        <f aca="false">IF(C18="","",IF(INDEX('Avalanche Schedule'!$B$10:$K$10,6)=999,"360+",INDEX('Avalanche Schedule'!$B$10:$K$10,6)))</f>
        <v/>
      </c>
      <c r="G18" s="24" t="str">
        <f aca="true">IF(C18="","",IF(INDEX('Avalanche Schedule'!$B$10:$K$10,6)=999,"—",TEXT(EDATE(TODAY(),INDEX('Avalanche Schedule'!$B$10:$K$10,6)),"MMM YYYY")))</f>
        <v/>
      </c>
    </row>
    <row r="19" customFormat="false" ht="15" hidden="false" customHeight="false" outlineLevel="0" collapsed="false">
      <c r="B19" s="21" t="str">
        <f aca="false">INDEX('Avalanche Schedule'!$B$6:$K$6,7)</f>
        <v/>
      </c>
      <c r="C19" s="22" t="str">
        <f aca="false">IF(INDEX('Avalanche Schedule'!$B$5:$K$5,7)&lt;=0,"",INDEX('Avalanche Schedule'!$B$5:$K$5,7))</f>
        <v/>
      </c>
      <c r="D19" s="23" t="str">
        <f aca="false">IF(C19="","",INDEX('Avalanche Schedule'!$B$7:$K$7,7))</f>
        <v/>
      </c>
      <c r="E19" s="22" t="str">
        <f aca="false">IF(C19="","",INDEX('Avalanche Schedule'!$B$9:$K$9,7))</f>
        <v/>
      </c>
      <c r="F19" s="24" t="str">
        <f aca="false">IF(C19="","",IF(INDEX('Avalanche Schedule'!$B$10:$K$10,7)=999,"360+",INDEX('Avalanche Schedule'!$B$10:$K$10,7)))</f>
        <v/>
      </c>
      <c r="G19" s="24" t="str">
        <f aca="true">IF(C19="","",IF(INDEX('Avalanche Schedule'!$B$10:$K$10,7)=999,"—",TEXT(EDATE(TODAY(),INDEX('Avalanche Schedule'!$B$10:$K$10,7)),"MMM YYYY")))</f>
        <v/>
      </c>
    </row>
    <row r="20" customFormat="false" ht="15" hidden="false" customHeight="false" outlineLevel="0" collapsed="false">
      <c r="B20" s="21" t="str">
        <f aca="false">INDEX('Avalanche Schedule'!$B$6:$K$6,8)</f>
        <v/>
      </c>
      <c r="C20" s="22" t="str">
        <f aca="false">IF(INDEX('Avalanche Schedule'!$B$5:$K$5,8)&lt;=0,"",INDEX('Avalanche Schedule'!$B$5:$K$5,8))</f>
        <v/>
      </c>
      <c r="D20" s="23" t="str">
        <f aca="false">IF(C20="","",INDEX('Avalanche Schedule'!$B$7:$K$7,8))</f>
        <v/>
      </c>
      <c r="E20" s="22" t="str">
        <f aca="false">IF(C20="","",INDEX('Avalanche Schedule'!$B$9:$K$9,8))</f>
        <v/>
      </c>
      <c r="F20" s="24" t="str">
        <f aca="false">IF(C20="","",IF(INDEX('Avalanche Schedule'!$B$10:$K$10,8)=999,"360+",INDEX('Avalanche Schedule'!$B$10:$K$10,8)))</f>
        <v/>
      </c>
      <c r="G20" s="24" t="str">
        <f aca="true">IF(C20="","",IF(INDEX('Avalanche Schedule'!$B$10:$K$10,8)=999,"—",TEXT(EDATE(TODAY(),INDEX('Avalanche Schedule'!$B$10:$K$10,8)),"MMM YYYY")))</f>
        <v/>
      </c>
    </row>
    <row r="21" customFormat="false" ht="15" hidden="false" customHeight="false" outlineLevel="0" collapsed="false">
      <c r="B21" s="21" t="str">
        <f aca="false">INDEX('Avalanche Schedule'!$B$6:$K$6,9)</f>
        <v/>
      </c>
      <c r="C21" s="22" t="str">
        <f aca="false">IF(INDEX('Avalanche Schedule'!$B$5:$K$5,9)&lt;=0,"",INDEX('Avalanche Schedule'!$B$5:$K$5,9))</f>
        <v/>
      </c>
      <c r="D21" s="23" t="str">
        <f aca="false">IF(C21="","",INDEX('Avalanche Schedule'!$B$7:$K$7,9))</f>
        <v/>
      </c>
      <c r="E21" s="22" t="str">
        <f aca="false">IF(C21="","",INDEX('Avalanche Schedule'!$B$9:$K$9,9))</f>
        <v/>
      </c>
      <c r="F21" s="24" t="str">
        <f aca="false">IF(C21="","",IF(INDEX('Avalanche Schedule'!$B$10:$K$10,9)=999,"360+",INDEX('Avalanche Schedule'!$B$10:$K$10,9)))</f>
        <v/>
      </c>
      <c r="G21" s="24" t="str">
        <f aca="true">IF(C21="","",IF(INDEX('Avalanche Schedule'!$B$10:$K$10,9)=999,"—",TEXT(EDATE(TODAY(),INDEX('Avalanche Schedule'!$B$10:$K$10,9)),"MMM YYYY")))</f>
        <v/>
      </c>
    </row>
    <row r="22" customFormat="false" ht="15" hidden="false" customHeight="false" outlineLevel="0" collapsed="false">
      <c r="B22" s="21" t="str">
        <f aca="false">INDEX('Avalanche Schedule'!$B$6:$K$6,10)</f>
        <v/>
      </c>
      <c r="C22" s="22" t="str">
        <f aca="false">IF(INDEX('Avalanche Schedule'!$B$5:$K$5,10)&lt;=0,"",INDEX('Avalanche Schedule'!$B$5:$K$5,10))</f>
        <v/>
      </c>
      <c r="D22" s="23" t="str">
        <f aca="false">IF(C22="","",INDEX('Avalanche Schedule'!$B$7:$K$7,10))</f>
        <v/>
      </c>
      <c r="E22" s="22" t="str">
        <f aca="false">IF(C22="","",INDEX('Avalanche Schedule'!$B$9:$K$9,10))</f>
        <v/>
      </c>
      <c r="F22" s="24" t="str">
        <f aca="false">IF(C22="","",IF(INDEX('Avalanche Schedule'!$B$10:$K$10,10)=999,"360+",INDEX('Avalanche Schedule'!$B$10:$K$10,10)))</f>
        <v/>
      </c>
      <c r="G22" s="24" t="str">
        <f aca="true">IF(C22="","",IF(INDEX('Avalanche Schedule'!$B$10:$K$10,10)=999,"—",TEXT(EDATE(TODAY(),INDEX('Avalanche Schedule'!$B$10:$K$10,10)),"MMM YYYY")))</f>
        <v/>
      </c>
    </row>
    <row r="24" customFormat="false" ht="15" hidden="false" customHeight="false" outlineLevel="0" collapsed="false">
      <c r="B24" s="16" t="s">
        <v>56</v>
      </c>
    </row>
    <row r="25" customFormat="false" ht="15" hidden="false" customHeight="false" outlineLevel="0" collapsed="false">
      <c r="B25" s="16" t="s">
        <v>60</v>
      </c>
    </row>
  </sheetData>
  <mergeCells count="2">
    <mergeCell ref="B2:G2"/>
    <mergeCell ref="D6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4" min="3" style="0" width="16"/>
    <col collapsed="false" customWidth="true" hidden="false" outlineLevel="0" max="5" min="5" style="0" width="30"/>
  </cols>
  <sheetData>
    <row r="2" customFormat="false" ht="30" hidden="false" customHeight="true" outlineLevel="0" collapsed="false">
      <c r="B2" s="1" t="s">
        <v>61</v>
      </c>
      <c r="C2" s="1"/>
      <c r="D2" s="1"/>
      <c r="E2" s="1"/>
    </row>
    <row r="4" customFormat="false" ht="15" hidden="false" customHeight="false" outlineLevel="0" collapsed="false">
      <c r="B4" s="6" t="s">
        <v>62</v>
      </c>
      <c r="C4" s="6" t="s">
        <v>63</v>
      </c>
      <c r="D4" s="6" t="s">
        <v>64</v>
      </c>
      <c r="E4" s="6" t="s">
        <v>65</v>
      </c>
    </row>
    <row r="5" customFormat="false" ht="15" hidden="false" customHeight="false" outlineLevel="0" collapsed="false">
      <c r="B5" s="7"/>
      <c r="C5" s="7"/>
      <c r="D5" s="5"/>
      <c r="E5" s="7"/>
    </row>
    <row r="6" customFormat="false" ht="15" hidden="false" customHeight="false" outlineLevel="0" collapsed="false">
      <c r="B6" s="7"/>
      <c r="C6" s="7"/>
      <c r="D6" s="5"/>
      <c r="E6" s="7"/>
    </row>
    <row r="7" customFormat="false" ht="15" hidden="false" customHeight="false" outlineLevel="0" collapsed="false">
      <c r="B7" s="7"/>
      <c r="C7" s="7"/>
      <c r="D7" s="5"/>
      <c r="E7" s="7"/>
    </row>
    <row r="8" customFormat="false" ht="15" hidden="false" customHeight="false" outlineLevel="0" collapsed="false">
      <c r="B8" s="7"/>
      <c r="C8" s="7"/>
      <c r="D8" s="5"/>
      <c r="E8" s="7"/>
    </row>
    <row r="9" customFormat="false" ht="15" hidden="false" customHeight="false" outlineLevel="0" collapsed="false">
      <c r="B9" s="7"/>
      <c r="C9" s="7"/>
      <c r="D9" s="5"/>
      <c r="E9" s="7"/>
    </row>
    <row r="10" customFormat="false" ht="15" hidden="false" customHeight="false" outlineLevel="0" collapsed="false">
      <c r="B10" s="7"/>
      <c r="C10" s="7"/>
      <c r="D10" s="5"/>
      <c r="E10" s="7"/>
    </row>
    <row r="11" customFormat="false" ht="15" hidden="false" customHeight="false" outlineLevel="0" collapsed="false">
      <c r="B11" s="7"/>
      <c r="C11" s="7"/>
      <c r="D11" s="5"/>
      <c r="E11" s="7"/>
    </row>
    <row r="12" customFormat="false" ht="15" hidden="false" customHeight="false" outlineLevel="0" collapsed="false">
      <c r="B12" s="7"/>
      <c r="C12" s="7"/>
      <c r="D12" s="5"/>
      <c r="E12" s="7"/>
    </row>
    <row r="13" customFormat="false" ht="15" hidden="false" customHeight="false" outlineLevel="0" collapsed="false">
      <c r="B13" s="7"/>
      <c r="C13" s="7"/>
      <c r="D13" s="5"/>
      <c r="E13" s="7"/>
    </row>
    <row r="14" customFormat="false" ht="15" hidden="false" customHeight="false" outlineLevel="0" collapsed="false">
      <c r="B14" s="7"/>
      <c r="C14" s="7"/>
      <c r="D14" s="5"/>
      <c r="E14" s="7"/>
    </row>
    <row r="16" customFormat="false" ht="15" hidden="false" customHeight="false" outlineLevel="0" collapsed="false">
      <c r="B16" s="6" t="s">
        <v>66</v>
      </c>
      <c r="C16" s="10"/>
      <c r="D16" s="9" t="n">
        <f aca="false">SUM(D5:D14)</f>
        <v>0</v>
      </c>
      <c r="E16" s="10"/>
    </row>
    <row r="18" customFormat="false" ht="15" hidden="false" customHeight="false" outlineLevel="0" collapsed="false">
      <c r="B18" s="16" t="s">
        <v>67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N3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6" min="2" style="0" width="11"/>
  </cols>
  <sheetData>
    <row r="1" customFormat="false" ht="15" hidden="false" customHeight="false" outlineLevel="0" collapsed="false">
      <c r="A1" s="16" t="s">
        <v>68</v>
      </c>
    </row>
    <row r="2" customFormat="false" ht="15" hidden="false" customHeight="false" outlineLevel="0" collapsed="false">
      <c r="A2" s="4" t="s">
        <v>69</v>
      </c>
      <c r="B2" s="4" t="n">
        <v>1</v>
      </c>
      <c r="C2" s="4" t="n">
        <v>2</v>
      </c>
      <c r="D2" s="4" t="n">
        <v>3</v>
      </c>
      <c r="E2" s="4" t="n">
        <v>4</v>
      </c>
      <c r="F2" s="4" t="n">
        <v>5</v>
      </c>
      <c r="G2" s="4" t="n">
        <v>6</v>
      </c>
      <c r="H2" s="4" t="n">
        <v>7</v>
      </c>
      <c r="I2" s="4" t="n">
        <v>8</v>
      </c>
      <c r="J2" s="4" t="n">
        <v>9</v>
      </c>
      <c r="K2" s="4" t="n">
        <v>10</v>
      </c>
      <c r="N2" s="4" t="s">
        <v>70</v>
      </c>
      <c r="O2" s="25" t="n">
        <f aca="false">IF($L$14&lt;=0,0,IFERROR(MATCH(0,$L$15:$L$374,0),999))</f>
        <v>31</v>
      </c>
    </row>
    <row r="3" customFormat="false" ht="15" hidden="false" customHeight="false" outlineLevel="0" collapsed="false">
      <c r="A3" s="4" t="s">
        <v>71</v>
      </c>
      <c r="B3" s="26" t="n">
        <f aca="false">IF(N('My Debts'!C7)&lt;=0,9000000000+COLUMN(),N('My Debts'!C7)+COLUMN()/1000)</f>
        <v>640.002</v>
      </c>
      <c r="C3" s="26" t="n">
        <f aca="false">IF(N('My Debts'!C8)&lt;=0,9000000000+COLUMN(),N('My Debts'!C8)+COLUMN()/1000)</f>
        <v>1200.003</v>
      </c>
      <c r="D3" s="26" t="n">
        <f aca="false">IF(N('My Debts'!C9)&lt;=0,9000000000+COLUMN(),N('My Debts'!C9)+COLUMN()/1000)</f>
        <v>2850.004</v>
      </c>
      <c r="E3" s="26" t="n">
        <f aca="false">IF(N('My Debts'!C10)&lt;=0,9000000000+COLUMN(),N('My Debts'!C10)+COLUMN()/1000)</f>
        <v>4100.005</v>
      </c>
      <c r="F3" s="26" t="n">
        <f aca="false">IF(N('My Debts'!C11)&lt;=0,9000000000+COLUMN(),N('My Debts'!C11)+COLUMN()/1000)</f>
        <v>9400.006</v>
      </c>
      <c r="G3" s="26" t="n">
        <f aca="false">IF(N('My Debts'!C12)&lt;=0,9000000000+COLUMN(),N('My Debts'!C12)+COLUMN()/1000)</f>
        <v>9000000007</v>
      </c>
      <c r="H3" s="26" t="n">
        <f aca="false">IF(N('My Debts'!C13)&lt;=0,9000000000+COLUMN(),N('My Debts'!C13)+COLUMN()/1000)</f>
        <v>9000000008</v>
      </c>
      <c r="I3" s="26" t="n">
        <f aca="false">IF(N('My Debts'!C14)&lt;=0,9000000000+COLUMN(),N('My Debts'!C14)+COLUMN()/1000)</f>
        <v>9000000009</v>
      </c>
      <c r="J3" s="26" t="n">
        <f aca="false">IF(N('My Debts'!C15)&lt;=0,9000000000+COLUMN(),N('My Debts'!C15)+COLUMN()/1000)</f>
        <v>9000000010</v>
      </c>
      <c r="K3" s="26" t="n">
        <f aca="false">IF(N('My Debts'!C16)&lt;=0,9000000000+COLUMN(),N('My Debts'!C16)+COLUMN()/1000)</f>
        <v>9000000011</v>
      </c>
      <c r="N3" s="4" t="s">
        <v>72</v>
      </c>
      <c r="O3" s="25" t="n">
        <f aca="false">SUM($M$15:$M$374)</f>
        <v>3387.3029925</v>
      </c>
    </row>
    <row r="4" customFormat="false" ht="15" hidden="false" customHeight="false" outlineLevel="0" collapsed="false">
      <c r="A4" s="4" t="s">
        <v>73</v>
      </c>
      <c r="B4" s="26" t="n">
        <f aca="false">MATCH(SMALL($B$3:$K$3,B$2),$B$3:$K$3,0)</f>
        <v>1</v>
      </c>
      <c r="C4" s="26" t="n">
        <f aca="false">MATCH(SMALL($B$3:$K$3,C$2),$B$3:$K$3,0)</f>
        <v>2</v>
      </c>
      <c r="D4" s="26" t="n">
        <f aca="false">MATCH(SMALL($B$3:$K$3,D$2),$B$3:$K$3,0)</f>
        <v>3</v>
      </c>
      <c r="E4" s="26" t="n">
        <f aca="false">MATCH(SMALL($B$3:$K$3,E$2),$B$3:$K$3,0)</f>
        <v>4</v>
      </c>
      <c r="F4" s="26" t="n">
        <f aca="false">MATCH(SMALL($B$3:$K$3,F$2),$B$3:$K$3,0)</f>
        <v>5</v>
      </c>
      <c r="G4" s="26" t="n">
        <f aca="false">MATCH(SMALL($B$3:$K$3,G$2),$B$3:$K$3,0)</f>
        <v>6</v>
      </c>
      <c r="H4" s="26" t="n">
        <f aca="false">MATCH(SMALL($B$3:$K$3,H$2),$B$3:$K$3,0)</f>
        <v>7</v>
      </c>
      <c r="I4" s="26" t="n">
        <f aca="false">MATCH(SMALL($B$3:$K$3,I$2),$B$3:$K$3,0)</f>
        <v>8</v>
      </c>
      <c r="J4" s="26" t="n">
        <f aca="false">MATCH(SMALL($B$3:$K$3,J$2),$B$3:$K$3,0)</f>
        <v>9</v>
      </c>
      <c r="K4" s="26" t="n">
        <f aca="false">MATCH(SMALL($B$3:$K$3,K$2),$B$3:$K$3,0)</f>
        <v>10</v>
      </c>
      <c r="N4" s="4" t="s">
        <v>74</v>
      </c>
      <c r="O4" s="25" t="n">
        <f aca="false">IF($L$14&lt;=0,0,IFERROR(MATCH(0,$AS$15:$AS$374,0),999))</f>
        <v>42</v>
      </c>
    </row>
    <row r="5" customFormat="false" ht="15" hidden="false" customHeight="false" outlineLevel="0" collapsed="false">
      <c r="A5" s="4" t="s">
        <v>75</v>
      </c>
      <c r="B5" s="27" t="n">
        <f aca="false">ROUND(MAX(0,N(INDEX('My Debts'!$C$7:$C$16,B$4))),2)</f>
        <v>640</v>
      </c>
      <c r="C5" s="27" t="n">
        <f aca="false">ROUND(MAX(0,N(INDEX('My Debts'!$C$7:$C$16,C$4))),2)</f>
        <v>1200</v>
      </c>
      <c r="D5" s="27" t="n">
        <f aca="false">ROUND(MAX(0,N(INDEX('My Debts'!$C$7:$C$16,D$4))),2)</f>
        <v>2850</v>
      </c>
      <c r="E5" s="27" t="n">
        <f aca="false">ROUND(MAX(0,N(INDEX('My Debts'!$C$7:$C$16,E$4))),2)</f>
        <v>4100</v>
      </c>
      <c r="F5" s="27" t="n">
        <f aca="false">ROUND(MAX(0,N(INDEX('My Debts'!$C$7:$C$16,F$4))),2)</f>
        <v>9400</v>
      </c>
      <c r="G5" s="27" t="n">
        <f aca="false">ROUND(MAX(0,N(INDEX('My Debts'!$C$7:$C$16,G$4))),2)</f>
        <v>0</v>
      </c>
      <c r="H5" s="27" t="n">
        <f aca="false">ROUND(MAX(0,N(INDEX('My Debts'!$C$7:$C$16,H$4))),2)</f>
        <v>0</v>
      </c>
      <c r="I5" s="27" t="n">
        <f aca="false">ROUND(MAX(0,N(INDEX('My Debts'!$C$7:$C$16,I$4))),2)</f>
        <v>0</v>
      </c>
      <c r="J5" s="27" t="n">
        <f aca="false">ROUND(MAX(0,N(INDEX('My Debts'!$C$7:$C$16,J$4))),2)</f>
        <v>0</v>
      </c>
      <c r="K5" s="27" t="n">
        <f aca="false">ROUND(MAX(0,N(INDEX('My Debts'!$C$7:$C$16,K$4))),2)</f>
        <v>0</v>
      </c>
      <c r="N5" s="4" t="s">
        <v>76</v>
      </c>
      <c r="O5" s="25" t="n">
        <f aca="false">SUM($AT$15:$AT$374)</f>
        <v>5459.5686975</v>
      </c>
    </row>
    <row r="6" customFormat="false" ht="15" hidden="false" customHeight="false" outlineLevel="0" collapsed="false">
      <c r="A6" s="4" t="s">
        <v>62</v>
      </c>
      <c r="B6" s="0" t="str">
        <f aca="false">IF(B$5&lt;=0,"",T(INDEX('My Debts'!$B$7:$B$16,B$4)))</f>
        <v>Store card</v>
      </c>
      <c r="C6" s="0" t="str">
        <f aca="false">IF(C$5&lt;=0,"",T(INDEX('My Debts'!$B$7:$B$16,C$4)))</f>
        <v>Medical bill</v>
      </c>
      <c r="D6" s="0" t="str">
        <f aca="false">IF(D$5&lt;=0,"",T(INDEX('My Debts'!$B$7:$B$16,D$4)))</f>
        <v>Credit card A</v>
      </c>
      <c r="E6" s="0" t="str">
        <f aca="false">IF(E$5&lt;=0,"",T(INDEX('My Debts'!$B$7:$B$16,E$4)))</f>
        <v>Credit card B</v>
      </c>
      <c r="F6" s="0" t="str">
        <f aca="false">IF(F$5&lt;=0,"",T(INDEX('My Debts'!$B$7:$B$16,F$4)))</f>
        <v>Car loan</v>
      </c>
      <c r="G6" s="0" t="str">
        <f aca="false">IF(G$5&lt;=0,"",T(INDEX('My Debts'!$B$7:$B$16,G$4)))</f>
        <v/>
      </c>
      <c r="H6" s="0" t="str">
        <f aca="false">IF(H$5&lt;=0,"",T(INDEX('My Debts'!$B$7:$B$16,H$4)))</f>
        <v/>
      </c>
      <c r="I6" s="0" t="str">
        <f aca="false">IF(I$5&lt;=0,"",T(INDEX('My Debts'!$B$7:$B$16,I$4)))</f>
        <v/>
      </c>
      <c r="J6" s="0" t="str">
        <f aca="false">IF(J$5&lt;=0,"",T(INDEX('My Debts'!$B$7:$B$16,J$4)))</f>
        <v/>
      </c>
      <c r="K6" s="0" t="str">
        <f aca="false">IF(K$5&lt;=0,"",T(INDEX('My Debts'!$B$7:$B$16,K$4)))</f>
        <v/>
      </c>
    </row>
    <row r="7" customFormat="false" ht="15" hidden="false" customHeight="false" outlineLevel="0" collapsed="false">
      <c r="A7" s="4" t="s">
        <v>29</v>
      </c>
      <c r="B7" s="28" t="n">
        <f aca="false">IF(B$5&lt;=0,0,MAX(0,N(INDEX('My Debts'!$D$7:$D$16,B$4))))</f>
        <v>0.279</v>
      </c>
      <c r="C7" s="28" t="n">
        <f aca="false">IF(C$5&lt;=0,0,MAX(0,N(INDEX('My Debts'!$D$7:$D$16,C$4))))</f>
        <v>0</v>
      </c>
      <c r="D7" s="28" t="n">
        <f aca="false">IF(D$5&lt;=0,0,MAX(0,N(INDEX('My Debts'!$D$7:$D$16,D$4))))</f>
        <v>0.246</v>
      </c>
      <c r="E7" s="28" t="n">
        <f aca="false">IF(E$5&lt;=0,0,MAX(0,N(INDEX('My Debts'!$D$7:$D$16,E$4))))</f>
        <v>0.219</v>
      </c>
      <c r="F7" s="28" t="n">
        <f aca="false">IF(F$5&lt;=0,0,MAX(0,N(INDEX('My Debts'!$D$7:$D$16,F$4))))</f>
        <v>0.069</v>
      </c>
      <c r="G7" s="28" t="n">
        <f aca="false">IF(G$5&lt;=0,0,MAX(0,N(INDEX('My Debts'!$D$7:$D$16,G$4))))</f>
        <v>0</v>
      </c>
      <c r="H7" s="28" t="n">
        <f aca="false">IF(H$5&lt;=0,0,MAX(0,N(INDEX('My Debts'!$D$7:$D$16,H$4))))</f>
        <v>0</v>
      </c>
      <c r="I7" s="28" t="n">
        <f aca="false">IF(I$5&lt;=0,0,MAX(0,N(INDEX('My Debts'!$D$7:$D$16,I$4))))</f>
        <v>0</v>
      </c>
      <c r="J7" s="28" t="n">
        <f aca="false">IF(J$5&lt;=0,0,MAX(0,N(INDEX('My Debts'!$D$7:$D$16,J$4))))</f>
        <v>0</v>
      </c>
      <c r="K7" s="28" t="n">
        <f aca="false">IF(K$5&lt;=0,0,MAX(0,N(INDEX('My Debts'!$D$7:$D$16,K$4))))</f>
        <v>0</v>
      </c>
    </row>
    <row r="8" customFormat="false" ht="15" hidden="false" customHeight="false" outlineLevel="0" collapsed="false">
      <c r="A8" s="4" t="s">
        <v>77</v>
      </c>
      <c r="B8" s="29" t="n">
        <f aca="false">B$7/12</f>
        <v>0.02325</v>
      </c>
      <c r="C8" s="29" t="n">
        <f aca="false">C$7/12</f>
        <v>0</v>
      </c>
      <c r="D8" s="29" t="n">
        <f aca="false">D$7/12</f>
        <v>0.0205</v>
      </c>
      <c r="E8" s="29" t="n">
        <f aca="false">E$7/12</f>
        <v>0.01825</v>
      </c>
      <c r="F8" s="29" t="n">
        <f aca="false">F$7/12</f>
        <v>0.00575</v>
      </c>
      <c r="G8" s="29" t="n">
        <f aca="false">G$7/12</f>
        <v>0</v>
      </c>
      <c r="H8" s="29" t="n">
        <f aca="false">H$7/12</f>
        <v>0</v>
      </c>
      <c r="I8" s="29" t="n">
        <f aca="false">I$7/12</f>
        <v>0</v>
      </c>
      <c r="J8" s="29" t="n">
        <f aca="false">J$7/12</f>
        <v>0</v>
      </c>
      <c r="K8" s="29" t="n">
        <f aca="false">K$7/12</f>
        <v>0</v>
      </c>
    </row>
    <row r="9" customFormat="false" ht="15" hidden="false" customHeight="false" outlineLevel="0" collapsed="false">
      <c r="A9" s="4" t="s">
        <v>30</v>
      </c>
      <c r="B9" s="27" t="n">
        <f aca="false">IF(B$5&lt;=0,0,MAX(0,N(INDEX('My Debts'!$E$7:$E$16,B$4))))</f>
        <v>35</v>
      </c>
      <c r="C9" s="27" t="n">
        <f aca="false">IF(C$5&lt;=0,0,MAX(0,N(INDEX('My Debts'!$E$7:$E$16,C$4))))</f>
        <v>50</v>
      </c>
      <c r="D9" s="27" t="n">
        <f aca="false">IF(D$5&lt;=0,0,MAX(0,N(INDEX('My Debts'!$E$7:$E$16,D$4))))</f>
        <v>75</v>
      </c>
      <c r="E9" s="27" t="n">
        <f aca="false">IF(E$5&lt;=0,0,MAX(0,N(INDEX('My Debts'!$E$7:$E$16,E$4))))</f>
        <v>95</v>
      </c>
      <c r="F9" s="27" t="n">
        <f aca="false">IF(F$5&lt;=0,0,MAX(0,N(INDEX('My Debts'!$E$7:$E$16,F$4))))</f>
        <v>310</v>
      </c>
      <c r="G9" s="27" t="n">
        <f aca="false">IF(G$5&lt;=0,0,MAX(0,N(INDEX('My Debts'!$E$7:$E$16,G$4))))</f>
        <v>0</v>
      </c>
      <c r="H9" s="27" t="n">
        <f aca="false">IF(H$5&lt;=0,0,MAX(0,N(INDEX('My Debts'!$E$7:$E$16,H$4))))</f>
        <v>0</v>
      </c>
      <c r="I9" s="27" t="n">
        <f aca="false">IF(I$5&lt;=0,0,MAX(0,N(INDEX('My Debts'!$E$7:$E$16,I$4))))</f>
        <v>0</v>
      </c>
      <c r="J9" s="27" t="n">
        <f aca="false">IF(J$5&lt;=0,0,MAX(0,N(INDEX('My Debts'!$E$7:$E$16,J$4))))</f>
        <v>0</v>
      </c>
      <c r="K9" s="27" t="n">
        <f aca="false">IF(K$5&lt;=0,0,MAX(0,N(INDEX('My Debts'!$E$7:$E$16,K$4))))</f>
        <v>0</v>
      </c>
    </row>
    <row r="10" customFormat="false" ht="15" hidden="false" customHeight="false" outlineLevel="0" collapsed="false">
      <c r="A10" s="4" t="s">
        <v>78</v>
      </c>
      <c r="B10" s="26" t="n">
        <f aca="false">IF(B$5&lt;=0,"",IFERROR(MATCH(0,B$15:B$374,0),999))</f>
        <v>4</v>
      </c>
      <c r="C10" s="26" t="n">
        <f aca="false">IF(C$5&lt;=0,"",IFERROR(MATCH(0,C$15:C$374,0),999))</f>
        <v>8</v>
      </c>
      <c r="D10" s="26" t="n">
        <f aca="false">IF(D$5&lt;=0,"",IFERROR(MATCH(0,D$15:D$374,0),999))</f>
        <v>18</v>
      </c>
      <c r="E10" s="26" t="n">
        <f aca="false">IF(E$5&lt;=0,"",IFERROR(MATCH(0,E$15:E$374,0),999))</f>
        <v>28</v>
      </c>
      <c r="F10" s="26" t="n">
        <f aca="false">IF(F$5&lt;=0,"",IFERROR(MATCH(0,F$15:F$374,0),999))</f>
        <v>31</v>
      </c>
      <c r="G10" s="0" t="str">
        <f aca="false">IF(G$5&lt;=0,"",IFERROR(MATCH(0,G$15:G$374,0),999))</f>
        <v/>
      </c>
      <c r="H10" s="0" t="str">
        <f aca="false">IF(H$5&lt;=0,"",IFERROR(MATCH(0,H$15:H$374,0),999))</f>
        <v/>
      </c>
      <c r="I10" s="0" t="str">
        <f aca="false">IF(I$5&lt;=0,"",IFERROR(MATCH(0,I$15:I$374,0),999))</f>
        <v/>
      </c>
      <c r="J10" s="0" t="str">
        <f aca="false">IF(J$5&lt;=0,"",IFERROR(MATCH(0,J$15:J$374,0),999))</f>
        <v/>
      </c>
      <c r="K10" s="0" t="str">
        <f aca="false">IF(K$5&lt;=0,"",IFERROR(MATCH(0,K$15:K$374,0),999))</f>
        <v/>
      </c>
    </row>
    <row r="11" customFormat="false" ht="15" hidden="false" customHeight="false" outlineLevel="0" collapsed="false">
      <c r="A11" s="4" t="s">
        <v>79</v>
      </c>
      <c r="B11" s="30" t="n">
        <f aca="false">MAX(0,N('My Debts'!$E$4))+SUM($B$9:$K$9)</f>
        <v>715</v>
      </c>
    </row>
    <row r="12" customFormat="false" ht="15" hidden="false" customHeight="false" outlineLevel="0" collapsed="false">
      <c r="A12" s="4" t="s">
        <v>80</v>
      </c>
      <c r="B12" s="30" t="n">
        <f aca="false">SUM($B$9:$K$9)</f>
        <v>565</v>
      </c>
    </row>
    <row r="13" customFormat="false" ht="15" hidden="false" customHeight="false" outlineLevel="0" collapsed="false">
      <c r="A13" s="31" t="s">
        <v>81</v>
      </c>
      <c r="B13" s="31" t="s">
        <v>82</v>
      </c>
      <c r="C13" s="31" t="s">
        <v>83</v>
      </c>
      <c r="D13" s="31" t="s">
        <v>84</v>
      </c>
      <c r="E13" s="31" t="s">
        <v>85</v>
      </c>
      <c r="F13" s="31" t="s">
        <v>86</v>
      </c>
      <c r="G13" s="31" t="s">
        <v>87</v>
      </c>
      <c r="H13" s="31" t="s">
        <v>88</v>
      </c>
      <c r="I13" s="31" t="s">
        <v>89</v>
      </c>
      <c r="J13" s="31" t="s">
        <v>90</v>
      </c>
      <c r="K13" s="31" t="s">
        <v>91</v>
      </c>
      <c r="L13" s="31" t="s">
        <v>92</v>
      </c>
      <c r="M13" s="31" t="s">
        <v>93</v>
      </c>
      <c r="N13" s="31" t="s">
        <v>94</v>
      </c>
      <c r="O13" s="31" t="s">
        <v>95</v>
      </c>
      <c r="P13" s="31" t="s">
        <v>96</v>
      </c>
      <c r="Q13" s="31" t="s">
        <v>97</v>
      </c>
      <c r="R13" s="31" t="s">
        <v>98</v>
      </c>
      <c r="S13" s="31" t="s">
        <v>99</v>
      </c>
      <c r="T13" s="31" t="s">
        <v>100</v>
      </c>
      <c r="U13" s="31" t="s">
        <v>101</v>
      </c>
      <c r="V13" s="31" t="s">
        <v>102</v>
      </c>
      <c r="W13" s="31" t="s">
        <v>103</v>
      </c>
      <c r="X13" s="31" t="s">
        <v>104</v>
      </c>
      <c r="Y13" s="31" t="s">
        <v>105</v>
      </c>
      <c r="Z13" s="31" t="s">
        <v>106</v>
      </c>
      <c r="AA13" s="31" t="s">
        <v>107</v>
      </c>
      <c r="AB13" s="31" t="s">
        <v>108</v>
      </c>
      <c r="AC13" s="31" t="s">
        <v>109</v>
      </c>
      <c r="AD13" s="31" t="s">
        <v>110</v>
      </c>
      <c r="AE13" s="31" t="s">
        <v>111</v>
      </c>
      <c r="AF13" s="31" t="s">
        <v>112</v>
      </c>
      <c r="AG13" s="31" t="s">
        <v>113</v>
      </c>
      <c r="AI13" s="31" t="s">
        <v>114</v>
      </c>
      <c r="AJ13" s="31" t="s">
        <v>115</v>
      </c>
      <c r="AK13" s="31" t="s">
        <v>116</v>
      </c>
      <c r="AL13" s="31" t="s">
        <v>117</v>
      </c>
      <c r="AM13" s="31" t="s">
        <v>118</v>
      </c>
      <c r="AN13" s="31" t="s">
        <v>119</v>
      </c>
      <c r="AO13" s="31" t="s">
        <v>120</v>
      </c>
      <c r="AP13" s="31" t="s">
        <v>121</v>
      </c>
      <c r="AQ13" s="31" t="s">
        <v>122</v>
      </c>
      <c r="AR13" s="31" t="s">
        <v>123</v>
      </c>
      <c r="AS13" s="31" t="s">
        <v>124</v>
      </c>
      <c r="AT13" s="31" t="s">
        <v>125</v>
      </c>
      <c r="AU13" s="31" t="s">
        <v>126</v>
      </c>
      <c r="AV13" s="31" t="s">
        <v>127</v>
      </c>
      <c r="AW13" s="31" t="s">
        <v>128</v>
      </c>
      <c r="AX13" s="31" t="s">
        <v>129</v>
      </c>
      <c r="AY13" s="31" t="s">
        <v>130</v>
      </c>
      <c r="AZ13" s="31" t="s">
        <v>131</v>
      </c>
      <c r="BA13" s="31" t="s">
        <v>132</v>
      </c>
      <c r="BB13" s="31" t="s">
        <v>133</v>
      </c>
      <c r="BC13" s="31" t="s">
        <v>134</v>
      </c>
      <c r="BD13" s="31" t="s">
        <v>135</v>
      </c>
      <c r="BE13" s="31" t="s">
        <v>136</v>
      </c>
      <c r="BF13" s="31" t="s">
        <v>137</v>
      </c>
      <c r="BG13" s="31" t="s">
        <v>138</v>
      </c>
      <c r="BH13" s="31" t="s">
        <v>139</v>
      </c>
      <c r="BI13" s="31" t="s">
        <v>140</v>
      </c>
      <c r="BJ13" s="31" t="s">
        <v>141</v>
      </c>
      <c r="BK13" s="31" t="s">
        <v>142</v>
      </c>
      <c r="BL13" s="31" t="s">
        <v>143</v>
      </c>
      <c r="BM13" s="31" t="s">
        <v>144</v>
      </c>
      <c r="BN13" s="31" t="s">
        <v>145</v>
      </c>
    </row>
    <row r="14" customFormat="false" ht="15" hidden="false" customHeight="false" outlineLevel="0" collapsed="false">
      <c r="A14" s="2" t="n">
        <v>0</v>
      </c>
      <c r="B14" s="27" t="n">
        <f aca="false">B$5</f>
        <v>640</v>
      </c>
      <c r="C14" s="27" t="n">
        <f aca="false">C$5</f>
        <v>1200</v>
      </c>
      <c r="D14" s="27" t="n">
        <f aca="false">D$5</f>
        <v>2850</v>
      </c>
      <c r="E14" s="27" t="n">
        <f aca="false">E$5</f>
        <v>4100</v>
      </c>
      <c r="F14" s="27" t="n">
        <f aca="false">F$5</f>
        <v>9400</v>
      </c>
      <c r="G14" s="27" t="n">
        <f aca="false">G$5</f>
        <v>0</v>
      </c>
      <c r="H14" s="27" t="n">
        <f aca="false">H$5</f>
        <v>0</v>
      </c>
      <c r="I14" s="27" t="n">
        <f aca="false">I$5</f>
        <v>0</v>
      </c>
      <c r="J14" s="27" t="n">
        <f aca="false">J$5</f>
        <v>0</v>
      </c>
      <c r="K14" s="27" t="n">
        <f aca="false">K$5</f>
        <v>0</v>
      </c>
      <c r="L14" s="30" t="n">
        <f aca="false">SUM(B14:K14)</f>
        <v>18190</v>
      </c>
      <c r="AI14" s="27" t="n">
        <f aca="false">B$5</f>
        <v>640</v>
      </c>
      <c r="AJ14" s="27" t="n">
        <f aca="false">C$5</f>
        <v>1200</v>
      </c>
      <c r="AK14" s="27" t="n">
        <f aca="false">D$5</f>
        <v>2850</v>
      </c>
      <c r="AL14" s="27" t="n">
        <f aca="false">E$5</f>
        <v>4100</v>
      </c>
      <c r="AM14" s="27" t="n">
        <f aca="false">F$5</f>
        <v>9400</v>
      </c>
      <c r="AN14" s="27" t="n">
        <f aca="false">G$5</f>
        <v>0</v>
      </c>
      <c r="AO14" s="27" t="n">
        <f aca="false">H$5</f>
        <v>0</v>
      </c>
      <c r="AP14" s="27" t="n">
        <f aca="false">I$5</f>
        <v>0</v>
      </c>
      <c r="AQ14" s="27" t="n">
        <f aca="false">J$5</f>
        <v>0</v>
      </c>
      <c r="AR14" s="27" t="n">
        <f aca="false">K$5</f>
        <v>0</v>
      </c>
      <c r="AS14" s="27" t="n">
        <f aca="false">SUM(AI14:AR14)</f>
        <v>18190</v>
      </c>
    </row>
    <row r="15" customFormat="false" ht="15" hidden="false" customHeight="false" outlineLevel="0" collapsed="false">
      <c r="A15" s="0" t="n">
        <v>1</v>
      </c>
      <c r="B15" s="27" t="n">
        <f aca="false">ROUND(MAX(0,B14*(1+B$8)-X15),2)</f>
        <v>469.88</v>
      </c>
      <c r="C15" s="27" t="n">
        <f aca="false">ROUND(MAX(0,C14*(1+C$8)-Y15),2)</f>
        <v>1150</v>
      </c>
      <c r="D15" s="27" t="n">
        <f aca="false">ROUND(MAX(0,D14*(1+D$8)-Z15),2)</f>
        <v>2833.43</v>
      </c>
      <c r="E15" s="27" t="n">
        <f aca="false">ROUND(MAX(0,E14*(1+E$8)-AA15),2)</f>
        <v>4079.83</v>
      </c>
      <c r="F15" s="27" t="n">
        <f aca="false">ROUND(MAX(0,F14*(1+F$8)-AB15),2)</f>
        <v>9144.05</v>
      </c>
      <c r="G15" s="27" t="n">
        <f aca="false">ROUND(MAX(0,G14*(1+G$8)-AC15),2)</f>
        <v>0</v>
      </c>
      <c r="H15" s="27" t="n">
        <f aca="false">ROUND(MAX(0,H14*(1+H$8)-AD15),2)</f>
        <v>0</v>
      </c>
      <c r="I15" s="27" t="n">
        <f aca="false">ROUND(MAX(0,I14*(1+I$8)-AE15),2)</f>
        <v>0</v>
      </c>
      <c r="J15" s="27" t="n">
        <f aca="false">ROUND(MAX(0,J14*(1+J$8)-AF15),2)</f>
        <v>0</v>
      </c>
      <c r="K15" s="27" t="n">
        <f aca="false">ROUND(MAX(0,K14*(1+K$8)-AG15),2)</f>
        <v>0</v>
      </c>
      <c r="L15" s="30" t="n">
        <f aca="false">SUM(B15:K15)</f>
        <v>17677.19</v>
      </c>
      <c r="M15" s="27" t="n">
        <f aca="false">SUMPRODUCT(B14:K14,$B$8:$K$8)</f>
        <v>202.18</v>
      </c>
      <c r="N15" s="27" t="n">
        <f aca="false">MIN(B14*(1+B$8),B$9)</f>
        <v>35</v>
      </c>
      <c r="O15" s="27" t="n">
        <f aca="false">MIN(C14*(1+C$8),C$9)</f>
        <v>50</v>
      </c>
      <c r="P15" s="27" t="n">
        <f aca="false">MIN(D14*(1+D$8),D$9)</f>
        <v>75</v>
      </c>
      <c r="Q15" s="27" t="n">
        <f aca="false">MIN(E14*(1+E$8),E$9)</f>
        <v>95</v>
      </c>
      <c r="R15" s="27" t="n">
        <f aca="false">MIN(F14*(1+F$8),F$9)</f>
        <v>310</v>
      </c>
      <c r="S15" s="27" t="n">
        <f aca="false">MIN(G14*(1+G$8),G$9)</f>
        <v>0</v>
      </c>
      <c r="T15" s="27" t="n">
        <f aca="false">MIN(H14*(1+H$8),H$9)</f>
        <v>0</v>
      </c>
      <c r="U15" s="27" t="n">
        <f aca="false">MIN(I14*(1+I$8),I$9)</f>
        <v>0</v>
      </c>
      <c r="V15" s="27" t="n">
        <f aca="false">MIN(J14*(1+J$8),J$9)</f>
        <v>0</v>
      </c>
      <c r="W15" s="27" t="n">
        <f aca="false">MIN(K14*(1+K$8),K$9)</f>
        <v>0</v>
      </c>
      <c r="X15" s="27" t="n">
        <f aca="false">MIN(B14*(1+B$8),MAX(N15,$B$11-SUM(O15:W15)))</f>
        <v>185</v>
      </c>
      <c r="Y15" s="27" t="n">
        <f aca="false">MIN(C14*(1+C$8),MAX(O15,$B$11-SUM(X15:X15)-SUM(P15:W15)))</f>
        <v>50</v>
      </c>
      <c r="Z15" s="27" t="n">
        <f aca="false">MIN(D14*(1+D$8),MAX(P15,$B$11-SUM(X15:Y15)-SUM(Q15:W15)))</f>
        <v>75</v>
      </c>
      <c r="AA15" s="27" t="n">
        <f aca="false">MIN(E14*(1+E$8),MAX(Q15,$B$11-SUM(X15:Z15)-SUM(R15:W15)))</f>
        <v>95</v>
      </c>
      <c r="AB15" s="27" t="n">
        <f aca="false">MIN(F14*(1+F$8),MAX(R15,$B$11-SUM(X15:AA15)-SUM(S15:W15)))</f>
        <v>310</v>
      </c>
      <c r="AC15" s="27" t="n">
        <f aca="false">MIN(G14*(1+G$8),MAX(S15,$B$11-SUM(X15:AB15)-SUM(T15:W15)))</f>
        <v>0</v>
      </c>
      <c r="AD15" s="27" t="n">
        <f aca="false">MIN(H14*(1+H$8),MAX(T15,$B$11-SUM(X15:AC15)-SUM(U15:W15)))</f>
        <v>0</v>
      </c>
      <c r="AE15" s="27" t="n">
        <f aca="false">MIN(I14*(1+I$8),MAX(U15,$B$11-SUM(X15:AD15)-SUM(V15:W15)))</f>
        <v>0</v>
      </c>
      <c r="AF15" s="27" t="n">
        <f aca="false">MIN(J14*(1+J$8),MAX(V15,$B$11-SUM(X15:AE15)-SUM(W15:W15)))</f>
        <v>0</v>
      </c>
      <c r="AG15" s="27" t="n">
        <f aca="false">MIN(K14*(1+K$8),MAX(W15,$B$11-SUM(X15:AF15)))</f>
        <v>0</v>
      </c>
      <c r="AI15" s="27" t="n">
        <f aca="false">ROUND(MAX(0,AI14*(1+B$8)-BE15),2)</f>
        <v>619.88</v>
      </c>
      <c r="AJ15" s="27" t="n">
        <f aca="false">ROUND(MAX(0,AJ14*(1+C$8)-BF15),2)</f>
        <v>1150</v>
      </c>
      <c r="AK15" s="27" t="n">
        <f aca="false">ROUND(MAX(0,AK14*(1+D$8)-BG15),2)</f>
        <v>2833.43</v>
      </c>
      <c r="AL15" s="27" t="n">
        <f aca="false">ROUND(MAX(0,AL14*(1+E$8)-BH15),2)</f>
        <v>4079.83</v>
      </c>
      <c r="AM15" s="27" t="n">
        <f aca="false">ROUND(MAX(0,AM14*(1+F$8)-BI15),2)</f>
        <v>9144.05</v>
      </c>
      <c r="AN15" s="27" t="n">
        <f aca="false">ROUND(MAX(0,AN14*(1+G$8)-BJ15),2)</f>
        <v>0</v>
      </c>
      <c r="AO15" s="27" t="n">
        <f aca="false">ROUND(MAX(0,AO14*(1+H$8)-BK15),2)</f>
        <v>0</v>
      </c>
      <c r="AP15" s="27" t="n">
        <f aca="false">ROUND(MAX(0,AP14*(1+I$8)-BL15),2)</f>
        <v>0</v>
      </c>
      <c r="AQ15" s="27" t="n">
        <f aca="false">ROUND(MAX(0,AQ14*(1+J$8)-BM15),2)</f>
        <v>0</v>
      </c>
      <c r="AR15" s="27" t="n">
        <f aca="false">ROUND(MAX(0,AR14*(1+K$8)-BN15),2)</f>
        <v>0</v>
      </c>
      <c r="AS15" s="27" t="n">
        <f aca="false">SUM(AI15:AR15)</f>
        <v>17827.19</v>
      </c>
      <c r="AT15" s="27" t="n">
        <f aca="false">SUMPRODUCT(AI14:AR14,$B$8:$K$8)</f>
        <v>202.18</v>
      </c>
      <c r="AU15" s="27" t="n">
        <f aca="false">MIN(AI14*(1+B$8),B$9)</f>
        <v>35</v>
      </c>
      <c r="AV15" s="27" t="n">
        <f aca="false">MIN(AJ14*(1+C$8),C$9)</f>
        <v>50</v>
      </c>
      <c r="AW15" s="27" t="n">
        <f aca="false">MIN(AK14*(1+D$8),D$9)</f>
        <v>75</v>
      </c>
      <c r="AX15" s="27" t="n">
        <f aca="false">MIN(AL14*(1+E$8),E$9)</f>
        <v>95</v>
      </c>
      <c r="AY15" s="27" t="n">
        <f aca="false">MIN(AM14*(1+F$8),F$9)</f>
        <v>310</v>
      </c>
      <c r="AZ15" s="27" t="n">
        <f aca="false">MIN(AN14*(1+G$8),G$9)</f>
        <v>0</v>
      </c>
      <c r="BA15" s="27" t="n">
        <f aca="false">MIN(AO14*(1+H$8),H$9)</f>
        <v>0</v>
      </c>
      <c r="BB15" s="27" t="n">
        <f aca="false">MIN(AP14*(1+I$8),I$9)</f>
        <v>0</v>
      </c>
      <c r="BC15" s="27" t="n">
        <f aca="false">MIN(AQ14*(1+J$8),J$9)</f>
        <v>0</v>
      </c>
      <c r="BD15" s="27" t="n">
        <f aca="false">MIN(AR14*(1+K$8),K$9)</f>
        <v>0</v>
      </c>
      <c r="BE15" s="27" t="n">
        <f aca="false">MIN(AI14*(1+B$8),MAX(AU15,$B$12-SUM(AV15:BD15)))</f>
        <v>35</v>
      </c>
      <c r="BF15" s="27" t="n">
        <f aca="false">MIN(AJ14*(1+C$8),MAX(AV15,$B$12-SUM(BE15:BE15)-SUM(AW15:BD15)))</f>
        <v>50</v>
      </c>
      <c r="BG15" s="27" t="n">
        <f aca="false">MIN(AK14*(1+D$8),MAX(AW15,$B$12-SUM(BE15:BF15)-SUM(AX15:BD15)))</f>
        <v>75</v>
      </c>
      <c r="BH15" s="27" t="n">
        <f aca="false">MIN(AL14*(1+E$8),MAX(AX15,$B$12-SUM(BE15:BG15)-SUM(AY15:BD15)))</f>
        <v>95</v>
      </c>
      <c r="BI15" s="27" t="n">
        <f aca="false">MIN(AM14*(1+F$8),MAX(AY15,$B$12-SUM(BE15:BH15)-SUM(AZ15:BD15)))</f>
        <v>310</v>
      </c>
      <c r="BJ15" s="27" t="n">
        <f aca="false">MIN(AN14*(1+G$8),MAX(AZ15,$B$12-SUM(BE15:BI15)-SUM(BA15:BD15)))</f>
        <v>0</v>
      </c>
      <c r="BK15" s="27" t="n">
        <f aca="false">MIN(AO14*(1+H$8),MAX(BA15,$B$12-SUM(BE15:BJ15)-SUM(BB15:BD15)))</f>
        <v>0</v>
      </c>
      <c r="BL15" s="27" t="n">
        <f aca="false">MIN(AP14*(1+I$8),MAX(BB15,$B$12-SUM(BE15:BK15)-SUM(BC15:BD15)))</f>
        <v>0</v>
      </c>
      <c r="BM15" s="27" t="n">
        <f aca="false">MIN(AQ14*(1+J$8),MAX(BC15,$B$12-SUM(BE15:BL15)-SUM(BD15:BD15)))</f>
        <v>0</v>
      </c>
      <c r="BN15" s="27" t="n">
        <f aca="false">MIN(AR14*(1+K$8),MAX(BD15,$B$12-SUM(BE15:BM15)))</f>
        <v>0</v>
      </c>
    </row>
    <row r="16" customFormat="false" ht="15" hidden="false" customHeight="false" outlineLevel="0" collapsed="false">
      <c r="A16" s="0" t="n">
        <v>2</v>
      </c>
      <c r="B16" s="27" t="n">
        <f aca="false">ROUND(MAX(0,B15*(1+B$8)-X16),2)</f>
        <v>295.8</v>
      </c>
      <c r="C16" s="27" t="n">
        <f aca="false">ROUND(MAX(0,C15*(1+C$8)-Y16),2)</f>
        <v>1100</v>
      </c>
      <c r="D16" s="27" t="n">
        <f aca="false">ROUND(MAX(0,D15*(1+D$8)-Z16),2)</f>
        <v>2816.52</v>
      </c>
      <c r="E16" s="27" t="n">
        <f aca="false">ROUND(MAX(0,E15*(1+E$8)-AA16),2)</f>
        <v>4059.29</v>
      </c>
      <c r="F16" s="27" t="n">
        <f aca="false">ROUND(MAX(0,F15*(1+F$8)-AB16),2)</f>
        <v>8886.63</v>
      </c>
      <c r="G16" s="27" t="n">
        <f aca="false">ROUND(MAX(0,G15*(1+G$8)-AC16),2)</f>
        <v>0</v>
      </c>
      <c r="H16" s="27" t="n">
        <f aca="false">ROUND(MAX(0,H15*(1+H$8)-AD16),2)</f>
        <v>0</v>
      </c>
      <c r="I16" s="27" t="n">
        <f aca="false">ROUND(MAX(0,I15*(1+I$8)-AE16),2)</f>
        <v>0</v>
      </c>
      <c r="J16" s="27" t="n">
        <f aca="false">ROUND(MAX(0,J15*(1+J$8)-AF16),2)</f>
        <v>0</v>
      </c>
      <c r="K16" s="27" t="n">
        <f aca="false">ROUND(MAX(0,K15*(1+K$8)-AG16),2)</f>
        <v>0</v>
      </c>
      <c r="L16" s="30" t="n">
        <f aca="false">SUM(B16:K16)</f>
        <v>17158.24</v>
      </c>
      <c r="M16" s="27" t="n">
        <f aca="false">SUMPRODUCT(B15:K15,$B$8:$K$8)</f>
        <v>196.04521</v>
      </c>
      <c r="N16" s="27" t="n">
        <f aca="false">MIN(B15*(1+B$8),B$9)</f>
        <v>35</v>
      </c>
      <c r="O16" s="27" t="n">
        <f aca="false">MIN(C15*(1+C$8),C$9)</f>
        <v>50</v>
      </c>
      <c r="P16" s="27" t="n">
        <f aca="false">MIN(D15*(1+D$8),D$9)</f>
        <v>75</v>
      </c>
      <c r="Q16" s="27" t="n">
        <f aca="false">MIN(E15*(1+E$8),E$9)</f>
        <v>95</v>
      </c>
      <c r="R16" s="27" t="n">
        <f aca="false">MIN(F15*(1+F$8),F$9)</f>
        <v>310</v>
      </c>
      <c r="S16" s="27" t="n">
        <f aca="false">MIN(G15*(1+G$8),G$9)</f>
        <v>0</v>
      </c>
      <c r="T16" s="27" t="n">
        <f aca="false">MIN(H15*(1+H$8),H$9)</f>
        <v>0</v>
      </c>
      <c r="U16" s="27" t="n">
        <f aca="false">MIN(I15*(1+I$8),I$9)</f>
        <v>0</v>
      </c>
      <c r="V16" s="27" t="n">
        <f aca="false">MIN(J15*(1+J$8),J$9)</f>
        <v>0</v>
      </c>
      <c r="W16" s="27" t="n">
        <f aca="false">MIN(K15*(1+K$8),K$9)</f>
        <v>0</v>
      </c>
      <c r="X16" s="27" t="n">
        <f aca="false">MIN(B15*(1+B$8),MAX(N16,$B$11-SUM(O16:W16)))</f>
        <v>185</v>
      </c>
      <c r="Y16" s="27" t="n">
        <f aca="false">MIN(C15*(1+C$8),MAX(O16,$B$11-SUM(X16:X16)-SUM(P16:W16)))</f>
        <v>50</v>
      </c>
      <c r="Z16" s="27" t="n">
        <f aca="false">MIN(D15*(1+D$8),MAX(P16,$B$11-SUM(X16:Y16)-SUM(Q16:W16)))</f>
        <v>75</v>
      </c>
      <c r="AA16" s="27" t="n">
        <f aca="false">MIN(E15*(1+E$8),MAX(Q16,$B$11-SUM(X16:Z16)-SUM(R16:W16)))</f>
        <v>95</v>
      </c>
      <c r="AB16" s="27" t="n">
        <f aca="false">MIN(F15*(1+F$8),MAX(R16,$B$11-SUM(X16:AA16)-SUM(S16:W16)))</f>
        <v>310</v>
      </c>
      <c r="AC16" s="27" t="n">
        <f aca="false">MIN(G15*(1+G$8),MAX(S16,$B$11-SUM(X16:AB16)-SUM(T16:W16)))</f>
        <v>0</v>
      </c>
      <c r="AD16" s="27" t="n">
        <f aca="false">MIN(H15*(1+H$8),MAX(T16,$B$11-SUM(X16:AC16)-SUM(U16:W16)))</f>
        <v>0</v>
      </c>
      <c r="AE16" s="27" t="n">
        <f aca="false">MIN(I15*(1+I$8),MAX(U16,$B$11-SUM(X16:AD16)-SUM(V16:W16)))</f>
        <v>0</v>
      </c>
      <c r="AF16" s="27" t="n">
        <f aca="false">MIN(J15*(1+J$8),MAX(V16,$B$11-SUM(X16:AE16)-SUM(W16:W16)))</f>
        <v>0</v>
      </c>
      <c r="AG16" s="27" t="n">
        <f aca="false">MIN(K15*(1+K$8),MAX(W16,$B$11-SUM(X16:AF16)))</f>
        <v>0</v>
      </c>
      <c r="AI16" s="27" t="n">
        <f aca="false">ROUND(MAX(0,AI15*(1+B$8)-BE16),2)</f>
        <v>599.29</v>
      </c>
      <c r="AJ16" s="27" t="n">
        <f aca="false">ROUND(MAX(0,AJ15*(1+C$8)-BF16),2)</f>
        <v>1100</v>
      </c>
      <c r="AK16" s="27" t="n">
        <f aca="false">ROUND(MAX(0,AK15*(1+D$8)-BG16),2)</f>
        <v>2816.52</v>
      </c>
      <c r="AL16" s="27" t="n">
        <f aca="false">ROUND(MAX(0,AL15*(1+E$8)-BH16),2)</f>
        <v>4059.29</v>
      </c>
      <c r="AM16" s="27" t="n">
        <f aca="false">ROUND(MAX(0,AM15*(1+F$8)-BI16),2)</f>
        <v>8886.63</v>
      </c>
      <c r="AN16" s="27" t="n">
        <f aca="false">ROUND(MAX(0,AN15*(1+G$8)-BJ16),2)</f>
        <v>0</v>
      </c>
      <c r="AO16" s="27" t="n">
        <f aca="false">ROUND(MAX(0,AO15*(1+H$8)-BK16),2)</f>
        <v>0</v>
      </c>
      <c r="AP16" s="27" t="n">
        <f aca="false">ROUND(MAX(0,AP15*(1+I$8)-BL16),2)</f>
        <v>0</v>
      </c>
      <c r="AQ16" s="27" t="n">
        <f aca="false">ROUND(MAX(0,AQ15*(1+J$8)-BM16),2)</f>
        <v>0</v>
      </c>
      <c r="AR16" s="27" t="n">
        <f aca="false">ROUND(MAX(0,AR15*(1+K$8)-BN16),2)</f>
        <v>0</v>
      </c>
      <c r="AS16" s="27" t="n">
        <f aca="false">SUM(AI16:AR16)</f>
        <v>17461.73</v>
      </c>
      <c r="AT16" s="27" t="n">
        <f aca="false">SUMPRODUCT(AI15:AR15,$B$8:$K$8)</f>
        <v>199.53271</v>
      </c>
      <c r="AU16" s="27" t="n">
        <f aca="false">MIN(AI15*(1+B$8),B$9)</f>
        <v>35</v>
      </c>
      <c r="AV16" s="27" t="n">
        <f aca="false">MIN(AJ15*(1+C$8),C$9)</f>
        <v>50</v>
      </c>
      <c r="AW16" s="27" t="n">
        <f aca="false">MIN(AK15*(1+D$8),D$9)</f>
        <v>75</v>
      </c>
      <c r="AX16" s="27" t="n">
        <f aca="false">MIN(AL15*(1+E$8),E$9)</f>
        <v>95</v>
      </c>
      <c r="AY16" s="27" t="n">
        <f aca="false">MIN(AM15*(1+F$8),F$9)</f>
        <v>310</v>
      </c>
      <c r="AZ16" s="27" t="n">
        <f aca="false">MIN(AN15*(1+G$8),G$9)</f>
        <v>0</v>
      </c>
      <c r="BA16" s="27" t="n">
        <f aca="false">MIN(AO15*(1+H$8),H$9)</f>
        <v>0</v>
      </c>
      <c r="BB16" s="27" t="n">
        <f aca="false">MIN(AP15*(1+I$8),I$9)</f>
        <v>0</v>
      </c>
      <c r="BC16" s="27" t="n">
        <f aca="false">MIN(AQ15*(1+J$8),J$9)</f>
        <v>0</v>
      </c>
      <c r="BD16" s="27" t="n">
        <f aca="false">MIN(AR15*(1+K$8),K$9)</f>
        <v>0</v>
      </c>
      <c r="BE16" s="27" t="n">
        <f aca="false">MIN(AI15*(1+B$8),MAX(AU16,$B$12-SUM(AV16:BD16)))</f>
        <v>35</v>
      </c>
      <c r="BF16" s="27" t="n">
        <f aca="false">MIN(AJ15*(1+C$8),MAX(AV16,$B$12-SUM(BE16:BE16)-SUM(AW16:BD16)))</f>
        <v>50</v>
      </c>
      <c r="BG16" s="27" t="n">
        <f aca="false">MIN(AK15*(1+D$8),MAX(AW16,$B$12-SUM(BE16:BF16)-SUM(AX16:BD16)))</f>
        <v>75</v>
      </c>
      <c r="BH16" s="27" t="n">
        <f aca="false">MIN(AL15*(1+E$8),MAX(AX16,$B$12-SUM(BE16:BG16)-SUM(AY16:BD16)))</f>
        <v>95</v>
      </c>
      <c r="BI16" s="27" t="n">
        <f aca="false">MIN(AM15*(1+F$8),MAX(AY16,$B$12-SUM(BE16:BH16)-SUM(AZ16:BD16)))</f>
        <v>310</v>
      </c>
      <c r="BJ16" s="27" t="n">
        <f aca="false">MIN(AN15*(1+G$8),MAX(AZ16,$B$12-SUM(BE16:BI16)-SUM(BA16:BD16)))</f>
        <v>0</v>
      </c>
      <c r="BK16" s="27" t="n">
        <f aca="false">MIN(AO15*(1+H$8),MAX(BA16,$B$12-SUM(BE16:BJ16)-SUM(BB16:BD16)))</f>
        <v>0</v>
      </c>
      <c r="BL16" s="27" t="n">
        <f aca="false">MIN(AP15*(1+I$8),MAX(BB16,$B$12-SUM(BE16:BK16)-SUM(BC16:BD16)))</f>
        <v>0</v>
      </c>
      <c r="BM16" s="27" t="n">
        <f aca="false">MIN(AQ15*(1+J$8),MAX(BC16,$B$12-SUM(BE16:BL16)-SUM(BD16:BD16)))</f>
        <v>0</v>
      </c>
      <c r="BN16" s="27" t="n">
        <f aca="false">MIN(AR15*(1+K$8),MAX(BD16,$B$12-SUM(BE16:BM16)))</f>
        <v>0</v>
      </c>
    </row>
    <row r="17" customFormat="false" ht="15" hidden="false" customHeight="false" outlineLevel="0" collapsed="false">
      <c r="A17" s="0" t="n">
        <v>3</v>
      </c>
      <c r="B17" s="27" t="n">
        <f aca="false">ROUND(MAX(0,B16*(1+B$8)-X17),2)</f>
        <v>117.68</v>
      </c>
      <c r="C17" s="27" t="n">
        <f aca="false">ROUND(MAX(0,C16*(1+C$8)-Y17),2)</f>
        <v>1050</v>
      </c>
      <c r="D17" s="27" t="n">
        <f aca="false">ROUND(MAX(0,D16*(1+D$8)-Z17),2)</f>
        <v>2799.26</v>
      </c>
      <c r="E17" s="27" t="n">
        <f aca="false">ROUND(MAX(0,E16*(1+E$8)-AA17),2)</f>
        <v>4038.37</v>
      </c>
      <c r="F17" s="27" t="n">
        <f aca="false">ROUND(MAX(0,F16*(1+F$8)-AB17),2)</f>
        <v>8627.73</v>
      </c>
      <c r="G17" s="27" t="n">
        <f aca="false">ROUND(MAX(0,G16*(1+G$8)-AC17),2)</f>
        <v>0</v>
      </c>
      <c r="H17" s="27" t="n">
        <f aca="false">ROUND(MAX(0,H16*(1+H$8)-AD17),2)</f>
        <v>0</v>
      </c>
      <c r="I17" s="27" t="n">
        <f aca="false">ROUND(MAX(0,I16*(1+I$8)-AE17),2)</f>
        <v>0</v>
      </c>
      <c r="J17" s="27" t="n">
        <f aca="false">ROUND(MAX(0,J16*(1+J$8)-AF17),2)</f>
        <v>0</v>
      </c>
      <c r="K17" s="27" t="n">
        <f aca="false">ROUND(MAX(0,K16*(1+K$8)-AG17),2)</f>
        <v>0</v>
      </c>
      <c r="L17" s="30" t="n">
        <f aca="false">SUM(B17:K17)</f>
        <v>16633.04</v>
      </c>
      <c r="M17" s="27" t="n">
        <f aca="false">SUMPRODUCT(B16:K16,$B$8:$K$8)</f>
        <v>189.796175</v>
      </c>
      <c r="N17" s="27" t="n">
        <f aca="false">MIN(B16*(1+B$8),B$9)</f>
        <v>35</v>
      </c>
      <c r="O17" s="27" t="n">
        <f aca="false">MIN(C16*(1+C$8),C$9)</f>
        <v>50</v>
      </c>
      <c r="P17" s="27" t="n">
        <f aca="false">MIN(D16*(1+D$8),D$9)</f>
        <v>75</v>
      </c>
      <c r="Q17" s="27" t="n">
        <f aca="false">MIN(E16*(1+E$8),E$9)</f>
        <v>95</v>
      </c>
      <c r="R17" s="27" t="n">
        <f aca="false">MIN(F16*(1+F$8),F$9)</f>
        <v>310</v>
      </c>
      <c r="S17" s="27" t="n">
        <f aca="false">MIN(G16*(1+G$8),G$9)</f>
        <v>0</v>
      </c>
      <c r="T17" s="27" t="n">
        <f aca="false">MIN(H16*(1+H$8),H$9)</f>
        <v>0</v>
      </c>
      <c r="U17" s="27" t="n">
        <f aca="false">MIN(I16*(1+I$8),I$9)</f>
        <v>0</v>
      </c>
      <c r="V17" s="27" t="n">
        <f aca="false">MIN(J16*(1+J$8),J$9)</f>
        <v>0</v>
      </c>
      <c r="W17" s="27" t="n">
        <f aca="false">MIN(K16*(1+K$8),K$9)</f>
        <v>0</v>
      </c>
      <c r="X17" s="27" t="n">
        <f aca="false">MIN(B16*(1+B$8),MAX(N17,$B$11-SUM(O17:W17)))</f>
        <v>185</v>
      </c>
      <c r="Y17" s="27" t="n">
        <f aca="false">MIN(C16*(1+C$8),MAX(O17,$B$11-SUM(X17:X17)-SUM(P17:W17)))</f>
        <v>50</v>
      </c>
      <c r="Z17" s="27" t="n">
        <f aca="false">MIN(D16*(1+D$8),MAX(P17,$B$11-SUM(X17:Y17)-SUM(Q17:W17)))</f>
        <v>75</v>
      </c>
      <c r="AA17" s="27" t="n">
        <f aca="false">MIN(E16*(1+E$8),MAX(Q17,$B$11-SUM(X17:Z17)-SUM(R17:W17)))</f>
        <v>95</v>
      </c>
      <c r="AB17" s="27" t="n">
        <f aca="false">MIN(F16*(1+F$8),MAX(R17,$B$11-SUM(X17:AA17)-SUM(S17:W17)))</f>
        <v>310</v>
      </c>
      <c r="AC17" s="27" t="n">
        <f aca="false">MIN(G16*(1+G$8),MAX(S17,$B$11-SUM(X17:AB17)-SUM(T17:W17)))</f>
        <v>0</v>
      </c>
      <c r="AD17" s="27" t="n">
        <f aca="false">MIN(H16*(1+H$8),MAX(T17,$B$11-SUM(X17:AC17)-SUM(U17:W17)))</f>
        <v>0</v>
      </c>
      <c r="AE17" s="27" t="n">
        <f aca="false">MIN(I16*(1+I$8),MAX(U17,$B$11-SUM(X17:AD17)-SUM(V17:W17)))</f>
        <v>0</v>
      </c>
      <c r="AF17" s="27" t="n">
        <f aca="false">MIN(J16*(1+J$8),MAX(V17,$B$11-SUM(X17:AE17)-SUM(W17:W17)))</f>
        <v>0</v>
      </c>
      <c r="AG17" s="27" t="n">
        <f aca="false">MIN(K16*(1+K$8),MAX(W17,$B$11-SUM(X17:AF17)))</f>
        <v>0</v>
      </c>
      <c r="AI17" s="27" t="n">
        <f aca="false">ROUND(MAX(0,AI16*(1+B$8)-BE17),2)</f>
        <v>578.22</v>
      </c>
      <c r="AJ17" s="27" t="n">
        <f aca="false">ROUND(MAX(0,AJ16*(1+C$8)-BF17),2)</f>
        <v>1050</v>
      </c>
      <c r="AK17" s="27" t="n">
        <f aca="false">ROUND(MAX(0,AK16*(1+D$8)-BG17),2)</f>
        <v>2799.26</v>
      </c>
      <c r="AL17" s="27" t="n">
        <f aca="false">ROUND(MAX(0,AL16*(1+E$8)-BH17),2)</f>
        <v>4038.37</v>
      </c>
      <c r="AM17" s="27" t="n">
        <f aca="false">ROUND(MAX(0,AM16*(1+F$8)-BI17),2)</f>
        <v>8627.73</v>
      </c>
      <c r="AN17" s="27" t="n">
        <f aca="false">ROUND(MAX(0,AN16*(1+G$8)-BJ17),2)</f>
        <v>0</v>
      </c>
      <c r="AO17" s="27" t="n">
        <f aca="false">ROUND(MAX(0,AO16*(1+H$8)-BK17),2)</f>
        <v>0</v>
      </c>
      <c r="AP17" s="27" t="n">
        <f aca="false">ROUND(MAX(0,AP16*(1+I$8)-BL17),2)</f>
        <v>0</v>
      </c>
      <c r="AQ17" s="27" t="n">
        <f aca="false">ROUND(MAX(0,AQ16*(1+J$8)-BM17),2)</f>
        <v>0</v>
      </c>
      <c r="AR17" s="27" t="n">
        <f aca="false">ROUND(MAX(0,AR16*(1+K$8)-BN17),2)</f>
        <v>0</v>
      </c>
      <c r="AS17" s="27" t="n">
        <f aca="false">SUM(AI17:AR17)</f>
        <v>17093.58</v>
      </c>
      <c r="AT17" s="27" t="n">
        <f aca="false">SUMPRODUCT(AI16:AR16,$B$8:$K$8)</f>
        <v>196.8523175</v>
      </c>
      <c r="AU17" s="27" t="n">
        <f aca="false">MIN(AI16*(1+B$8),B$9)</f>
        <v>35</v>
      </c>
      <c r="AV17" s="27" t="n">
        <f aca="false">MIN(AJ16*(1+C$8),C$9)</f>
        <v>50</v>
      </c>
      <c r="AW17" s="27" t="n">
        <f aca="false">MIN(AK16*(1+D$8),D$9)</f>
        <v>75</v>
      </c>
      <c r="AX17" s="27" t="n">
        <f aca="false">MIN(AL16*(1+E$8),E$9)</f>
        <v>95</v>
      </c>
      <c r="AY17" s="27" t="n">
        <f aca="false">MIN(AM16*(1+F$8),F$9)</f>
        <v>310</v>
      </c>
      <c r="AZ17" s="27" t="n">
        <f aca="false">MIN(AN16*(1+G$8),G$9)</f>
        <v>0</v>
      </c>
      <c r="BA17" s="27" t="n">
        <f aca="false">MIN(AO16*(1+H$8),H$9)</f>
        <v>0</v>
      </c>
      <c r="BB17" s="27" t="n">
        <f aca="false">MIN(AP16*(1+I$8),I$9)</f>
        <v>0</v>
      </c>
      <c r="BC17" s="27" t="n">
        <f aca="false">MIN(AQ16*(1+J$8),J$9)</f>
        <v>0</v>
      </c>
      <c r="BD17" s="27" t="n">
        <f aca="false">MIN(AR16*(1+K$8),K$9)</f>
        <v>0</v>
      </c>
      <c r="BE17" s="27" t="n">
        <f aca="false">MIN(AI16*(1+B$8),MAX(AU17,$B$12-SUM(AV17:BD17)))</f>
        <v>35</v>
      </c>
      <c r="BF17" s="27" t="n">
        <f aca="false">MIN(AJ16*(1+C$8),MAX(AV17,$B$12-SUM(BE17:BE17)-SUM(AW17:BD17)))</f>
        <v>50</v>
      </c>
      <c r="BG17" s="27" t="n">
        <f aca="false">MIN(AK16*(1+D$8),MAX(AW17,$B$12-SUM(BE17:BF17)-SUM(AX17:BD17)))</f>
        <v>75</v>
      </c>
      <c r="BH17" s="27" t="n">
        <f aca="false">MIN(AL16*(1+E$8),MAX(AX17,$B$12-SUM(BE17:BG17)-SUM(AY17:BD17)))</f>
        <v>95</v>
      </c>
      <c r="BI17" s="27" t="n">
        <f aca="false">MIN(AM16*(1+F$8),MAX(AY17,$B$12-SUM(BE17:BH17)-SUM(AZ17:BD17)))</f>
        <v>310</v>
      </c>
      <c r="BJ17" s="27" t="n">
        <f aca="false">MIN(AN16*(1+G$8),MAX(AZ17,$B$12-SUM(BE17:BI17)-SUM(BA17:BD17)))</f>
        <v>0</v>
      </c>
      <c r="BK17" s="27" t="n">
        <f aca="false">MIN(AO16*(1+H$8),MAX(BA17,$B$12-SUM(BE17:BJ17)-SUM(BB17:BD17)))</f>
        <v>0</v>
      </c>
      <c r="BL17" s="27" t="n">
        <f aca="false">MIN(AP16*(1+I$8),MAX(BB17,$B$12-SUM(BE17:BK17)-SUM(BC17:BD17)))</f>
        <v>0</v>
      </c>
      <c r="BM17" s="27" t="n">
        <f aca="false">MIN(AQ16*(1+J$8),MAX(BC17,$B$12-SUM(BE17:BL17)-SUM(BD17:BD17)))</f>
        <v>0</v>
      </c>
      <c r="BN17" s="27" t="n">
        <f aca="false">MIN(AR16*(1+K$8),MAX(BD17,$B$12-SUM(BE17:BM17)))</f>
        <v>0</v>
      </c>
    </row>
    <row r="18" customFormat="false" ht="15" hidden="false" customHeight="false" outlineLevel="0" collapsed="false">
      <c r="A18" s="0" t="n">
        <v>4</v>
      </c>
      <c r="B18" s="27" t="n">
        <f aca="false">ROUND(MAX(0,B17*(1+B$8)-X18),2)</f>
        <v>0</v>
      </c>
      <c r="C18" s="27" t="n">
        <f aca="false">ROUND(MAX(0,C17*(1+C$8)-Y18),2)</f>
        <v>935.42</v>
      </c>
      <c r="D18" s="27" t="n">
        <f aca="false">ROUND(MAX(0,D17*(1+D$8)-Z18),2)</f>
        <v>2781.64</v>
      </c>
      <c r="E18" s="27" t="n">
        <f aca="false">ROUND(MAX(0,E17*(1+E$8)-AA18),2)</f>
        <v>4017.07</v>
      </c>
      <c r="F18" s="27" t="n">
        <f aca="false">ROUND(MAX(0,F17*(1+F$8)-AB18),2)</f>
        <v>8367.34</v>
      </c>
      <c r="G18" s="27" t="n">
        <f aca="false">ROUND(MAX(0,G17*(1+G$8)-AC18),2)</f>
        <v>0</v>
      </c>
      <c r="H18" s="27" t="n">
        <f aca="false">ROUND(MAX(0,H17*(1+H$8)-AD18),2)</f>
        <v>0</v>
      </c>
      <c r="I18" s="27" t="n">
        <f aca="false">ROUND(MAX(0,I17*(1+I$8)-AE18),2)</f>
        <v>0</v>
      </c>
      <c r="J18" s="27" t="n">
        <f aca="false">ROUND(MAX(0,J17*(1+J$8)-AF18),2)</f>
        <v>0</v>
      </c>
      <c r="K18" s="27" t="n">
        <f aca="false">ROUND(MAX(0,K17*(1+K$8)-AG18),2)</f>
        <v>0</v>
      </c>
      <c r="L18" s="30" t="n">
        <f aca="false">SUM(B18:K18)</f>
        <v>16101.47</v>
      </c>
      <c r="M18" s="27" t="n">
        <f aca="false">SUMPRODUCT(B17:K17,$B$8:$K$8)</f>
        <v>183.43059</v>
      </c>
      <c r="N18" s="27" t="n">
        <f aca="false">MIN(B17*(1+B$8),B$9)</f>
        <v>35</v>
      </c>
      <c r="O18" s="27" t="n">
        <f aca="false">MIN(C17*(1+C$8),C$9)</f>
        <v>50</v>
      </c>
      <c r="P18" s="27" t="n">
        <f aca="false">MIN(D17*(1+D$8),D$9)</f>
        <v>75</v>
      </c>
      <c r="Q18" s="27" t="n">
        <f aca="false">MIN(E17*(1+E$8),E$9)</f>
        <v>95</v>
      </c>
      <c r="R18" s="27" t="n">
        <f aca="false">MIN(F17*(1+F$8),F$9)</f>
        <v>310</v>
      </c>
      <c r="S18" s="27" t="n">
        <f aca="false">MIN(G17*(1+G$8),G$9)</f>
        <v>0</v>
      </c>
      <c r="T18" s="27" t="n">
        <f aca="false">MIN(H17*(1+H$8),H$9)</f>
        <v>0</v>
      </c>
      <c r="U18" s="27" t="n">
        <f aca="false">MIN(I17*(1+I$8),I$9)</f>
        <v>0</v>
      </c>
      <c r="V18" s="27" t="n">
        <f aca="false">MIN(J17*(1+J$8),J$9)</f>
        <v>0</v>
      </c>
      <c r="W18" s="27" t="n">
        <f aca="false">MIN(K17*(1+K$8),K$9)</f>
        <v>0</v>
      </c>
      <c r="X18" s="27" t="n">
        <f aca="false">MIN(B17*(1+B$8),MAX(N18,$B$11-SUM(O18:W18)))</f>
        <v>120.41606</v>
      </c>
      <c r="Y18" s="27" t="n">
        <f aca="false">MIN(C17*(1+C$8),MAX(O18,$B$11-SUM(X18:X18)-SUM(P18:W18)))</f>
        <v>114.58394</v>
      </c>
      <c r="Z18" s="27" t="n">
        <f aca="false">MIN(D17*(1+D$8),MAX(P18,$B$11-SUM(X18:Y18)-SUM(Q18:W18)))</f>
        <v>75</v>
      </c>
      <c r="AA18" s="27" t="n">
        <f aca="false">MIN(E17*(1+E$8),MAX(Q18,$B$11-SUM(X18:Z18)-SUM(R18:W18)))</f>
        <v>95</v>
      </c>
      <c r="AB18" s="27" t="n">
        <f aca="false">MIN(F17*(1+F$8),MAX(R18,$B$11-SUM(X18:AA18)-SUM(S18:W18)))</f>
        <v>310</v>
      </c>
      <c r="AC18" s="27" t="n">
        <f aca="false">MIN(G17*(1+G$8),MAX(S18,$B$11-SUM(X18:AB18)-SUM(T18:W18)))</f>
        <v>0</v>
      </c>
      <c r="AD18" s="27" t="n">
        <f aca="false">MIN(H17*(1+H$8),MAX(T18,$B$11-SUM(X18:AC18)-SUM(U18:W18)))</f>
        <v>0</v>
      </c>
      <c r="AE18" s="27" t="n">
        <f aca="false">MIN(I17*(1+I$8),MAX(U18,$B$11-SUM(X18:AD18)-SUM(V18:W18)))</f>
        <v>0</v>
      </c>
      <c r="AF18" s="27" t="n">
        <f aca="false">MIN(J17*(1+J$8),MAX(V18,$B$11-SUM(X18:AE18)-SUM(W18:W18)))</f>
        <v>0</v>
      </c>
      <c r="AG18" s="27" t="n">
        <f aca="false">MIN(K17*(1+K$8),MAX(W18,$B$11-SUM(X18:AF18)))</f>
        <v>0</v>
      </c>
      <c r="AI18" s="27" t="n">
        <f aca="false">ROUND(MAX(0,AI17*(1+B$8)-BE18),2)</f>
        <v>556.66</v>
      </c>
      <c r="AJ18" s="27" t="n">
        <f aca="false">ROUND(MAX(0,AJ17*(1+C$8)-BF18),2)</f>
        <v>1000</v>
      </c>
      <c r="AK18" s="27" t="n">
        <f aca="false">ROUND(MAX(0,AK17*(1+D$8)-BG18),2)</f>
        <v>2781.64</v>
      </c>
      <c r="AL18" s="27" t="n">
        <f aca="false">ROUND(MAX(0,AL17*(1+E$8)-BH18),2)</f>
        <v>4017.07</v>
      </c>
      <c r="AM18" s="27" t="n">
        <f aca="false">ROUND(MAX(0,AM17*(1+F$8)-BI18),2)</f>
        <v>8367.34</v>
      </c>
      <c r="AN18" s="27" t="n">
        <f aca="false">ROUND(MAX(0,AN17*(1+G$8)-BJ18),2)</f>
        <v>0</v>
      </c>
      <c r="AO18" s="27" t="n">
        <f aca="false">ROUND(MAX(0,AO17*(1+H$8)-BK18),2)</f>
        <v>0</v>
      </c>
      <c r="AP18" s="27" t="n">
        <f aca="false">ROUND(MAX(0,AP17*(1+I$8)-BL18),2)</f>
        <v>0</v>
      </c>
      <c r="AQ18" s="27" t="n">
        <f aca="false">ROUND(MAX(0,AQ17*(1+J$8)-BM18),2)</f>
        <v>0</v>
      </c>
      <c r="AR18" s="27" t="n">
        <f aca="false">ROUND(MAX(0,AR17*(1+K$8)-BN18),2)</f>
        <v>0</v>
      </c>
      <c r="AS18" s="27" t="n">
        <f aca="false">SUM(AI18:AR18)</f>
        <v>16722.71</v>
      </c>
      <c r="AT18" s="27" t="n">
        <f aca="false">SUMPRODUCT(AI17:AR17,$B$8:$K$8)</f>
        <v>194.138145</v>
      </c>
      <c r="AU18" s="27" t="n">
        <f aca="false">MIN(AI17*(1+B$8),B$9)</f>
        <v>35</v>
      </c>
      <c r="AV18" s="27" t="n">
        <f aca="false">MIN(AJ17*(1+C$8),C$9)</f>
        <v>50</v>
      </c>
      <c r="AW18" s="27" t="n">
        <f aca="false">MIN(AK17*(1+D$8),D$9)</f>
        <v>75</v>
      </c>
      <c r="AX18" s="27" t="n">
        <f aca="false">MIN(AL17*(1+E$8),E$9)</f>
        <v>95</v>
      </c>
      <c r="AY18" s="27" t="n">
        <f aca="false">MIN(AM17*(1+F$8),F$9)</f>
        <v>310</v>
      </c>
      <c r="AZ18" s="27" t="n">
        <f aca="false">MIN(AN17*(1+G$8),G$9)</f>
        <v>0</v>
      </c>
      <c r="BA18" s="27" t="n">
        <f aca="false">MIN(AO17*(1+H$8),H$9)</f>
        <v>0</v>
      </c>
      <c r="BB18" s="27" t="n">
        <f aca="false">MIN(AP17*(1+I$8),I$9)</f>
        <v>0</v>
      </c>
      <c r="BC18" s="27" t="n">
        <f aca="false">MIN(AQ17*(1+J$8),J$9)</f>
        <v>0</v>
      </c>
      <c r="BD18" s="27" t="n">
        <f aca="false">MIN(AR17*(1+K$8),K$9)</f>
        <v>0</v>
      </c>
      <c r="BE18" s="27" t="n">
        <f aca="false">MIN(AI17*(1+B$8),MAX(AU18,$B$12-SUM(AV18:BD18)))</f>
        <v>35</v>
      </c>
      <c r="BF18" s="27" t="n">
        <f aca="false">MIN(AJ17*(1+C$8),MAX(AV18,$B$12-SUM(BE18:BE18)-SUM(AW18:BD18)))</f>
        <v>50</v>
      </c>
      <c r="BG18" s="27" t="n">
        <f aca="false">MIN(AK17*(1+D$8),MAX(AW18,$B$12-SUM(BE18:BF18)-SUM(AX18:BD18)))</f>
        <v>75</v>
      </c>
      <c r="BH18" s="27" t="n">
        <f aca="false">MIN(AL17*(1+E$8),MAX(AX18,$B$12-SUM(BE18:BG18)-SUM(AY18:BD18)))</f>
        <v>95</v>
      </c>
      <c r="BI18" s="27" t="n">
        <f aca="false">MIN(AM17*(1+F$8),MAX(AY18,$B$12-SUM(BE18:BH18)-SUM(AZ18:BD18)))</f>
        <v>310</v>
      </c>
      <c r="BJ18" s="27" t="n">
        <f aca="false">MIN(AN17*(1+G$8),MAX(AZ18,$B$12-SUM(BE18:BI18)-SUM(BA18:BD18)))</f>
        <v>0</v>
      </c>
      <c r="BK18" s="27" t="n">
        <f aca="false">MIN(AO17*(1+H$8),MAX(BA18,$B$12-SUM(BE18:BJ18)-SUM(BB18:BD18)))</f>
        <v>0</v>
      </c>
      <c r="BL18" s="27" t="n">
        <f aca="false">MIN(AP17*(1+I$8),MAX(BB18,$B$12-SUM(BE18:BK18)-SUM(BC18:BD18)))</f>
        <v>0</v>
      </c>
      <c r="BM18" s="27" t="n">
        <f aca="false">MIN(AQ17*(1+J$8),MAX(BC18,$B$12-SUM(BE18:BL18)-SUM(BD18:BD18)))</f>
        <v>0</v>
      </c>
      <c r="BN18" s="27" t="n">
        <f aca="false">MIN(AR17*(1+K$8),MAX(BD18,$B$12-SUM(BE18:BM18)))</f>
        <v>0</v>
      </c>
    </row>
    <row r="19" customFormat="false" ht="15" hidden="false" customHeight="false" outlineLevel="0" collapsed="false">
      <c r="A19" s="0" t="n">
        <v>5</v>
      </c>
      <c r="B19" s="27" t="n">
        <f aca="false">ROUND(MAX(0,B18*(1+B$8)-X19),2)</f>
        <v>0</v>
      </c>
      <c r="C19" s="27" t="n">
        <f aca="false">ROUND(MAX(0,C18*(1+C$8)-Y19),2)</f>
        <v>700.42</v>
      </c>
      <c r="D19" s="27" t="n">
        <f aca="false">ROUND(MAX(0,D18*(1+D$8)-Z19),2)</f>
        <v>2763.66</v>
      </c>
      <c r="E19" s="27" t="n">
        <f aca="false">ROUND(MAX(0,E18*(1+E$8)-AA19),2)</f>
        <v>3995.38</v>
      </c>
      <c r="F19" s="27" t="n">
        <f aca="false">ROUND(MAX(0,F18*(1+F$8)-AB19),2)</f>
        <v>8105.45</v>
      </c>
      <c r="G19" s="27" t="n">
        <f aca="false">ROUND(MAX(0,G18*(1+G$8)-AC19),2)</f>
        <v>0</v>
      </c>
      <c r="H19" s="27" t="n">
        <f aca="false">ROUND(MAX(0,H18*(1+H$8)-AD19),2)</f>
        <v>0</v>
      </c>
      <c r="I19" s="27" t="n">
        <f aca="false">ROUND(MAX(0,I18*(1+I$8)-AE19),2)</f>
        <v>0</v>
      </c>
      <c r="J19" s="27" t="n">
        <f aca="false">ROUND(MAX(0,J18*(1+J$8)-AF19),2)</f>
        <v>0</v>
      </c>
      <c r="K19" s="27" t="n">
        <f aca="false">ROUND(MAX(0,K18*(1+K$8)-AG19),2)</f>
        <v>0</v>
      </c>
      <c r="L19" s="30" t="n">
        <f aca="false">SUM(B19:K19)</f>
        <v>15564.91</v>
      </c>
      <c r="M19" s="27" t="n">
        <f aca="false">SUMPRODUCT(B18:K18,$B$8:$K$8)</f>
        <v>178.4473525</v>
      </c>
      <c r="N19" s="27" t="n">
        <f aca="false">MIN(B18*(1+B$8),B$9)</f>
        <v>0</v>
      </c>
      <c r="O19" s="27" t="n">
        <f aca="false">MIN(C18*(1+C$8),C$9)</f>
        <v>50</v>
      </c>
      <c r="P19" s="27" t="n">
        <f aca="false">MIN(D18*(1+D$8),D$9)</f>
        <v>75</v>
      </c>
      <c r="Q19" s="27" t="n">
        <f aca="false">MIN(E18*(1+E$8),E$9)</f>
        <v>95</v>
      </c>
      <c r="R19" s="27" t="n">
        <f aca="false">MIN(F18*(1+F$8),F$9)</f>
        <v>310</v>
      </c>
      <c r="S19" s="27" t="n">
        <f aca="false">MIN(G18*(1+G$8),G$9)</f>
        <v>0</v>
      </c>
      <c r="T19" s="27" t="n">
        <f aca="false">MIN(H18*(1+H$8),H$9)</f>
        <v>0</v>
      </c>
      <c r="U19" s="27" t="n">
        <f aca="false">MIN(I18*(1+I$8),I$9)</f>
        <v>0</v>
      </c>
      <c r="V19" s="27" t="n">
        <f aca="false">MIN(J18*(1+J$8),J$9)</f>
        <v>0</v>
      </c>
      <c r="W19" s="27" t="n">
        <f aca="false">MIN(K18*(1+K$8),K$9)</f>
        <v>0</v>
      </c>
      <c r="X19" s="27" t="n">
        <f aca="false">MIN(B18*(1+B$8),MAX(N19,$B$11-SUM(O19:W19)))</f>
        <v>0</v>
      </c>
      <c r="Y19" s="27" t="n">
        <f aca="false">MIN(C18*(1+C$8),MAX(O19,$B$11-SUM(X19:X19)-SUM(P19:W19)))</f>
        <v>235</v>
      </c>
      <c r="Z19" s="27" t="n">
        <f aca="false">MIN(D18*(1+D$8),MAX(P19,$B$11-SUM(X19:Y19)-SUM(Q19:W19)))</f>
        <v>75</v>
      </c>
      <c r="AA19" s="27" t="n">
        <f aca="false">MIN(E18*(1+E$8),MAX(Q19,$B$11-SUM(X19:Z19)-SUM(R19:W19)))</f>
        <v>95</v>
      </c>
      <c r="AB19" s="27" t="n">
        <f aca="false">MIN(F18*(1+F$8),MAX(R19,$B$11-SUM(X19:AA19)-SUM(S19:W19)))</f>
        <v>310</v>
      </c>
      <c r="AC19" s="27" t="n">
        <f aca="false">MIN(G18*(1+G$8),MAX(S19,$B$11-SUM(X19:AB19)-SUM(T19:W19)))</f>
        <v>0</v>
      </c>
      <c r="AD19" s="27" t="n">
        <f aca="false">MIN(H18*(1+H$8),MAX(T19,$B$11-SUM(X19:AC19)-SUM(U19:W19)))</f>
        <v>0</v>
      </c>
      <c r="AE19" s="27" t="n">
        <f aca="false">MIN(I18*(1+I$8),MAX(U19,$B$11-SUM(X19:AD19)-SUM(V19:W19)))</f>
        <v>0</v>
      </c>
      <c r="AF19" s="27" t="n">
        <f aca="false">MIN(J18*(1+J$8),MAX(V19,$B$11-SUM(X19:AE19)-SUM(W19:W19)))</f>
        <v>0</v>
      </c>
      <c r="AG19" s="27" t="n">
        <f aca="false">MIN(K18*(1+K$8),MAX(W19,$B$11-SUM(X19:AF19)))</f>
        <v>0</v>
      </c>
      <c r="AI19" s="27" t="n">
        <f aca="false">ROUND(MAX(0,AI18*(1+B$8)-BE19),2)</f>
        <v>534.6</v>
      </c>
      <c r="AJ19" s="27" t="n">
        <f aca="false">ROUND(MAX(0,AJ18*(1+C$8)-BF19),2)</f>
        <v>950</v>
      </c>
      <c r="AK19" s="27" t="n">
        <f aca="false">ROUND(MAX(0,AK18*(1+D$8)-BG19),2)</f>
        <v>2763.66</v>
      </c>
      <c r="AL19" s="27" t="n">
        <f aca="false">ROUND(MAX(0,AL18*(1+E$8)-BH19),2)</f>
        <v>3995.38</v>
      </c>
      <c r="AM19" s="27" t="n">
        <f aca="false">ROUND(MAX(0,AM18*(1+F$8)-BI19),2)</f>
        <v>8105.45</v>
      </c>
      <c r="AN19" s="27" t="n">
        <f aca="false">ROUND(MAX(0,AN18*(1+G$8)-BJ19),2)</f>
        <v>0</v>
      </c>
      <c r="AO19" s="27" t="n">
        <f aca="false">ROUND(MAX(0,AO18*(1+H$8)-BK19),2)</f>
        <v>0</v>
      </c>
      <c r="AP19" s="27" t="n">
        <f aca="false">ROUND(MAX(0,AP18*(1+I$8)-BL19),2)</f>
        <v>0</v>
      </c>
      <c r="AQ19" s="27" t="n">
        <f aca="false">ROUND(MAX(0,AQ18*(1+J$8)-BM19),2)</f>
        <v>0</v>
      </c>
      <c r="AR19" s="27" t="n">
        <f aca="false">ROUND(MAX(0,AR18*(1+K$8)-BN19),2)</f>
        <v>0</v>
      </c>
      <c r="AS19" s="27" t="n">
        <f aca="false">SUM(AI19:AR19)</f>
        <v>16349.09</v>
      </c>
      <c r="AT19" s="27" t="n">
        <f aca="false">SUMPRODUCT(AI18:AR18,$B$8:$K$8)</f>
        <v>191.3896975</v>
      </c>
      <c r="AU19" s="27" t="n">
        <f aca="false">MIN(AI18*(1+B$8),B$9)</f>
        <v>35</v>
      </c>
      <c r="AV19" s="27" t="n">
        <f aca="false">MIN(AJ18*(1+C$8),C$9)</f>
        <v>50</v>
      </c>
      <c r="AW19" s="27" t="n">
        <f aca="false">MIN(AK18*(1+D$8),D$9)</f>
        <v>75</v>
      </c>
      <c r="AX19" s="27" t="n">
        <f aca="false">MIN(AL18*(1+E$8),E$9)</f>
        <v>95</v>
      </c>
      <c r="AY19" s="27" t="n">
        <f aca="false">MIN(AM18*(1+F$8),F$9)</f>
        <v>310</v>
      </c>
      <c r="AZ19" s="27" t="n">
        <f aca="false">MIN(AN18*(1+G$8),G$9)</f>
        <v>0</v>
      </c>
      <c r="BA19" s="27" t="n">
        <f aca="false">MIN(AO18*(1+H$8),H$9)</f>
        <v>0</v>
      </c>
      <c r="BB19" s="27" t="n">
        <f aca="false">MIN(AP18*(1+I$8),I$9)</f>
        <v>0</v>
      </c>
      <c r="BC19" s="27" t="n">
        <f aca="false">MIN(AQ18*(1+J$8),J$9)</f>
        <v>0</v>
      </c>
      <c r="BD19" s="27" t="n">
        <f aca="false">MIN(AR18*(1+K$8),K$9)</f>
        <v>0</v>
      </c>
      <c r="BE19" s="27" t="n">
        <f aca="false">MIN(AI18*(1+B$8),MAX(AU19,$B$12-SUM(AV19:BD19)))</f>
        <v>35</v>
      </c>
      <c r="BF19" s="27" t="n">
        <f aca="false">MIN(AJ18*(1+C$8),MAX(AV19,$B$12-SUM(BE19:BE19)-SUM(AW19:BD19)))</f>
        <v>50</v>
      </c>
      <c r="BG19" s="27" t="n">
        <f aca="false">MIN(AK18*(1+D$8),MAX(AW19,$B$12-SUM(BE19:BF19)-SUM(AX19:BD19)))</f>
        <v>75</v>
      </c>
      <c r="BH19" s="27" t="n">
        <f aca="false">MIN(AL18*(1+E$8),MAX(AX19,$B$12-SUM(BE19:BG19)-SUM(AY19:BD19)))</f>
        <v>95</v>
      </c>
      <c r="BI19" s="27" t="n">
        <f aca="false">MIN(AM18*(1+F$8),MAX(AY19,$B$12-SUM(BE19:BH19)-SUM(AZ19:BD19)))</f>
        <v>310</v>
      </c>
      <c r="BJ19" s="27" t="n">
        <f aca="false">MIN(AN18*(1+G$8),MAX(AZ19,$B$12-SUM(BE19:BI19)-SUM(BA19:BD19)))</f>
        <v>0</v>
      </c>
      <c r="BK19" s="27" t="n">
        <f aca="false">MIN(AO18*(1+H$8),MAX(BA19,$B$12-SUM(BE19:BJ19)-SUM(BB19:BD19)))</f>
        <v>0</v>
      </c>
      <c r="BL19" s="27" t="n">
        <f aca="false">MIN(AP18*(1+I$8),MAX(BB19,$B$12-SUM(BE19:BK19)-SUM(BC19:BD19)))</f>
        <v>0</v>
      </c>
      <c r="BM19" s="27" t="n">
        <f aca="false">MIN(AQ18*(1+J$8),MAX(BC19,$B$12-SUM(BE19:BL19)-SUM(BD19:BD19)))</f>
        <v>0</v>
      </c>
      <c r="BN19" s="27" t="n">
        <f aca="false">MIN(AR18*(1+K$8),MAX(BD19,$B$12-SUM(BE19:BM19)))</f>
        <v>0</v>
      </c>
    </row>
    <row r="20" customFormat="false" ht="15" hidden="false" customHeight="false" outlineLevel="0" collapsed="false">
      <c r="A20" s="0" t="n">
        <v>6</v>
      </c>
      <c r="B20" s="27" t="n">
        <f aca="false">ROUND(MAX(0,B19*(1+B$8)-X20),2)</f>
        <v>0</v>
      </c>
      <c r="C20" s="27" t="n">
        <f aca="false">ROUND(MAX(0,C19*(1+C$8)-Y20),2)</f>
        <v>465.42</v>
      </c>
      <c r="D20" s="27" t="n">
        <f aca="false">ROUND(MAX(0,D19*(1+D$8)-Z20),2)</f>
        <v>2745.32</v>
      </c>
      <c r="E20" s="27" t="n">
        <f aca="false">ROUND(MAX(0,E19*(1+E$8)-AA20),2)</f>
        <v>3973.3</v>
      </c>
      <c r="F20" s="27" t="n">
        <f aca="false">ROUND(MAX(0,F19*(1+F$8)-AB20),2)</f>
        <v>7842.06</v>
      </c>
      <c r="G20" s="27" t="n">
        <f aca="false">ROUND(MAX(0,G19*(1+G$8)-AC20),2)</f>
        <v>0</v>
      </c>
      <c r="H20" s="27" t="n">
        <f aca="false">ROUND(MAX(0,H19*(1+H$8)-AD20),2)</f>
        <v>0</v>
      </c>
      <c r="I20" s="27" t="n">
        <f aca="false">ROUND(MAX(0,I19*(1+I$8)-AE20),2)</f>
        <v>0</v>
      </c>
      <c r="J20" s="27" t="n">
        <f aca="false">ROUND(MAX(0,J19*(1+J$8)-AF20),2)</f>
        <v>0</v>
      </c>
      <c r="K20" s="27" t="n">
        <f aca="false">ROUND(MAX(0,K19*(1+K$8)-AG20),2)</f>
        <v>0</v>
      </c>
      <c r="L20" s="30" t="n">
        <f aca="false">SUM(B20:K20)</f>
        <v>15026.1</v>
      </c>
      <c r="M20" s="27" t="n">
        <f aca="false">SUMPRODUCT(B19:K19,$B$8:$K$8)</f>
        <v>176.1770525</v>
      </c>
      <c r="N20" s="27" t="n">
        <f aca="false">MIN(B19*(1+B$8),B$9)</f>
        <v>0</v>
      </c>
      <c r="O20" s="27" t="n">
        <f aca="false">MIN(C19*(1+C$8),C$9)</f>
        <v>50</v>
      </c>
      <c r="P20" s="27" t="n">
        <f aca="false">MIN(D19*(1+D$8),D$9)</f>
        <v>75</v>
      </c>
      <c r="Q20" s="27" t="n">
        <f aca="false">MIN(E19*(1+E$8),E$9)</f>
        <v>95</v>
      </c>
      <c r="R20" s="27" t="n">
        <f aca="false">MIN(F19*(1+F$8),F$9)</f>
        <v>310</v>
      </c>
      <c r="S20" s="27" t="n">
        <f aca="false">MIN(G19*(1+G$8),G$9)</f>
        <v>0</v>
      </c>
      <c r="T20" s="27" t="n">
        <f aca="false">MIN(H19*(1+H$8),H$9)</f>
        <v>0</v>
      </c>
      <c r="U20" s="27" t="n">
        <f aca="false">MIN(I19*(1+I$8),I$9)</f>
        <v>0</v>
      </c>
      <c r="V20" s="27" t="n">
        <f aca="false">MIN(J19*(1+J$8),J$9)</f>
        <v>0</v>
      </c>
      <c r="W20" s="27" t="n">
        <f aca="false">MIN(K19*(1+K$8),K$9)</f>
        <v>0</v>
      </c>
      <c r="X20" s="27" t="n">
        <f aca="false">MIN(B19*(1+B$8),MAX(N20,$B$11-SUM(O20:W20)))</f>
        <v>0</v>
      </c>
      <c r="Y20" s="27" t="n">
        <f aca="false">MIN(C19*(1+C$8),MAX(O20,$B$11-SUM(X20:X20)-SUM(P20:W20)))</f>
        <v>235</v>
      </c>
      <c r="Z20" s="27" t="n">
        <f aca="false">MIN(D19*(1+D$8),MAX(P20,$B$11-SUM(X20:Y20)-SUM(Q20:W20)))</f>
        <v>75</v>
      </c>
      <c r="AA20" s="27" t="n">
        <f aca="false">MIN(E19*(1+E$8),MAX(Q20,$B$11-SUM(X20:Z20)-SUM(R20:W20)))</f>
        <v>95</v>
      </c>
      <c r="AB20" s="27" t="n">
        <f aca="false">MIN(F19*(1+F$8),MAX(R20,$B$11-SUM(X20:AA20)-SUM(S20:W20)))</f>
        <v>310</v>
      </c>
      <c r="AC20" s="27" t="n">
        <f aca="false">MIN(G19*(1+G$8),MAX(S20,$B$11-SUM(X20:AB20)-SUM(T20:W20)))</f>
        <v>0</v>
      </c>
      <c r="AD20" s="27" t="n">
        <f aca="false">MIN(H19*(1+H$8),MAX(T20,$B$11-SUM(X20:AC20)-SUM(U20:W20)))</f>
        <v>0</v>
      </c>
      <c r="AE20" s="27" t="n">
        <f aca="false">MIN(I19*(1+I$8),MAX(U20,$B$11-SUM(X20:AD20)-SUM(V20:W20)))</f>
        <v>0</v>
      </c>
      <c r="AF20" s="27" t="n">
        <f aca="false">MIN(J19*(1+J$8),MAX(V20,$B$11-SUM(X20:AE20)-SUM(W20:W20)))</f>
        <v>0</v>
      </c>
      <c r="AG20" s="27" t="n">
        <f aca="false">MIN(K19*(1+K$8),MAX(W20,$B$11-SUM(X20:AF20)))</f>
        <v>0</v>
      </c>
      <c r="AI20" s="27" t="n">
        <f aca="false">ROUND(MAX(0,AI19*(1+B$8)-BE20),2)</f>
        <v>512.03</v>
      </c>
      <c r="AJ20" s="27" t="n">
        <f aca="false">ROUND(MAX(0,AJ19*(1+C$8)-BF20),2)</f>
        <v>900</v>
      </c>
      <c r="AK20" s="27" t="n">
        <f aca="false">ROUND(MAX(0,AK19*(1+D$8)-BG20),2)</f>
        <v>2745.32</v>
      </c>
      <c r="AL20" s="27" t="n">
        <f aca="false">ROUND(MAX(0,AL19*(1+E$8)-BH20),2)</f>
        <v>3973.3</v>
      </c>
      <c r="AM20" s="27" t="n">
        <f aca="false">ROUND(MAX(0,AM19*(1+F$8)-BI20),2)</f>
        <v>7842.06</v>
      </c>
      <c r="AN20" s="27" t="n">
        <f aca="false">ROUND(MAX(0,AN19*(1+G$8)-BJ20),2)</f>
        <v>0</v>
      </c>
      <c r="AO20" s="27" t="n">
        <f aca="false">ROUND(MAX(0,AO19*(1+H$8)-BK20),2)</f>
        <v>0</v>
      </c>
      <c r="AP20" s="27" t="n">
        <f aca="false">ROUND(MAX(0,AP19*(1+I$8)-BL20),2)</f>
        <v>0</v>
      </c>
      <c r="AQ20" s="27" t="n">
        <f aca="false">ROUND(MAX(0,AQ19*(1+J$8)-BM20),2)</f>
        <v>0</v>
      </c>
      <c r="AR20" s="27" t="n">
        <f aca="false">ROUND(MAX(0,AR19*(1+K$8)-BN20),2)</f>
        <v>0</v>
      </c>
      <c r="AS20" s="27" t="n">
        <f aca="false">SUM(AI20:AR20)</f>
        <v>15972.71</v>
      </c>
      <c r="AT20" s="27" t="n">
        <f aca="false">SUMPRODUCT(AI19:AR19,$B$8:$K$8)</f>
        <v>188.6065025</v>
      </c>
      <c r="AU20" s="27" t="n">
        <f aca="false">MIN(AI19*(1+B$8),B$9)</f>
        <v>35</v>
      </c>
      <c r="AV20" s="27" t="n">
        <f aca="false">MIN(AJ19*(1+C$8),C$9)</f>
        <v>50</v>
      </c>
      <c r="AW20" s="27" t="n">
        <f aca="false">MIN(AK19*(1+D$8),D$9)</f>
        <v>75</v>
      </c>
      <c r="AX20" s="27" t="n">
        <f aca="false">MIN(AL19*(1+E$8),E$9)</f>
        <v>95</v>
      </c>
      <c r="AY20" s="27" t="n">
        <f aca="false">MIN(AM19*(1+F$8),F$9)</f>
        <v>310</v>
      </c>
      <c r="AZ20" s="27" t="n">
        <f aca="false">MIN(AN19*(1+G$8),G$9)</f>
        <v>0</v>
      </c>
      <c r="BA20" s="27" t="n">
        <f aca="false">MIN(AO19*(1+H$8),H$9)</f>
        <v>0</v>
      </c>
      <c r="BB20" s="27" t="n">
        <f aca="false">MIN(AP19*(1+I$8),I$9)</f>
        <v>0</v>
      </c>
      <c r="BC20" s="27" t="n">
        <f aca="false">MIN(AQ19*(1+J$8),J$9)</f>
        <v>0</v>
      </c>
      <c r="BD20" s="27" t="n">
        <f aca="false">MIN(AR19*(1+K$8),K$9)</f>
        <v>0</v>
      </c>
      <c r="BE20" s="27" t="n">
        <f aca="false">MIN(AI19*(1+B$8),MAX(AU20,$B$12-SUM(AV20:BD20)))</f>
        <v>35</v>
      </c>
      <c r="BF20" s="27" t="n">
        <f aca="false">MIN(AJ19*(1+C$8),MAX(AV20,$B$12-SUM(BE20:BE20)-SUM(AW20:BD20)))</f>
        <v>50</v>
      </c>
      <c r="BG20" s="27" t="n">
        <f aca="false">MIN(AK19*(1+D$8),MAX(AW20,$B$12-SUM(BE20:BF20)-SUM(AX20:BD20)))</f>
        <v>75</v>
      </c>
      <c r="BH20" s="27" t="n">
        <f aca="false">MIN(AL19*(1+E$8),MAX(AX20,$B$12-SUM(BE20:BG20)-SUM(AY20:BD20)))</f>
        <v>95</v>
      </c>
      <c r="BI20" s="27" t="n">
        <f aca="false">MIN(AM19*(1+F$8),MAX(AY20,$B$12-SUM(BE20:BH20)-SUM(AZ20:BD20)))</f>
        <v>310</v>
      </c>
      <c r="BJ20" s="27" t="n">
        <f aca="false">MIN(AN19*(1+G$8),MAX(AZ20,$B$12-SUM(BE20:BI20)-SUM(BA20:BD20)))</f>
        <v>0</v>
      </c>
      <c r="BK20" s="27" t="n">
        <f aca="false">MIN(AO19*(1+H$8),MAX(BA20,$B$12-SUM(BE20:BJ20)-SUM(BB20:BD20)))</f>
        <v>0</v>
      </c>
      <c r="BL20" s="27" t="n">
        <f aca="false">MIN(AP19*(1+I$8),MAX(BB20,$B$12-SUM(BE20:BK20)-SUM(BC20:BD20)))</f>
        <v>0</v>
      </c>
      <c r="BM20" s="27" t="n">
        <f aca="false">MIN(AQ19*(1+J$8),MAX(BC20,$B$12-SUM(BE20:BL20)-SUM(BD20:BD20)))</f>
        <v>0</v>
      </c>
      <c r="BN20" s="27" t="n">
        <f aca="false">MIN(AR19*(1+K$8),MAX(BD20,$B$12-SUM(BE20:BM20)))</f>
        <v>0</v>
      </c>
    </row>
    <row r="21" customFormat="false" ht="15" hidden="false" customHeight="false" outlineLevel="0" collapsed="false">
      <c r="A21" s="0" t="n">
        <v>7</v>
      </c>
      <c r="B21" s="27" t="n">
        <f aca="false">ROUND(MAX(0,B20*(1+B$8)-X21),2)</f>
        <v>0</v>
      </c>
      <c r="C21" s="27" t="n">
        <f aca="false">ROUND(MAX(0,C20*(1+C$8)-Y21),2)</f>
        <v>230.42</v>
      </c>
      <c r="D21" s="27" t="n">
        <f aca="false">ROUND(MAX(0,D20*(1+D$8)-Z21),2)</f>
        <v>2726.6</v>
      </c>
      <c r="E21" s="27" t="n">
        <f aca="false">ROUND(MAX(0,E20*(1+E$8)-AA21),2)</f>
        <v>3950.81</v>
      </c>
      <c r="F21" s="27" t="n">
        <f aca="false">ROUND(MAX(0,F20*(1+F$8)-AB21),2)</f>
        <v>7577.15</v>
      </c>
      <c r="G21" s="27" t="n">
        <f aca="false">ROUND(MAX(0,G20*(1+G$8)-AC21),2)</f>
        <v>0</v>
      </c>
      <c r="H21" s="27" t="n">
        <f aca="false">ROUND(MAX(0,H20*(1+H$8)-AD21),2)</f>
        <v>0</v>
      </c>
      <c r="I21" s="27" t="n">
        <f aca="false">ROUND(MAX(0,I20*(1+I$8)-AE21),2)</f>
        <v>0</v>
      </c>
      <c r="J21" s="27" t="n">
        <f aca="false">ROUND(MAX(0,J20*(1+J$8)-AF21),2)</f>
        <v>0</v>
      </c>
      <c r="K21" s="27" t="n">
        <f aca="false">ROUND(MAX(0,K20*(1+K$8)-AG21),2)</f>
        <v>0</v>
      </c>
      <c r="L21" s="30" t="n">
        <f aca="false">SUM(B21:K21)</f>
        <v>14484.98</v>
      </c>
      <c r="M21" s="27" t="n">
        <f aca="false">SUMPRODUCT(B20:K20,$B$8:$K$8)</f>
        <v>173.88363</v>
      </c>
      <c r="N21" s="27" t="n">
        <f aca="false">MIN(B20*(1+B$8),B$9)</f>
        <v>0</v>
      </c>
      <c r="O21" s="27" t="n">
        <f aca="false">MIN(C20*(1+C$8),C$9)</f>
        <v>50</v>
      </c>
      <c r="P21" s="27" t="n">
        <f aca="false">MIN(D20*(1+D$8),D$9)</f>
        <v>75</v>
      </c>
      <c r="Q21" s="27" t="n">
        <f aca="false">MIN(E20*(1+E$8),E$9)</f>
        <v>95</v>
      </c>
      <c r="R21" s="27" t="n">
        <f aca="false">MIN(F20*(1+F$8),F$9)</f>
        <v>310</v>
      </c>
      <c r="S21" s="27" t="n">
        <f aca="false">MIN(G20*(1+G$8),G$9)</f>
        <v>0</v>
      </c>
      <c r="T21" s="27" t="n">
        <f aca="false">MIN(H20*(1+H$8),H$9)</f>
        <v>0</v>
      </c>
      <c r="U21" s="27" t="n">
        <f aca="false">MIN(I20*(1+I$8),I$9)</f>
        <v>0</v>
      </c>
      <c r="V21" s="27" t="n">
        <f aca="false">MIN(J20*(1+J$8),J$9)</f>
        <v>0</v>
      </c>
      <c r="W21" s="27" t="n">
        <f aca="false">MIN(K20*(1+K$8),K$9)</f>
        <v>0</v>
      </c>
      <c r="X21" s="27" t="n">
        <f aca="false">MIN(B20*(1+B$8),MAX(N21,$B$11-SUM(O21:W21)))</f>
        <v>0</v>
      </c>
      <c r="Y21" s="27" t="n">
        <f aca="false">MIN(C20*(1+C$8),MAX(O21,$B$11-SUM(X21:X21)-SUM(P21:W21)))</f>
        <v>235</v>
      </c>
      <c r="Z21" s="27" t="n">
        <f aca="false">MIN(D20*(1+D$8),MAX(P21,$B$11-SUM(X21:Y21)-SUM(Q21:W21)))</f>
        <v>75</v>
      </c>
      <c r="AA21" s="27" t="n">
        <f aca="false">MIN(E20*(1+E$8),MAX(Q21,$B$11-SUM(X21:Z21)-SUM(R21:W21)))</f>
        <v>95</v>
      </c>
      <c r="AB21" s="27" t="n">
        <f aca="false">MIN(F20*(1+F$8),MAX(R21,$B$11-SUM(X21:AA21)-SUM(S21:W21)))</f>
        <v>310</v>
      </c>
      <c r="AC21" s="27" t="n">
        <f aca="false">MIN(G20*(1+G$8),MAX(S21,$B$11-SUM(X21:AB21)-SUM(T21:W21)))</f>
        <v>0</v>
      </c>
      <c r="AD21" s="27" t="n">
        <f aca="false">MIN(H20*(1+H$8),MAX(T21,$B$11-SUM(X21:AC21)-SUM(U21:W21)))</f>
        <v>0</v>
      </c>
      <c r="AE21" s="27" t="n">
        <f aca="false">MIN(I20*(1+I$8),MAX(U21,$B$11-SUM(X21:AD21)-SUM(V21:W21)))</f>
        <v>0</v>
      </c>
      <c r="AF21" s="27" t="n">
        <f aca="false">MIN(J20*(1+J$8),MAX(V21,$B$11-SUM(X21:AE21)-SUM(W21:W21)))</f>
        <v>0</v>
      </c>
      <c r="AG21" s="27" t="n">
        <f aca="false">MIN(K20*(1+K$8),MAX(W21,$B$11-SUM(X21:AF21)))</f>
        <v>0</v>
      </c>
      <c r="AI21" s="27" t="n">
        <f aca="false">ROUND(MAX(0,AI20*(1+B$8)-BE21),2)</f>
        <v>488.93</v>
      </c>
      <c r="AJ21" s="27" t="n">
        <f aca="false">ROUND(MAX(0,AJ20*(1+C$8)-BF21),2)</f>
        <v>850</v>
      </c>
      <c r="AK21" s="27" t="n">
        <f aca="false">ROUND(MAX(0,AK20*(1+D$8)-BG21),2)</f>
        <v>2726.6</v>
      </c>
      <c r="AL21" s="27" t="n">
        <f aca="false">ROUND(MAX(0,AL20*(1+E$8)-BH21),2)</f>
        <v>3950.81</v>
      </c>
      <c r="AM21" s="27" t="n">
        <f aca="false">ROUND(MAX(0,AM20*(1+F$8)-BI21),2)</f>
        <v>7577.15</v>
      </c>
      <c r="AN21" s="27" t="n">
        <f aca="false">ROUND(MAX(0,AN20*(1+G$8)-BJ21),2)</f>
        <v>0</v>
      </c>
      <c r="AO21" s="27" t="n">
        <f aca="false">ROUND(MAX(0,AO20*(1+H$8)-BK21),2)</f>
        <v>0</v>
      </c>
      <c r="AP21" s="27" t="n">
        <f aca="false">ROUND(MAX(0,AP20*(1+I$8)-BL21),2)</f>
        <v>0</v>
      </c>
      <c r="AQ21" s="27" t="n">
        <f aca="false">ROUND(MAX(0,AQ20*(1+J$8)-BM21),2)</f>
        <v>0</v>
      </c>
      <c r="AR21" s="27" t="n">
        <f aca="false">ROUND(MAX(0,AR20*(1+K$8)-BN21),2)</f>
        <v>0</v>
      </c>
      <c r="AS21" s="27" t="n">
        <f aca="false">SUM(AI21:AR21)</f>
        <v>15593.49</v>
      </c>
      <c r="AT21" s="27" t="n">
        <f aca="false">SUMPRODUCT(AI20:AR20,$B$8:$K$8)</f>
        <v>185.7883275</v>
      </c>
      <c r="AU21" s="27" t="n">
        <f aca="false">MIN(AI20*(1+B$8),B$9)</f>
        <v>35</v>
      </c>
      <c r="AV21" s="27" t="n">
        <f aca="false">MIN(AJ20*(1+C$8),C$9)</f>
        <v>50</v>
      </c>
      <c r="AW21" s="27" t="n">
        <f aca="false">MIN(AK20*(1+D$8),D$9)</f>
        <v>75</v>
      </c>
      <c r="AX21" s="27" t="n">
        <f aca="false">MIN(AL20*(1+E$8),E$9)</f>
        <v>95</v>
      </c>
      <c r="AY21" s="27" t="n">
        <f aca="false">MIN(AM20*(1+F$8),F$9)</f>
        <v>310</v>
      </c>
      <c r="AZ21" s="27" t="n">
        <f aca="false">MIN(AN20*(1+G$8),G$9)</f>
        <v>0</v>
      </c>
      <c r="BA21" s="27" t="n">
        <f aca="false">MIN(AO20*(1+H$8),H$9)</f>
        <v>0</v>
      </c>
      <c r="BB21" s="27" t="n">
        <f aca="false">MIN(AP20*(1+I$8),I$9)</f>
        <v>0</v>
      </c>
      <c r="BC21" s="27" t="n">
        <f aca="false">MIN(AQ20*(1+J$8),J$9)</f>
        <v>0</v>
      </c>
      <c r="BD21" s="27" t="n">
        <f aca="false">MIN(AR20*(1+K$8),K$9)</f>
        <v>0</v>
      </c>
      <c r="BE21" s="27" t="n">
        <f aca="false">MIN(AI20*(1+B$8),MAX(AU21,$B$12-SUM(AV21:BD21)))</f>
        <v>35</v>
      </c>
      <c r="BF21" s="27" t="n">
        <f aca="false">MIN(AJ20*(1+C$8),MAX(AV21,$B$12-SUM(BE21:BE21)-SUM(AW21:BD21)))</f>
        <v>50</v>
      </c>
      <c r="BG21" s="27" t="n">
        <f aca="false">MIN(AK20*(1+D$8),MAX(AW21,$B$12-SUM(BE21:BF21)-SUM(AX21:BD21)))</f>
        <v>75</v>
      </c>
      <c r="BH21" s="27" t="n">
        <f aca="false">MIN(AL20*(1+E$8),MAX(AX21,$B$12-SUM(BE21:BG21)-SUM(AY21:BD21)))</f>
        <v>95</v>
      </c>
      <c r="BI21" s="27" t="n">
        <f aca="false">MIN(AM20*(1+F$8),MAX(AY21,$B$12-SUM(BE21:BH21)-SUM(AZ21:BD21)))</f>
        <v>310</v>
      </c>
      <c r="BJ21" s="27" t="n">
        <f aca="false">MIN(AN20*(1+G$8),MAX(AZ21,$B$12-SUM(BE21:BI21)-SUM(BA21:BD21)))</f>
        <v>0</v>
      </c>
      <c r="BK21" s="27" t="n">
        <f aca="false">MIN(AO20*(1+H$8),MAX(BA21,$B$12-SUM(BE21:BJ21)-SUM(BB21:BD21)))</f>
        <v>0</v>
      </c>
      <c r="BL21" s="27" t="n">
        <f aca="false">MIN(AP20*(1+I$8),MAX(BB21,$B$12-SUM(BE21:BK21)-SUM(BC21:BD21)))</f>
        <v>0</v>
      </c>
      <c r="BM21" s="27" t="n">
        <f aca="false">MIN(AQ20*(1+J$8),MAX(BC21,$B$12-SUM(BE21:BL21)-SUM(BD21:BD21)))</f>
        <v>0</v>
      </c>
      <c r="BN21" s="27" t="n">
        <f aca="false">MIN(AR20*(1+K$8),MAX(BD21,$B$12-SUM(BE21:BM21)))</f>
        <v>0</v>
      </c>
    </row>
    <row r="22" customFormat="false" ht="15" hidden="false" customHeight="false" outlineLevel="0" collapsed="false">
      <c r="A22" s="0" t="n">
        <v>8</v>
      </c>
      <c r="B22" s="27" t="n">
        <f aca="false">ROUND(MAX(0,B21*(1+B$8)-X22),2)</f>
        <v>0</v>
      </c>
      <c r="C22" s="27" t="n">
        <f aca="false">ROUND(MAX(0,C21*(1+C$8)-Y22),2)</f>
        <v>0</v>
      </c>
      <c r="D22" s="27" t="n">
        <f aca="false">ROUND(MAX(0,D21*(1+D$8)-Z22),2)</f>
        <v>2702.92</v>
      </c>
      <c r="E22" s="27" t="n">
        <f aca="false">ROUND(MAX(0,E21*(1+E$8)-AA22),2)</f>
        <v>3927.91</v>
      </c>
      <c r="F22" s="27" t="n">
        <f aca="false">ROUND(MAX(0,F21*(1+F$8)-AB22),2)</f>
        <v>7310.72</v>
      </c>
      <c r="G22" s="27" t="n">
        <f aca="false">ROUND(MAX(0,G21*(1+G$8)-AC22),2)</f>
        <v>0</v>
      </c>
      <c r="H22" s="27" t="n">
        <f aca="false">ROUND(MAX(0,H21*(1+H$8)-AD22),2)</f>
        <v>0</v>
      </c>
      <c r="I22" s="27" t="n">
        <f aca="false">ROUND(MAX(0,I21*(1+I$8)-AE22),2)</f>
        <v>0</v>
      </c>
      <c r="J22" s="27" t="n">
        <f aca="false">ROUND(MAX(0,J21*(1+J$8)-AF22),2)</f>
        <v>0</v>
      </c>
      <c r="K22" s="27" t="n">
        <f aca="false">ROUND(MAX(0,K21*(1+K$8)-AG22),2)</f>
        <v>0</v>
      </c>
      <c r="L22" s="30" t="n">
        <f aca="false">SUM(B22:K22)</f>
        <v>13941.55</v>
      </c>
      <c r="M22" s="27" t="n">
        <f aca="false">SUMPRODUCT(B21:K21,$B$8:$K$8)</f>
        <v>171.566195</v>
      </c>
      <c r="N22" s="27" t="n">
        <f aca="false">MIN(B21*(1+B$8),B$9)</f>
        <v>0</v>
      </c>
      <c r="O22" s="27" t="n">
        <f aca="false">MIN(C21*(1+C$8),C$9)</f>
        <v>50</v>
      </c>
      <c r="P22" s="27" t="n">
        <f aca="false">MIN(D21*(1+D$8),D$9)</f>
        <v>75</v>
      </c>
      <c r="Q22" s="27" t="n">
        <f aca="false">MIN(E21*(1+E$8),E$9)</f>
        <v>95</v>
      </c>
      <c r="R22" s="27" t="n">
        <f aca="false">MIN(F21*(1+F$8),F$9)</f>
        <v>310</v>
      </c>
      <c r="S22" s="27" t="n">
        <f aca="false">MIN(G21*(1+G$8),G$9)</f>
        <v>0</v>
      </c>
      <c r="T22" s="27" t="n">
        <f aca="false">MIN(H21*(1+H$8),H$9)</f>
        <v>0</v>
      </c>
      <c r="U22" s="27" t="n">
        <f aca="false">MIN(I21*(1+I$8),I$9)</f>
        <v>0</v>
      </c>
      <c r="V22" s="27" t="n">
        <f aca="false">MIN(J21*(1+J$8),J$9)</f>
        <v>0</v>
      </c>
      <c r="W22" s="27" t="n">
        <f aca="false">MIN(K21*(1+K$8),K$9)</f>
        <v>0</v>
      </c>
      <c r="X22" s="27" t="n">
        <f aca="false">MIN(B21*(1+B$8),MAX(N22,$B$11-SUM(O22:W22)))</f>
        <v>0</v>
      </c>
      <c r="Y22" s="27" t="n">
        <f aca="false">MIN(C21*(1+C$8),MAX(O22,$B$11-SUM(X22:X22)-SUM(P22:W22)))</f>
        <v>230.42</v>
      </c>
      <c r="Z22" s="27" t="n">
        <f aca="false">MIN(D21*(1+D$8),MAX(P22,$B$11-SUM(X22:Y22)-SUM(Q22:W22)))</f>
        <v>79.58</v>
      </c>
      <c r="AA22" s="27" t="n">
        <f aca="false">MIN(E21*(1+E$8),MAX(Q22,$B$11-SUM(X22:Z22)-SUM(R22:W22)))</f>
        <v>95</v>
      </c>
      <c r="AB22" s="27" t="n">
        <f aca="false">MIN(F21*(1+F$8),MAX(R22,$B$11-SUM(X22:AA22)-SUM(S22:W22)))</f>
        <v>310</v>
      </c>
      <c r="AC22" s="27" t="n">
        <f aca="false">MIN(G21*(1+G$8),MAX(S22,$B$11-SUM(X22:AB22)-SUM(T22:W22)))</f>
        <v>0</v>
      </c>
      <c r="AD22" s="27" t="n">
        <f aca="false">MIN(H21*(1+H$8),MAX(T22,$B$11-SUM(X22:AC22)-SUM(U22:W22)))</f>
        <v>0</v>
      </c>
      <c r="AE22" s="27" t="n">
        <f aca="false">MIN(I21*(1+I$8),MAX(U22,$B$11-SUM(X22:AD22)-SUM(V22:W22)))</f>
        <v>0</v>
      </c>
      <c r="AF22" s="27" t="n">
        <f aca="false">MIN(J21*(1+J$8),MAX(V22,$B$11-SUM(X22:AE22)-SUM(W22:W22)))</f>
        <v>0</v>
      </c>
      <c r="AG22" s="27" t="n">
        <f aca="false">MIN(K21*(1+K$8),MAX(W22,$B$11-SUM(X22:AF22)))</f>
        <v>0</v>
      </c>
      <c r="AI22" s="27" t="n">
        <f aca="false">ROUND(MAX(0,AI21*(1+B$8)-BE22),2)</f>
        <v>465.3</v>
      </c>
      <c r="AJ22" s="27" t="n">
        <f aca="false">ROUND(MAX(0,AJ21*(1+C$8)-BF22),2)</f>
        <v>800</v>
      </c>
      <c r="AK22" s="27" t="n">
        <f aca="false">ROUND(MAX(0,AK21*(1+D$8)-BG22),2)</f>
        <v>2707.5</v>
      </c>
      <c r="AL22" s="27" t="n">
        <f aca="false">ROUND(MAX(0,AL21*(1+E$8)-BH22),2)</f>
        <v>3927.91</v>
      </c>
      <c r="AM22" s="27" t="n">
        <f aca="false">ROUND(MAX(0,AM21*(1+F$8)-BI22),2)</f>
        <v>7310.72</v>
      </c>
      <c r="AN22" s="27" t="n">
        <f aca="false">ROUND(MAX(0,AN21*(1+G$8)-BJ22),2)</f>
        <v>0</v>
      </c>
      <c r="AO22" s="27" t="n">
        <f aca="false">ROUND(MAX(0,AO21*(1+H$8)-BK22),2)</f>
        <v>0</v>
      </c>
      <c r="AP22" s="27" t="n">
        <f aca="false">ROUND(MAX(0,AP21*(1+I$8)-BL22),2)</f>
        <v>0</v>
      </c>
      <c r="AQ22" s="27" t="n">
        <f aca="false">ROUND(MAX(0,AQ21*(1+J$8)-BM22),2)</f>
        <v>0</v>
      </c>
      <c r="AR22" s="27" t="n">
        <f aca="false">ROUND(MAX(0,AR21*(1+K$8)-BN22),2)</f>
        <v>0</v>
      </c>
      <c r="AS22" s="27" t="n">
        <f aca="false">SUM(AI22:AR22)</f>
        <v>15211.43</v>
      </c>
      <c r="AT22" s="27" t="n">
        <f aca="false">SUMPRODUCT(AI21:AR21,$B$8:$K$8)</f>
        <v>182.9338175</v>
      </c>
      <c r="AU22" s="27" t="n">
        <f aca="false">MIN(AI21*(1+B$8),B$9)</f>
        <v>35</v>
      </c>
      <c r="AV22" s="27" t="n">
        <f aca="false">MIN(AJ21*(1+C$8),C$9)</f>
        <v>50</v>
      </c>
      <c r="AW22" s="27" t="n">
        <f aca="false">MIN(AK21*(1+D$8),D$9)</f>
        <v>75</v>
      </c>
      <c r="AX22" s="27" t="n">
        <f aca="false">MIN(AL21*(1+E$8),E$9)</f>
        <v>95</v>
      </c>
      <c r="AY22" s="27" t="n">
        <f aca="false">MIN(AM21*(1+F$8),F$9)</f>
        <v>310</v>
      </c>
      <c r="AZ22" s="27" t="n">
        <f aca="false">MIN(AN21*(1+G$8),G$9)</f>
        <v>0</v>
      </c>
      <c r="BA22" s="27" t="n">
        <f aca="false">MIN(AO21*(1+H$8),H$9)</f>
        <v>0</v>
      </c>
      <c r="BB22" s="27" t="n">
        <f aca="false">MIN(AP21*(1+I$8),I$9)</f>
        <v>0</v>
      </c>
      <c r="BC22" s="27" t="n">
        <f aca="false">MIN(AQ21*(1+J$8),J$9)</f>
        <v>0</v>
      </c>
      <c r="BD22" s="27" t="n">
        <f aca="false">MIN(AR21*(1+K$8),K$9)</f>
        <v>0</v>
      </c>
      <c r="BE22" s="27" t="n">
        <f aca="false">MIN(AI21*(1+B$8),MAX(AU22,$B$12-SUM(AV22:BD22)))</f>
        <v>35</v>
      </c>
      <c r="BF22" s="27" t="n">
        <f aca="false">MIN(AJ21*(1+C$8),MAX(AV22,$B$12-SUM(BE22:BE22)-SUM(AW22:BD22)))</f>
        <v>50</v>
      </c>
      <c r="BG22" s="27" t="n">
        <f aca="false">MIN(AK21*(1+D$8),MAX(AW22,$B$12-SUM(BE22:BF22)-SUM(AX22:BD22)))</f>
        <v>75</v>
      </c>
      <c r="BH22" s="27" t="n">
        <f aca="false">MIN(AL21*(1+E$8),MAX(AX22,$B$12-SUM(BE22:BG22)-SUM(AY22:BD22)))</f>
        <v>95</v>
      </c>
      <c r="BI22" s="27" t="n">
        <f aca="false">MIN(AM21*(1+F$8),MAX(AY22,$B$12-SUM(BE22:BH22)-SUM(AZ22:BD22)))</f>
        <v>310</v>
      </c>
      <c r="BJ22" s="27" t="n">
        <f aca="false">MIN(AN21*(1+G$8),MAX(AZ22,$B$12-SUM(BE22:BI22)-SUM(BA22:BD22)))</f>
        <v>0</v>
      </c>
      <c r="BK22" s="27" t="n">
        <f aca="false">MIN(AO21*(1+H$8),MAX(BA22,$B$12-SUM(BE22:BJ22)-SUM(BB22:BD22)))</f>
        <v>0</v>
      </c>
      <c r="BL22" s="27" t="n">
        <f aca="false">MIN(AP21*(1+I$8),MAX(BB22,$B$12-SUM(BE22:BK22)-SUM(BC22:BD22)))</f>
        <v>0</v>
      </c>
      <c r="BM22" s="27" t="n">
        <f aca="false">MIN(AQ21*(1+J$8),MAX(BC22,$B$12-SUM(BE22:BL22)-SUM(BD22:BD22)))</f>
        <v>0</v>
      </c>
      <c r="BN22" s="27" t="n">
        <f aca="false">MIN(AR21*(1+K$8),MAX(BD22,$B$12-SUM(BE22:BM22)))</f>
        <v>0</v>
      </c>
    </row>
    <row r="23" customFormat="false" ht="15" hidden="false" customHeight="false" outlineLevel="0" collapsed="false">
      <c r="A23" s="0" t="n">
        <v>9</v>
      </c>
      <c r="B23" s="27" t="n">
        <f aca="false">ROUND(MAX(0,B22*(1+B$8)-X23),2)</f>
        <v>0</v>
      </c>
      <c r="C23" s="27" t="n">
        <f aca="false">ROUND(MAX(0,C22*(1+C$8)-Y23),2)</f>
        <v>0</v>
      </c>
      <c r="D23" s="27" t="n">
        <f aca="false">ROUND(MAX(0,D22*(1+D$8)-Z23),2)</f>
        <v>2448.33</v>
      </c>
      <c r="E23" s="27" t="n">
        <f aca="false">ROUND(MAX(0,E22*(1+E$8)-AA23),2)</f>
        <v>3904.59</v>
      </c>
      <c r="F23" s="27" t="n">
        <f aca="false">ROUND(MAX(0,F22*(1+F$8)-AB23),2)</f>
        <v>7042.76</v>
      </c>
      <c r="G23" s="27" t="n">
        <f aca="false">ROUND(MAX(0,G22*(1+G$8)-AC23),2)</f>
        <v>0</v>
      </c>
      <c r="H23" s="27" t="n">
        <f aca="false">ROUND(MAX(0,H22*(1+H$8)-AD23),2)</f>
        <v>0</v>
      </c>
      <c r="I23" s="27" t="n">
        <f aca="false">ROUND(MAX(0,I22*(1+I$8)-AE23),2)</f>
        <v>0</v>
      </c>
      <c r="J23" s="27" t="n">
        <f aca="false">ROUND(MAX(0,J22*(1+J$8)-AF23),2)</f>
        <v>0</v>
      </c>
      <c r="K23" s="27" t="n">
        <f aca="false">ROUND(MAX(0,K22*(1+K$8)-AG23),2)</f>
        <v>0</v>
      </c>
      <c r="L23" s="30" t="n">
        <f aca="false">SUM(B23:K23)</f>
        <v>13395.68</v>
      </c>
      <c r="M23" s="27" t="n">
        <f aca="false">SUMPRODUCT(B22:K22,$B$8:$K$8)</f>
        <v>169.1308575</v>
      </c>
      <c r="N23" s="27" t="n">
        <f aca="false">MIN(B22*(1+B$8),B$9)</f>
        <v>0</v>
      </c>
      <c r="O23" s="27" t="n">
        <f aca="false">MIN(C22*(1+C$8),C$9)</f>
        <v>0</v>
      </c>
      <c r="P23" s="27" t="n">
        <f aca="false">MIN(D22*(1+D$8),D$9)</f>
        <v>75</v>
      </c>
      <c r="Q23" s="27" t="n">
        <f aca="false">MIN(E22*(1+E$8),E$9)</f>
        <v>95</v>
      </c>
      <c r="R23" s="27" t="n">
        <f aca="false">MIN(F22*(1+F$8),F$9)</f>
        <v>310</v>
      </c>
      <c r="S23" s="27" t="n">
        <f aca="false">MIN(G22*(1+G$8),G$9)</f>
        <v>0</v>
      </c>
      <c r="T23" s="27" t="n">
        <f aca="false">MIN(H22*(1+H$8),H$9)</f>
        <v>0</v>
      </c>
      <c r="U23" s="27" t="n">
        <f aca="false">MIN(I22*(1+I$8),I$9)</f>
        <v>0</v>
      </c>
      <c r="V23" s="27" t="n">
        <f aca="false">MIN(J22*(1+J$8),J$9)</f>
        <v>0</v>
      </c>
      <c r="W23" s="27" t="n">
        <f aca="false">MIN(K22*(1+K$8),K$9)</f>
        <v>0</v>
      </c>
      <c r="X23" s="27" t="n">
        <f aca="false">MIN(B22*(1+B$8),MAX(N23,$B$11-SUM(O23:W23)))</f>
        <v>0</v>
      </c>
      <c r="Y23" s="27" t="n">
        <f aca="false">MIN(C22*(1+C$8),MAX(O23,$B$11-SUM(X23:X23)-SUM(P23:W23)))</f>
        <v>0</v>
      </c>
      <c r="Z23" s="27" t="n">
        <f aca="false">MIN(D22*(1+D$8),MAX(P23,$B$11-SUM(X23:Y23)-SUM(Q23:W23)))</f>
        <v>310</v>
      </c>
      <c r="AA23" s="27" t="n">
        <f aca="false">MIN(E22*(1+E$8),MAX(Q23,$B$11-SUM(X23:Z23)-SUM(R23:W23)))</f>
        <v>95</v>
      </c>
      <c r="AB23" s="27" t="n">
        <f aca="false">MIN(F22*(1+F$8),MAX(R23,$B$11-SUM(X23:AA23)-SUM(S23:W23)))</f>
        <v>310</v>
      </c>
      <c r="AC23" s="27" t="n">
        <f aca="false">MIN(G22*(1+G$8),MAX(S23,$B$11-SUM(X23:AB23)-SUM(T23:W23)))</f>
        <v>0</v>
      </c>
      <c r="AD23" s="27" t="n">
        <f aca="false">MIN(H22*(1+H$8),MAX(T23,$B$11-SUM(X23:AC23)-SUM(U23:W23)))</f>
        <v>0</v>
      </c>
      <c r="AE23" s="27" t="n">
        <f aca="false">MIN(I22*(1+I$8),MAX(U23,$B$11-SUM(X23:AD23)-SUM(V23:W23)))</f>
        <v>0</v>
      </c>
      <c r="AF23" s="27" t="n">
        <f aca="false">MIN(J22*(1+J$8),MAX(V23,$B$11-SUM(X23:AE23)-SUM(W23:W23)))</f>
        <v>0</v>
      </c>
      <c r="AG23" s="27" t="n">
        <f aca="false">MIN(K22*(1+K$8),MAX(W23,$B$11-SUM(X23:AF23)))</f>
        <v>0</v>
      </c>
      <c r="AI23" s="27" t="n">
        <f aca="false">ROUND(MAX(0,AI22*(1+B$8)-BE23),2)</f>
        <v>441.12</v>
      </c>
      <c r="AJ23" s="27" t="n">
        <f aca="false">ROUND(MAX(0,AJ22*(1+C$8)-BF23),2)</f>
        <v>750</v>
      </c>
      <c r="AK23" s="27" t="n">
        <f aca="false">ROUND(MAX(0,AK22*(1+D$8)-BG23),2)</f>
        <v>2688</v>
      </c>
      <c r="AL23" s="27" t="n">
        <f aca="false">ROUND(MAX(0,AL22*(1+E$8)-BH23),2)</f>
        <v>3904.59</v>
      </c>
      <c r="AM23" s="27" t="n">
        <f aca="false">ROUND(MAX(0,AM22*(1+F$8)-BI23),2)</f>
        <v>7042.76</v>
      </c>
      <c r="AN23" s="27" t="n">
        <f aca="false">ROUND(MAX(0,AN22*(1+G$8)-BJ23),2)</f>
        <v>0</v>
      </c>
      <c r="AO23" s="27" t="n">
        <f aca="false">ROUND(MAX(0,AO22*(1+H$8)-BK23),2)</f>
        <v>0</v>
      </c>
      <c r="AP23" s="27" t="n">
        <f aca="false">ROUND(MAX(0,AP22*(1+I$8)-BL23),2)</f>
        <v>0</v>
      </c>
      <c r="AQ23" s="27" t="n">
        <f aca="false">ROUND(MAX(0,AQ22*(1+J$8)-BM23),2)</f>
        <v>0</v>
      </c>
      <c r="AR23" s="27" t="n">
        <f aca="false">ROUND(MAX(0,AR22*(1+K$8)-BN23),2)</f>
        <v>0</v>
      </c>
      <c r="AS23" s="27" t="n">
        <f aca="false">SUM(AI23:AR23)</f>
        <v>14826.47</v>
      </c>
      <c r="AT23" s="27" t="n">
        <f aca="false">SUMPRODUCT(AI22:AR22,$B$8:$K$8)</f>
        <v>180.0429725</v>
      </c>
      <c r="AU23" s="27" t="n">
        <f aca="false">MIN(AI22*(1+B$8),B$9)</f>
        <v>35</v>
      </c>
      <c r="AV23" s="27" t="n">
        <f aca="false">MIN(AJ22*(1+C$8),C$9)</f>
        <v>50</v>
      </c>
      <c r="AW23" s="27" t="n">
        <f aca="false">MIN(AK22*(1+D$8),D$9)</f>
        <v>75</v>
      </c>
      <c r="AX23" s="27" t="n">
        <f aca="false">MIN(AL22*(1+E$8),E$9)</f>
        <v>95</v>
      </c>
      <c r="AY23" s="27" t="n">
        <f aca="false">MIN(AM22*(1+F$8),F$9)</f>
        <v>310</v>
      </c>
      <c r="AZ23" s="27" t="n">
        <f aca="false">MIN(AN22*(1+G$8),G$9)</f>
        <v>0</v>
      </c>
      <c r="BA23" s="27" t="n">
        <f aca="false">MIN(AO22*(1+H$8),H$9)</f>
        <v>0</v>
      </c>
      <c r="BB23" s="27" t="n">
        <f aca="false">MIN(AP22*(1+I$8),I$9)</f>
        <v>0</v>
      </c>
      <c r="BC23" s="27" t="n">
        <f aca="false">MIN(AQ22*(1+J$8),J$9)</f>
        <v>0</v>
      </c>
      <c r="BD23" s="27" t="n">
        <f aca="false">MIN(AR22*(1+K$8),K$9)</f>
        <v>0</v>
      </c>
      <c r="BE23" s="27" t="n">
        <f aca="false">MIN(AI22*(1+B$8),MAX(AU23,$B$12-SUM(AV23:BD23)))</f>
        <v>35</v>
      </c>
      <c r="BF23" s="27" t="n">
        <f aca="false">MIN(AJ22*(1+C$8),MAX(AV23,$B$12-SUM(BE23:BE23)-SUM(AW23:BD23)))</f>
        <v>50</v>
      </c>
      <c r="BG23" s="27" t="n">
        <f aca="false">MIN(AK22*(1+D$8),MAX(AW23,$B$12-SUM(BE23:BF23)-SUM(AX23:BD23)))</f>
        <v>75</v>
      </c>
      <c r="BH23" s="27" t="n">
        <f aca="false">MIN(AL22*(1+E$8),MAX(AX23,$B$12-SUM(BE23:BG23)-SUM(AY23:BD23)))</f>
        <v>95</v>
      </c>
      <c r="BI23" s="27" t="n">
        <f aca="false">MIN(AM22*(1+F$8),MAX(AY23,$B$12-SUM(BE23:BH23)-SUM(AZ23:BD23)))</f>
        <v>310</v>
      </c>
      <c r="BJ23" s="27" t="n">
        <f aca="false">MIN(AN22*(1+G$8),MAX(AZ23,$B$12-SUM(BE23:BI23)-SUM(BA23:BD23)))</f>
        <v>0</v>
      </c>
      <c r="BK23" s="27" t="n">
        <f aca="false">MIN(AO22*(1+H$8),MAX(BA23,$B$12-SUM(BE23:BJ23)-SUM(BB23:BD23)))</f>
        <v>0</v>
      </c>
      <c r="BL23" s="27" t="n">
        <f aca="false">MIN(AP22*(1+I$8),MAX(BB23,$B$12-SUM(BE23:BK23)-SUM(BC23:BD23)))</f>
        <v>0</v>
      </c>
      <c r="BM23" s="27" t="n">
        <f aca="false">MIN(AQ22*(1+J$8),MAX(BC23,$B$12-SUM(BE23:BL23)-SUM(BD23:BD23)))</f>
        <v>0</v>
      </c>
      <c r="BN23" s="27" t="n">
        <f aca="false">MIN(AR22*(1+K$8),MAX(BD23,$B$12-SUM(BE23:BM23)))</f>
        <v>0</v>
      </c>
    </row>
    <row r="24" customFormat="false" ht="15" hidden="false" customHeight="false" outlineLevel="0" collapsed="false">
      <c r="A24" s="0" t="n">
        <v>10</v>
      </c>
      <c r="B24" s="27" t="n">
        <f aca="false">ROUND(MAX(0,B23*(1+B$8)-X24),2)</f>
        <v>0</v>
      </c>
      <c r="C24" s="27" t="n">
        <f aca="false">ROUND(MAX(0,C23*(1+C$8)-Y24),2)</f>
        <v>0</v>
      </c>
      <c r="D24" s="27" t="n">
        <f aca="false">ROUND(MAX(0,D23*(1+D$8)-Z24),2)</f>
        <v>2188.52</v>
      </c>
      <c r="E24" s="27" t="n">
        <f aca="false">ROUND(MAX(0,E23*(1+E$8)-AA24),2)</f>
        <v>3880.85</v>
      </c>
      <c r="F24" s="27" t="n">
        <f aca="false">ROUND(MAX(0,F23*(1+F$8)-AB24),2)</f>
        <v>6773.26</v>
      </c>
      <c r="G24" s="27" t="n">
        <f aca="false">ROUND(MAX(0,G23*(1+G$8)-AC24),2)</f>
        <v>0</v>
      </c>
      <c r="H24" s="27" t="n">
        <f aca="false">ROUND(MAX(0,H23*(1+H$8)-AD24),2)</f>
        <v>0</v>
      </c>
      <c r="I24" s="27" t="n">
        <f aca="false">ROUND(MAX(0,I23*(1+I$8)-AE24),2)</f>
        <v>0</v>
      </c>
      <c r="J24" s="27" t="n">
        <f aca="false">ROUND(MAX(0,J23*(1+J$8)-AF24),2)</f>
        <v>0</v>
      </c>
      <c r="K24" s="27" t="n">
        <f aca="false">ROUND(MAX(0,K23*(1+K$8)-AG24),2)</f>
        <v>0</v>
      </c>
      <c r="L24" s="30" t="n">
        <f aca="false">SUM(B24:K24)</f>
        <v>12842.63</v>
      </c>
      <c r="M24" s="27" t="n">
        <f aca="false">SUMPRODUCT(B23:K23,$B$8:$K$8)</f>
        <v>161.9454025</v>
      </c>
      <c r="N24" s="27" t="n">
        <f aca="false">MIN(B23*(1+B$8),B$9)</f>
        <v>0</v>
      </c>
      <c r="O24" s="27" t="n">
        <f aca="false">MIN(C23*(1+C$8),C$9)</f>
        <v>0</v>
      </c>
      <c r="P24" s="27" t="n">
        <f aca="false">MIN(D23*(1+D$8),D$9)</f>
        <v>75</v>
      </c>
      <c r="Q24" s="27" t="n">
        <f aca="false">MIN(E23*(1+E$8),E$9)</f>
        <v>95</v>
      </c>
      <c r="R24" s="27" t="n">
        <f aca="false">MIN(F23*(1+F$8),F$9)</f>
        <v>310</v>
      </c>
      <c r="S24" s="27" t="n">
        <f aca="false">MIN(G23*(1+G$8),G$9)</f>
        <v>0</v>
      </c>
      <c r="T24" s="27" t="n">
        <f aca="false">MIN(H23*(1+H$8),H$9)</f>
        <v>0</v>
      </c>
      <c r="U24" s="27" t="n">
        <f aca="false">MIN(I23*(1+I$8),I$9)</f>
        <v>0</v>
      </c>
      <c r="V24" s="27" t="n">
        <f aca="false">MIN(J23*(1+J$8),J$9)</f>
        <v>0</v>
      </c>
      <c r="W24" s="27" t="n">
        <f aca="false">MIN(K23*(1+K$8),K$9)</f>
        <v>0</v>
      </c>
      <c r="X24" s="27" t="n">
        <f aca="false">MIN(B23*(1+B$8),MAX(N24,$B$11-SUM(O24:W24)))</f>
        <v>0</v>
      </c>
      <c r="Y24" s="27" t="n">
        <f aca="false">MIN(C23*(1+C$8),MAX(O24,$B$11-SUM(X24:X24)-SUM(P24:W24)))</f>
        <v>0</v>
      </c>
      <c r="Z24" s="27" t="n">
        <f aca="false">MIN(D23*(1+D$8),MAX(P24,$B$11-SUM(X24:Y24)-SUM(Q24:W24)))</f>
        <v>310</v>
      </c>
      <c r="AA24" s="27" t="n">
        <f aca="false">MIN(E23*(1+E$8),MAX(Q24,$B$11-SUM(X24:Z24)-SUM(R24:W24)))</f>
        <v>95</v>
      </c>
      <c r="AB24" s="27" t="n">
        <f aca="false">MIN(F23*(1+F$8),MAX(R24,$B$11-SUM(X24:AA24)-SUM(S24:W24)))</f>
        <v>310</v>
      </c>
      <c r="AC24" s="27" t="n">
        <f aca="false">MIN(G23*(1+G$8),MAX(S24,$B$11-SUM(X24:AB24)-SUM(T24:W24)))</f>
        <v>0</v>
      </c>
      <c r="AD24" s="27" t="n">
        <f aca="false">MIN(H23*(1+H$8),MAX(T24,$B$11-SUM(X24:AC24)-SUM(U24:W24)))</f>
        <v>0</v>
      </c>
      <c r="AE24" s="27" t="n">
        <f aca="false">MIN(I23*(1+I$8),MAX(U24,$B$11-SUM(X24:AD24)-SUM(V24:W24)))</f>
        <v>0</v>
      </c>
      <c r="AF24" s="27" t="n">
        <f aca="false">MIN(J23*(1+J$8),MAX(V24,$B$11-SUM(X24:AE24)-SUM(W24:W24)))</f>
        <v>0</v>
      </c>
      <c r="AG24" s="27" t="n">
        <f aca="false">MIN(K23*(1+K$8),MAX(W24,$B$11-SUM(X24:AF24)))</f>
        <v>0</v>
      </c>
      <c r="AI24" s="27" t="n">
        <f aca="false">ROUND(MAX(0,AI23*(1+B$8)-BE24),2)</f>
        <v>416.38</v>
      </c>
      <c r="AJ24" s="27" t="n">
        <f aca="false">ROUND(MAX(0,AJ23*(1+C$8)-BF24),2)</f>
        <v>700</v>
      </c>
      <c r="AK24" s="27" t="n">
        <f aca="false">ROUND(MAX(0,AK23*(1+D$8)-BG24),2)</f>
        <v>2668.1</v>
      </c>
      <c r="AL24" s="27" t="n">
        <f aca="false">ROUND(MAX(0,AL23*(1+E$8)-BH24),2)</f>
        <v>3880.85</v>
      </c>
      <c r="AM24" s="27" t="n">
        <f aca="false">ROUND(MAX(0,AM23*(1+F$8)-BI24),2)</f>
        <v>6773.26</v>
      </c>
      <c r="AN24" s="27" t="n">
        <f aca="false">ROUND(MAX(0,AN23*(1+G$8)-BJ24),2)</f>
        <v>0</v>
      </c>
      <c r="AO24" s="27" t="n">
        <f aca="false">ROUND(MAX(0,AO23*(1+H$8)-BK24),2)</f>
        <v>0</v>
      </c>
      <c r="AP24" s="27" t="n">
        <f aca="false">ROUND(MAX(0,AP23*(1+I$8)-BL24),2)</f>
        <v>0</v>
      </c>
      <c r="AQ24" s="27" t="n">
        <f aca="false">ROUND(MAX(0,AQ23*(1+J$8)-BM24),2)</f>
        <v>0</v>
      </c>
      <c r="AR24" s="27" t="n">
        <f aca="false">ROUND(MAX(0,AR23*(1+K$8)-BN24),2)</f>
        <v>0</v>
      </c>
      <c r="AS24" s="27" t="n">
        <f aca="false">SUM(AI24:AR24)</f>
        <v>14438.59</v>
      </c>
      <c r="AT24" s="27" t="n">
        <f aca="false">SUMPRODUCT(AI23:AR23,$B$8:$K$8)</f>
        <v>177.1146775</v>
      </c>
      <c r="AU24" s="27" t="n">
        <f aca="false">MIN(AI23*(1+B$8),B$9)</f>
        <v>35</v>
      </c>
      <c r="AV24" s="27" t="n">
        <f aca="false">MIN(AJ23*(1+C$8),C$9)</f>
        <v>50</v>
      </c>
      <c r="AW24" s="27" t="n">
        <f aca="false">MIN(AK23*(1+D$8),D$9)</f>
        <v>75</v>
      </c>
      <c r="AX24" s="27" t="n">
        <f aca="false">MIN(AL23*(1+E$8),E$9)</f>
        <v>95</v>
      </c>
      <c r="AY24" s="27" t="n">
        <f aca="false">MIN(AM23*(1+F$8),F$9)</f>
        <v>310</v>
      </c>
      <c r="AZ24" s="27" t="n">
        <f aca="false">MIN(AN23*(1+G$8),G$9)</f>
        <v>0</v>
      </c>
      <c r="BA24" s="27" t="n">
        <f aca="false">MIN(AO23*(1+H$8),H$9)</f>
        <v>0</v>
      </c>
      <c r="BB24" s="27" t="n">
        <f aca="false">MIN(AP23*(1+I$8),I$9)</f>
        <v>0</v>
      </c>
      <c r="BC24" s="27" t="n">
        <f aca="false">MIN(AQ23*(1+J$8),J$9)</f>
        <v>0</v>
      </c>
      <c r="BD24" s="27" t="n">
        <f aca="false">MIN(AR23*(1+K$8),K$9)</f>
        <v>0</v>
      </c>
      <c r="BE24" s="27" t="n">
        <f aca="false">MIN(AI23*(1+B$8),MAX(AU24,$B$12-SUM(AV24:BD24)))</f>
        <v>35</v>
      </c>
      <c r="BF24" s="27" t="n">
        <f aca="false">MIN(AJ23*(1+C$8),MAX(AV24,$B$12-SUM(BE24:BE24)-SUM(AW24:BD24)))</f>
        <v>50</v>
      </c>
      <c r="BG24" s="27" t="n">
        <f aca="false">MIN(AK23*(1+D$8),MAX(AW24,$B$12-SUM(BE24:BF24)-SUM(AX24:BD24)))</f>
        <v>75</v>
      </c>
      <c r="BH24" s="27" t="n">
        <f aca="false">MIN(AL23*(1+E$8),MAX(AX24,$B$12-SUM(BE24:BG24)-SUM(AY24:BD24)))</f>
        <v>95</v>
      </c>
      <c r="BI24" s="27" t="n">
        <f aca="false">MIN(AM23*(1+F$8),MAX(AY24,$B$12-SUM(BE24:BH24)-SUM(AZ24:BD24)))</f>
        <v>310</v>
      </c>
      <c r="BJ24" s="27" t="n">
        <f aca="false">MIN(AN23*(1+G$8),MAX(AZ24,$B$12-SUM(BE24:BI24)-SUM(BA24:BD24)))</f>
        <v>0</v>
      </c>
      <c r="BK24" s="27" t="n">
        <f aca="false">MIN(AO23*(1+H$8),MAX(BA24,$B$12-SUM(BE24:BJ24)-SUM(BB24:BD24)))</f>
        <v>0</v>
      </c>
      <c r="BL24" s="27" t="n">
        <f aca="false">MIN(AP23*(1+I$8),MAX(BB24,$B$12-SUM(BE24:BK24)-SUM(BC24:BD24)))</f>
        <v>0</v>
      </c>
      <c r="BM24" s="27" t="n">
        <f aca="false">MIN(AQ23*(1+J$8),MAX(BC24,$B$12-SUM(BE24:BL24)-SUM(BD24:BD24)))</f>
        <v>0</v>
      </c>
      <c r="BN24" s="27" t="n">
        <f aca="false">MIN(AR23*(1+K$8),MAX(BD24,$B$12-SUM(BE24:BM24)))</f>
        <v>0</v>
      </c>
    </row>
    <row r="25" customFormat="false" ht="15" hidden="false" customHeight="false" outlineLevel="0" collapsed="false">
      <c r="A25" s="0" t="n">
        <v>11</v>
      </c>
      <c r="B25" s="27" t="n">
        <f aca="false">ROUND(MAX(0,B24*(1+B$8)-X25),2)</f>
        <v>0</v>
      </c>
      <c r="C25" s="27" t="n">
        <f aca="false">ROUND(MAX(0,C24*(1+C$8)-Y25),2)</f>
        <v>0</v>
      </c>
      <c r="D25" s="27" t="n">
        <f aca="false">ROUND(MAX(0,D24*(1+D$8)-Z25),2)</f>
        <v>1923.38</v>
      </c>
      <c r="E25" s="27" t="n">
        <f aca="false">ROUND(MAX(0,E24*(1+E$8)-AA25),2)</f>
        <v>3856.68</v>
      </c>
      <c r="F25" s="27" t="n">
        <f aca="false">ROUND(MAX(0,F24*(1+F$8)-AB25),2)</f>
        <v>6502.21</v>
      </c>
      <c r="G25" s="27" t="n">
        <f aca="false">ROUND(MAX(0,G24*(1+G$8)-AC25),2)</f>
        <v>0</v>
      </c>
      <c r="H25" s="27" t="n">
        <f aca="false">ROUND(MAX(0,H24*(1+H$8)-AD25),2)</f>
        <v>0</v>
      </c>
      <c r="I25" s="27" t="n">
        <f aca="false">ROUND(MAX(0,I24*(1+I$8)-AE25),2)</f>
        <v>0</v>
      </c>
      <c r="J25" s="27" t="n">
        <f aca="false">ROUND(MAX(0,J24*(1+J$8)-AF25),2)</f>
        <v>0</v>
      </c>
      <c r="K25" s="27" t="n">
        <f aca="false">ROUND(MAX(0,K24*(1+K$8)-AG25),2)</f>
        <v>0</v>
      </c>
      <c r="L25" s="30" t="n">
        <f aca="false">SUM(B25:K25)</f>
        <v>12282.27</v>
      </c>
      <c r="M25" s="27" t="n">
        <f aca="false">SUMPRODUCT(B24:K24,$B$8:$K$8)</f>
        <v>154.6364175</v>
      </c>
      <c r="N25" s="27" t="n">
        <f aca="false">MIN(B24*(1+B$8),B$9)</f>
        <v>0</v>
      </c>
      <c r="O25" s="27" t="n">
        <f aca="false">MIN(C24*(1+C$8),C$9)</f>
        <v>0</v>
      </c>
      <c r="P25" s="27" t="n">
        <f aca="false">MIN(D24*(1+D$8),D$9)</f>
        <v>75</v>
      </c>
      <c r="Q25" s="27" t="n">
        <f aca="false">MIN(E24*(1+E$8),E$9)</f>
        <v>95</v>
      </c>
      <c r="R25" s="27" t="n">
        <f aca="false">MIN(F24*(1+F$8),F$9)</f>
        <v>310</v>
      </c>
      <c r="S25" s="27" t="n">
        <f aca="false">MIN(G24*(1+G$8),G$9)</f>
        <v>0</v>
      </c>
      <c r="T25" s="27" t="n">
        <f aca="false">MIN(H24*(1+H$8),H$9)</f>
        <v>0</v>
      </c>
      <c r="U25" s="27" t="n">
        <f aca="false">MIN(I24*(1+I$8),I$9)</f>
        <v>0</v>
      </c>
      <c r="V25" s="27" t="n">
        <f aca="false">MIN(J24*(1+J$8),J$9)</f>
        <v>0</v>
      </c>
      <c r="W25" s="27" t="n">
        <f aca="false">MIN(K24*(1+K$8),K$9)</f>
        <v>0</v>
      </c>
      <c r="X25" s="27" t="n">
        <f aca="false">MIN(B24*(1+B$8),MAX(N25,$B$11-SUM(O25:W25)))</f>
        <v>0</v>
      </c>
      <c r="Y25" s="27" t="n">
        <f aca="false">MIN(C24*(1+C$8),MAX(O25,$B$11-SUM(X25:X25)-SUM(P25:W25)))</f>
        <v>0</v>
      </c>
      <c r="Z25" s="27" t="n">
        <f aca="false">MIN(D24*(1+D$8),MAX(P25,$B$11-SUM(X25:Y25)-SUM(Q25:W25)))</f>
        <v>310</v>
      </c>
      <c r="AA25" s="27" t="n">
        <f aca="false">MIN(E24*(1+E$8),MAX(Q25,$B$11-SUM(X25:Z25)-SUM(R25:W25)))</f>
        <v>95</v>
      </c>
      <c r="AB25" s="27" t="n">
        <f aca="false">MIN(F24*(1+F$8),MAX(R25,$B$11-SUM(X25:AA25)-SUM(S25:W25)))</f>
        <v>310</v>
      </c>
      <c r="AC25" s="27" t="n">
        <f aca="false">MIN(G24*(1+G$8),MAX(S25,$B$11-SUM(X25:AB25)-SUM(T25:W25)))</f>
        <v>0</v>
      </c>
      <c r="AD25" s="27" t="n">
        <f aca="false">MIN(H24*(1+H$8),MAX(T25,$B$11-SUM(X25:AC25)-SUM(U25:W25)))</f>
        <v>0</v>
      </c>
      <c r="AE25" s="27" t="n">
        <f aca="false">MIN(I24*(1+I$8),MAX(U25,$B$11-SUM(X25:AD25)-SUM(V25:W25)))</f>
        <v>0</v>
      </c>
      <c r="AF25" s="27" t="n">
        <f aca="false">MIN(J24*(1+J$8),MAX(V25,$B$11-SUM(X25:AE25)-SUM(W25:W25)))</f>
        <v>0</v>
      </c>
      <c r="AG25" s="27" t="n">
        <f aca="false">MIN(K24*(1+K$8),MAX(W25,$B$11-SUM(X25:AF25)))</f>
        <v>0</v>
      </c>
      <c r="AI25" s="27" t="n">
        <f aca="false">ROUND(MAX(0,AI24*(1+B$8)-BE25),2)</f>
        <v>391.06</v>
      </c>
      <c r="AJ25" s="27" t="n">
        <f aca="false">ROUND(MAX(0,AJ24*(1+C$8)-BF25),2)</f>
        <v>650</v>
      </c>
      <c r="AK25" s="27" t="n">
        <f aca="false">ROUND(MAX(0,AK24*(1+D$8)-BG25),2)</f>
        <v>2647.8</v>
      </c>
      <c r="AL25" s="27" t="n">
        <f aca="false">ROUND(MAX(0,AL24*(1+E$8)-BH25),2)</f>
        <v>3856.68</v>
      </c>
      <c r="AM25" s="27" t="n">
        <f aca="false">ROUND(MAX(0,AM24*(1+F$8)-BI25),2)</f>
        <v>6502.21</v>
      </c>
      <c r="AN25" s="27" t="n">
        <f aca="false">ROUND(MAX(0,AN24*(1+G$8)-BJ25),2)</f>
        <v>0</v>
      </c>
      <c r="AO25" s="27" t="n">
        <f aca="false">ROUND(MAX(0,AO24*(1+H$8)-BK25),2)</f>
        <v>0</v>
      </c>
      <c r="AP25" s="27" t="n">
        <f aca="false">ROUND(MAX(0,AP24*(1+I$8)-BL25),2)</f>
        <v>0</v>
      </c>
      <c r="AQ25" s="27" t="n">
        <f aca="false">ROUND(MAX(0,AQ24*(1+J$8)-BM25),2)</f>
        <v>0</v>
      </c>
      <c r="AR25" s="27" t="n">
        <f aca="false">ROUND(MAX(0,AR24*(1+K$8)-BN25),2)</f>
        <v>0</v>
      </c>
      <c r="AS25" s="27" t="n">
        <f aca="false">SUM(AI25:AR25)</f>
        <v>14047.75</v>
      </c>
      <c r="AT25" s="27" t="n">
        <f aca="false">SUMPRODUCT(AI24:AR24,$B$8:$K$8)</f>
        <v>174.1486425</v>
      </c>
      <c r="AU25" s="27" t="n">
        <f aca="false">MIN(AI24*(1+B$8),B$9)</f>
        <v>35</v>
      </c>
      <c r="AV25" s="27" t="n">
        <f aca="false">MIN(AJ24*(1+C$8),C$9)</f>
        <v>50</v>
      </c>
      <c r="AW25" s="27" t="n">
        <f aca="false">MIN(AK24*(1+D$8),D$9)</f>
        <v>75</v>
      </c>
      <c r="AX25" s="27" t="n">
        <f aca="false">MIN(AL24*(1+E$8),E$9)</f>
        <v>95</v>
      </c>
      <c r="AY25" s="27" t="n">
        <f aca="false">MIN(AM24*(1+F$8),F$9)</f>
        <v>310</v>
      </c>
      <c r="AZ25" s="27" t="n">
        <f aca="false">MIN(AN24*(1+G$8),G$9)</f>
        <v>0</v>
      </c>
      <c r="BA25" s="27" t="n">
        <f aca="false">MIN(AO24*(1+H$8),H$9)</f>
        <v>0</v>
      </c>
      <c r="BB25" s="27" t="n">
        <f aca="false">MIN(AP24*(1+I$8),I$9)</f>
        <v>0</v>
      </c>
      <c r="BC25" s="27" t="n">
        <f aca="false">MIN(AQ24*(1+J$8),J$9)</f>
        <v>0</v>
      </c>
      <c r="BD25" s="27" t="n">
        <f aca="false">MIN(AR24*(1+K$8),K$9)</f>
        <v>0</v>
      </c>
      <c r="BE25" s="27" t="n">
        <f aca="false">MIN(AI24*(1+B$8),MAX(AU25,$B$12-SUM(AV25:BD25)))</f>
        <v>35</v>
      </c>
      <c r="BF25" s="27" t="n">
        <f aca="false">MIN(AJ24*(1+C$8),MAX(AV25,$B$12-SUM(BE25:BE25)-SUM(AW25:BD25)))</f>
        <v>50</v>
      </c>
      <c r="BG25" s="27" t="n">
        <f aca="false">MIN(AK24*(1+D$8),MAX(AW25,$B$12-SUM(BE25:BF25)-SUM(AX25:BD25)))</f>
        <v>75</v>
      </c>
      <c r="BH25" s="27" t="n">
        <f aca="false">MIN(AL24*(1+E$8),MAX(AX25,$B$12-SUM(BE25:BG25)-SUM(AY25:BD25)))</f>
        <v>95</v>
      </c>
      <c r="BI25" s="27" t="n">
        <f aca="false">MIN(AM24*(1+F$8),MAX(AY25,$B$12-SUM(BE25:BH25)-SUM(AZ25:BD25)))</f>
        <v>310</v>
      </c>
      <c r="BJ25" s="27" t="n">
        <f aca="false">MIN(AN24*(1+G$8),MAX(AZ25,$B$12-SUM(BE25:BI25)-SUM(BA25:BD25)))</f>
        <v>0</v>
      </c>
      <c r="BK25" s="27" t="n">
        <f aca="false">MIN(AO24*(1+H$8),MAX(BA25,$B$12-SUM(BE25:BJ25)-SUM(BB25:BD25)))</f>
        <v>0</v>
      </c>
      <c r="BL25" s="27" t="n">
        <f aca="false">MIN(AP24*(1+I$8),MAX(BB25,$B$12-SUM(BE25:BK25)-SUM(BC25:BD25)))</f>
        <v>0</v>
      </c>
      <c r="BM25" s="27" t="n">
        <f aca="false">MIN(AQ24*(1+J$8),MAX(BC25,$B$12-SUM(BE25:BL25)-SUM(BD25:BD25)))</f>
        <v>0</v>
      </c>
      <c r="BN25" s="27" t="n">
        <f aca="false">MIN(AR24*(1+K$8),MAX(BD25,$B$12-SUM(BE25:BM25)))</f>
        <v>0</v>
      </c>
    </row>
    <row r="26" customFormat="false" ht="15" hidden="false" customHeight="false" outlineLevel="0" collapsed="false">
      <c r="A26" s="0" t="n">
        <v>12</v>
      </c>
      <c r="B26" s="27" t="n">
        <f aca="false">ROUND(MAX(0,B25*(1+B$8)-X26),2)</f>
        <v>0</v>
      </c>
      <c r="C26" s="27" t="n">
        <f aca="false">ROUND(MAX(0,C25*(1+C$8)-Y26),2)</f>
        <v>0</v>
      </c>
      <c r="D26" s="27" t="n">
        <f aca="false">ROUND(MAX(0,D25*(1+D$8)-Z26),2)</f>
        <v>1652.81</v>
      </c>
      <c r="E26" s="27" t="n">
        <f aca="false">ROUND(MAX(0,E25*(1+E$8)-AA26),2)</f>
        <v>3832.06</v>
      </c>
      <c r="F26" s="27" t="n">
        <f aca="false">ROUND(MAX(0,F25*(1+F$8)-AB26),2)</f>
        <v>6229.6</v>
      </c>
      <c r="G26" s="27" t="n">
        <f aca="false">ROUND(MAX(0,G25*(1+G$8)-AC26),2)</f>
        <v>0</v>
      </c>
      <c r="H26" s="27" t="n">
        <f aca="false">ROUND(MAX(0,H25*(1+H$8)-AD26),2)</f>
        <v>0</v>
      </c>
      <c r="I26" s="27" t="n">
        <f aca="false">ROUND(MAX(0,I25*(1+I$8)-AE26),2)</f>
        <v>0</v>
      </c>
      <c r="J26" s="27" t="n">
        <f aca="false">ROUND(MAX(0,J25*(1+J$8)-AF26),2)</f>
        <v>0</v>
      </c>
      <c r="K26" s="27" t="n">
        <f aca="false">ROUND(MAX(0,K25*(1+K$8)-AG26),2)</f>
        <v>0</v>
      </c>
      <c r="L26" s="30" t="n">
        <f aca="false">SUM(B26:K26)</f>
        <v>11714.47</v>
      </c>
      <c r="M26" s="27" t="n">
        <f aca="false">SUMPRODUCT(B25:K25,$B$8:$K$8)</f>
        <v>147.2014075</v>
      </c>
      <c r="N26" s="27" t="n">
        <f aca="false">MIN(B25*(1+B$8),B$9)</f>
        <v>0</v>
      </c>
      <c r="O26" s="27" t="n">
        <f aca="false">MIN(C25*(1+C$8),C$9)</f>
        <v>0</v>
      </c>
      <c r="P26" s="27" t="n">
        <f aca="false">MIN(D25*(1+D$8),D$9)</f>
        <v>75</v>
      </c>
      <c r="Q26" s="27" t="n">
        <f aca="false">MIN(E25*(1+E$8),E$9)</f>
        <v>95</v>
      </c>
      <c r="R26" s="27" t="n">
        <f aca="false">MIN(F25*(1+F$8),F$9)</f>
        <v>310</v>
      </c>
      <c r="S26" s="27" t="n">
        <f aca="false">MIN(G25*(1+G$8),G$9)</f>
        <v>0</v>
      </c>
      <c r="T26" s="27" t="n">
        <f aca="false">MIN(H25*(1+H$8),H$9)</f>
        <v>0</v>
      </c>
      <c r="U26" s="27" t="n">
        <f aca="false">MIN(I25*(1+I$8),I$9)</f>
        <v>0</v>
      </c>
      <c r="V26" s="27" t="n">
        <f aca="false">MIN(J25*(1+J$8),J$9)</f>
        <v>0</v>
      </c>
      <c r="W26" s="27" t="n">
        <f aca="false">MIN(K25*(1+K$8),K$9)</f>
        <v>0</v>
      </c>
      <c r="X26" s="27" t="n">
        <f aca="false">MIN(B25*(1+B$8),MAX(N26,$B$11-SUM(O26:W26)))</f>
        <v>0</v>
      </c>
      <c r="Y26" s="27" t="n">
        <f aca="false">MIN(C25*(1+C$8),MAX(O26,$B$11-SUM(X26:X26)-SUM(P26:W26)))</f>
        <v>0</v>
      </c>
      <c r="Z26" s="27" t="n">
        <f aca="false">MIN(D25*(1+D$8),MAX(P26,$B$11-SUM(X26:Y26)-SUM(Q26:W26)))</f>
        <v>310</v>
      </c>
      <c r="AA26" s="27" t="n">
        <f aca="false">MIN(E25*(1+E$8),MAX(Q26,$B$11-SUM(X26:Z26)-SUM(R26:W26)))</f>
        <v>95</v>
      </c>
      <c r="AB26" s="27" t="n">
        <f aca="false">MIN(F25*(1+F$8),MAX(R26,$B$11-SUM(X26:AA26)-SUM(S26:W26)))</f>
        <v>310</v>
      </c>
      <c r="AC26" s="27" t="n">
        <f aca="false">MIN(G25*(1+G$8),MAX(S26,$B$11-SUM(X26:AB26)-SUM(T26:W26)))</f>
        <v>0</v>
      </c>
      <c r="AD26" s="27" t="n">
        <f aca="false">MIN(H25*(1+H$8),MAX(T26,$B$11-SUM(X26:AC26)-SUM(U26:W26)))</f>
        <v>0</v>
      </c>
      <c r="AE26" s="27" t="n">
        <f aca="false">MIN(I25*(1+I$8),MAX(U26,$B$11-SUM(X26:AD26)-SUM(V26:W26)))</f>
        <v>0</v>
      </c>
      <c r="AF26" s="27" t="n">
        <f aca="false">MIN(J25*(1+J$8),MAX(V26,$B$11-SUM(X26:AE26)-SUM(W26:W26)))</f>
        <v>0</v>
      </c>
      <c r="AG26" s="27" t="n">
        <f aca="false">MIN(K25*(1+K$8),MAX(W26,$B$11-SUM(X26:AF26)))</f>
        <v>0</v>
      </c>
      <c r="AI26" s="27" t="n">
        <f aca="false">ROUND(MAX(0,AI25*(1+B$8)-BE26),2)</f>
        <v>365.15</v>
      </c>
      <c r="AJ26" s="27" t="n">
        <f aca="false">ROUND(MAX(0,AJ25*(1+C$8)-BF26),2)</f>
        <v>600</v>
      </c>
      <c r="AK26" s="27" t="n">
        <f aca="false">ROUND(MAX(0,AK25*(1+D$8)-BG26),2)</f>
        <v>2627.08</v>
      </c>
      <c r="AL26" s="27" t="n">
        <f aca="false">ROUND(MAX(0,AL25*(1+E$8)-BH26),2)</f>
        <v>3832.06</v>
      </c>
      <c r="AM26" s="27" t="n">
        <f aca="false">ROUND(MAX(0,AM25*(1+F$8)-BI26),2)</f>
        <v>6229.6</v>
      </c>
      <c r="AN26" s="27" t="n">
        <f aca="false">ROUND(MAX(0,AN25*(1+G$8)-BJ26),2)</f>
        <v>0</v>
      </c>
      <c r="AO26" s="27" t="n">
        <f aca="false">ROUND(MAX(0,AO25*(1+H$8)-BK26),2)</f>
        <v>0</v>
      </c>
      <c r="AP26" s="27" t="n">
        <f aca="false">ROUND(MAX(0,AP25*(1+I$8)-BL26),2)</f>
        <v>0</v>
      </c>
      <c r="AQ26" s="27" t="n">
        <f aca="false">ROUND(MAX(0,AQ25*(1+J$8)-BM26),2)</f>
        <v>0</v>
      </c>
      <c r="AR26" s="27" t="n">
        <f aca="false">ROUND(MAX(0,AR25*(1+K$8)-BN26),2)</f>
        <v>0</v>
      </c>
      <c r="AS26" s="27" t="n">
        <f aca="false">SUM(AI26:AR26)</f>
        <v>13653.89</v>
      </c>
      <c r="AT26" s="27" t="n">
        <f aca="false">SUMPRODUCT(AI25:AR25,$B$8:$K$8)</f>
        <v>171.1441625</v>
      </c>
      <c r="AU26" s="27" t="n">
        <f aca="false">MIN(AI25*(1+B$8),B$9)</f>
        <v>35</v>
      </c>
      <c r="AV26" s="27" t="n">
        <f aca="false">MIN(AJ25*(1+C$8),C$9)</f>
        <v>50</v>
      </c>
      <c r="AW26" s="27" t="n">
        <f aca="false">MIN(AK25*(1+D$8),D$9)</f>
        <v>75</v>
      </c>
      <c r="AX26" s="27" t="n">
        <f aca="false">MIN(AL25*(1+E$8),E$9)</f>
        <v>95</v>
      </c>
      <c r="AY26" s="27" t="n">
        <f aca="false">MIN(AM25*(1+F$8),F$9)</f>
        <v>310</v>
      </c>
      <c r="AZ26" s="27" t="n">
        <f aca="false">MIN(AN25*(1+G$8),G$9)</f>
        <v>0</v>
      </c>
      <c r="BA26" s="27" t="n">
        <f aca="false">MIN(AO25*(1+H$8),H$9)</f>
        <v>0</v>
      </c>
      <c r="BB26" s="27" t="n">
        <f aca="false">MIN(AP25*(1+I$8),I$9)</f>
        <v>0</v>
      </c>
      <c r="BC26" s="27" t="n">
        <f aca="false">MIN(AQ25*(1+J$8),J$9)</f>
        <v>0</v>
      </c>
      <c r="BD26" s="27" t="n">
        <f aca="false">MIN(AR25*(1+K$8),K$9)</f>
        <v>0</v>
      </c>
      <c r="BE26" s="27" t="n">
        <f aca="false">MIN(AI25*(1+B$8),MAX(AU26,$B$12-SUM(AV26:BD26)))</f>
        <v>35</v>
      </c>
      <c r="BF26" s="27" t="n">
        <f aca="false">MIN(AJ25*(1+C$8),MAX(AV26,$B$12-SUM(BE26:BE26)-SUM(AW26:BD26)))</f>
        <v>50</v>
      </c>
      <c r="BG26" s="27" t="n">
        <f aca="false">MIN(AK25*(1+D$8),MAX(AW26,$B$12-SUM(BE26:BF26)-SUM(AX26:BD26)))</f>
        <v>75</v>
      </c>
      <c r="BH26" s="27" t="n">
        <f aca="false">MIN(AL25*(1+E$8),MAX(AX26,$B$12-SUM(BE26:BG26)-SUM(AY26:BD26)))</f>
        <v>95</v>
      </c>
      <c r="BI26" s="27" t="n">
        <f aca="false">MIN(AM25*(1+F$8),MAX(AY26,$B$12-SUM(BE26:BH26)-SUM(AZ26:BD26)))</f>
        <v>310</v>
      </c>
      <c r="BJ26" s="27" t="n">
        <f aca="false">MIN(AN25*(1+G$8),MAX(AZ26,$B$12-SUM(BE26:BI26)-SUM(BA26:BD26)))</f>
        <v>0</v>
      </c>
      <c r="BK26" s="27" t="n">
        <f aca="false">MIN(AO25*(1+H$8),MAX(BA26,$B$12-SUM(BE26:BJ26)-SUM(BB26:BD26)))</f>
        <v>0</v>
      </c>
      <c r="BL26" s="27" t="n">
        <f aca="false">MIN(AP25*(1+I$8),MAX(BB26,$B$12-SUM(BE26:BK26)-SUM(BC26:BD26)))</f>
        <v>0</v>
      </c>
      <c r="BM26" s="27" t="n">
        <f aca="false">MIN(AQ25*(1+J$8),MAX(BC26,$B$12-SUM(BE26:BL26)-SUM(BD26:BD26)))</f>
        <v>0</v>
      </c>
      <c r="BN26" s="27" t="n">
        <f aca="false">MIN(AR25*(1+K$8),MAX(BD26,$B$12-SUM(BE26:BM26)))</f>
        <v>0</v>
      </c>
    </row>
    <row r="27" customFormat="false" ht="15" hidden="false" customHeight="false" outlineLevel="0" collapsed="false">
      <c r="A27" s="0" t="n">
        <v>13</v>
      </c>
      <c r="B27" s="27" t="n">
        <f aca="false">ROUND(MAX(0,B26*(1+B$8)-X27),2)</f>
        <v>0</v>
      </c>
      <c r="C27" s="27" t="n">
        <f aca="false">ROUND(MAX(0,C26*(1+C$8)-Y27),2)</f>
        <v>0</v>
      </c>
      <c r="D27" s="27" t="n">
        <f aca="false">ROUND(MAX(0,D26*(1+D$8)-Z27),2)</f>
        <v>1376.69</v>
      </c>
      <c r="E27" s="27" t="n">
        <f aca="false">ROUND(MAX(0,E26*(1+E$8)-AA27),2)</f>
        <v>3807</v>
      </c>
      <c r="F27" s="27" t="n">
        <f aca="false">ROUND(MAX(0,F26*(1+F$8)-AB27),2)</f>
        <v>5955.42</v>
      </c>
      <c r="G27" s="27" t="n">
        <f aca="false">ROUND(MAX(0,G26*(1+G$8)-AC27),2)</f>
        <v>0</v>
      </c>
      <c r="H27" s="27" t="n">
        <f aca="false">ROUND(MAX(0,H26*(1+H$8)-AD27),2)</f>
        <v>0</v>
      </c>
      <c r="I27" s="27" t="n">
        <f aca="false">ROUND(MAX(0,I26*(1+I$8)-AE27),2)</f>
        <v>0</v>
      </c>
      <c r="J27" s="27" t="n">
        <f aca="false">ROUND(MAX(0,J26*(1+J$8)-AF27),2)</f>
        <v>0</v>
      </c>
      <c r="K27" s="27" t="n">
        <f aca="false">ROUND(MAX(0,K26*(1+K$8)-AG27),2)</f>
        <v>0</v>
      </c>
      <c r="L27" s="30" t="n">
        <f aca="false">SUM(B27:K27)</f>
        <v>11139.11</v>
      </c>
      <c r="M27" s="27" t="n">
        <f aca="false">SUMPRODUCT(B26:K26,$B$8:$K$8)</f>
        <v>139.6379</v>
      </c>
      <c r="N27" s="27" t="n">
        <f aca="false">MIN(B26*(1+B$8),B$9)</f>
        <v>0</v>
      </c>
      <c r="O27" s="27" t="n">
        <f aca="false">MIN(C26*(1+C$8),C$9)</f>
        <v>0</v>
      </c>
      <c r="P27" s="27" t="n">
        <f aca="false">MIN(D26*(1+D$8),D$9)</f>
        <v>75</v>
      </c>
      <c r="Q27" s="27" t="n">
        <f aca="false">MIN(E26*(1+E$8),E$9)</f>
        <v>95</v>
      </c>
      <c r="R27" s="27" t="n">
        <f aca="false">MIN(F26*(1+F$8),F$9)</f>
        <v>310</v>
      </c>
      <c r="S27" s="27" t="n">
        <f aca="false">MIN(G26*(1+G$8),G$9)</f>
        <v>0</v>
      </c>
      <c r="T27" s="27" t="n">
        <f aca="false">MIN(H26*(1+H$8),H$9)</f>
        <v>0</v>
      </c>
      <c r="U27" s="27" t="n">
        <f aca="false">MIN(I26*(1+I$8),I$9)</f>
        <v>0</v>
      </c>
      <c r="V27" s="27" t="n">
        <f aca="false">MIN(J26*(1+J$8),J$9)</f>
        <v>0</v>
      </c>
      <c r="W27" s="27" t="n">
        <f aca="false">MIN(K26*(1+K$8),K$9)</f>
        <v>0</v>
      </c>
      <c r="X27" s="27" t="n">
        <f aca="false">MIN(B26*(1+B$8),MAX(N27,$B$11-SUM(O27:W27)))</f>
        <v>0</v>
      </c>
      <c r="Y27" s="27" t="n">
        <f aca="false">MIN(C26*(1+C$8),MAX(O27,$B$11-SUM(X27:X27)-SUM(P27:W27)))</f>
        <v>0</v>
      </c>
      <c r="Z27" s="27" t="n">
        <f aca="false">MIN(D26*(1+D$8),MAX(P27,$B$11-SUM(X27:Y27)-SUM(Q27:W27)))</f>
        <v>310</v>
      </c>
      <c r="AA27" s="27" t="n">
        <f aca="false">MIN(E26*(1+E$8),MAX(Q27,$B$11-SUM(X27:Z27)-SUM(R27:W27)))</f>
        <v>95</v>
      </c>
      <c r="AB27" s="27" t="n">
        <f aca="false">MIN(F26*(1+F$8),MAX(R27,$B$11-SUM(X27:AA27)-SUM(S27:W27)))</f>
        <v>310</v>
      </c>
      <c r="AC27" s="27" t="n">
        <f aca="false">MIN(G26*(1+G$8),MAX(S27,$B$11-SUM(X27:AB27)-SUM(T27:W27)))</f>
        <v>0</v>
      </c>
      <c r="AD27" s="27" t="n">
        <f aca="false">MIN(H26*(1+H$8),MAX(T27,$B$11-SUM(X27:AC27)-SUM(U27:W27)))</f>
        <v>0</v>
      </c>
      <c r="AE27" s="27" t="n">
        <f aca="false">MIN(I26*(1+I$8),MAX(U27,$B$11-SUM(X27:AD27)-SUM(V27:W27)))</f>
        <v>0</v>
      </c>
      <c r="AF27" s="27" t="n">
        <f aca="false">MIN(J26*(1+J$8),MAX(V27,$B$11-SUM(X27:AE27)-SUM(W27:W27)))</f>
        <v>0</v>
      </c>
      <c r="AG27" s="27" t="n">
        <f aca="false">MIN(K26*(1+K$8),MAX(W27,$B$11-SUM(X27:AF27)))</f>
        <v>0</v>
      </c>
      <c r="AI27" s="27" t="n">
        <f aca="false">ROUND(MAX(0,AI26*(1+B$8)-BE27),2)</f>
        <v>338.64</v>
      </c>
      <c r="AJ27" s="27" t="n">
        <f aca="false">ROUND(MAX(0,AJ26*(1+C$8)-BF27),2)</f>
        <v>550</v>
      </c>
      <c r="AK27" s="27" t="n">
        <f aca="false">ROUND(MAX(0,AK26*(1+D$8)-BG27),2)</f>
        <v>2605.94</v>
      </c>
      <c r="AL27" s="27" t="n">
        <f aca="false">ROUND(MAX(0,AL26*(1+E$8)-BH27),2)</f>
        <v>3807</v>
      </c>
      <c r="AM27" s="27" t="n">
        <f aca="false">ROUND(MAX(0,AM26*(1+F$8)-BI27),2)</f>
        <v>5955.42</v>
      </c>
      <c r="AN27" s="27" t="n">
        <f aca="false">ROUND(MAX(0,AN26*(1+G$8)-BJ27),2)</f>
        <v>0</v>
      </c>
      <c r="AO27" s="27" t="n">
        <f aca="false">ROUND(MAX(0,AO26*(1+H$8)-BK27),2)</f>
        <v>0</v>
      </c>
      <c r="AP27" s="27" t="n">
        <f aca="false">ROUND(MAX(0,AP26*(1+I$8)-BL27),2)</f>
        <v>0</v>
      </c>
      <c r="AQ27" s="27" t="n">
        <f aca="false">ROUND(MAX(0,AQ26*(1+J$8)-BM27),2)</f>
        <v>0</v>
      </c>
      <c r="AR27" s="27" t="n">
        <f aca="false">ROUND(MAX(0,AR26*(1+K$8)-BN27),2)</f>
        <v>0</v>
      </c>
      <c r="AS27" s="27" t="n">
        <f aca="false">SUM(AI27:AR27)</f>
        <v>13257</v>
      </c>
      <c r="AT27" s="27" t="n">
        <f aca="false">SUMPRODUCT(AI26:AR26,$B$8:$K$8)</f>
        <v>168.1001725</v>
      </c>
      <c r="AU27" s="27" t="n">
        <f aca="false">MIN(AI26*(1+B$8),B$9)</f>
        <v>35</v>
      </c>
      <c r="AV27" s="27" t="n">
        <f aca="false">MIN(AJ26*(1+C$8),C$9)</f>
        <v>50</v>
      </c>
      <c r="AW27" s="27" t="n">
        <f aca="false">MIN(AK26*(1+D$8),D$9)</f>
        <v>75</v>
      </c>
      <c r="AX27" s="27" t="n">
        <f aca="false">MIN(AL26*(1+E$8),E$9)</f>
        <v>95</v>
      </c>
      <c r="AY27" s="27" t="n">
        <f aca="false">MIN(AM26*(1+F$8),F$9)</f>
        <v>310</v>
      </c>
      <c r="AZ27" s="27" t="n">
        <f aca="false">MIN(AN26*(1+G$8),G$9)</f>
        <v>0</v>
      </c>
      <c r="BA27" s="27" t="n">
        <f aca="false">MIN(AO26*(1+H$8),H$9)</f>
        <v>0</v>
      </c>
      <c r="BB27" s="27" t="n">
        <f aca="false">MIN(AP26*(1+I$8),I$9)</f>
        <v>0</v>
      </c>
      <c r="BC27" s="27" t="n">
        <f aca="false">MIN(AQ26*(1+J$8),J$9)</f>
        <v>0</v>
      </c>
      <c r="BD27" s="27" t="n">
        <f aca="false">MIN(AR26*(1+K$8),K$9)</f>
        <v>0</v>
      </c>
      <c r="BE27" s="27" t="n">
        <f aca="false">MIN(AI26*(1+B$8),MAX(AU27,$B$12-SUM(AV27:BD27)))</f>
        <v>35</v>
      </c>
      <c r="BF27" s="27" t="n">
        <f aca="false">MIN(AJ26*(1+C$8),MAX(AV27,$B$12-SUM(BE27:BE27)-SUM(AW27:BD27)))</f>
        <v>50</v>
      </c>
      <c r="BG27" s="27" t="n">
        <f aca="false">MIN(AK26*(1+D$8),MAX(AW27,$B$12-SUM(BE27:BF27)-SUM(AX27:BD27)))</f>
        <v>75</v>
      </c>
      <c r="BH27" s="27" t="n">
        <f aca="false">MIN(AL26*(1+E$8),MAX(AX27,$B$12-SUM(BE27:BG27)-SUM(AY27:BD27)))</f>
        <v>95</v>
      </c>
      <c r="BI27" s="27" t="n">
        <f aca="false">MIN(AM26*(1+F$8),MAX(AY27,$B$12-SUM(BE27:BH27)-SUM(AZ27:BD27)))</f>
        <v>310</v>
      </c>
      <c r="BJ27" s="27" t="n">
        <f aca="false">MIN(AN26*(1+G$8),MAX(AZ27,$B$12-SUM(BE27:BI27)-SUM(BA27:BD27)))</f>
        <v>0</v>
      </c>
      <c r="BK27" s="27" t="n">
        <f aca="false">MIN(AO26*(1+H$8),MAX(BA27,$B$12-SUM(BE27:BJ27)-SUM(BB27:BD27)))</f>
        <v>0</v>
      </c>
      <c r="BL27" s="27" t="n">
        <f aca="false">MIN(AP26*(1+I$8),MAX(BB27,$B$12-SUM(BE27:BK27)-SUM(BC27:BD27)))</f>
        <v>0</v>
      </c>
      <c r="BM27" s="27" t="n">
        <f aca="false">MIN(AQ26*(1+J$8),MAX(BC27,$B$12-SUM(BE27:BL27)-SUM(BD27:BD27)))</f>
        <v>0</v>
      </c>
      <c r="BN27" s="27" t="n">
        <f aca="false">MIN(AR26*(1+K$8),MAX(BD27,$B$12-SUM(BE27:BM27)))</f>
        <v>0</v>
      </c>
    </row>
    <row r="28" customFormat="false" ht="15" hidden="false" customHeight="false" outlineLevel="0" collapsed="false">
      <c r="A28" s="0" t="n">
        <v>14</v>
      </c>
      <c r="B28" s="27" t="n">
        <f aca="false">ROUND(MAX(0,B27*(1+B$8)-X28),2)</f>
        <v>0</v>
      </c>
      <c r="C28" s="27" t="n">
        <f aca="false">ROUND(MAX(0,C27*(1+C$8)-Y28),2)</f>
        <v>0</v>
      </c>
      <c r="D28" s="27" t="n">
        <f aca="false">ROUND(MAX(0,D27*(1+D$8)-Z28),2)</f>
        <v>1094.91</v>
      </c>
      <c r="E28" s="27" t="n">
        <f aca="false">ROUND(MAX(0,E27*(1+E$8)-AA28),2)</f>
        <v>3781.48</v>
      </c>
      <c r="F28" s="27" t="n">
        <f aca="false">ROUND(MAX(0,F27*(1+F$8)-AB28),2)</f>
        <v>5679.66</v>
      </c>
      <c r="G28" s="27" t="n">
        <f aca="false">ROUND(MAX(0,G27*(1+G$8)-AC28),2)</f>
        <v>0</v>
      </c>
      <c r="H28" s="27" t="n">
        <f aca="false">ROUND(MAX(0,H27*(1+H$8)-AD28),2)</f>
        <v>0</v>
      </c>
      <c r="I28" s="27" t="n">
        <f aca="false">ROUND(MAX(0,I27*(1+I$8)-AE28),2)</f>
        <v>0</v>
      </c>
      <c r="J28" s="27" t="n">
        <f aca="false">ROUND(MAX(0,J27*(1+J$8)-AF28),2)</f>
        <v>0</v>
      </c>
      <c r="K28" s="27" t="n">
        <f aca="false">ROUND(MAX(0,K27*(1+K$8)-AG28),2)</f>
        <v>0</v>
      </c>
      <c r="L28" s="30" t="n">
        <f aca="false">SUM(B28:K28)</f>
        <v>10556.05</v>
      </c>
      <c r="M28" s="27" t="n">
        <f aca="false">SUMPRODUCT(B27:K27,$B$8:$K$8)</f>
        <v>131.94356</v>
      </c>
      <c r="N28" s="27" t="n">
        <f aca="false">MIN(B27*(1+B$8),B$9)</f>
        <v>0</v>
      </c>
      <c r="O28" s="27" t="n">
        <f aca="false">MIN(C27*(1+C$8),C$9)</f>
        <v>0</v>
      </c>
      <c r="P28" s="27" t="n">
        <f aca="false">MIN(D27*(1+D$8),D$9)</f>
        <v>75</v>
      </c>
      <c r="Q28" s="27" t="n">
        <f aca="false">MIN(E27*(1+E$8),E$9)</f>
        <v>95</v>
      </c>
      <c r="R28" s="27" t="n">
        <f aca="false">MIN(F27*(1+F$8),F$9)</f>
        <v>310</v>
      </c>
      <c r="S28" s="27" t="n">
        <f aca="false">MIN(G27*(1+G$8),G$9)</f>
        <v>0</v>
      </c>
      <c r="T28" s="27" t="n">
        <f aca="false">MIN(H27*(1+H$8),H$9)</f>
        <v>0</v>
      </c>
      <c r="U28" s="27" t="n">
        <f aca="false">MIN(I27*(1+I$8),I$9)</f>
        <v>0</v>
      </c>
      <c r="V28" s="27" t="n">
        <f aca="false">MIN(J27*(1+J$8),J$9)</f>
        <v>0</v>
      </c>
      <c r="W28" s="27" t="n">
        <f aca="false">MIN(K27*(1+K$8),K$9)</f>
        <v>0</v>
      </c>
      <c r="X28" s="27" t="n">
        <f aca="false">MIN(B27*(1+B$8),MAX(N28,$B$11-SUM(O28:W28)))</f>
        <v>0</v>
      </c>
      <c r="Y28" s="27" t="n">
        <f aca="false">MIN(C27*(1+C$8),MAX(O28,$B$11-SUM(X28:X28)-SUM(P28:W28)))</f>
        <v>0</v>
      </c>
      <c r="Z28" s="27" t="n">
        <f aca="false">MIN(D27*(1+D$8),MAX(P28,$B$11-SUM(X28:Y28)-SUM(Q28:W28)))</f>
        <v>310</v>
      </c>
      <c r="AA28" s="27" t="n">
        <f aca="false">MIN(E27*(1+E$8),MAX(Q28,$B$11-SUM(X28:Z28)-SUM(R28:W28)))</f>
        <v>95</v>
      </c>
      <c r="AB28" s="27" t="n">
        <f aca="false">MIN(F27*(1+F$8),MAX(R28,$B$11-SUM(X28:AA28)-SUM(S28:W28)))</f>
        <v>310</v>
      </c>
      <c r="AC28" s="27" t="n">
        <f aca="false">MIN(G27*(1+G$8),MAX(S28,$B$11-SUM(X28:AB28)-SUM(T28:W28)))</f>
        <v>0</v>
      </c>
      <c r="AD28" s="27" t="n">
        <f aca="false">MIN(H27*(1+H$8),MAX(T28,$B$11-SUM(X28:AC28)-SUM(U28:W28)))</f>
        <v>0</v>
      </c>
      <c r="AE28" s="27" t="n">
        <f aca="false">MIN(I27*(1+I$8),MAX(U28,$B$11-SUM(X28:AD28)-SUM(V28:W28)))</f>
        <v>0</v>
      </c>
      <c r="AF28" s="27" t="n">
        <f aca="false">MIN(J27*(1+J$8),MAX(V28,$B$11-SUM(X28:AE28)-SUM(W28:W28)))</f>
        <v>0</v>
      </c>
      <c r="AG28" s="27" t="n">
        <f aca="false">MIN(K27*(1+K$8),MAX(W28,$B$11-SUM(X28:AF28)))</f>
        <v>0</v>
      </c>
      <c r="AI28" s="27" t="n">
        <f aca="false">ROUND(MAX(0,AI27*(1+B$8)-BE28),2)</f>
        <v>311.51</v>
      </c>
      <c r="AJ28" s="27" t="n">
        <f aca="false">ROUND(MAX(0,AJ27*(1+C$8)-BF28),2)</f>
        <v>500</v>
      </c>
      <c r="AK28" s="27" t="n">
        <f aca="false">ROUND(MAX(0,AK27*(1+D$8)-BG28),2)</f>
        <v>2584.36</v>
      </c>
      <c r="AL28" s="27" t="n">
        <f aca="false">ROUND(MAX(0,AL27*(1+E$8)-BH28),2)</f>
        <v>3781.48</v>
      </c>
      <c r="AM28" s="27" t="n">
        <f aca="false">ROUND(MAX(0,AM27*(1+F$8)-BI28),2)</f>
        <v>5679.66</v>
      </c>
      <c r="AN28" s="27" t="n">
        <f aca="false">ROUND(MAX(0,AN27*(1+G$8)-BJ28),2)</f>
        <v>0</v>
      </c>
      <c r="AO28" s="27" t="n">
        <f aca="false">ROUND(MAX(0,AO27*(1+H$8)-BK28),2)</f>
        <v>0</v>
      </c>
      <c r="AP28" s="27" t="n">
        <f aca="false">ROUND(MAX(0,AP27*(1+I$8)-BL28),2)</f>
        <v>0</v>
      </c>
      <c r="AQ28" s="27" t="n">
        <f aca="false">ROUND(MAX(0,AQ27*(1+J$8)-BM28),2)</f>
        <v>0</v>
      </c>
      <c r="AR28" s="27" t="n">
        <f aca="false">ROUND(MAX(0,AR27*(1+K$8)-BN28),2)</f>
        <v>0</v>
      </c>
      <c r="AS28" s="27" t="n">
        <f aca="false">SUM(AI28:AR28)</f>
        <v>12857.01</v>
      </c>
      <c r="AT28" s="27" t="n">
        <f aca="false">SUMPRODUCT(AI27:AR27,$B$8:$K$8)</f>
        <v>165.016565</v>
      </c>
      <c r="AU28" s="27" t="n">
        <f aca="false">MIN(AI27*(1+B$8),B$9)</f>
        <v>35</v>
      </c>
      <c r="AV28" s="27" t="n">
        <f aca="false">MIN(AJ27*(1+C$8),C$9)</f>
        <v>50</v>
      </c>
      <c r="AW28" s="27" t="n">
        <f aca="false">MIN(AK27*(1+D$8),D$9)</f>
        <v>75</v>
      </c>
      <c r="AX28" s="27" t="n">
        <f aca="false">MIN(AL27*(1+E$8),E$9)</f>
        <v>95</v>
      </c>
      <c r="AY28" s="27" t="n">
        <f aca="false">MIN(AM27*(1+F$8),F$9)</f>
        <v>310</v>
      </c>
      <c r="AZ28" s="27" t="n">
        <f aca="false">MIN(AN27*(1+G$8),G$9)</f>
        <v>0</v>
      </c>
      <c r="BA28" s="27" t="n">
        <f aca="false">MIN(AO27*(1+H$8),H$9)</f>
        <v>0</v>
      </c>
      <c r="BB28" s="27" t="n">
        <f aca="false">MIN(AP27*(1+I$8),I$9)</f>
        <v>0</v>
      </c>
      <c r="BC28" s="27" t="n">
        <f aca="false">MIN(AQ27*(1+J$8),J$9)</f>
        <v>0</v>
      </c>
      <c r="BD28" s="27" t="n">
        <f aca="false">MIN(AR27*(1+K$8),K$9)</f>
        <v>0</v>
      </c>
      <c r="BE28" s="27" t="n">
        <f aca="false">MIN(AI27*(1+B$8),MAX(AU28,$B$12-SUM(AV28:BD28)))</f>
        <v>35</v>
      </c>
      <c r="BF28" s="27" t="n">
        <f aca="false">MIN(AJ27*(1+C$8),MAX(AV28,$B$12-SUM(BE28:BE28)-SUM(AW28:BD28)))</f>
        <v>50</v>
      </c>
      <c r="BG28" s="27" t="n">
        <f aca="false">MIN(AK27*(1+D$8),MAX(AW28,$B$12-SUM(BE28:BF28)-SUM(AX28:BD28)))</f>
        <v>75</v>
      </c>
      <c r="BH28" s="27" t="n">
        <f aca="false">MIN(AL27*(1+E$8),MAX(AX28,$B$12-SUM(BE28:BG28)-SUM(AY28:BD28)))</f>
        <v>95</v>
      </c>
      <c r="BI28" s="27" t="n">
        <f aca="false">MIN(AM27*(1+F$8),MAX(AY28,$B$12-SUM(BE28:BH28)-SUM(AZ28:BD28)))</f>
        <v>310</v>
      </c>
      <c r="BJ28" s="27" t="n">
        <f aca="false">MIN(AN27*(1+G$8),MAX(AZ28,$B$12-SUM(BE28:BI28)-SUM(BA28:BD28)))</f>
        <v>0</v>
      </c>
      <c r="BK28" s="27" t="n">
        <f aca="false">MIN(AO27*(1+H$8),MAX(BA28,$B$12-SUM(BE28:BJ28)-SUM(BB28:BD28)))</f>
        <v>0</v>
      </c>
      <c r="BL28" s="27" t="n">
        <f aca="false">MIN(AP27*(1+I$8),MAX(BB28,$B$12-SUM(BE28:BK28)-SUM(BC28:BD28)))</f>
        <v>0</v>
      </c>
      <c r="BM28" s="27" t="n">
        <f aca="false">MIN(AQ27*(1+J$8),MAX(BC28,$B$12-SUM(BE28:BL28)-SUM(BD28:BD28)))</f>
        <v>0</v>
      </c>
      <c r="BN28" s="27" t="n">
        <f aca="false">MIN(AR27*(1+K$8),MAX(BD28,$B$12-SUM(BE28:BM28)))</f>
        <v>0</v>
      </c>
    </row>
    <row r="29" customFormat="false" ht="15" hidden="false" customHeight="false" outlineLevel="0" collapsed="false">
      <c r="A29" s="0" t="n">
        <v>15</v>
      </c>
      <c r="B29" s="27" t="n">
        <f aca="false">ROUND(MAX(0,B28*(1+B$8)-X29),2)</f>
        <v>0</v>
      </c>
      <c r="C29" s="27" t="n">
        <f aca="false">ROUND(MAX(0,C28*(1+C$8)-Y29),2)</f>
        <v>0</v>
      </c>
      <c r="D29" s="27" t="n">
        <f aca="false">ROUND(MAX(0,D28*(1+D$8)-Z29),2)</f>
        <v>807.36</v>
      </c>
      <c r="E29" s="27" t="n">
        <f aca="false">ROUND(MAX(0,E28*(1+E$8)-AA29),2)</f>
        <v>3755.49</v>
      </c>
      <c r="F29" s="27" t="n">
        <f aca="false">ROUND(MAX(0,F28*(1+F$8)-AB29),2)</f>
        <v>5402.32</v>
      </c>
      <c r="G29" s="27" t="n">
        <f aca="false">ROUND(MAX(0,G28*(1+G$8)-AC29),2)</f>
        <v>0</v>
      </c>
      <c r="H29" s="27" t="n">
        <f aca="false">ROUND(MAX(0,H28*(1+H$8)-AD29),2)</f>
        <v>0</v>
      </c>
      <c r="I29" s="27" t="n">
        <f aca="false">ROUND(MAX(0,I28*(1+I$8)-AE29),2)</f>
        <v>0</v>
      </c>
      <c r="J29" s="27" t="n">
        <f aca="false">ROUND(MAX(0,J28*(1+J$8)-AF29),2)</f>
        <v>0</v>
      </c>
      <c r="K29" s="27" t="n">
        <f aca="false">ROUND(MAX(0,K28*(1+K$8)-AG29),2)</f>
        <v>0</v>
      </c>
      <c r="L29" s="30" t="n">
        <f aca="false">SUM(B29:K29)</f>
        <v>9965.17</v>
      </c>
      <c r="M29" s="27" t="n">
        <f aca="false">SUMPRODUCT(B28:K28,$B$8:$K$8)</f>
        <v>124.11571</v>
      </c>
      <c r="N29" s="27" t="n">
        <f aca="false">MIN(B28*(1+B$8),B$9)</f>
        <v>0</v>
      </c>
      <c r="O29" s="27" t="n">
        <f aca="false">MIN(C28*(1+C$8),C$9)</f>
        <v>0</v>
      </c>
      <c r="P29" s="27" t="n">
        <f aca="false">MIN(D28*(1+D$8),D$9)</f>
        <v>75</v>
      </c>
      <c r="Q29" s="27" t="n">
        <f aca="false">MIN(E28*(1+E$8),E$9)</f>
        <v>95</v>
      </c>
      <c r="R29" s="27" t="n">
        <f aca="false">MIN(F28*(1+F$8),F$9)</f>
        <v>310</v>
      </c>
      <c r="S29" s="27" t="n">
        <f aca="false">MIN(G28*(1+G$8),G$9)</f>
        <v>0</v>
      </c>
      <c r="T29" s="27" t="n">
        <f aca="false">MIN(H28*(1+H$8),H$9)</f>
        <v>0</v>
      </c>
      <c r="U29" s="27" t="n">
        <f aca="false">MIN(I28*(1+I$8),I$9)</f>
        <v>0</v>
      </c>
      <c r="V29" s="27" t="n">
        <f aca="false">MIN(J28*(1+J$8),J$9)</f>
        <v>0</v>
      </c>
      <c r="W29" s="27" t="n">
        <f aca="false">MIN(K28*(1+K$8),K$9)</f>
        <v>0</v>
      </c>
      <c r="X29" s="27" t="n">
        <f aca="false">MIN(B28*(1+B$8),MAX(N29,$B$11-SUM(O29:W29)))</f>
        <v>0</v>
      </c>
      <c r="Y29" s="27" t="n">
        <f aca="false">MIN(C28*(1+C$8),MAX(O29,$B$11-SUM(X29:X29)-SUM(P29:W29)))</f>
        <v>0</v>
      </c>
      <c r="Z29" s="27" t="n">
        <f aca="false">MIN(D28*(1+D$8),MAX(P29,$B$11-SUM(X29:Y29)-SUM(Q29:W29)))</f>
        <v>310</v>
      </c>
      <c r="AA29" s="27" t="n">
        <f aca="false">MIN(E28*(1+E$8),MAX(Q29,$B$11-SUM(X29:Z29)-SUM(R29:W29)))</f>
        <v>95</v>
      </c>
      <c r="AB29" s="27" t="n">
        <f aca="false">MIN(F28*(1+F$8),MAX(R29,$B$11-SUM(X29:AA29)-SUM(S29:W29)))</f>
        <v>310</v>
      </c>
      <c r="AC29" s="27" t="n">
        <f aca="false">MIN(G28*(1+G$8),MAX(S29,$B$11-SUM(X29:AB29)-SUM(T29:W29)))</f>
        <v>0</v>
      </c>
      <c r="AD29" s="27" t="n">
        <f aca="false">MIN(H28*(1+H$8),MAX(T29,$B$11-SUM(X29:AC29)-SUM(U29:W29)))</f>
        <v>0</v>
      </c>
      <c r="AE29" s="27" t="n">
        <f aca="false">MIN(I28*(1+I$8),MAX(U29,$B$11-SUM(X29:AD29)-SUM(V29:W29)))</f>
        <v>0</v>
      </c>
      <c r="AF29" s="27" t="n">
        <f aca="false">MIN(J28*(1+J$8),MAX(V29,$B$11-SUM(X29:AE29)-SUM(W29:W29)))</f>
        <v>0</v>
      </c>
      <c r="AG29" s="27" t="n">
        <f aca="false">MIN(K28*(1+K$8),MAX(W29,$B$11-SUM(X29:AF29)))</f>
        <v>0</v>
      </c>
      <c r="AI29" s="27" t="n">
        <f aca="false">ROUND(MAX(0,AI28*(1+B$8)-BE29),2)</f>
        <v>283.75</v>
      </c>
      <c r="AJ29" s="27" t="n">
        <f aca="false">ROUND(MAX(0,AJ28*(1+C$8)-BF29),2)</f>
        <v>450</v>
      </c>
      <c r="AK29" s="27" t="n">
        <f aca="false">ROUND(MAX(0,AK28*(1+D$8)-BG29),2)</f>
        <v>2562.34</v>
      </c>
      <c r="AL29" s="27" t="n">
        <f aca="false">ROUND(MAX(0,AL28*(1+E$8)-BH29),2)</f>
        <v>3755.49</v>
      </c>
      <c r="AM29" s="27" t="n">
        <f aca="false">ROUND(MAX(0,AM28*(1+F$8)-BI29),2)</f>
        <v>5402.32</v>
      </c>
      <c r="AN29" s="27" t="n">
        <f aca="false">ROUND(MAX(0,AN28*(1+G$8)-BJ29),2)</f>
        <v>0</v>
      </c>
      <c r="AO29" s="27" t="n">
        <f aca="false">ROUND(MAX(0,AO28*(1+H$8)-BK29),2)</f>
        <v>0</v>
      </c>
      <c r="AP29" s="27" t="n">
        <f aca="false">ROUND(MAX(0,AP28*(1+I$8)-BL29),2)</f>
        <v>0</v>
      </c>
      <c r="AQ29" s="27" t="n">
        <f aca="false">ROUND(MAX(0,AQ28*(1+J$8)-BM29),2)</f>
        <v>0</v>
      </c>
      <c r="AR29" s="27" t="n">
        <f aca="false">ROUND(MAX(0,AR28*(1+K$8)-BN29),2)</f>
        <v>0</v>
      </c>
      <c r="AS29" s="27" t="n">
        <f aca="false">SUM(AI29:AR29)</f>
        <v>12453.9</v>
      </c>
      <c r="AT29" s="27" t="n">
        <f aca="false">SUMPRODUCT(AI28:AR28,$B$8:$K$8)</f>
        <v>161.8920425</v>
      </c>
      <c r="AU29" s="27" t="n">
        <f aca="false">MIN(AI28*(1+B$8),B$9)</f>
        <v>35</v>
      </c>
      <c r="AV29" s="27" t="n">
        <f aca="false">MIN(AJ28*(1+C$8),C$9)</f>
        <v>50</v>
      </c>
      <c r="AW29" s="27" t="n">
        <f aca="false">MIN(AK28*(1+D$8),D$9)</f>
        <v>75</v>
      </c>
      <c r="AX29" s="27" t="n">
        <f aca="false">MIN(AL28*(1+E$8),E$9)</f>
        <v>95</v>
      </c>
      <c r="AY29" s="27" t="n">
        <f aca="false">MIN(AM28*(1+F$8),F$9)</f>
        <v>310</v>
      </c>
      <c r="AZ29" s="27" t="n">
        <f aca="false">MIN(AN28*(1+G$8),G$9)</f>
        <v>0</v>
      </c>
      <c r="BA29" s="27" t="n">
        <f aca="false">MIN(AO28*(1+H$8),H$9)</f>
        <v>0</v>
      </c>
      <c r="BB29" s="27" t="n">
        <f aca="false">MIN(AP28*(1+I$8),I$9)</f>
        <v>0</v>
      </c>
      <c r="BC29" s="27" t="n">
        <f aca="false">MIN(AQ28*(1+J$8),J$9)</f>
        <v>0</v>
      </c>
      <c r="BD29" s="27" t="n">
        <f aca="false">MIN(AR28*(1+K$8),K$9)</f>
        <v>0</v>
      </c>
      <c r="BE29" s="27" t="n">
        <f aca="false">MIN(AI28*(1+B$8),MAX(AU29,$B$12-SUM(AV29:BD29)))</f>
        <v>35</v>
      </c>
      <c r="BF29" s="27" t="n">
        <f aca="false">MIN(AJ28*(1+C$8),MAX(AV29,$B$12-SUM(BE29:BE29)-SUM(AW29:BD29)))</f>
        <v>50</v>
      </c>
      <c r="BG29" s="27" t="n">
        <f aca="false">MIN(AK28*(1+D$8),MAX(AW29,$B$12-SUM(BE29:BF29)-SUM(AX29:BD29)))</f>
        <v>75</v>
      </c>
      <c r="BH29" s="27" t="n">
        <f aca="false">MIN(AL28*(1+E$8),MAX(AX29,$B$12-SUM(BE29:BG29)-SUM(AY29:BD29)))</f>
        <v>95</v>
      </c>
      <c r="BI29" s="27" t="n">
        <f aca="false">MIN(AM28*(1+F$8),MAX(AY29,$B$12-SUM(BE29:BH29)-SUM(AZ29:BD29)))</f>
        <v>310</v>
      </c>
      <c r="BJ29" s="27" t="n">
        <f aca="false">MIN(AN28*(1+G$8),MAX(AZ29,$B$12-SUM(BE29:BI29)-SUM(BA29:BD29)))</f>
        <v>0</v>
      </c>
      <c r="BK29" s="27" t="n">
        <f aca="false">MIN(AO28*(1+H$8),MAX(BA29,$B$12-SUM(BE29:BJ29)-SUM(BB29:BD29)))</f>
        <v>0</v>
      </c>
      <c r="BL29" s="27" t="n">
        <f aca="false">MIN(AP28*(1+I$8),MAX(BB29,$B$12-SUM(BE29:BK29)-SUM(BC29:BD29)))</f>
        <v>0</v>
      </c>
      <c r="BM29" s="27" t="n">
        <f aca="false">MIN(AQ28*(1+J$8),MAX(BC29,$B$12-SUM(BE29:BL29)-SUM(BD29:BD29)))</f>
        <v>0</v>
      </c>
      <c r="BN29" s="27" t="n">
        <f aca="false">MIN(AR28*(1+K$8),MAX(BD29,$B$12-SUM(BE29:BM29)))</f>
        <v>0</v>
      </c>
    </row>
    <row r="30" customFormat="false" ht="15" hidden="false" customHeight="false" outlineLevel="0" collapsed="false">
      <c r="A30" s="0" t="n">
        <v>16</v>
      </c>
      <c r="B30" s="27" t="n">
        <f aca="false">ROUND(MAX(0,B29*(1+B$8)-X30),2)</f>
        <v>0</v>
      </c>
      <c r="C30" s="27" t="n">
        <f aca="false">ROUND(MAX(0,C29*(1+C$8)-Y30),2)</f>
        <v>0</v>
      </c>
      <c r="D30" s="27" t="n">
        <f aca="false">ROUND(MAX(0,D29*(1+D$8)-Z30),2)</f>
        <v>513.91</v>
      </c>
      <c r="E30" s="27" t="n">
        <f aca="false">ROUND(MAX(0,E29*(1+E$8)-AA30),2)</f>
        <v>3729.03</v>
      </c>
      <c r="F30" s="27" t="n">
        <f aca="false">ROUND(MAX(0,F29*(1+F$8)-AB30),2)</f>
        <v>5123.38</v>
      </c>
      <c r="G30" s="27" t="n">
        <f aca="false">ROUND(MAX(0,G29*(1+G$8)-AC30),2)</f>
        <v>0</v>
      </c>
      <c r="H30" s="27" t="n">
        <f aca="false">ROUND(MAX(0,H29*(1+H$8)-AD30),2)</f>
        <v>0</v>
      </c>
      <c r="I30" s="27" t="n">
        <f aca="false">ROUND(MAX(0,I29*(1+I$8)-AE30),2)</f>
        <v>0</v>
      </c>
      <c r="J30" s="27" t="n">
        <f aca="false">ROUND(MAX(0,J29*(1+J$8)-AF30),2)</f>
        <v>0</v>
      </c>
      <c r="K30" s="27" t="n">
        <f aca="false">ROUND(MAX(0,K29*(1+K$8)-AG30),2)</f>
        <v>0</v>
      </c>
      <c r="L30" s="30" t="n">
        <f aca="false">SUM(B30:K30)</f>
        <v>9366.32</v>
      </c>
      <c r="M30" s="27" t="n">
        <f aca="false">SUMPRODUCT(B29:K29,$B$8:$K$8)</f>
        <v>116.1519125</v>
      </c>
      <c r="N30" s="27" t="n">
        <f aca="false">MIN(B29*(1+B$8),B$9)</f>
        <v>0</v>
      </c>
      <c r="O30" s="27" t="n">
        <f aca="false">MIN(C29*(1+C$8),C$9)</f>
        <v>0</v>
      </c>
      <c r="P30" s="27" t="n">
        <f aca="false">MIN(D29*(1+D$8),D$9)</f>
        <v>75</v>
      </c>
      <c r="Q30" s="27" t="n">
        <f aca="false">MIN(E29*(1+E$8),E$9)</f>
        <v>95</v>
      </c>
      <c r="R30" s="27" t="n">
        <f aca="false">MIN(F29*(1+F$8),F$9)</f>
        <v>310</v>
      </c>
      <c r="S30" s="27" t="n">
        <f aca="false">MIN(G29*(1+G$8),G$9)</f>
        <v>0</v>
      </c>
      <c r="T30" s="27" t="n">
        <f aca="false">MIN(H29*(1+H$8),H$9)</f>
        <v>0</v>
      </c>
      <c r="U30" s="27" t="n">
        <f aca="false">MIN(I29*(1+I$8),I$9)</f>
        <v>0</v>
      </c>
      <c r="V30" s="27" t="n">
        <f aca="false">MIN(J29*(1+J$8),J$9)</f>
        <v>0</v>
      </c>
      <c r="W30" s="27" t="n">
        <f aca="false">MIN(K29*(1+K$8),K$9)</f>
        <v>0</v>
      </c>
      <c r="X30" s="27" t="n">
        <f aca="false">MIN(B29*(1+B$8),MAX(N30,$B$11-SUM(O30:W30)))</f>
        <v>0</v>
      </c>
      <c r="Y30" s="27" t="n">
        <f aca="false">MIN(C29*(1+C$8),MAX(O30,$B$11-SUM(X30:X30)-SUM(P30:W30)))</f>
        <v>0</v>
      </c>
      <c r="Z30" s="27" t="n">
        <f aca="false">MIN(D29*(1+D$8),MAX(P30,$B$11-SUM(X30:Y30)-SUM(Q30:W30)))</f>
        <v>310</v>
      </c>
      <c r="AA30" s="27" t="n">
        <f aca="false">MIN(E29*(1+E$8),MAX(Q30,$B$11-SUM(X30:Z30)-SUM(R30:W30)))</f>
        <v>95</v>
      </c>
      <c r="AB30" s="27" t="n">
        <f aca="false">MIN(F29*(1+F$8),MAX(R30,$B$11-SUM(X30:AA30)-SUM(S30:W30)))</f>
        <v>310</v>
      </c>
      <c r="AC30" s="27" t="n">
        <f aca="false">MIN(G29*(1+G$8),MAX(S30,$B$11-SUM(X30:AB30)-SUM(T30:W30)))</f>
        <v>0</v>
      </c>
      <c r="AD30" s="27" t="n">
        <f aca="false">MIN(H29*(1+H$8),MAX(T30,$B$11-SUM(X30:AC30)-SUM(U30:W30)))</f>
        <v>0</v>
      </c>
      <c r="AE30" s="27" t="n">
        <f aca="false">MIN(I29*(1+I$8),MAX(U30,$B$11-SUM(X30:AD30)-SUM(V30:W30)))</f>
        <v>0</v>
      </c>
      <c r="AF30" s="27" t="n">
        <f aca="false">MIN(J29*(1+J$8),MAX(V30,$B$11-SUM(X30:AE30)-SUM(W30:W30)))</f>
        <v>0</v>
      </c>
      <c r="AG30" s="27" t="n">
        <f aca="false">MIN(K29*(1+K$8),MAX(W30,$B$11-SUM(X30:AF30)))</f>
        <v>0</v>
      </c>
      <c r="AI30" s="27" t="n">
        <f aca="false">ROUND(MAX(0,AI29*(1+B$8)-BE30),2)</f>
        <v>255.35</v>
      </c>
      <c r="AJ30" s="27" t="n">
        <f aca="false">ROUND(MAX(0,AJ29*(1+C$8)-BF30),2)</f>
        <v>400</v>
      </c>
      <c r="AK30" s="27" t="n">
        <f aca="false">ROUND(MAX(0,AK29*(1+D$8)-BG30),2)</f>
        <v>2539.87</v>
      </c>
      <c r="AL30" s="27" t="n">
        <f aca="false">ROUND(MAX(0,AL29*(1+E$8)-BH30),2)</f>
        <v>3729.03</v>
      </c>
      <c r="AM30" s="27" t="n">
        <f aca="false">ROUND(MAX(0,AM29*(1+F$8)-BI30),2)</f>
        <v>5123.38</v>
      </c>
      <c r="AN30" s="27" t="n">
        <f aca="false">ROUND(MAX(0,AN29*(1+G$8)-BJ30),2)</f>
        <v>0</v>
      </c>
      <c r="AO30" s="27" t="n">
        <f aca="false">ROUND(MAX(0,AO29*(1+H$8)-BK30),2)</f>
        <v>0</v>
      </c>
      <c r="AP30" s="27" t="n">
        <f aca="false">ROUND(MAX(0,AP29*(1+I$8)-BL30),2)</f>
        <v>0</v>
      </c>
      <c r="AQ30" s="27" t="n">
        <f aca="false">ROUND(MAX(0,AQ29*(1+J$8)-BM30),2)</f>
        <v>0</v>
      </c>
      <c r="AR30" s="27" t="n">
        <f aca="false">ROUND(MAX(0,AR29*(1+K$8)-BN30),2)</f>
        <v>0</v>
      </c>
      <c r="AS30" s="27" t="n">
        <f aca="false">SUM(AI30:AR30)</f>
        <v>12047.63</v>
      </c>
      <c r="AT30" s="27" t="n">
        <f aca="false">SUMPRODUCT(AI29:AR29,$B$8:$K$8)</f>
        <v>158.72619</v>
      </c>
      <c r="AU30" s="27" t="n">
        <f aca="false">MIN(AI29*(1+B$8),B$9)</f>
        <v>35</v>
      </c>
      <c r="AV30" s="27" t="n">
        <f aca="false">MIN(AJ29*(1+C$8),C$9)</f>
        <v>50</v>
      </c>
      <c r="AW30" s="27" t="n">
        <f aca="false">MIN(AK29*(1+D$8),D$9)</f>
        <v>75</v>
      </c>
      <c r="AX30" s="27" t="n">
        <f aca="false">MIN(AL29*(1+E$8),E$9)</f>
        <v>95</v>
      </c>
      <c r="AY30" s="27" t="n">
        <f aca="false">MIN(AM29*(1+F$8),F$9)</f>
        <v>310</v>
      </c>
      <c r="AZ30" s="27" t="n">
        <f aca="false">MIN(AN29*(1+G$8),G$9)</f>
        <v>0</v>
      </c>
      <c r="BA30" s="27" t="n">
        <f aca="false">MIN(AO29*(1+H$8),H$9)</f>
        <v>0</v>
      </c>
      <c r="BB30" s="27" t="n">
        <f aca="false">MIN(AP29*(1+I$8),I$9)</f>
        <v>0</v>
      </c>
      <c r="BC30" s="27" t="n">
        <f aca="false">MIN(AQ29*(1+J$8),J$9)</f>
        <v>0</v>
      </c>
      <c r="BD30" s="27" t="n">
        <f aca="false">MIN(AR29*(1+K$8),K$9)</f>
        <v>0</v>
      </c>
      <c r="BE30" s="27" t="n">
        <f aca="false">MIN(AI29*(1+B$8),MAX(AU30,$B$12-SUM(AV30:BD30)))</f>
        <v>35</v>
      </c>
      <c r="BF30" s="27" t="n">
        <f aca="false">MIN(AJ29*(1+C$8),MAX(AV30,$B$12-SUM(BE30:BE30)-SUM(AW30:BD30)))</f>
        <v>50</v>
      </c>
      <c r="BG30" s="27" t="n">
        <f aca="false">MIN(AK29*(1+D$8),MAX(AW30,$B$12-SUM(BE30:BF30)-SUM(AX30:BD30)))</f>
        <v>75</v>
      </c>
      <c r="BH30" s="27" t="n">
        <f aca="false">MIN(AL29*(1+E$8),MAX(AX30,$B$12-SUM(BE30:BG30)-SUM(AY30:BD30)))</f>
        <v>95</v>
      </c>
      <c r="BI30" s="27" t="n">
        <f aca="false">MIN(AM29*(1+F$8),MAX(AY30,$B$12-SUM(BE30:BH30)-SUM(AZ30:BD30)))</f>
        <v>310</v>
      </c>
      <c r="BJ30" s="27" t="n">
        <f aca="false">MIN(AN29*(1+G$8),MAX(AZ30,$B$12-SUM(BE30:BI30)-SUM(BA30:BD30)))</f>
        <v>0</v>
      </c>
      <c r="BK30" s="27" t="n">
        <f aca="false">MIN(AO29*(1+H$8),MAX(BA30,$B$12-SUM(BE30:BJ30)-SUM(BB30:BD30)))</f>
        <v>0</v>
      </c>
      <c r="BL30" s="27" t="n">
        <f aca="false">MIN(AP29*(1+I$8),MAX(BB30,$B$12-SUM(BE30:BK30)-SUM(BC30:BD30)))</f>
        <v>0</v>
      </c>
      <c r="BM30" s="27" t="n">
        <f aca="false">MIN(AQ29*(1+J$8),MAX(BC30,$B$12-SUM(BE30:BL30)-SUM(BD30:BD30)))</f>
        <v>0</v>
      </c>
      <c r="BN30" s="27" t="n">
        <f aca="false">MIN(AR29*(1+K$8),MAX(BD30,$B$12-SUM(BE30:BM30)))</f>
        <v>0</v>
      </c>
    </row>
    <row r="31" customFormat="false" ht="15" hidden="false" customHeight="false" outlineLevel="0" collapsed="false">
      <c r="A31" s="0" t="n">
        <v>17</v>
      </c>
      <c r="B31" s="27" t="n">
        <f aca="false">ROUND(MAX(0,B30*(1+B$8)-X31),2)</f>
        <v>0</v>
      </c>
      <c r="C31" s="27" t="n">
        <f aca="false">ROUND(MAX(0,C30*(1+C$8)-Y31),2)</f>
        <v>0</v>
      </c>
      <c r="D31" s="27" t="n">
        <f aca="false">ROUND(MAX(0,D30*(1+D$8)-Z31),2)</f>
        <v>214.45</v>
      </c>
      <c r="E31" s="27" t="n">
        <f aca="false">ROUND(MAX(0,E30*(1+E$8)-AA31),2)</f>
        <v>3702.08</v>
      </c>
      <c r="F31" s="27" t="n">
        <f aca="false">ROUND(MAX(0,F30*(1+F$8)-AB31),2)</f>
        <v>4842.84</v>
      </c>
      <c r="G31" s="27" t="n">
        <f aca="false">ROUND(MAX(0,G30*(1+G$8)-AC31),2)</f>
        <v>0</v>
      </c>
      <c r="H31" s="27" t="n">
        <f aca="false">ROUND(MAX(0,H30*(1+H$8)-AD31),2)</f>
        <v>0</v>
      </c>
      <c r="I31" s="27" t="n">
        <f aca="false">ROUND(MAX(0,I30*(1+I$8)-AE31),2)</f>
        <v>0</v>
      </c>
      <c r="J31" s="27" t="n">
        <f aca="false">ROUND(MAX(0,J30*(1+J$8)-AF31),2)</f>
        <v>0</v>
      </c>
      <c r="K31" s="27" t="n">
        <f aca="false">ROUND(MAX(0,K30*(1+K$8)-AG31),2)</f>
        <v>0</v>
      </c>
      <c r="L31" s="30" t="n">
        <f aca="false">SUM(B31:K31)</f>
        <v>8759.37</v>
      </c>
      <c r="M31" s="27" t="n">
        <f aca="false">SUMPRODUCT(B30:K30,$B$8:$K$8)</f>
        <v>108.0493875</v>
      </c>
      <c r="N31" s="27" t="n">
        <f aca="false">MIN(B30*(1+B$8),B$9)</f>
        <v>0</v>
      </c>
      <c r="O31" s="27" t="n">
        <f aca="false">MIN(C30*(1+C$8),C$9)</f>
        <v>0</v>
      </c>
      <c r="P31" s="27" t="n">
        <f aca="false">MIN(D30*(1+D$8),D$9)</f>
        <v>75</v>
      </c>
      <c r="Q31" s="27" t="n">
        <f aca="false">MIN(E30*(1+E$8),E$9)</f>
        <v>95</v>
      </c>
      <c r="R31" s="27" t="n">
        <f aca="false">MIN(F30*(1+F$8),F$9)</f>
        <v>310</v>
      </c>
      <c r="S31" s="27" t="n">
        <f aca="false">MIN(G30*(1+G$8),G$9)</f>
        <v>0</v>
      </c>
      <c r="T31" s="27" t="n">
        <f aca="false">MIN(H30*(1+H$8),H$9)</f>
        <v>0</v>
      </c>
      <c r="U31" s="27" t="n">
        <f aca="false">MIN(I30*(1+I$8),I$9)</f>
        <v>0</v>
      </c>
      <c r="V31" s="27" t="n">
        <f aca="false">MIN(J30*(1+J$8),J$9)</f>
        <v>0</v>
      </c>
      <c r="W31" s="27" t="n">
        <f aca="false">MIN(K30*(1+K$8),K$9)</f>
        <v>0</v>
      </c>
      <c r="X31" s="27" t="n">
        <f aca="false">MIN(B30*(1+B$8),MAX(N31,$B$11-SUM(O31:W31)))</f>
        <v>0</v>
      </c>
      <c r="Y31" s="27" t="n">
        <f aca="false">MIN(C30*(1+C$8),MAX(O31,$B$11-SUM(X31:X31)-SUM(P31:W31)))</f>
        <v>0</v>
      </c>
      <c r="Z31" s="27" t="n">
        <f aca="false">MIN(D30*(1+D$8),MAX(P31,$B$11-SUM(X31:Y31)-SUM(Q31:W31)))</f>
        <v>310</v>
      </c>
      <c r="AA31" s="27" t="n">
        <f aca="false">MIN(E30*(1+E$8),MAX(Q31,$B$11-SUM(X31:Z31)-SUM(R31:W31)))</f>
        <v>95</v>
      </c>
      <c r="AB31" s="27" t="n">
        <f aca="false">MIN(F30*(1+F$8),MAX(R31,$B$11-SUM(X31:AA31)-SUM(S31:W31)))</f>
        <v>310</v>
      </c>
      <c r="AC31" s="27" t="n">
        <f aca="false">MIN(G30*(1+G$8),MAX(S31,$B$11-SUM(X31:AB31)-SUM(T31:W31)))</f>
        <v>0</v>
      </c>
      <c r="AD31" s="27" t="n">
        <f aca="false">MIN(H30*(1+H$8),MAX(T31,$B$11-SUM(X31:AC31)-SUM(U31:W31)))</f>
        <v>0</v>
      </c>
      <c r="AE31" s="27" t="n">
        <f aca="false">MIN(I30*(1+I$8),MAX(U31,$B$11-SUM(X31:AD31)-SUM(V31:W31)))</f>
        <v>0</v>
      </c>
      <c r="AF31" s="27" t="n">
        <f aca="false">MIN(J30*(1+J$8),MAX(V31,$B$11-SUM(X31:AE31)-SUM(W31:W31)))</f>
        <v>0</v>
      </c>
      <c r="AG31" s="27" t="n">
        <f aca="false">MIN(K30*(1+K$8),MAX(W31,$B$11-SUM(X31:AF31)))</f>
        <v>0</v>
      </c>
      <c r="AI31" s="27" t="n">
        <f aca="false">ROUND(MAX(0,AI30*(1+B$8)-BE31),2)</f>
        <v>226.29</v>
      </c>
      <c r="AJ31" s="27" t="n">
        <f aca="false">ROUND(MAX(0,AJ30*(1+C$8)-BF31),2)</f>
        <v>350</v>
      </c>
      <c r="AK31" s="27" t="n">
        <f aca="false">ROUND(MAX(0,AK30*(1+D$8)-BG31),2)</f>
        <v>2516.94</v>
      </c>
      <c r="AL31" s="27" t="n">
        <f aca="false">ROUND(MAX(0,AL30*(1+E$8)-BH31),2)</f>
        <v>3702.08</v>
      </c>
      <c r="AM31" s="27" t="n">
        <f aca="false">ROUND(MAX(0,AM30*(1+F$8)-BI31),2)</f>
        <v>4842.84</v>
      </c>
      <c r="AN31" s="27" t="n">
        <f aca="false">ROUND(MAX(0,AN30*(1+G$8)-BJ31),2)</f>
        <v>0</v>
      </c>
      <c r="AO31" s="27" t="n">
        <f aca="false">ROUND(MAX(0,AO30*(1+H$8)-BK31),2)</f>
        <v>0</v>
      </c>
      <c r="AP31" s="27" t="n">
        <f aca="false">ROUND(MAX(0,AP30*(1+I$8)-BL31),2)</f>
        <v>0</v>
      </c>
      <c r="AQ31" s="27" t="n">
        <f aca="false">ROUND(MAX(0,AQ30*(1+J$8)-BM31),2)</f>
        <v>0</v>
      </c>
      <c r="AR31" s="27" t="n">
        <f aca="false">ROUND(MAX(0,AR30*(1+K$8)-BN31),2)</f>
        <v>0</v>
      </c>
      <c r="AS31" s="27" t="n">
        <f aca="false">SUM(AI31:AR31)</f>
        <v>11638.15</v>
      </c>
      <c r="AT31" s="27" t="n">
        <f aca="false">SUMPRODUCT(AI30:AR30,$B$8:$K$8)</f>
        <v>155.518455</v>
      </c>
      <c r="AU31" s="27" t="n">
        <f aca="false">MIN(AI30*(1+B$8),B$9)</f>
        <v>35</v>
      </c>
      <c r="AV31" s="27" t="n">
        <f aca="false">MIN(AJ30*(1+C$8),C$9)</f>
        <v>50</v>
      </c>
      <c r="AW31" s="27" t="n">
        <f aca="false">MIN(AK30*(1+D$8),D$9)</f>
        <v>75</v>
      </c>
      <c r="AX31" s="27" t="n">
        <f aca="false">MIN(AL30*(1+E$8),E$9)</f>
        <v>95</v>
      </c>
      <c r="AY31" s="27" t="n">
        <f aca="false">MIN(AM30*(1+F$8),F$9)</f>
        <v>310</v>
      </c>
      <c r="AZ31" s="27" t="n">
        <f aca="false">MIN(AN30*(1+G$8),G$9)</f>
        <v>0</v>
      </c>
      <c r="BA31" s="27" t="n">
        <f aca="false">MIN(AO30*(1+H$8),H$9)</f>
        <v>0</v>
      </c>
      <c r="BB31" s="27" t="n">
        <f aca="false">MIN(AP30*(1+I$8),I$9)</f>
        <v>0</v>
      </c>
      <c r="BC31" s="27" t="n">
        <f aca="false">MIN(AQ30*(1+J$8),J$9)</f>
        <v>0</v>
      </c>
      <c r="BD31" s="27" t="n">
        <f aca="false">MIN(AR30*(1+K$8),K$9)</f>
        <v>0</v>
      </c>
      <c r="BE31" s="27" t="n">
        <f aca="false">MIN(AI30*(1+B$8),MAX(AU31,$B$12-SUM(AV31:BD31)))</f>
        <v>35</v>
      </c>
      <c r="BF31" s="27" t="n">
        <f aca="false">MIN(AJ30*(1+C$8),MAX(AV31,$B$12-SUM(BE31:BE31)-SUM(AW31:BD31)))</f>
        <v>50</v>
      </c>
      <c r="BG31" s="27" t="n">
        <f aca="false">MIN(AK30*(1+D$8),MAX(AW31,$B$12-SUM(BE31:BF31)-SUM(AX31:BD31)))</f>
        <v>75</v>
      </c>
      <c r="BH31" s="27" t="n">
        <f aca="false">MIN(AL30*(1+E$8),MAX(AX31,$B$12-SUM(BE31:BG31)-SUM(AY31:BD31)))</f>
        <v>95</v>
      </c>
      <c r="BI31" s="27" t="n">
        <f aca="false">MIN(AM30*(1+F$8),MAX(AY31,$B$12-SUM(BE31:BH31)-SUM(AZ31:BD31)))</f>
        <v>310</v>
      </c>
      <c r="BJ31" s="27" t="n">
        <f aca="false">MIN(AN30*(1+G$8),MAX(AZ31,$B$12-SUM(BE31:BI31)-SUM(BA31:BD31)))</f>
        <v>0</v>
      </c>
      <c r="BK31" s="27" t="n">
        <f aca="false">MIN(AO30*(1+H$8),MAX(BA31,$B$12-SUM(BE31:BJ31)-SUM(BB31:BD31)))</f>
        <v>0</v>
      </c>
      <c r="BL31" s="27" t="n">
        <f aca="false">MIN(AP30*(1+I$8),MAX(BB31,$B$12-SUM(BE31:BK31)-SUM(BC31:BD31)))</f>
        <v>0</v>
      </c>
      <c r="BM31" s="27" t="n">
        <f aca="false">MIN(AQ30*(1+J$8),MAX(BC31,$B$12-SUM(BE31:BL31)-SUM(BD31:BD31)))</f>
        <v>0</v>
      </c>
      <c r="BN31" s="27" t="n">
        <f aca="false">MIN(AR30*(1+K$8),MAX(BD31,$B$12-SUM(BE31:BM31)))</f>
        <v>0</v>
      </c>
    </row>
    <row r="32" customFormat="false" ht="15" hidden="false" customHeight="false" outlineLevel="0" collapsed="false">
      <c r="A32" s="0" t="n">
        <v>18</v>
      </c>
      <c r="B32" s="27" t="n">
        <f aca="false">ROUND(MAX(0,B31*(1+B$8)-X32),2)</f>
        <v>0</v>
      </c>
      <c r="C32" s="27" t="n">
        <f aca="false">ROUND(MAX(0,C31*(1+C$8)-Y32),2)</f>
        <v>0</v>
      </c>
      <c r="D32" s="27" t="n">
        <f aca="false">ROUND(MAX(0,D31*(1+D$8)-Z32),2)</f>
        <v>0</v>
      </c>
      <c r="E32" s="27" t="n">
        <f aca="false">ROUND(MAX(0,E31*(1+E$8)-AA32),2)</f>
        <v>3583.49</v>
      </c>
      <c r="F32" s="27" t="n">
        <f aca="false">ROUND(MAX(0,F31*(1+F$8)-AB32),2)</f>
        <v>4560.69</v>
      </c>
      <c r="G32" s="27" t="n">
        <f aca="false">ROUND(MAX(0,G31*(1+G$8)-AC32),2)</f>
        <v>0</v>
      </c>
      <c r="H32" s="27" t="n">
        <f aca="false">ROUND(MAX(0,H31*(1+H$8)-AD32),2)</f>
        <v>0</v>
      </c>
      <c r="I32" s="27" t="n">
        <f aca="false">ROUND(MAX(0,I31*(1+I$8)-AE32),2)</f>
        <v>0</v>
      </c>
      <c r="J32" s="27" t="n">
        <f aca="false">ROUND(MAX(0,J31*(1+J$8)-AF32),2)</f>
        <v>0</v>
      </c>
      <c r="K32" s="27" t="n">
        <f aca="false">ROUND(MAX(0,K31*(1+K$8)-AG32),2)</f>
        <v>0</v>
      </c>
      <c r="L32" s="30" t="n">
        <f aca="false">SUM(B32:K32)</f>
        <v>8144.18</v>
      </c>
      <c r="M32" s="27" t="n">
        <f aca="false">SUMPRODUCT(B31:K31,$B$8:$K$8)</f>
        <v>99.805515</v>
      </c>
      <c r="N32" s="27" t="n">
        <f aca="false">MIN(B31*(1+B$8),B$9)</f>
        <v>0</v>
      </c>
      <c r="O32" s="27" t="n">
        <f aca="false">MIN(C31*(1+C$8),C$9)</f>
        <v>0</v>
      </c>
      <c r="P32" s="27" t="n">
        <f aca="false">MIN(D31*(1+D$8),D$9)</f>
        <v>75</v>
      </c>
      <c r="Q32" s="27" t="n">
        <f aca="false">MIN(E31*(1+E$8),E$9)</f>
        <v>95</v>
      </c>
      <c r="R32" s="27" t="n">
        <f aca="false">MIN(F31*(1+F$8),F$9)</f>
        <v>310</v>
      </c>
      <c r="S32" s="27" t="n">
        <f aca="false">MIN(G31*(1+G$8),G$9)</f>
        <v>0</v>
      </c>
      <c r="T32" s="27" t="n">
        <f aca="false">MIN(H31*(1+H$8),H$9)</f>
        <v>0</v>
      </c>
      <c r="U32" s="27" t="n">
        <f aca="false">MIN(I31*(1+I$8),I$9)</f>
        <v>0</v>
      </c>
      <c r="V32" s="27" t="n">
        <f aca="false">MIN(J31*(1+J$8),J$9)</f>
        <v>0</v>
      </c>
      <c r="W32" s="27" t="n">
        <f aca="false">MIN(K31*(1+K$8),K$9)</f>
        <v>0</v>
      </c>
      <c r="X32" s="27" t="n">
        <f aca="false">MIN(B31*(1+B$8),MAX(N32,$B$11-SUM(O32:W32)))</f>
        <v>0</v>
      </c>
      <c r="Y32" s="27" t="n">
        <f aca="false">MIN(C31*(1+C$8),MAX(O32,$B$11-SUM(X32:X32)-SUM(P32:W32)))</f>
        <v>0</v>
      </c>
      <c r="Z32" s="27" t="n">
        <f aca="false">MIN(D31*(1+D$8),MAX(P32,$B$11-SUM(X32:Y32)-SUM(Q32:W32)))</f>
        <v>218.846225</v>
      </c>
      <c r="AA32" s="27" t="n">
        <f aca="false">MIN(E31*(1+E$8),MAX(Q32,$B$11-SUM(X32:Z32)-SUM(R32:W32)))</f>
        <v>186.153775</v>
      </c>
      <c r="AB32" s="27" t="n">
        <f aca="false">MIN(F31*(1+F$8),MAX(R32,$B$11-SUM(X32:AA32)-SUM(S32:W32)))</f>
        <v>310</v>
      </c>
      <c r="AC32" s="27" t="n">
        <f aca="false">MIN(G31*(1+G$8),MAX(S32,$B$11-SUM(X32:AB32)-SUM(T32:W32)))</f>
        <v>0</v>
      </c>
      <c r="AD32" s="27" t="n">
        <f aca="false">MIN(H31*(1+H$8),MAX(T32,$B$11-SUM(X32:AC32)-SUM(U32:W32)))</f>
        <v>0</v>
      </c>
      <c r="AE32" s="27" t="n">
        <f aca="false">MIN(I31*(1+I$8),MAX(U32,$B$11-SUM(X32:AD32)-SUM(V32:W32)))</f>
        <v>0</v>
      </c>
      <c r="AF32" s="27" t="n">
        <f aca="false">MIN(J31*(1+J$8),MAX(V32,$B$11-SUM(X32:AE32)-SUM(W32:W32)))</f>
        <v>0</v>
      </c>
      <c r="AG32" s="27" t="n">
        <f aca="false">MIN(K31*(1+K$8),MAX(W32,$B$11-SUM(X32:AF32)))</f>
        <v>0</v>
      </c>
      <c r="AI32" s="27" t="n">
        <f aca="false">ROUND(MAX(0,AI31*(1+B$8)-BE32),2)</f>
        <v>196.55</v>
      </c>
      <c r="AJ32" s="27" t="n">
        <f aca="false">ROUND(MAX(0,AJ31*(1+C$8)-BF32),2)</f>
        <v>300</v>
      </c>
      <c r="AK32" s="27" t="n">
        <f aca="false">ROUND(MAX(0,AK31*(1+D$8)-BG32),2)</f>
        <v>2493.54</v>
      </c>
      <c r="AL32" s="27" t="n">
        <f aca="false">ROUND(MAX(0,AL31*(1+E$8)-BH32),2)</f>
        <v>3674.64</v>
      </c>
      <c r="AM32" s="27" t="n">
        <f aca="false">ROUND(MAX(0,AM31*(1+F$8)-BI32),2)</f>
        <v>4560.69</v>
      </c>
      <c r="AN32" s="27" t="n">
        <f aca="false">ROUND(MAX(0,AN31*(1+G$8)-BJ32),2)</f>
        <v>0</v>
      </c>
      <c r="AO32" s="27" t="n">
        <f aca="false">ROUND(MAX(0,AO31*(1+H$8)-BK32),2)</f>
        <v>0</v>
      </c>
      <c r="AP32" s="27" t="n">
        <f aca="false">ROUND(MAX(0,AP31*(1+I$8)-BL32),2)</f>
        <v>0</v>
      </c>
      <c r="AQ32" s="27" t="n">
        <f aca="false">ROUND(MAX(0,AQ31*(1+J$8)-BM32),2)</f>
        <v>0</v>
      </c>
      <c r="AR32" s="27" t="n">
        <f aca="false">ROUND(MAX(0,AR31*(1+K$8)-BN32),2)</f>
        <v>0</v>
      </c>
      <c r="AS32" s="27" t="n">
        <f aca="false">SUM(AI32:AR32)</f>
        <v>11225.42</v>
      </c>
      <c r="AT32" s="27" t="n">
        <f aca="false">SUMPRODUCT(AI31:AR31,$B$8:$K$8)</f>
        <v>152.2678025</v>
      </c>
      <c r="AU32" s="27" t="n">
        <f aca="false">MIN(AI31*(1+B$8),B$9)</f>
        <v>35</v>
      </c>
      <c r="AV32" s="27" t="n">
        <f aca="false">MIN(AJ31*(1+C$8),C$9)</f>
        <v>50</v>
      </c>
      <c r="AW32" s="27" t="n">
        <f aca="false">MIN(AK31*(1+D$8),D$9)</f>
        <v>75</v>
      </c>
      <c r="AX32" s="27" t="n">
        <f aca="false">MIN(AL31*(1+E$8),E$9)</f>
        <v>95</v>
      </c>
      <c r="AY32" s="27" t="n">
        <f aca="false">MIN(AM31*(1+F$8),F$9)</f>
        <v>310</v>
      </c>
      <c r="AZ32" s="27" t="n">
        <f aca="false">MIN(AN31*(1+G$8),G$9)</f>
        <v>0</v>
      </c>
      <c r="BA32" s="27" t="n">
        <f aca="false">MIN(AO31*(1+H$8),H$9)</f>
        <v>0</v>
      </c>
      <c r="BB32" s="27" t="n">
        <f aca="false">MIN(AP31*(1+I$8),I$9)</f>
        <v>0</v>
      </c>
      <c r="BC32" s="27" t="n">
        <f aca="false">MIN(AQ31*(1+J$8),J$9)</f>
        <v>0</v>
      </c>
      <c r="BD32" s="27" t="n">
        <f aca="false">MIN(AR31*(1+K$8),K$9)</f>
        <v>0</v>
      </c>
      <c r="BE32" s="27" t="n">
        <f aca="false">MIN(AI31*(1+B$8),MAX(AU32,$B$12-SUM(AV32:BD32)))</f>
        <v>35</v>
      </c>
      <c r="BF32" s="27" t="n">
        <f aca="false">MIN(AJ31*(1+C$8),MAX(AV32,$B$12-SUM(BE32:BE32)-SUM(AW32:BD32)))</f>
        <v>50</v>
      </c>
      <c r="BG32" s="27" t="n">
        <f aca="false">MIN(AK31*(1+D$8),MAX(AW32,$B$12-SUM(BE32:BF32)-SUM(AX32:BD32)))</f>
        <v>75</v>
      </c>
      <c r="BH32" s="27" t="n">
        <f aca="false">MIN(AL31*(1+E$8),MAX(AX32,$B$12-SUM(BE32:BG32)-SUM(AY32:BD32)))</f>
        <v>95</v>
      </c>
      <c r="BI32" s="27" t="n">
        <f aca="false">MIN(AM31*(1+F$8),MAX(AY32,$B$12-SUM(BE32:BH32)-SUM(AZ32:BD32)))</f>
        <v>310</v>
      </c>
      <c r="BJ32" s="27" t="n">
        <f aca="false">MIN(AN31*(1+G$8),MAX(AZ32,$B$12-SUM(BE32:BI32)-SUM(BA32:BD32)))</f>
        <v>0</v>
      </c>
      <c r="BK32" s="27" t="n">
        <f aca="false">MIN(AO31*(1+H$8),MAX(BA32,$B$12-SUM(BE32:BJ32)-SUM(BB32:BD32)))</f>
        <v>0</v>
      </c>
      <c r="BL32" s="27" t="n">
        <f aca="false">MIN(AP31*(1+I$8),MAX(BB32,$B$12-SUM(BE32:BK32)-SUM(BC32:BD32)))</f>
        <v>0</v>
      </c>
      <c r="BM32" s="27" t="n">
        <f aca="false">MIN(AQ31*(1+J$8),MAX(BC32,$B$12-SUM(BE32:BL32)-SUM(BD32:BD32)))</f>
        <v>0</v>
      </c>
      <c r="BN32" s="27" t="n">
        <f aca="false">MIN(AR31*(1+K$8),MAX(BD32,$B$12-SUM(BE32:BM32)))</f>
        <v>0</v>
      </c>
    </row>
    <row r="33" customFormat="false" ht="15" hidden="false" customHeight="false" outlineLevel="0" collapsed="false">
      <c r="A33" s="0" t="n">
        <v>19</v>
      </c>
      <c r="B33" s="27" t="n">
        <f aca="false">ROUND(MAX(0,B32*(1+B$8)-X33),2)</f>
        <v>0</v>
      </c>
      <c r="C33" s="27" t="n">
        <f aca="false">ROUND(MAX(0,C32*(1+C$8)-Y33),2)</f>
        <v>0</v>
      </c>
      <c r="D33" s="27" t="n">
        <f aca="false">ROUND(MAX(0,D32*(1+D$8)-Z33),2)</f>
        <v>0</v>
      </c>
      <c r="E33" s="27" t="n">
        <f aca="false">ROUND(MAX(0,E32*(1+E$8)-AA33),2)</f>
        <v>3243.89</v>
      </c>
      <c r="F33" s="27" t="n">
        <f aca="false">ROUND(MAX(0,F32*(1+F$8)-AB33),2)</f>
        <v>4276.91</v>
      </c>
      <c r="G33" s="27" t="n">
        <f aca="false">ROUND(MAX(0,G32*(1+G$8)-AC33),2)</f>
        <v>0</v>
      </c>
      <c r="H33" s="27" t="n">
        <f aca="false">ROUND(MAX(0,H32*(1+H$8)-AD33),2)</f>
        <v>0</v>
      </c>
      <c r="I33" s="27" t="n">
        <f aca="false">ROUND(MAX(0,I32*(1+I$8)-AE33),2)</f>
        <v>0</v>
      </c>
      <c r="J33" s="27" t="n">
        <f aca="false">ROUND(MAX(0,J32*(1+J$8)-AF33),2)</f>
        <v>0</v>
      </c>
      <c r="K33" s="27" t="n">
        <f aca="false">ROUND(MAX(0,K32*(1+K$8)-AG33),2)</f>
        <v>0</v>
      </c>
      <c r="L33" s="30" t="n">
        <f aca="false">SUM(B33:K33)</f>
        <v>7520.8</v>
      </c>
      <c r="M33" s="27" t="n">
        <f aca="false">SUMPRODUCT(B32:K32,$B$8:$K$8)</f>
        <v>91.62266</v>
      </c>
      <c r="N33" s="27" t="n">
        <f aca="false">MIN(B32*(1+B$8),B$9)</f>
        <v>0</v>
      </c>
      <c r="O33" s="27" t="n">
        <f aca="false">MIN(C32*(1+C$8),C$9)</f>
        <v>0</v>
      </c>
      <c r="P33" s="27" t="n">
        <f aca="false">MIN(D32*(1+D$8),D$9)</f>
        <v>0</v>
      </c>
      <c r="Q33" s="27" t="n">
        <f aca="false">MIN(E32*(1+E$8),E$9)</f>
        <v>95</v>
      </c>
      <c r="R33" s="27" t="n">
        <f aca="false">MIN(F32*(1+F$8),F$9)</f>
        <v>310</v>
      </c>
      <c r="S33" s="27" t="n">
        <f aca="false">MIN(G32*(1+G$8),G$9)</f>
        <v>0</v>
      </c>
      <c r="T33" s="27" t="n">
        <f aca="false">MIN(H32*(1+H$8),H$9)</f>
        <v>0</v>
      </c>
      <c r="U33" s="27" t="n">
        <f aca="false">MIN(I32*(1+I$8),I$9)</f>
        <v>0</v>
      </c>
      <c r="V33" s="27" t="n">
        <f aca="false">MIN(J32*(1+J$8),J$9)</f>
        <v>0</v>
      </c>
      <c r="W33" s="27" t="n">
        <f aca="false">MIN(K32*(1+K$8),K$9)</f>
        <v>0</v>
      </c>
      <c r="X33" s="27" t="n">
        <f aca="false">MIN(B32*(1+B$8),MAX(N33,$B$11-SUM(O33:W33)))</f>
        <v>0</v>
      </c>
      <c r="Y33" s="27" t="n">
        <f aca="false">MIN(C32*(1+C$8),MAX(O33,$B$11-SUM(X33:X33)-SUM(P33:W33)))</f>
        <v>0</v>
      </c>
      <c r="Z33" s="27" t="n">
        <f aca="false">MIN(D32*(1+D$8),MAX(P33,$B$11-SUM(X33:Y33)-SUM(Q33:W33)))</f>
        <v>0</v>
      </c>
      <c r="AA33" s="27" t="n">
        <f aca="false">MIN(E32*(1+E$8),MAX(Q33,$B$11-SUM(X33:Z33)-SUM(R33:W33)))</f>
        <v>405</v>
      </c>
      <c r="AB33" s="27" t="n">
        <f aca="false">MIN(F32*(1+F$8),MAX(R33,$B$11-SUM(X33:AA33)-SUM(S33:W33)))</f>
        <v>310</v>
      </c>
      <c r="AC33" s="27" t="n">
        <f aca="false">MIN(G32*(1+G$8),MAX(S33,$B$11-SUM(X33:AB33)-SUM(T33:W33)))</f>
        <v>0</v>
      </c>
      <c r="AD33" s="27" t="n">
        <f aca="false">MIN(H32*(1+H$8),MAX(T33,$B$11-SUM(X33:AC33)-SUM(U33:W33)))</f>
        <v>0</v>
      </c>
      <c r="AE33" s="27" t="n">
        <f aca="false">MIN(I32*(1+I$8),MAX(U33,$B$11-SUM(X33:AD33)-SUM(V33:W33)))</f>
        <v>0</v>
      </c>
      <c r="AF33" s="27" t="n">
        <f aca="false">MIN(J32*(1+J$8),MAX(V33,$B$11-SUM(X33:AE33)-SUM(W33:W33)))</f>
        <v>0</v>
      </c>
      <c r="AG33" s="27" t="n">
        <f aca="false">MIN(K32*(1+K$8),MAX(W33,$B$11-SUM(X33:AF33)))</f>
        <v>0</v>
      </c>
      <c r="AI33" s="27" t="n">
        <f aca="false">ROUND(MAX(0,AI32*(1+B$8)-BE33),2)</f>
        <v>166.12</v>
      </c>
      <c r="AJ33" s="27" t="n">
        <f aca="false">ROUND(MAX(0,AJ32*(1+C$8)-BF33),2)</f>
        <v>250</v>
      </c>
      <c r="AK33" s="27" t="n">
        <f aca="false">ROUND(MAX(0,AK32*(1+D$8)-BG33),2)</f>
        <v>2469.66</v>
      </c>
      <c r="AL33" s="27" t="n">
        <f aca="false">ROUND(MAX(0,AL32*(1+E$8)-BH33),2)</f>
        <v>3646.7</v>
      </c>
      <c r="AM33" s="27" t="n">
        <f aca="false">ROUND(MAX(0,AM32*(1+F$8)-BI33),2)</f>
        <v>4276.91</v>
      </c>
      <c r="AN33" s="27" t="n">
        <f aca="false">ROUND(MAX(0,AN32*(1+G$8)-BJ33),2)</f>
        <v>0</v>
      </c>
      <c r="AO33" s="27" t="n">
        <f aca="false">ROUND(MAX(0,AO32*(1+H$8)-BK33),2)</f>
        <v>0</v>
      </c>
      <c r="AP33" s="27" t="n">
        <f aca="false">ROUND(MAX(0,AP32*(1+I$8)-BL33),2)</f>
        <v>0</v>
      </c>
      <c r="AQ33" s="27" t="n">
        <f aca="false">ROUND(MAX(0,AQ32*(1+J$8)-BM33),2)</f>
        <v>0</v>
      </c>
      <c r="AR33" s="27" t="n">
        <f aca="false">ROUND(MAX(0,AR32*(1+K$8)-BN33),2)</f>
        <v>0</v>
      </c>
      <c r="AS33" s="27" t="n">
        <f aca="false">SUM(AI33:AR33)</f>
        <v>10809.39</v>
      </c>
      <c r="AT33" s="27" t="n">
        <f aca="false">SUMPRODUCT(AI32:AR32,$B$8:$K$8)</f>
        <v>148.973505</v>
      </c>
      <c r="AU33" s="27" t="n">
        <f aca="false">MIN(AI32*(1+B$8),B$9)</f>
        <v>35</v>
      </c>
      <c r="AV33" s="27" t="n">
        <f aca="false">MIN(AJ32*(1+C$8),C$9)</f>
        <v>50</v>
      </c>
      <c r="AW33" s="27" t="n">
        <f aca="false">MIN(AK32*(1+D$8),D$9)</f>
        <v>75</v>
      </c>
      <c r="AX33" s="27" t="n">
        <f aca="false">MIN(AL32*(1+E$8),E$9)</f>
        <v>95</v>
      </c>
      <c r="AY33" s="27" t="n">
        <f aca="false">MIN(AM32*(1+F$8),F$9)</f>
        <v>310</v>
      </c>
      <c r="AZ33" s="27" t="n">
        <f aca="false">MIN(AN32*(1+G$8),G$9)</f>
        <v>0</v>
      </c>
      <c r="BA33" s="27" t="n">
        <f aca="false">MIN(AO32*(1+H$8),H$9)</f>
        <v>0</v>
      </c>
      <c r="BB33" s="27" t="n">
        <f aca="false">MIN(AP32*(1+I$8),I$9)</f>
        <v>0</v>
      </c>
      <c r="BC33" s="27" t="n">
        <f aca="false">MIN(AQ32*(1+J$8),J$9)</f>
        <v>0</v>
      </c>
      <c r="BD33" s="27" t="n">
        <f aca="false">MIN(AR32*(1+K$8),K$9)</f>
        <v>0</v>
      </c>
      <c r="BE33" s="27" t="n">
        <f aca="false">MIN(AI32*(1+B$8),MAX(AU33,$B$12-SUM(AV33:BD33)))</f>
        <v>35</v>
      </c>
      <c r="BF33" s="27" t="n">
        <f aca="false">MIN(AJ32*(1+C$8),MAX(AV33,$B$12-SUM(BE33:BE33)-SUM(AW33:BD33)))</f>
        <v>50</v>
      </c>
      <c r="BG33" s="27" t="n">
        <f aca="false">MIN(AK32*(1+D$8),MAX(AW33,$B$12-SUM(BE33:BF33)-SUM(AX33:BD33)))</f>
        <v>75</v>
      </c>
      <c r="BH33" s="27" t="n">
        <f aca="false">MIN(AL32*(1+E$8),MAX(AX33,$B$12-SUM(BE33:BG33)-SUM(AY33:BD33)))</f>
        <v>95</v>
      </c>
      <c r="BI33" s="27" t="n">
        <f aca="false">MIN(AM32*(1+F$8),MAX(AY33,$B$12-SUM(BE33:BH33)-SUM(AZ33:BD33)))</f>
        <v>310</v>
      </c>
      <c r="BJ33" s="27" t="n">
        <f aca="false">MIN(AN32*(1+G$8),MAX(AZ33,$B$12-SUM(BE33:BI33)-SUM(BA33:BD33)))</f>
        <v>0</v>
      </c>
      <c r="BK33" s="27" t="n">
        <f aca="false">MIN(AO32*(1+H$8),MAX(BA33,$B$12-SUM(BE33:BJ33)-SUM(BB33:BD33)))</f>
        <v>0</v>
      </c>
      <c r="BL33" s="27" t="n">
        <f aca="false">MIN(AP32*(1+I$8),MAX(BB33,$B$12-SUM(BE33:BK33)-SUM(BC33:BD33)))</f>
        <v>0</v>
      </c>
      <c r="BM33" s="27" t="n">
        <f aca="false">MIN(AQ32*(1+J$8),MAX(BC33,$B$12-SUM(BE33:BL33)-SUM(BD33:BD33)))</f>
        <v>0</v>
      </c>
      <c r="BN33" s="27" t="n">
        <f aca="false">MIN(AR32*(1+K$8),MAX(BD33,$B$12-SUM(BE33:BM33)))</f>
        <v>0</v>
      </c>
    </row>
    <row r="34" customFormat="false" ht="15" hidden="false" customHeight="false" outlineLevel="0" collapsed="false">
      <c r="A34" s="0" t="n">
        <v>20</v>
      </c>
      <c r="B34" s="27" t="n">
        <f aca="false">ROUND(MAX(0,B33*(1+B$8)-X34),2)</f>
        <v>0</v>
      </c>
      <c r="C34" s="27" t="n">
        <f aca="false">ROUND(MAX(0,C33*(1+C$8)-Y34),2)</f>
        <v>0</v>
      </c>
      <c r="D34" s="27" t="n">
        <f aca="false">ROUND(MAX(0,D33*(1+D$8)-Z34),2)</f>
        <v>0</v>
      </c>
      <c r="E34" s="27" t="n">
        <f aca="false">ROUND(MAX(0,E33*(1+E$8)-AA34),2)</f>
        <v>2898.09</v>
      </c>
      <c r="F34" s="27" t="n">
        <f aca="false">ROUND(MAX(0,F33*(1+F$8)-AB34),2)</f>
        <v>3991.5</v>
      </c>
      <c r="G34" s="27" t="n">
        <f aca="false">ROUND(MAX(0,G33*(1+G$8)-AC34),2)</f>
        <v>0</v>
      </c>
      <c r="H34" s="27" t="n">
        <f aca="false">ROUND(MAX(0,H33*(1+H$8)-AD34),2)</f>
        <v>0</v>
      </c>
      <c r="I34" s="27" t="n">
        <f aca="false">ROUND(MAX(0,I33*(1+I$8)-AE34),2)</f>
        <v>0</v>
      </c>
      <c r="J34" s="27" t="n">
        <f aca="false">ROUND(MAX(0,J33*(1+J$8)-AF34),2)</f>
        <v>0</v>
      </c>
      <c r="K34" s="27" t="n">
        <f aca="false">ROUND(MAX(0,K33*(1+K$8)-AG34),2)</f>
        <v>0</v>
      </c>
      <c r="L34" s="30" t="n">
        <f aca="false">SUM(B34:K34)</f>
        <v>6889.59</v>
      </c>
      <c r="M34" s="27" t="n">
        <f aca="false">SUMPRODUCT(B33:K33,$B$8:$K$8)</f>
        <v>83.793225</v>
      </c>
      <c r="N34" s="27" t="n">
        <f aca="false">MIN(B33*(1+B$8),B$9)</f>
        <v>0</v>
      </c>
      <c r="O34" s="27" t="n">
        <f aca="false">MIN(C33*(1+C$8),C$9)</f>
        <v>0</v>
      </c>
      <c r="P34" s="27" t="n">
        <f aca="false">MIN(D33*(1+D$8),D$9)</f>
        <v>0</v>
      </c>
      <c r="Q34" s="27" t="n">
        <f aca="false">MIN(E33*(1+E$8),E$9)</f>
        <v>95</v>
      </c>
      <c r="R34" s="27" t="n">
        <f aca="false">MIN(F33*(1+F$8),F$9)</f>
        <v>310</v>
      </c>
      <c r="S34" s="27" t="n">
        <f aca="false">MIN(G33*(1+G$8),G$9)</f>
        <v>0</v>
      </c>
      <c r="T34" s="27" t="n">
        <f aca="false">MIN(H33*(1+H$8),H$9)</f>
        <v>0</v>
      </c>
      <c r="U34" s="27" t="n">
        <f aca="false">MIN(I33*(1+I$8),I$9)</f>
        <v>0</v>
      </c>
      <c r="V34" s="27" t="n">
        <f aca="false">MIN(J33*(1+J$8),J$9)</f>
        <v>0</v>
      </c>
      <c r="W34" s="27" t="n">
        <f aca="false">MIN(K33*(1+K$8),K$9)</f>
        <v>0</v>
      </c>
      <c r="X34" s="27" t="n">
        <f aca="false">MIN(B33*(1+B$8),MAX(N34,$B$11-SUM(O34:W34)))</f>
        <v>0</v>
      </c>
      <c r="Y34" s="27" t="n">
        <f aca="false">MIN(C33*(1+C$8),MAX(O34,$B$11-SUM(X34:X34)-SUM(P34:W34)))</f>
        <v>0</v>
      </c>
      <c r="Z34" s="27" t="n">
        <f aca="false">MIN(D33*(1+D$8),MAX(P34,$B$11-SUM(X34:Y34)-SUM(Q34:W34)))</f>
        <v>0</v>
      </c>
      <c r="AA34" s="27" t="n">
        <f aca="false">MIN(E33*(1+E$8),MAX(Q34,$B$11-SUM(X34:Z34)-SUM(R34:W34)))</f>
        <v>405</v>
      </c>
      <c r="AB34" s="27" t="n">
        <f aca="false">MIN(F33*(1+F$8),MAX(R34,$B$11-SUM(X34:AA34)-SUM(S34:W34)))</f>
        <v>310</v>
      </c>
      <c r="AC34" s="27" t="n">
        <f aca="false">MIN(G33*(1+G$8),MAX(S34,$B$11-SUM(X34:AB34)-SUM(T34:W34)))</f>
        <v>0</v>
      </c>
      <c r="AD34" s="27" t="n">
        <f aca="false">MIN(H33*(1+H$8),MAX(T34,$B$11-SUM(X34:AC34)-SUM(U34:W34)))</f>
        <v>0</v>
      </c>
      <c r="AE34" s="27" t="n">
        <f aca="false">MIN(I33*(1+I$8),MAX(U34,$B$11-SUM(X34:AD34)-SUM(V34:W34)))</f>
        <v>0</v>
      </c>
      <c r="AF34" s="27" t="n">
        <f aca="false">MIN(J33*(1+J$8),MAX(V34,$B$11-SUM(X34:AE34)-SUM(W34:W34)))</f>
        <v>0</v>
      </c>
      <c r="AG34" s="27" t="n">
        <f aca="false">MIN(K33*(1+K$8),MAX(W34,$B$11-SUM(X34:AF34)))</f>
        <v>0</v>
      </c>
      <c r="AI34" s="27" t="n">
        <f aca="false">ROUND(MAX(0,AI33*(1+B$8)-BE34),2)</f>
        <v>134.98</v>
      </c>
      <c r="AJ34" s="27" t="n">
        <f aca="false">ROUND(MAX(0,AJ33*(1+C$8)-BF34),2)</f>
        <v>200</v>
      </c>
      <c r="AK34" s="27" t="n">
        <f aca="false">ROUND(MAX(0,AK33*(1+D$8)-BG34),2)</f>
        <v>2445.29</v>
      </c>
      <c r="AL34" s="27" t="n">
        <f aca="false">ROUND(MAX(0,AL33*(1+E$8)-BH34),2)</f>
        <v>3618.25</v>
      </c>
      <c r="AM34" s="27" t="n">
        <f aca="false">ROUND(MAX(0,AM33*(1+F$8)-BI34),2)</f>
        <v>3991.5</v>
      </c>
      <c r="AN34" s="27" t="n">
        <f aca="false">ROUND(MAX(0,AN33*(1+G$8)-BJ34),2)</f>
        <v>0</v>
      </c>
      <c r="AO34" s="27" t="n">
        <f aca="false">ROUND(MAX(0,AO33*(1+H$8)-BK34),2)</f>
        <v>0</v>
      </c>
      <c r="AP34" s="27" t="n">
        <f aca="false">ROUND(MAX(0,AP33*(1+I$8)-BL34),2)</f>
        <v>0</v>
      </c>
      <c r="AQ34" s="27" t="n">
        <f aca="false">ROUND(MAX(0,AQ33*(1+J$8)-BM34),2)</f>
        <v>0</v>
      </c>
      <c r="AR34" s="27" t="n">
        <f aca="false">ROUND(MAX(0,AR33*(1+K$8)-BN34),2)</f>
        <v>0</v>
      </c>
      <c r="AS34" s="27" t="n">
        <f aca="false">SUM(AI34:AR34)</f>
        <v>10390.02</v>
      </c>
      <c r="AT34" s="27" t="n">
        <f aca="false">SUMPRODUCT(AI33:AR33,$B$8:$K$8)</f>
        <v>145.6348275</v>
      </c>
      <c r="AU34" s="27" t="n">
        <f aca="false">MIN(AI33*(1+B$8),B$9)</f>
        <v>35</v>
      </c>
      <c r="AV34" s="27" t="n">
        <f aca="false">MIN(AJ33*(1+C$8),C$9)</f>
        <v>50</v>
      </c>
      <c r="AW34" s="27" t="n">
        <f aca="false">MIN(AK33*(1+D$8),D$9)</f>
        <v>75</v>
      </c>
      <c r="AX34" s="27" t="n">
        <f aca="false">MIN(AL33*(1+E$8),E$9)</f>
        <v>95</v>
      </c>
      <c r="AY34" s="27" t="n">
        <f aca="false">MIN(AM33*(1+F$8),F$9)</f>
        <v>310</v>
      </c>
      <c r="AZ34" s="27" t="n">
        <f aca="false">MIN(AN33*(1+G$8),G$9)</f>
        <v>0</v>
      </c>
      <c r="BA34" s="27" t="n">
        <f aca="false">MIN(AO33*(1+H$8),H$9)</f>
        <v>0</v>
      </c>
      <c r="BB34" s="27" t="n">
        <f aca="false">MIN(AP33*(1+I$8),I$9)</f>
        <v>0</v>
      </c>
      <c r="BC34" s="27" t="n">
        <f aca="false">MIN(AQ33*(1+J$8),J$9)</f>
        <v>0</v>
      </c>
      <c r="BD34" s="27" t="n">
        <f aca="false">MIN(AR33*(1+K$8),K$9)</f>
        <v>0</v>
      </c>
      <c r="BE34" s="27" t="n">
        <f aca="false">MIN(AI33*(1+B$8),MAX(AU34,$B$12-SUM(AV34:BD34)))</f>
        <v>35</v>
      </c>
      <c r="BF34" s="27" t="n">
        <f aca="false">MIN(AJ33*(1+C$8),MAX(AV34,$B$12-SUM(BE34:BE34)-SUM(AW34:BD34)))</f>
        <v>50</v>
      </c>
      <c r="BG34" s="27" t="n">
        <f aca="false">MIN(AK33*(1+D$8),MAX(AW34,$B$12-SUM(BE34:BF34)-SUM(AX34:BD34)))</f>
        <v>75</v>
      </c>
      <c r="BH34" s="27" t="n">
        <f aca="false">MIN(AL33*(1+E$8),MAX(AX34,$B$12-SUM(BE34:BG34)-SUM(AY34:BD34)))</f>
        <v>95</v>
      </c>
      <c r="BI34" s="27" t="n">
        <f aca="false">MIN(AM33*(1+F$8),MAX(AY34,$B$12-SUM(BE34:BH34)-SUM(AZ34:BD34)))</f>
        <v>310</v>
      </c>
      <c r="BJ34" s="27" t="n">
        <f aca="false">MIN(AN33*(1+G$8),MAX(AZ34,$B$12-SUM(BE34:BI34)-SUM(BA34:BD34)))</f>
        <v>0</v>
      </c>
      <c r="BK34" s="27" t="n">
        <f aca="false">MIN(AO33*(1+H$8),MAX(BA34,$B$12-SUM(BE34:BJ34)-SUM(BB34:BD34)))</f>
        <v>0</v>
      </c>
      <c r="BL34" s="27" t="n">
        <f aca="false">MIN(AP33*(1+I$8),MAX(BB34,$B$12-SUM(BE34:BK34)-SUM(BC34:BD34)))</f>
        <v>0</v>
      </c>
      <c r="BM34" s="27" t="n">
        <f aca="false">MIN(AQ33*(1+J$8),MAX(BC34,$B$12-SUM(BE34:BL34)-SUM(BD34:BD34)))</f>
        <v>0</v>
      </c>
      <c r="BN34" s="27" t="n">
        <f aca="false">MIN(AR33*(1+K$8),MAX(BD34,$B$12-SUM(BE34:BM34)))</f>
        <v>0</v>
      </c>
    </row>
    <row r="35" customFormat="false" ht="15" hidden="false" customHeight="false" outlineLevel="0" collapsed="false">
      <c r="A35" s="0" t="n">
        <v>21</v>
      </c>
      <c r="B35" s="27" t="n">
        <f aca="false">ROUND(MAX(0,B34*(1+B$8)-X35),2)</f>
        <v>0</v>
      </c>
      <c r="C35" s="27" t="n">
        <f aca="false">ROUND(MAX(0,C34*(1+C$8)-Y35),2)</f>
        <v>0</v>
      </c>
      <c r="D35" s="27" t="n">
        <f aca="false">ROUND(MAX(0,D34*(1+D$8)-Z35),2)</f>
        <v>0</v>
      </c>
      <c r="E35" s="27" t="n">
        <f aca="false">ROUND(MAX(0,E34*(1+E$8)-AA35),2)</f>
        <v>2545.98</v>
      </c>
      <c r="F35" s="27" t="n">
        <f aca="false">ROUND(MAX(0,F34*(1+F$8)-AB35),2)</f>
        <v>3704.45</v>
      </c>
      <c r="G35" s="27" t="n">
        <f aca="false">ROUND(MAX(0,G34*(1+G$8)-AC35),2)</f>
        <v>0</v>
      </c>
      <c r="H35" s="27" t="n">
        <f aca="false">ROUND(MAX(0,H34*(1+H$8)-AD35),2)</f>
        <v>0</v>
      </c>
      <c r="I35" s="27" t="n">
        <f aca="false">ROUND(MAX(0,I34*(1+I$8)-AE35),2)</f>
        <v>0</v>
      </c>
      <c r="J35" s="27" t="n">
        <f aca="false">ROUND(MAX(0,J34*(1+J$8)-AF35),2)</f>
        <v>0</v>
      </c>
      <c r="K35" s="27" t="n">
        <f aca="false">ROUND(MAX(0,K34*(1+K$8)-AG35),2)</f>
        <v>0</v>
      </c>
      <c r="L35" s="30" t="n">
        <f aca="false">SUM(B35:K35)</f>
        <v>6250.43</v>
      </c>
      <c r="M35" s="27" t="n">
        <f aca="false">SUMPRODUCT(B34:K34,$B$8:$K$8)</f>
        <v>75.8412675</v>
      </c>
      <c r="N35" s="27" t="n">
        <f aca="false">MIN(B34*(1+B$8),B$9)</f>
        <v>0</v>
      </c>
      <c r="O35" s="27" t="n">
        <f aca="false">MIN(C34*(1+C$8),C$9)</f>
        <v>0</v>
      </c>
      <c r="P35" s="27" t="n">
        <f aca="false">MIN(D34*(1+D$8),D$9)</f>
        <v>0</v>
      </c>
      <c r="Q35" s="27" t="n">
        <f aca="false">MIN(E34*(1+E$8),E$9)</f>
        <v>95</v>
      </c>
      <c r="R35" s="27" t="n">
        <f aca="false">MIN(F34*(1+F$8),F$9)</f>
        <v>310</v>
      </c>
      <c r="S35" s="27" t="n">
        <f aca="false">MIN(G34*(1+G$8),G$9)</f>
        <v>0</v>
      </c>
      <c r="T35" s="27" t="n">
        <f aca="false">MIN(H34*(1+H$8),H$9)</f>
        <v>0</v>
      </c>
      <c r="U35" s="27" t="n">
        <f aca="false">MIN(I34*(1+I$8),I$9)</f>
        <v>0</v>
      </c>
      <c r="V35" s="27" t="n">
        <f aca="false">MIN(J34*(1+J$8),J$9)</f>
        <v>0</v>
      </c>
      <c r="W35" s="27" t="n">
        <f aca="false">MIN(K34*(1+K$8),K$9)</f>
        <v>0</v>
      </c>
      <c r="X35" s="27" t="n">
        <f aca="false">MIN(B34*(1+B$8),MAX(N35,$B$11-SUM(O35:W35)))</f>
        <v>0</v>
      </c>
      <c r="Y35" s="27" t="n">
        <f aca="false">MIN(C34*(1+C$8),MAX(O35,$B$11-SUM(X35:X35)-SUM(P35:W35)))</f>
        <v>0</v>
      </c>
      <c r="Z35" s="27" t="n">
        <f aca="false">MIN(D34*(1+D$8),MAX(P35,$B$11-SUM(X35:Y35)-SUM(Q35:W35)))</f>
        <v>0</v>
      </c>
      <c r="AA35" s="27" t="n">
        <f aca="false">MIN(E34*(1+E$8),MAX(Q35,$B$11-SUM(X35:Z35)-SUM(R35:W35)))</f>
        <v>405</v>
      </c>
      <c r="AB35" s="27" t="n">
        <f aca="false">MIN(F34*(1+F$8),MAX(R35,$B$11-SUM(X35:AA35)-SUM(S35:W35)))</f>
        <v>310</v>
      </c>
      <c r="AC35" s="27" t="n">
        <f aca="false">MIN(G34*(1+G$8),MAX(S35,$B$11-SUM(X35:AB35)-SUM(T35:W35)))</f>
        <v>0</v>
      </c>
      <c r="AD35" s="27" t="n">
        <f aca="false">MIN(H34*(1+H$8),MAX(T35,$B$11-SUM(X35:AC35)-SUM(U35:W35)))</f>
        <v>0</v>
      </c>
      <c r="AE35" s="27" t="n">
        <f aca="false">MIN(I34*(1+I$8),MAX(U35,$B$11-SUM(X35:AD35)-SUM(V35:W35)))</f>
        <v>0</v>
      </c>
      <c r="AF35" s="27" t="n">
        <f aca="false">MIN(J34*(1+J$8),MAX(V35,$B$11-SUM(X35:AE35)-SUM(W35:W35)))</f>
        <v>0</v>
      </c>
      <c r="AG35" s="27" t="n">
        <f aca="false">MIN(K34*(1+K$8),MAX(W35,$B$11-SUM(X35:AF35)))</f>
        <v>0</v>
      </c>
      <c r="AI35" s="27" t="n">
        <f aca="false">ROUND(MAX(0,AI34*(1+B$8)-BE35),2)</f>
        <v>103.12</v>
      </c>
      <c r="AJ35" s="27" t="n">
        <f aca="false">ROUND(MAX(0,AJ34*(1+C$8)-BF35),2)</f>
        <v>150</v>
      </c>
      <c r="AK35" s="27" t="n">
        <f aca="false">ROUND(MAX(0,AK34*(1+D$8)-BG35),2)</f>
        <v>2420.42</v>
      </c>
      <c r="AL35" s="27" t="n">
        <f aca="false">ROUND(MAX(0,AL34*(1+E$8)-BH35),2)</f>
        <v>3589.28</v>
      </c>
      <c r="AM35" s="27" t="n">
        <f aca="false">ROUND(MAX(0,AM34*(1+F$8)-BI35),2)</f>
        <v>3704.45</v>
      </c>
      <c r="AN35" s="27" t="n">
        <f aca="false">ROUND(MAX(0,AN34*(1+G$8)-BJ35),2)</f>
        <v>0</v>
      </c>
      <c r="AO35" s="27" t="n">
        <f aca="false">ROUND(MAX(0,AO34*(1+H$8)-BK35),2)</f>
        <v>0</v>
      </c>
      <c r="AP35" s="27" t="n">
        <f aca="false">ROUND(MAX(0,AP34*(1+I$8)-BL35),2)</f>
        <v>0</v>
      </c>
      <c r="AQ35" s="27" t="n">
        <f aca="false">ROUND(MAX(0,AQ34*(1+J$8)-BM35),2)</f>
        <v>0</v>
      </c>
      <c r="AR35" s="27" t="n">
        <f aca="false">ROUND(MAX(0,AR34*(1+K$8)-BN35),2)</f>
        <v>0</v>
      </c>
      <c r="AS35" s="27" t="n">
        <f aca="false">SUM(AI35:AR35)</f>
        <v>9967.27</v>
      </c>
      <c r="AT35" s="27" t="n">
        <f aca="false">SUMPRODUCT(AI34:AR34,$B$8:$K$8)</f>
        <v>142.2509175</v>
      </c>
      <c r="AU35" s="27" t="n">
        <f aca="false">MIN(AI34*(1+B$8),B$9)</f>
        <v>35</v>
      </c>
      <c r="AV35" s="27" t="n">
        <f aca="false">MIN(AJ34*(1+C$8),C$9)</f>
        <v>50</v>
      </c>
      <c r="AW35" s="27" t="n">
        <f aca="false">MIN(AK34*(1+D$8),D$9)</f>
        <v>75</v>
      </c>
      <c r="AX35" s="27" t="n">
        <f aca="false">MIN(AL34*(1+E$8),E$9)</f>
        <v>95</v>
      </c>
      <c r="AY35" s="27" t="n">
        <f aca="false">MIN(AM34*(1+F$8),F$9)</f>
        <v>310</v>
      </c>
      <c r="AZ35" s="27" t="n">
        <f aca="false">MIN(AN34*(1+G$8),G$9)</f>
        <v>0</v>
      </c>
      <c r="BA35" s="27" t="n">
        <f aca="false">MIN(AO34*(1+H$8),H$9)</f>
        <v>0</v>
      </c>
      <c r="BB35" s="27" t="n">
        <f aca="false">MIN(AP34*(1+I$8),I$9)</f>
        <v>0</v>
      </c>
      <c r="BC35" s="27" t="n">
        <f aca="false">MIN(AQ34*(1+J$8),J$9)</f>
        <v>0</v>
      </c>
      <c r="BD35" s="27" t="n">
        <f aca="false">MIN(AR34*(1+K$8),K$9)</f>
        <v>0</v>
      </c>
      <c r="BE35" s="27" t="n">
        <f aca="false">MIN(AI34*(1+B$8),MAX(AU35,$B$12-SUM(AV35:BD35)))</f>
        <v>35</v>
      </c>
      <c r="BF35" s="27" t="n">
        <f aca="false">MIN(AJ34*(1+C$8),MAX(AV35,$B$12-SUM(BE35:BE35)-SUM(AW35:BD35)))</f>
        <v>50</v>
      </c>
      <c r="BG35" s="27" t="n">
        <f aca="false">MIN(AK34*(1+D$8),MAX(AW35,$B$12-SUM(BE35:BF35)-SUM(AX35:BD35)))</f>
        <v>75</v>
      </c>
      <c r="BH35" s="27" t="n">
        <f aca="false">MIN(AL34*(1+E$8),MAX(AX35,$B$12-SUM(BE35:BG35)-SUM(AY35:BD35)))</f>
        <v>95</v>
      </c>
      <c r="BI35" s="27" t="n">
        <f aca="false">MIN(AM34*(1+F$8),MAX(AY35,$B$12-SUM(BE35:BH35)-SUM(AZ35:BD35)))</f>
        <v>310</v>
      </c>
      <c r="BJ35" s="27" t="n">
        <f aca="false">MIN(AN34*(1+G$8),MAX(AZ35,$B$12-SUM(BE35:BI35)-SUM(BA35:BD35)))</f>
        <v>0</v>
      </c>
      <c r="BK35" s="27" t="n">
        <f aca="false">MIN(AO34*(1+H$8),MAX(BA35,$B$12-SUM(BE35:BJ35)-SUM(BB35:BD35)))</f>
        <v>0</v>
      </c>
      <c r="BL35" s="27" t="n">
        <f aca="false">MIN(AP34*(1+I$8),MAX(BB35,$B$12-SUM(BE35:BK35)-SUM(BC35:BD35)))</f>
        <v>0</v>
      </c>
      <c r="BM35" s="27" t="n">
        <f aca="false">MIN(AQ34*(1+J$8),MAX(BC35,$B$12-SUM(BE35:BL35)-SUM(BD35:BD35)))</f>
        <v>0</v>
      </c>
      <c r="BN35" s="27" t="n">
        <f aca="false">MIN(AR34*(1+K$8),MAX(BD35,$B$12-SUM(BE35:BM35)))</f>
        <v>0</v>
      </c>
    </row>
    <row r="36" customFormat="false" ht="15" hidden="false" customHeight="false" outlineLevel="0" collapsed="false">
      <c r="A36" s="0" t="n">
        <v>22</v>
      </c>
      <c r="B36" s="27" t="n">
        <f aca="false">ROUND(MAX(0,B35*(1+B$8)-X36),2)</f>
        <v>0</v>
      </c>
      <c r="C36" s="27" t="n">
        <f aca="false">ROUND(MAX(0,C35*(1+C$8)-Y36),2)</f>
        <v>0</v>
      </c>
      <c r="D36" s="27" t="n">
        <f aca="false">ROUND(MAX(0,D35*(1+D$8)-Z36),2)</f>
        <v>0</v>
      </c>
      <c r="E36" s="27" t="n">
        <f aca="false">ROUND(MAX(0,E35*(1+E$8)-AA36),2)</f>
        <v>2187.44</v>
      </c>
      <c r="F36" s="27" t="n">
        <f aca="false">ROUND(MAX(0,F35*(1+F$8)-AB36),2)</f>
        <v>3415.75</v>
      </c>
      <c r="G36" s="27" t="n">
        <f aca="false">ROUND(MAX(0,G35*(1+G$8)-AC36),2)</f>
        <v>0</v>
      </c>
      <c r="H36" s="27" t="n">
        <f aca="false">ROUND(MAX(0,H35*(1+H$8)-AD36),2)</f>
        <v>0</v>
      </c>
      <c r="I36" s="27" t="n">
        <f aca="false">ROUND(MAX(0,I35*(1+I$8)-AE36),2)</f>
        <v>0</v>
      </c>
      <c r="J36" s="27" t="n">
        <f aca="false">ROUND(MAX(0,J35*(1+J$8)-AF36),2)</f>
        <v>0</v>
      </c>
      <c r="K36" s="27" t="n">
        <f aca="false">ROUND(MAX(0,K35*(1+K$8)-AG36),2)</f>
        <v>0</v>
      </c>
      <c r="L36" s="30" t="n">
        <f aca="false">SUM(B36:K36)</f>
        <v>5603.19</v>
      </c>
      <c r="M36" s="27" t="n">
        <f aca="false">SUMPRODUCT(B35:K35,$B$8:$K$8)</f>
        <v>67.7647225</v>
      </c>
      <c r="N36" s="27" t="n">
        <f aca="false">MIN(B35*(1+B$8),B$9)</f>
        <v>0</v>
      </c>
      <c r="O36" s="27" t="n">
        <f aca="false">MIN(C35*(1+C$8),C$9)</f>
        <v>0</v>
      </c>
      <c r="P36" s="27" t="n">
        <f aca="false">MIN(D35*(1+D$8),D$9)</f>
        <v>0</v>
      </c>
      <c r="Q36" s="27" t="n">
        <f aca="false">MIN(E35*(1+E$8),E$9)</f>
        <v>95</v>
      </c>
      <c r="R36" s="27" t="n">
        <f aca="false">MIN(F35*(1+F$8),F$9)</f>
        <v>310</v>
      </c>
      <c r="S36" s="27" t="n">
        <f aca="false">MIN(G35*(1+G$8),G$9)</f>
        <v>0</v>
      </c>
      <c r="T36" s="27" t="n">
        <f aca="false">MIN(H35*(1+H$8),H$9)</f>
        <v>0</v>
      </c>
      <c r="U36" s="27" t="n">
        <f aca="false">MIN(I35*(1+I$8),I$9)</f>
        <v>0</v>
      </c>
      <c r="V36" s="27" t="n">
        <f aca="false">MIN(J35*(1+J$8),J$9)</f>
        <v>0</v>
      </c>
      <c r="W36" s="27" t="n">
        <f aca="false">MIN(K35*(1+K$8),K$9)</f>
        <v>0</v>
      </c>
      <c r="X36" s="27" t="n">
        <f aca="false">MIN(B35*(1+B$8),MAX(N36,$B$11-SUM(O36:W36)))</f>
        <v>0</v>
      </c>
      <c r="Y36" s="27" t="n">
        <f aca="false">MIN(C35*(1+C$8),MAX(O36,$B$11-SUM(X36:X36)-SUM(P36:W36)))</f>
        <v>0</v>
      </c>
      <c r="Z36" s="27" t="n">
        <f aca="false">MIN(D35*(1+D$8),MAX(P36,$B$11-SUM(X36:Y36)-SUM(Q36:W36)))</f>
        <v>0</v>
      </c>
      <c r="AA36" s="27" t="n">
        <f aca="false">MIN(E35*(1+E$8),MAX(Q36,$B$11-SUM(X36:Z36)-SUM(R36:W36)))</f>
        <v>405</v>
      </c>
      <c r="AB36" s="27" t="n">
        <f aca="false">MIN(F35*(1+F$8),MAX(R36,$B$11-SUM(X36:AA36)-SUM(S36:W36)))</f>
        <v>310</v>
      </c>
      <c r="AC36" s="27" t="n">
        <f aca="false">MIN(G35*(1+G$8),MAX(S36,$B$11-SUM(X36:AB36)-SUM(T36:W36)))</f>
        <v>0</v>
      </c>
      <c r="AD36" s="27" t="n">
        <f aca="false">MIN(H35*(1+H$8),MAX(T36,$B$11-SUM(X36:AC36)-SUM(U36:W36)))</f>
        <v>0</v>
      </c>
      <c r="AE36" s="27" t="n">
        <f aca="false">MIN(I35*(1+I$8),MAX(U36,$B$11-SUM(X36:AD36)-SUM(V36:W36)))</f>
        <v>0</v>
      </c>
      <c r="AF36" s="27" t="n">
        <f aca="false">MIN(J35*(1+J$8),MAX(V36,$B$11-SUM(X36:AE36)-SUM(W36:W36)))</f>
        <v>0</v>
      </c>
      <c r="AG36" s="27" t="n">
        <f aca="false">MIN(K35*(1+K$8),MAX(W36,$B$11-SUM(X36:AF36)))</f>
        <v>0</v>
      </c>
      <c r="AI36" s="27" t="n">
        <f aca="false">ROUND(MAX(0,AI35*(1+B$8)-BE36),2)</f>
        <v>70.52</v>
      </c>
      <c r="AJ36" s="27" t="n">
        <f aca="false">ROUND(MAX(0,AJ35*(1+C$8)-BF36),2)</f>
        <v>100</v>
      </c>
      <c r="AK36" s="27" t="n">
        <f aca="false">ROUND(MAX(0,AK35*(1+D$8)-BG36),2)</f>
        <v>2395.04</v>
      </c>
      <c r="AL36" s="27" t="n">
        <f aca="false">ROUND(MAX(0,AL35*(1+E$8)-BH36),2)</f>
        <v>3559.78</v>
      </c>
      <c r="AM36" s="27" t="n">
        <f aca="false">ROUND(MAX(0,AM35*(1+F$8)-BI36),2)</f>
        <v>3415.75</v>
      </c>
      <c r="AN36" s="27" t="n">
        <f aca="false">ROUND(MAX(0,AN35*(1+G$8)-BJ36),2)</f>
        <v>0</v>
      </c>
      <c r="AO36" s="27" t="n">
        <f aca="false">ROUND(MAX(0,AO35*(1+H$8)-BK36),2)</f>
        <v>0</v>
      </c>
      <c r="AP36" s="27" t="n">
        <f aca="false">ROUND(MAX(0,AP35*(1+I$8)-BL36),2)</f>
        <v>0</v>
      </c>
      <c r="AQ36" s="27" t="n">
        <f aca="false">ROUND(MAX(0,AQ35*(1+J$8)-BM36),2)</f>
        <v>0</v>
      </c>
      <c r="AR36" s="27" t="n">
        <f aca="false">ROUND(MAX(0,AR35*(1+K$8)-BN36),2)</f>
        <v>0</v>
      </c>
      <c r="AS36" s="27" t="n">
        <f aca="false">SUM(AI36:AR36)</f>
        <v>9541.09</v>
      </c>
      <c r="AT36" s="27" t="n">
        <f aca="false">SUMPRODUCT(AI35:AR35,$B$8:$K$8)</f>
        <v>138.8210975</v>
      </c>
      <c r="AU36" s="27" t="n">
        <f aca="false">MIN(AI35*(1+B$8),B$9)</f>
        <v>35</v>
      </c>
      <c r="AV36" s="27" t="n">
        <f aca="false">MIN(AJ35*(1+C$8),C$9)</f>
        <v>50</v>
      </c>
      <c r="AW36" s="27" t="n">
        <f aca="false">MIN(AK35*(1+D$8),D$9)</f>
        <v>75</v>
      </c>
      <c r="AX36" s="27" t="n">
        <f aca="false">MIN(AL35*(1+E$8),E$9)</f>
        <v>95</v>
      </c>
      <c r="AY36" s="27" t="n">
        <f aca="false">MIN(AM35*(1+F$8),F$9)</f>
        <v>310</v>
      </c>
      <c r="AZ36" s="27" t="n">
        <f aca="false">MIN(AN35*(1+G$8),G$9)</f>
        <v>0</v>
      </c>
      <c r="BA36" s="27" t="n">
        <f aca="false">MIN(AO35*(1+H$8),H$9)</f>
        <v>0</v>
      </c>
      <c r="BB36" s="27" t="n">
        <f aca="false">MIN(AP35*(1+I$8),I$9)</f>
        <v>0</v>
      </c>
      <c r="BC36" s="27" t="n">
        <f aca="false">MIN(AQ35*(1+J$8),J$9)</f>
        <v>0</v>
      </c>
      <c r="BD36" s="27" t="n">
        <f aca="false">MIN(AR35*(1+K$8),K$9)</f>
        <v>0</v>
      </c>
      <c r="BE36" s="27" t="n">
        <f aca="false">MIN(AI35*(1+B$8),MAX(AU36,$B$12-SUM(AV36:BD36)))</f>
        <v>35</v>
      </c>
      <c r="BF36" s="27" t="n">
        <f aca="false">MIN(AJ35*(1+C$8),MAX(AV36,$B$12-SUM(BE36:BE36)-SUM(AW36:BD36)))</f>
        <v>50</v>
      </c>
      <c r="BG36" s="27" t="n">
        <f aca="false">MIN(AK35*(1+D$8),MAX(AW36,$B$12-SUM(BE36:BF36)-SUM(AX36:BD36)))</f>
        <v>75</v>
      </c>
      <c r="BH36" s="27" t="n">
        <f aca="false">MIN(AL35*(1+E$8),MAX(AX36,$B$12-SUM(BE36:BG36)-SUM(AY36:BD36)))</f>
        <v>95</v>
      </c>
      <c r="BI36" s="27" t="n">
        <f aca="false">MIN(AM35*(1+F$8),MAX(AY36,$B$12-SUM(BE36:BH36)-SUM(AZ36:BD36)))</f>
        <v>310</v>
      </c>
      <c r="BJ36" s="27" t="n">
        <f aca="false">MIN(AN35*(1+G$8),MAX(AZ36,$B$12-SUM(BE36:BI36)-SUM(BA36:BD36)))</f>
        <v>0</v>
      </c>
      <c r="BK36" s="27" t="n">
        <f aca="false">MIN(AO35*(1+H$8),MAX(BA36,$B$12-SUM(BE36:BJ36)-SUM(BB36:BD36)))</f>
        <v>0</v>
      </c>
      <c r="BL36" s="27" t="n">
        <f aca="false">MIN(AP35*(1+I$8),MAX(BB36,$B$12-SUM(BE36:BK36)-SUM(BC36:BD36)))</f>
        <v>0</v>
      </c>
      <c r="BM36" s="27" t="n">
        <f aca="false">MIN(AQ35*(1+J$8),MAX(BC36,$B$12-SUM(BE36:BL36)-SUM(BD36:BD36)))</f>
        <v>0</v>
      </c>
      <c r="BN36" s="27" t="n">
        <f aca="false">MIN(AR35*(1+K$8),MAX(BD36,$B$12-SUM(BE36:BM36)))</f>
        <v>0</v>
      </c>
    </row>
    <row r="37" customFormat="false" ht="15" hidden="false" customHeight="false" outlineLevel="0" collapsed="false">
      <c r="A37" s="0" t="n">
        <v>23</v>
      </c>
      <c r="B37" s="27" t="n">
        <f aca="false">ROUND(MAX(0,B36*(1+B$8)-X37),2)</f>
        <v>0</v>
      </c>
      <c r="C37" s="27" t="n">
        <f aca="false">ROUND(MAX(0,C36*(1+C$8)-Y37),2)</f>
        <v>0</v>
      </c>
      <c r="D37" s="27" t="n">
        <f aca="false">ROUND(MAX(0,D36*(1+D$8)-Z37),2)</f>
        <v>0</v>
      </c>
      <c r="E37" s="27" t="n">
        <f aca="false">ROUND(MAX(0,E36*(1+E$8)-AA37),2)</f>
        <v>1822.36</v>
      </c>
      <c r="F37" s="27" t="n">
        <f aca="false">ROUND(MAX(0,F36*(1+F$8)-AB37),2)</f>
        <v>3125.39</v>
      </c>
      <c r="G37" s="27" t="n">
        <f aca="false">ROUND(MAX(0,G36*(1+G$8)-AC37),2)</f>
        <v>0</v>
      </c>
      <c r="H37" s="27" t="n">
        <f aca="false">ROUND(MAX(0,H36*(1+H$8)-AD37),2)</f>
        <v>0</v>
      </c>
      <c r="I37" s="27" t="n">
        <f aca="false">ROUND(MAX(0,I36*(1+I$8)-AE37),2)</f>
        <v>0</v>
      </c>
      <c r="J37" s="27" t="n">
        <f aca="false">ROUND(MAX(0,J36*(1+J$8)-AF37),2)</f>
        <v>0</v>
      </c>
      <c r="K37" s="27" t="n">
        <f aca="false">ROUND(MAX(0,K36*(1+K$8)-AG37),2)</f>
        <v>0</v>
      </c>
      <c r="L37" s="30" t="n">
        <f aca="false">SUM(B37:K37)</f>
        <v>4947.75</v>
      </c>
      <c r="M37" s="27" t="n">
        <f aca="false">SUMPRODUCT(B36:K36,$B$8:$K$8)</f>
        <v>59.5613425</v>
      </c>
      <c r="N37" s="27" t="n">
        <f aca="false">MIN(B36*(1+B$8),B$9)</f>
        <v>0</v>
      </c>
      <c r="O37" s="27" t="n">
        <f aca="false">MIN(C36*(1+C$8),C$9)</f>
        <v>0</v>
      </c>
      <c r="P37" s="27" t="n">
        <f aca="false">MIN(D36*(1+D$8),D$9)</f>
        <v>0</v>
      </c>
      <c r="Q37" s="27" t="n">
        <f aca="false">MIN(E36*(1+E$8),E$9)</f>
        <v>95</v>
      </c>
      <c r="R37" s="27" t="n">
        <f aca="false">MIN(F36*(1+F$8),F$9)</f>
        <v>310</v>
      </c>
      <c r="S37" s="27" t="n">
        <f aca="false">MIN(G36*(1+G$8),G$9)</f>
        <v>0</v>
      </c>
      <c r="T37" s="27" t="n">
        <f aca="false">MIN(H36*(1+H$8),H$9)</f>
        <v>0</v>
      </c>
      <c r="U37" s="27" t="n">
        <f aca="false">MIN(I36*(1+I$8),I$9)</f>
        <v>0</v>
      </c>
      <c r="V37" s="27" t="n">
        <f aca="false">MIN(J36*(1+J$8),J$9)</f>
        <v>0</v>
      </c>
      <c r="W37" s="27" t="n">
        <f aca="false">MIN(K36*(1+K$8),K$9)</f>
        <v>0</v>
      </c>
      <c r="X37" s="27" t="n">
        <f aca="false">MIN(B36*(1+B$8),MAX(N37,$B$11-SUM(O37:W37)))</f>
        <v>0</v>
      </c>
      <c r="Y37" s="27" t="n">
        <f aca="false">MIN(C36*(1+C$8),MAX(O37,$B$11-SUM(X37:X37)-SUM(P37:W37)))</f>
        <v>0</v>
      </c>
      <c r="Z37" s="27" t="n">
        <f aca="false">MIN(D36*(1+D$8),MAX(P37,$B$11-SUM(X37:Y37)-SUM(Q37:W37)))</f>
        <v>0</v>
      </c>
      <c r="AA37" s="27" t="n">
        <f aca="false">MIN(E36*(1+E$8),MAX(Q37,$B$11-SUM(X37:Z37)-SUM(R37:W37)))</f>
        <v>405</v>
      </c>
      <c r="AB37" s="27" t="n">
        <f aca="false">MIN(F36*(1+F$8),MAX(R37,$B$11-SUM(X37:AA37)-SUM(S37:W37)))</f>
        <v>310</v>
      </c>
      <c r="AC37" s="27" t="n">
        <f aca="false">MIN(G36*(1+G$8),MAX(S37,$B$11-SUM(X37:AB37)-SUM(T37:W37)))</f>
        <v>0</v>
      </c>
      <c r="AD37" s="27" t="n">
        <f aca="false">MIN(H36*(1+H$8),MAX(T37,$B$11-SUM(X37:AC37)-SUM(U37:W37)))</f>
        <v>0</v>
      </c>
      <c r="AE37" s="27" t="n">
        <f aca="false">MIN(I36*(1+I$8),MAX(U37,$B$11-SUM(X37:AD37)-SUM(V37:W37)))</f>
        <v>0</v>
      </c>
      <c r="AF37" s="27" t="n">
        <f aca="false">MIN(J36*(1+J$8),MAX(V37,$B$11-SUM(X37:AE37)-SUM(W37:W37)))</f>
        <v>0</v>
      </c>
      <c r="AG37" s="27" t="n">
        <f aca="false">MIN(K36*(1+K$8),MAX(W37,$B$11-SUM(X37:AF37)))</f>
        <v>0</v>
      </c>
      <c r="AI37" s="27" t="n">
        <f aca="false">ROUND(MAX(0,AI36*(1+B$8)-BE37),2)</f>
        <v>37.16</v>
      </c>
      <c r="AJ37" s="27" t="n">
        <f aca="false">ROUND(MAX(0,AJ36*(1+C$8)-BF37),2)</f>
        <v>50</v>
      </c>
      <c r="AK37" s="27" t="n">
        <f aca="false">ROUND(MAX(0,AK36*(1+D$8)-BG37),2)</f>
        <v>2369.14</v>
      </c>
      <c r="AL37" s="27" t="n">
        <f aca="false">ROUND(MAX(0,AL36*(1+E$8)-BH37),2)</f>
        <v>3529.75</v>
      </c>
      <c r="AM37" s="27" t="n">
        <f aca="false">ROUND(MAX(0,AM36*(1+F$8)-BI37),2)</f>
        <v>3125.39</v>
      </c>
      <c r="AN37" s="27" t="n">
        <f aca="false">ROUND(MAX(0,AN36*(1+G$8)-BJ37),2)</f>
        <v>0</v>
      </c>
      <c r="AO37" s="27" t="n">
        <f aca="false">ROUND(MAX(0,AO36*(1+H$8)-BK37),2)</f>
        <v>0</v>
      </c>
      <c r="AP37" s="27" t="n">
        <f aca="false">ROUND(MAX(0,AP36*(1+I$8)-BL37),2)</f>
        <v>0</v>
      </c>
      <c r="AQ37" s="27" t="n">
        <f aca="false">ROUND(MAX(0,AQ36*(1+J$8)-BM37),2)</f>
        <v>0</v>
      </c>
      <c r="AR37" s="27" t="n">
        <f aca="false">ROUND(MAX(0,AR36*(1+K$8)-BN37),2)</f>
        <v>0</v>
      </c>
      <c r="AS37" s="27" t="n">
        <f aca="false">SUM(AI37:AR37)</f>
        <v>9111.44</v>
      </c>
      <c r="AT37" s="27" t="n">
        <f aca="false">SUMPRODUCT(AI36:AR36,$B$8:$K$8)</f>
        <v>135.3444575</v>
      </c>
      <c r="AU37" s="27" t="n">
        <f aca="false">MIN(AI36*(1+B$8),B$9)</f>
        <v>35</v>
      </c>
      <c r="AV37" s="27" t="n">
        <f aca="false">MIN(AJ36*(1+C$8),C$9)</f>
        <v>50</v>
      </c>
      <c r="AW37" s="27" t="n">
        <f aca="false">MIN(AK36*(1+D$8),D$9)</f>
        <v>75</v>
      </c>
      <c r="AX37" s="27" t="n">
        <f aca="false">MIN(AL36*(1+E$8),E$9)</f>
        <v>95</v>
      </c>
      <c r="AY37" s="27" t="n">
        <f aca="false">MIN(AM36*(1+F$8),F$9)</f>
        <v>310</v>
      </c>
      <c r="AZ37" s="27" t="n">
        <f aca="false">MIN(AN36*(1+G$8),G$9)</f>
        <v>0</v>
      </c>
      <c r="BA37" s="27" t="n">
        <f aca="false">MIN(AO36*(1+H$8),H$9)</f>
        <v>0</v>
      </c>
      <c r="BB37" s="27" t="n">
        <f aca="false">MIN(AP36*(1+I$8),I$9)</f>
        <v>0</v>
      </c>
      <c r="BC37" s="27" t="n">
        <f aca="false">MIN(AQ36*(1+J$8),J$9)</f>
        <v>0</v>
      </c>
      <c r="BD37" s="27" t="n">
        <f aca="false">MIN(AR36*(1+K$8),K$9)</f>
        <v>0</v>
      </c>
      <c r="BE37" s="27" t="n">
        <f aca="false">MIN(AI36*(1+B$8),MAX(AU37,$B$12-SUM(AV37:BD37)))</f>
        <v>35</v>
      </c>
      <c r="BF37" s="27" t="n">
        <f aca="false">MIN(AJ36*(1+C$8),MAX(AV37,$B$12-SUM(BE37:BE37)-SUM(AW37:BD37)))</f>
        <v>50</v>
      </c>
      <c r="BG37" s="27" t="n">
        <f aca="false">MIN(AK36*(1+D$8),MAX(AW37,$B$12-SUM(BE37:BF37)-SUM(AX37:BD37)))</f>
        <v>75</v>
      </c>
      <c r="BH37" s="27" t="n">
        <f aca="false">MIN(AL36*(1+E$8),MAX(AX37,$B$12-SUM(BE37:BG37)-SUM(AY37:BD37)))</f>
        <v>95</v>
      </c>
      <c r="BI37" s="27" t="n">
        <f aca="false">MIN(AM36*(1+F$8),MAX(AY37,$B$12-SUM(BE37:BH37)-SUM(AZ37:BD37)))</f>
        <v>310</v>
      </c>
      <c r="BJ37" s="27" t="n">
        <f aca="false">MIN(AN36*(1+G$8),MAX(AZ37,$B$12-SUM(BE37:BI37)-SUM(BA37:BD37)))</f>
        <v>0</v>
      </c>
      <c r="BK37" s="27" t="n">
        <f aca="false">MIN(AO36*(1+H$8),MAX(BA37,$B$12-SUM(BE37:BJ37)-SUM(BB37:BD37)))</f>
        <v>0</v>
      </c>
      <c r="BL37" s="27" t="n">
        <f aca="false">MIN(AP36*(1+I$8),MAX(BB37,$B$12-SUM(BE37:BK37)-SUM(BC37:BD37)))</f>
        <v>0</v>
      </c>
      <c r="BM37" s="27" t="n">
        <f aca="false">MIN(AQ36*(1+J$8),MAX(BC37,$B$12-SUM(BE37:BL37)-SUM(BD37:BD37)))</f>
        <v>0</v>
      </c>
      <c r="BN37" s="27" t="n">
        <f aca="false">MIN(AR36*(1+K$8),MAX(BD37,$B$12-SUM(BE37:BM37)))</f>
        <v>0</v>
      </c>
    </row>
    <row r="38" customFormat="false" ht="15" hidden="false" customHeight="false" outlineLevel="0" collapsed="false">
      <c r="A38" s="0" t="n">
        <v>24</v>
      </c>
      <c r="B38" s="27" t="n">
        <f aca="false">ROUND(MAX(0,B37*(1+B$8)-X38),2)</f>
        <v>0</v>
      </c>
      <c r="C38" s="27" t="n">
        <f aca="false">ROUND(MAX(0,C37*(1+C$8)-Y38),2)</f>
        <v>0</v>
      </c>
      <c r="D38" s="27" t="n">
        <f aca="false">ROUND(MAX(0,D37*(1+D$8)-Z38),2)</f>
        <v>0</v>
      </c>
      <c r="E38" s="27" t="n">
        <f aca="false">ROUND(MAX(0,E37*(1+E$8)-AA38),2)</f>
        <v>1450.62</v>
      </c>
      <c r="F38" s="27" t="n">
        <f aca="false">ROUND(MAX(0,F37*(1+F$8)-AB38),2)</f>
        <v>2833.36</v>
      </c>
      <c r="G38" s="27" t="n">
        <f aca="false">ROUND(MAX(0,G37*(1+G$8)-AC38),2)</f>
        <v>0</v>
      </c>
      <c r="H38" s="27" t="n">
        <f aca="false">ROUND(MAX(0,H37*(1+H$8)-AD38),2)</f>
        <v>0</v>
      </c>
      <c r="I38" s="27" t="n">
        <f aca="false">ROUND(MAX(0,I37*(1+I$8)-AE38),2)</f>
        <v>0</v>
      </c>
      <c r="J38" s="27" t="n">
        <f aca="false">ROUND(MAX(0,J37*(1+J$8)-AF38),2)</f>
        <v>0</v>
      </c>
      <c r="K38" s="27" t="n">
        <f aca="false">ROUND(MAX(0,K37*(1+K$8)-AG38),2)</f>
        <v>0</v>
      </c>
      <c r="L38" s="30" t="n">
        <f aca="false">SUM(B38:K38)</f>
        <v>4283.98</v>
      </c>
      <c r="M38" s="27" t="n">
        <f aca="false">SUMPRODUCT(B37:K37,$B$8:$K$8)</f>
        <v>51.2290625</v>
      </c>
      <c r="N38" s="27" t="n">
        <f aca="false">MIN(B37*(1+B$8),B$9)</f>
        <v>0</v>
      </c>
      <c r="O38" s="27" t="n">
        <f aca="false">MIN(C37*(1+C$8),C$9)</f>
        <v>0</v>
      </c>
      <c r="P38" s="27" t="n">
        <f aca="false">MIN(D37*(1+D$8),D$9)</f>
        <v>0</v>
      </c>
      <c r="Q38" s="27" t="n">
        <f aca="false">MIN(E37*(1+E$8),E$9)</f>
        <v>95</v>
      </c>
      <c r="R38" s="27" t="n">
        <f aca="false">MIN(F37*(1+F$8),F$9)</f>
        <v>310</v>
      </c>
      <c r="S38" s="27" t="n">
        <f aca="false">MIN(G37*(1+G$8),G$9)</f>
        <v>0</v>
      </c>
      <c r="T38" s="27" t="n">
        <f aca="false">MIN(H37*(1+H$8),H$9)</f>
        <v>0</v>
      </c>
      <c r="U38" s="27" t="n">
        <f aca="false">MIN(I37*(1+I$8),I$9)</f>
        <v>0</v>
      </c>
      <c r="V38" s="27" t="n">
        <f aca="false">MIN(J37*(1+J$8),J$9)</f>
        <v>0</v>
      </c>
      <c r="W38" s="27" t="n">
        <f aca="false">MIN(K37*(1+K$8),K$9)</f>
        <v>0</v>
      </c>
      <c r="X38" s="27" t="n">
        <f aca="false">MIN(B37*(1+B$8),MAX(N38,$B$11-SUM(O38:W38)))</f>
        <v>0</v>
      </c>
      <c r="Y38" s="27" t="n">
        <f aca="false">MIN(C37*(1+C$8),MAX(O38,$B$11-SUM(X38:X38)-SUM(P38:W38)))</f>
        <v>0</v>
      </c>
      <c r="Z38" s="27" t="n">
        <f aca="false">MIN(D37*(1+D$8),MAX(P38,$B$11-SUM(X38:Y38)-SUM(Q38:W38)))</f>
        <v>0</v>
      </c>
      <c r="AA38" s="27" t="n">
        <f aca="false">MIN(E37*(1+E$8),MAX(Q38,$B$11-SUM(X38:Z38)-SUM(R38:W38)))</f>
        <v>405</v>
      </c>
      <c r="AB38" s="27" t="n">
        <f aca="false">MIN(F37*(1+F$8),MAX(R38,$B$11-SUM(X38:AA38)-SUM(S38:W38)))</f>
        <v>310</v>
      </c>
      <c r="AC38" s="27" t="n">
        <f aca="false">MIN(G37*(1+G$8),MAX(S38,$B$11-SUM(X38:AB38)-SUM(T38:W38)))</f>
        <v>0</v>
      </c>
      <c r="AD38" s="27" t="n">
        <f aca="false">MIN(H37*(1+H$8),MAX(T38,$B$11-SUM(X38:AC38)-SUM(U38:W38)))</f>
        <v>0</v>
      </c>
      <c r="AE38" s="27" t="n">
        <f aca="false">MIN(I37*(1+I$8),MAX(U38,$B$11-SUM(X38:AD38)-SUM(V38:W38)))</f>
        <v>0</v>
      </c>
      <c r="AF38" s="27" t="n">
        <f aca="false">MIN(J37*(1+J$8),MAX(V38,$B$11-SUM(X38:AE38)-SUM(W38:W38)))</f>
        <v>0</v>
      </c>
      <c r="AG38" s="27" t="n">
        <f aca="false">MIN(K37*(1+K$8),MAX(W38,$B$11-SUM(X38:AF38)))</f>
        <v>0</v>
      </c>
      <c r="AI38" s="27" t="n">
        <f aca="false">ROUND(MAX(0,AI37*(1+B$8)-BE38),2)</f>
        <v>3.02</v>
      </c>
      <c r="AJ38" s="27" t="n">
        <f aca="false">ROUND(MAX(0,AJ37*(1+C$8)-BF38),2)</f>
        <v>0</v>
      </c>
      <c r="AK38" s="27" t="n">
        <f aca="false">ROUND(MAX(0,AK37*(1+D$8)-BG38),2)</f>
        <v>2342.71</v>
      </c>
      <c r="AL38" s="27" t="n">
        <f aca="false">ROUND(MAX(0,AL37*(1+E$8)-BH38),2)</f>
        <v>3499.17</v>
      </c>
      <c r="AM38" s="27" t="n">
        <f aca="false">ROUND(MAX(0,AM37*(1+F$8)-BI38),2)</f>
        <v>2833.36</v>
      </c>
      <c r="AN38" s="27" t="n">
        <f aca="false">ROUND(MAX(0,AN37*(1+G$8)-BJ38),2)</f>
        <v>0</v>
      </c>
      <c r="AO38" s="27" t="n">
        <f aca="false">ROUND(MAX(0,AO37*(1+H$8)-BK38),2)</f>
        <v>0</v>
      </c>
      <c r="AP38" s="27" t="n">
        <f aca="false">ROUND(MAX(0,AP37*(1+I$8)-BL38),2)</f>
        <v>0</v>
      </c>
      <c r="AQ38" s="27" t="n">
        <f aca="false">ROUND(MAX(0,AQ37*(1+J$8)-BM38),2)</f>
        <v>0</v>
      </c>
      <c r="AR38" s="27" t="n">
        <f aca="false">ROUND(MAX(0,AR37*(1+K$8)-BN38),2)</f>
        <v>0</v>
      </c>
      <c r="AS38" s="27" t="n">
        <f aca="false">SUM(AI38:AR38)</f>
        <v>8678.26</v>
      </c>
      <c r="AT38" s="27" t="n">
        <f aca="false">SUMPRODUCT(AI37:AR37,$B$8:$K$8)</f>
        <v>131.82027</v>
      </c>
      <c r="AU38" s="27" t="n">
        <f aca="false">MIN(AI37*(1+B$8),B$9)</f>
        <v>35</v>
      </c>
      <c r="AV38" s="27" t="n">
        <f aca="false">MIN(AJ37*(1+C$8),C$9)</f>
        <v>50</v>
      </c>
      <c r="AW38" s="27" t="n">
        <f aca="false">MIN(AK37*(1+D$8),D$9)</f>
        <v>75</v>
      </c>
      <c r="AX38" s="27" t="n">
        <f aca="false">MIN(AL37*(1+E$8),E$9)</f>
        <v>95</v>
      </c>
      <c r="AY38" s="27" t="n">
        <f aca="false">MIN(AM37*(1+F$8),F$9)</f>
        <v>310</v>
      </c>
      <c r="AZ38" s="27" t="n">
        <f aca="false">MIN(AN37*(1+G$8),G$9)</f>
        <v>0</v>
      </c>
      <c r="BA38" s="27" t="n">
        <f aca="false">MIN(AO37*(1+H$8),H$9)</f>
        <v>0</v>
      </c>
      <c r="BB38" s="27" t="n">
        <f aca="false">MIN(AP37*(1+I$8),I$9)</f>
        <v>0</v>
      </c>
      <c r="BC38" s="27" t="n">
        <f aca="false">MIN(AQ37*(1+J$8),J$9)</f>
        <v>0</v>
      </c>
      <c r="BD38" s="27" t="n">
        <f aca="false">MIN(AR37*(1+K$8),K$9)</f>
        <v>0</v>
      </c>
      <c r="BE38" s="27" t="n">
        <f aca="false">MIN(AI37*(1+B$8),MAX(AU38,$B$12-SUM(AV38:BD38)))</f>
        <v>35</v>
      </c>
      <c r="BF38" s="27" t="n">
        <f aca="false">MIN(AJ37*(1+C$8),MAX(AV38,$B$12-SUM(BE38:BE38)-SUM(AW38:BD38)))</f>
        <v>50</v>
      </c>
      <c r="BG38" s="27" t="n">
        <f aca="false">MIN(AK37*(1+D$8),MAX(AW38,$B$12-SUM(BE38:BF38)-SUM(AX38:BD38)))</f>
        <v>75</v>
      </c>
      <c r="BH38" s="27" t="n">
        <f aca="false">MIN(AL37*(1+E$8),MAX(AX38,$B$12-SUM(BE38:BG38)-SUM(AY38:BD38)))</f>
        <v>95</v>
      </c>
      <c r="BI38" s="27" t="n">
        <f aca="false">MIN(AM37*(1+F$8),MAX(AY38,$B$12-SUM(BE38:BH38)-SUM(AZ38:BD38)))</f>
        <v>310</v>
      </c>
      <c r="BJ38" s="27" t="n">
        <f aca="false">MIN(AN37*(1+G$8),MAX(AZ38,$B$12-SUM(BE38:BI38)-SUM(BA38:BD38)))</f>
        <v>0</v>
      </c>
      <c r="BK38" s="27" t="n">
        <f aca="false">MIN(AO37*(1+H$8),MAX(BA38,$B$12-SUM(BE38:BJ38)-SUM(BB38:BD38)))</f>
        <v>0</v>
      </c>
      <c r="BL38" s="27" t="n">
        <f aca="false">MIN(AP37*(1+I$8),MAX(BB38,$B$12-SUM(BE38:BK38)-SUM(BC38:BD38)))</f>
        <v>0</v>
      </c>
      <c r="BM38" s="27" t="n">
        <f aca="false">MIN(AQ37*(1+J$8),MAX(BC38,$B$12-SUM(BE38:BL38)-SUM(BD38:BD38)))</f>
        <v>0</v>
      </c>
      <c r="BN38" s="27" t="n">
        <f aca="false">MIN(AR37*(1+K$8),MAX(BD38,$B$12-SUM(BE38:BM38)))</f>
        <v>0</v>
      </c>
    </row>
    <row r="39" customFormat="false" ht="15" hidden="false" customHeight="false" outlineLevel="0" collapsed="false">
      <c r="A39" s="0" t="n">
        <v>25</v>
      </c>
      <c r="B39" s="27" t="n">
        <f aca="false">ROUND(MAX(0,B38*(1+B$8)-X39),2)</f>
        <v>0</v>
      </c>
      <c r="C39" s="27" t="n">
        <f aca="false">ROUND(MAX(0,C38*(1+C$8)-Y39),2)</f>
        <v>0</v>
      </c>
      <c r="D39" s="27" t="n">
        <f aca="false">ROUND(MAX(0,D38*(1+D$8)-Z39),2)</f>
        <v>0</v>
      </c>
      <c r="E39" s="27" t="n">
        <f aca="false">ROUND(MAX(0,E38*(1+E$8)-AA39),2)</f>
        <v>1072.09</v>
      </c>
      <c r="F39" s="27" t="n">
        <f aca="false">ROUND(MAX(0,F38*(1+F$8)-AB39),2)</f>
        <v>2539.65</v>
      </c>
      <c r="G39" s="27" t="n">
        <f aca="false">ROUND(MAX(0,G38*(1+G$8)-AC39),2)</f>
        <v>0</v>
      </c>
      <c r="H39" s="27" t="n">
        <f aca="false">ROUND(MAX(0,H38*(1+H$8)-AD39),2)</f>
        <v>0</v>
      </c>
      <c r="I39" s="27" t="n">
        <f aca="false">ROUND(MAX(0,I38*(1+I$8)-AE39),2)</f>
        <v>0</v>
      </c>
      <c r="J39" s="27" t="n">
        <f aca="false">ROUND(MAX(0,J38*(1+J$8)-AF39),2)</f>
        <v>0</v>
      </c>
      <c r="K39" s="27" t="n">
        <f aca="false">ROUND(MAX(0,K38*(1+K$8)-AG39),2)</f>
        <v>0</v>
      </c>
      <c r="L39" s="30" t="n">
        <f aca="false">SUM(B39:K39)</f>
        <v>3611.74</v>
      </c>
      <c r="M39" s="27" t="n">
        <f aca="false">SUMPRODUCT(B38:K38,$B$8:$K$8)</f>
        <v>42.765635</v>
      </c>
      <c r="N39" s="27" t="n">
        <f aca="false">MIN(B38*(1+B$8),B$9)</f>
        <v>0</v>
      </c>
      <c r="O39" s="27" t="n">
        <f aca="false">MIN(C38*(1+C$8),C$9)</f>
        <v>0</v>
      </c>
      <c r="P39" s="27" t="n">
        <f aca="false">MIN(D38*(1+D$8),D$9)</f>
        <v>0</v>
      </c>
      <c r="Q39" s="27" t="n">
        <f aca="false">MIN(E38*(1+E$8),E$9)</f>
        <v>95</v>
      </c>
      <c r="R39" s="27" t="n">
        <f aca="false">MIN(F38*(1+F$8),F$9)</f>
        <v>310</v>
      </c>
      <c r="S39" s="27" t="n">
        <f aca="false">MIN(G38*(1+G$8),G$9)</f>
        <v>0</v>
      </c>
      <c r="T39" s="27" t="n">
        <f aca="false">MIN(H38*(1+H$8),H$9)</f>
        <v>0</v>
      </c>
      <c r="U39" s="27" t="n">
        <f aca="false">MIN(I38*(1+I$8),I$9)</f>
        <v>0</v>
      </c>
      <c r="V39" s="27" t="n">
        <f aca="false">MIN(J38*(1+J$8),J$9)</f>
        <v>0</v>
      </c>
      <c r="W39" s="27" t="n">
        <f aca="false">MIN(K38*(1+K$8),K$9)</f>
        <v>0</v>
      </c>
      <c r="X39" s="27" t="n">
        <f aca="false">MIN(B38*(1+B$8),MAX(N39,$B$11-SUM(O39:W39)))</f>
        <v>0</v>
      </c>
      <c r="Y39" s="27" t="n">
        <f aca="false">MIN(C38*(1+C$8),MAX(O39,$B$11-SUM(X39:X39)-SUM(P39:W39)))</f>
        <v>0</v>
      </c>
      <c r="Z39" s="27" t="n">
        <f aca="false">MIN(D38*(1+D$8),MAX(P39,$B$11-SUM(X39:Y39)-SUM(Q39:W39)))</f>
        <v>0</v>
      </c>
      <c r="AA39" s="27" t="n">
        <f aca="false">MIN(E38*(1+E$8),MAX(Q39,$B$11-SUM(X39:Z39)-SUM(R39:W39)))</f>
        <v>405</v>
      </c>
      <c r="AB39" s="27" t="n">
        <f aca="false">MIN(F38*(1+F$8),MAX(R39,$B$11-SUM(X39:AA39)-SUM(S39:W39)))</f>
        <v>310</v>
      </c>
      <c r="AC39" s="27" t="n">
        <f aca="false">MIN(G38*(1+G$8),MAX(S39,$B$11-SUM(X39:AB39)-SUM(T39:W39)))</f>
        <v>0</v>
      </c>
      <c r="AD39" s="27" t="n">
        <f aca="false">MIN(H38*(1+H$8),MAX(T39,$B$11-SUM(X39:AC39)-SUM(U39:W39)))</f>
        <v>0</v>
      </c>
      <c r="AE39" s="27" t="n">
        <f aca="false">MIN(I38*(1+I$8),MAX(U39,$B$11-SUM(X39:AD39)-SUM(V39:W39)))</f>
        <v>0</v>
      </c>
      <c r="AF39" s="27" t="n">
        <f aca="false">MIN(J38*(1+J$8),MAX(V39,$B$11-SUM(X39:AE39)-SUM(W39:W39)))</f>
        <v>0</v>
      </c>
      <c r="AG39" s="27" t="n">
        <f aca="false">MIN(K38*(1+K$8),MAX(W39,$B$11-SUM(X39:AF39)))</f>
        <v>0</v>
      </c>
      <c r="AI39" s="27" t="n">
        <f aca="false">ROUND(MAX(0,AI38*(1+B$8)-BE39),2)</f>
        <v>0</v>
      </c>
      <c r="AJ39" s="27" t="n">
        <f aca="false">ROUND(MAX(0,AJ38*(1+C$8)-BF39),2)</f>
        <v>0</v>
      </c>
      <c r="AK39" s="27" t="n">
        <f aca="false">ROUND(MAX(0,AK38*(1+D$8)-BG39),2)</f>
        <v>2233.83</v>
      </c>
      <c r="AL39" s="27" t="n">
        <f aca="false">ROUND(MAX(0,AL38*(1+E$8)-BH39),2)</f>
        <v>3468.03</v>
      </c>
      <c r="AM39" s="27" t="n">
        <f aca="false">ROUND(MAX(0,AM38*(1+F$8)-BI39),2)</f>
        <v>2539.65</v>
      </c>
      <c r="AN39" s="27" t="n">
        <f aca="false">ROUND(MAX(0,AN38*(1+G$8)-BJ39),2)</f>
        <v>0</v>
      </c>
      <c r="AO39" s="27" t="n">
        <f aca="false">ROUND(MAX(0,AO38*(1+H$8)-BK39),2)</f>
        <v>0</v>
      </c>
      <c r="AP39" s="27" t="n">
        <f aca="false">ROUND(MAX(0,AP38*(1+I$8)-BL39),2)</f>
        <v>0</v>
      </c>
      <c r="AQ39" s="27" t="n">
        <f aca="false">ROUND(MAX(0,AQ38*(1+J$8)-BM39),2)</f>
        <v>0</v>
      </c>
      <c r="AR39" s="27" t="n">
        <f aca="false">ROUND(MAX(0,AR38*(1+K$8)-BN39),2)</f>
        <v>0</v>
      </c>
      <c r="AS39" s="27" t="n">
        <f aca="false">SUM(AI39:AR39)</f>
        <v>8241.51</v>
      </c>
      <c r="AT39" s="27" t="n">
        <f aca="false">SUMPRODUCT(AI38:AR38,$B$8:$K$8)</f>
        <v>128.2474425</v>
      </c>
      <c r="AU39" s="27" t="n">
        <f aca="false">MIN(AI38*(1+B$8),B$9)</f>
        <v>3.090215</v>
      </c>
      <c r="AV39" s="27" t="n">
        <f aca="false">MIN(AJ38*(1+C$8),C$9)</f>
        <v>0</v>
      </c>
      <c r="AW39" s="27" t="n">
        <f aca="false">MIN(AK38*(1+D$8),D$9)</f>
        <v>75</v>
      </c>
      <c r="AX39" s="27" t="n">
        <f aca="false">MIN(AL38*(1+E$8),E$9)</f>
        <v>95</v>
      </c>
      <c r="AY39" s="27" t="n">
        <f aca="false">MIN(AM38*(1+F$8),F$9)</f>
        <v>310</v>
      </c>
      <c r="AZ39" s="27" t="n">
        <f aca="false">MIN(AN38*(1+G$8),G$9)</f>
        <v>0</v>
      </c>
      <c r="BA39" s="27" t="n">
        <f aca="false">MIN(AO38*(1+H$8),H$9)</f>
        <v>0</v>
      </c>
      <c r="BB39" s="27" t="n">
        <f aca="false">MIN(AP38*(1+I$8),I$9)</f>
        <v>0</v>
      </c>
      <c r="BC39" s="27" t="n">
        <f aca="false">MIN(AQ38*(1+J$8),J$9)</f>
        <v>0</v>
      </c>
      <c r="BD39" s="27" t="n">
        <f aca="false">MIN(AR38*(1+K$8),K$9)</f>
        <v>0</v>
      </c>
      <c r="BE39" s="27" t="n">
        <f aca="false">MIN(AI38*(1+B$8),MAX(AU39,$B$12-SUM(AV39:BD39)))</f>
        <v>3.090215</v>
      </c>
      <c r="BF39" s="27" t="n">
        <f aca="false">MIN(AJ38*(1+C$8),MAX(AV39,$B$12-SUM(BE39:BE39)-SUM(AW39:BD39)))</f>
        <v>0</v>
      </c>
      <c r="BG39" s="27" t="n">
        <f aca="false">MIN(AK38*(1+D$8),MAX(AW39,$B$12-SUM(BE39:BF39)-SUM(AX39:BD39)))</f>
        <v>156.909785</v>
      </c>
      <c r="BH39" s="27" t="n">
        <f aca="false">MIN(AL38*(1+E$8),MAX(AX39,$B$12-SUM(BE39:BG39)-SUM(AY39:BD39)))</f>
        <v>95</v>
      </c>
      <c r="BI39" s="27" t="n">
        <f aca="false">MIN(AM38*(1+F$8),MAX(AY39,$B$12-SUM(BE39:BH39)-SUM(AZ39:BD39)))</f>
        <v>310</v>
      </c>
      <c r="BJ39" s="27" t="n">
        <f aca="false">MIN(AN38*(1+G$8),MAX(AZ39,$B$12-SUM(BE39:BI39)-SUM(BA39:BD39)))</f>
        <v>0</v>
      </c>
      <c r="BK39" s="27" t="n">
        <f aca="false">MIN(AO38*(1+H$8),MAX(BA39,$B$12-SUM(BE39:BJ39)-SUM(BB39:BD39)))</f>
        <v>0</v>
      </c>
      <c r="BL39" s="27" t="n">
        <f aca="false">MIN(AP38*(1+I$8),MAX(BB39,$B$12-SUM(BE39:BK39)-SUM(BC39:BD39)))</f>
        <v>0</v>
      </c>
      <c r="BM39" s="27" t="n">
        <f aca="false">MIN(AQ38*(1+J$8),MAX(BC39,$B$12-SUM(BE39:BL39)-SUM(BD39:BD39)))</f>
        <v>0</v>
      </c>
      <c r="BN39" s="27" t="n">
        <f aca="false">MIN(AR38*(1+K$8),MAX(BD39,$B$12-SUM(BE39:BM39)))</f>
        <v>0</v>
      </c>
    </row>
    <row r="40" customFormat="false" ht="15" hidden="false" customHeight="false" outlineLevel="0" collapsed="false">
      <c r="A40" s="0" t="n">
        <v>26</v>
      </c>
      <c r="B40" s="27" t="n">
        <f aca="false">ROUND(MAX(0,B39*(1+B$8)-X40),2)</f>
        <v>0</v>
      </c>
      <c r="C40" s="27" t="n">
        <f aca="false">ROUND(MAX(0,C39*(1+C$8)-Y40),2)</f>
        <v>0</v>
      </c>
      <c r="D40" s="27" t="n">
        <f aca="false">ROUND(MAX(0,D39*(1+D$8)-Z40),2)</f>
        <v>0</v>
      </c>
      <c r="E40" s="27" t="n">
        <f aca="false">ROUND(MAX(0,E39*(1+E$8)-AA40),2)</f>
        <v>686.66</v>
      </c>
      <c r="F40" s="27" t="n">
        <f aca="false">ROUND(MAX(0,F39*(1+F$8)-AB40),2)</f>
        <v>2244.25</v>
      </c>
      <c r="G40" s="27" t="n">
        <f aca="false">ROUND(MAX(0,G39*(1+G$8)-AC40),2)</f>
        <v>0</v>
      </c>
      <c r="H40" s="27" t="n">
        <f aca="false">ROUND(MAX(0,H39*(1+H$8)-AD40),2)</f>
        <v>0</v>
      </c>
      <c r="I40" s="27" t="n">
        <f aca="false">ROUND(MAX(0,I39*(1+I$8)-AE40),2)</f>
        <v>0</v>
      </c>
      <c r="J40" s="27" t="n">
        <f aca="false">ROUND(MAX(0,J39*(1+J$8)-AF40),2)</f>
        <v>0</v>
      </c>
      <c r="K40" s="27" t="n">
        <f aca="false">ROUND(MAX(0,K39*(1+K$8)-AG40),2)</f>
        <v>0</v>
      </c>
      <c r="L40" s="30" t="n">
        <f aca="false">SUM(B40:K40)</f>
        <v>2930.91</v>
      </c>
      <c r="M40" s="27" t="n">
        <f aca="false">SUMPRODUCT(B39:K39,$B$8:$K$8)</f>
        <v>34.16863</v>
      </c>
      <c r="N40" s="27" t="n">
        <f aca="false">MIN(B39*(1+B$8),B$9)</f>
        <v>0</v>
      </c>
      <c r="O40" s="27" t="n">
        <f aca="false">MIN(C39*(1+C$8),C$9)</f>
        <v>0</v>
      </c>
      <c r="P40" s="27" t="n">
        <f aca="false">MIN(D39*(1+D$8),D$9)</f>
        <v>0</v>
      </c>
      <c r="Q40" s="27" t="n">
        <f aca="false">MIN(E39*(1+E$8),E$9)</f>
        <v>95</v>
      </c>
      <c r="R40" s="27" t="n">
        <f aca="false">MIN(F39*(1+F$8),F$9)</f>
        <v>310</v>
      </c>
      <c r="S40" s="27" t="n">
        <f aca="false">MIN(G39*(1+G$8),G$9)</f>
        <v>0</v>
      </c>
      <c r="T40" s="27" t="n">
        <f aca="false">MIN(H39*(1+H$8),H$9)</f>
        <v>0</v>
      </c>
      <c r="U40" s="27" t="n">
        <f aca="false">MIN(I39*(1+I$8),I$9)</f>
        <v>0</v>
      </c>
      <c r="V40" s="27" t="n">
        <f aca="false">MIN(J39*(1+J$8),J$9)</f>
        <v>0</v>
      </c>
      <c r="W40" s="27" t="n">
        <f aca="false">MIN(K39*(1+K$8),K$9)</f>
        <v>0</v>
      </c>
      <c r="X40" s="27" t="n">
        <f aca="false">MIN(B39*(1+B$8),MAX(N40,$B$11-SUM(O40:W40)))</f>
        <v>0</v>
      </c>
      <c r="Y40" s="27" t="n">
        <f aca="false">MIN(C39*(1+C$8),MAX(O40,$B$11-SUM(X40:X40)-SUM(P40:W40)))</f>
        <v>0</v>
      </c>
      <c r="Z40" s="27" t="n">
        <f aca="false">MIN(D39*(1+D$8),MAX(P40,$B$11-SUM(X40:Y40)-SUM(Q40:W40)))</f>
        <v>0</v>
      </c>
      <c r="AA40" s="27" t="n">
        <f aca="false">MIN(E39*(1+E$8),MAX(Q40,$B$11-SUM(X40:Z40)-SUM(R40:W40)))</f>
        <v>405</v>
      </c>
      <c r="AB40" s="27" t="n">
        <f aca="false">MIN(F39*(1+F$8),MAX(R40,$B$11-SUM(X40:AA40)-SUM(S40:W40)))</f>
        <v>310</v>
      </c>
      <c r="AC40" s="27" t="n">
        <f aca="false">MIN(G39*(1+G$8),MAX(S40,$B$11-SUM(X40:AB40)-SUM(T40:W40)))</f>
        <v>0</v>
      </c>
      <c r="AD40" s="27" t="n">
        <f aca="false">MIN(H39*(1+H$8),MAX(T40,$B$11-SUM(X40:AC40)-SUM(U40:W40)))</f>
        <v>0</v>
      </c>
      <c r="AE40" s="27" t="n">
        <f aca="false">MIN(I39*(1+I$8),MAX(U40,$B$11-SUM(X40:AD40)-SUM(V40:W40)))</f>
        <v>0</v>
      </c>
      <c r="AF40" s="27" t="n">
        <f aca="false">MIN(J39*(1+J$8),MAX(V40,$B$11-SUM(X40:AE40)-SUM(W40:W40)))</f>
        <v>0</v>
      </c>
      <c r="AG40" s="27" t="n">
        <f aca="false">MIN(K39*(1+K$8),MAX(W40,$B$11-SUM(X40:AF40)))</f>
        <v>0</v>
      </c>
      <c r="AI40" s="27" t="n">
        <f aca="false">ROUND(MAX(0,AI39*(1+B$8)-BE40),2)</f>
        <v>0</v>
      </c>
      <c r="AJ40" s="27" t="n">
        <f aca="false">ROUND(MAX(0,AJ39*(1+C$8)-BF40),2)</f>
        <v>0</v>
      </c>
      <c r="AK40" s="27" t="n">
        <f aca="false">ROUND(MAX(0,AK39*(1+D$8)-BG40),2)</f>
        <v>2119.62</v>
      </c>
      <c r="AL40" s="27" t="n">
        <f aca="false">ROUND(MAX(0,AL39*(1+E$8)-BH40),2)</f>
        <v>3436.32</v>
      </c>
      <c r="AM40" s="27" t="n">
        <f aca="false">ROUND(MAX(0,AM39*(1+F$8)-BI40),2)</f>
        <v>2244.25</v>
      </c>
      <c r="AN40" s="27" t="n">
        <f aca="false">ROUND(MAX(0,AN39*(1+G$8)-BJ40),2)</f>
        <v>0</v>
      </c>
      <c r="AO40" s="27" t="n">
        <f aca="false">ROUND(MAX(0,AO39*(1+H$8)-BK40),2)</f>
        <v>0</v>
      </c>
      <c r="AP40" s="27" t="n">
        <f aca="false">ROUND(MAX(0,AP39*(1+I$8)-BL40),2)</f>
        <v>0</v>
      </c>
      <c r="AQ40" s="27" t="n">
        <f aca="false">ROUND(MAX(0,AQ39*(1+J$8)-BM40),2)</f>
        <v>0</v>
      </c>
      <c r="AR40" s="27" t="n">
        <f aca="false">ROUND(MAX(0,AR39*(1+K$8)-BN40),2)</f>
        <v>0</v>
      </c>
      <c r="AS40" s="27" t="n">
        <f aca="false">SUM(AI40:AR40)</f>
        <v>7800.19</v>
      </c>
      <c r="AT40" s="27" t="n">
        <f aca="false">SUMPRODUCT(AI39:AR39,$B$8:$K$8)</f>
        <v>123.68805</v>
      </c>
      <c r="AU40" s="27" t="n">
        <f aca="false">MIN(AI39*(1+B$8),B$9)</f>
        <v>0</v>
      </c>
      <c r="AV40" s="27" t="n">
        <f aca="false">MIN(AJ39*(1+C$8),C$9)</f>
        <v>0</v>
      </c>
      <c r="AW40" s="27" t="n">
        <f aca="false">MIN(AK39*(1+D$8),D$9)</f>
        <v>75</v>
      </c>
      <c r="AX40" s="27" t="n">
        <f aca="false">MIN(AL39*(1+E$8),E$9)</f>
        <v>95</v>
      </c>
      <c r="AY40" s="27" t="n">
        <f aca="false">MIN(AM39*(1+F$8),F$9)</f>
        <v>310</v>
      </c>
      <c r="AZ40" s="27" t="n">
        <f aca="false">MIN(AN39*(1+G$8),G$9)</f>
        <v>0</v>
      </c>
      <c r="BA40" s="27" t="n">
        <f aca="false">MIN(AO39*(1+H$8),H$9)</f>
        <v>0</v>
      </c>
      <c r="BB40" s="27" t="n">
        <f aca="false">MIN(AP39*(1+I$8),I$9)</f>
        <v>0</v>
      </c>
      <c r="BC40" s="27" t="n">
        <f aca="false">MIN(AQ39*(1+J$8),J$9)</f>
        <v>0</v>
      </c>
      <c r="BD40" s="27" t="n">
        <f aca="false">MIN(AR39*(1+K$8),K$9)</f>
        <v>0</v>
      </c>
      <c r="BE40" s="27" t="n">
        <f aca="false">MIN(AI39*(1+B$8),MAX(AU40,$B$12-SUM(AV40:BD40)))</f>
        <v>0</v>
      </c>
      <c r="BF40" s="27" t="n">
        <f aca="false">MIN(AJ39*(1+C$8),MAX(AV40,$B$12-SUM(BE40:BE40)-SUM(AW40:BD40)))</f>
        <v>0</v>
      </c>
      <c r="BG40" s="27" t="n">
        <f aca="false">MIN(AK39*(1+D$8),MAX(AW40,$B$12-SUM(BE40:BF40)-SUM(AX40:BD40)))</f>
        <v>160</v>
      </c>
      <c r="BH40" s="27" t="n">
        <f aca="false">MIN(AL39*(1+E$8),MAX(AX40,$B$12-SUM(BE40:BG40)-SUM(AY40:BD40)))</f>
        <v>95</v>
      </c>
      <c r="BI40" s="27" t="n">
        <f aca="false">MIN(AM39*(1+F$8),MAX(AY40,$B$12-SUM(BE40:BH40)-SUM(AZ40:BD40)))</f>
        <v>310</v>
      </c>
      <c r="BJ40" s="27" t="n">
        <f aca="false">MIN(AN39*(1+G$8),MAX(AZ40,$B$12-SUM(BE40:BI40)-SUM(BA40:BD40)))</f>
        <v>0</v>
      </c>
      <c r="BK40" s="27" t="n">
        <f aca="false">MIN(AO39*(1+H$8),MAX(BA40,$B$12-SUM(BE40:BJ40)-SUM(BB40:BD40)))</f>
        <v>0</v>
      </c>
      <c r="BL40" s="27" t="n">
        <f aca="false">MIN(AP39*(1+I$8),MAX(BB40,$B$12-SUM(BE40:BK40)-SUM(BC40:BD40)))</f>
        <v>0</v>
      </c>
      <c r="BM40" s="27" t="n">
        <f aca="false">MIN(AQ39*(1+J$8),MAX(BC40,$B$12-SUM(BE40:BL40)-SUM(BD40:BD40)))</f>
        <v>0</v>
      </c>
      <c r="BN40" s="27" t="n">
        <f aca="false">MIN(AR39*(1+K$8),MAX(BD40,$B$12-SUM(BE40:BM40)))</f>
        <v>0</v>
      </c>
    </row>
    <row r="41" customFormat="false" ht="15" hidden="false" customHeight="false" outlineLevel="0" collapsed="false">
      <c r="A41" s="0" t="n">
        <v>27</v>
      </c>
      <c r="B41" s="27" t="n">
        <f aca="false">ROUND(MAX(0,B40*(1+B$8)-X41),2)</f>
        <v>0</v>
      </c>
      <c r="C41" s="27" t="n">
        <f aca="false">ROUND(MAX(0,C40*(1+C$8)-Y41),2)</f>
        <v>0</v>
      </c>
      <c r="D41" s="27" t="n">
        <f aca="false">ROUND(MAX(0,D40*(1+D$8)-Z41),2)</f>
        <v>0</v>
      </c>
      <c r="E41" s="27" t="n">
        <f aca="false">ROUND(MAX(0,E40*(1+E$8)-AA41),2)</f>
        <v>294.19</v>
      </c>
      <c r="F41" s="27" t="n">
        <f aca="false">ROUND(MAX(0,F40*(1+F$8)-AB41),2)</f>
        <v>1947.15</v>
      </c>
      <c r="G41" s="27" t="n">
        <f aca="false">ROUND(MAX(0,G40*(1+G$8)-AC41),2)</f>
        <v>0</v>
      </c>
      <c r="H41" s="27" t="n">
        <f aca="false">ROUND(MAX(0,H40*(1+H$8)-AD41),2)</f>
        <v>0</v>
      </c>
      <c r="I41" s="27" t="n">
        <f aca="false">ROUND(MAX(0,I40*(1+I$8)-AE41),2)</f>
        <v>0</v>
      </c>
      <c r="J41" s="27" t="n">
        <f aca="false">ROUND(MAX(0,J40*(1+J$8)-AF41),2)</f>
        <v>0</v>
      </c>
      <c r="K41" s="27" t="n">
        <f aca="false">ROUND(MAX(0,K40*(1+K$8)-AG41),2)</f>
        <v>0</v>
      </c>
      <c r="L41" s="30" t="n">
        <f aca="false">SUM(B41:K41)</f>
        <v>2241.34</v>
      </c>
      <c r="M41" s="27" t="n">
        <f aca="false">SUMPRODUCT(B40:K40,$B$8:$K$8)</f>
        <v>25.4359825</v>
      </c>
      <c r="N41" s="27" t="n">
        <f aca="false">MIN(B40*(1+B$8),B$9)</f>
        <v>0</v>
      </c>
      <c r="O41" s="27" t="n">
        <f aca="false">MIN(C40*(1+C$8),C$9)</f>
        <v>0</v>
      </c>
      <c r="P41" s="27" t="n">
        <f aca="false">MIN(D40*(1+D$8),D$9)</f>
        <v>0</v>
      </c>
      <c r="Q41" s="27" t="n">
        <f aca="false">MIN(E40*(1+E$8),E$9)</f>
        <v>95</v>
      </c>
      <c r="R41" s="27" t="n">
        <f aca="false">MIN(F40*(1+F$8),F$9)</f>
        <v>310</v>
      </c>
      <c r="S41" s="27" t="n">
        <f aca="false">MIN(G40*(1+G$8),G$9)</f>
        <v>0</v>
      </c>
      <c r="T41" s="27" t="n">
        <f aca="false">MIN(H40*(1+H$8),H$9)</f>
        <v>0</v>
      </c>
      <c r="U41" s="27" t="n">
        <f aca="false">MIN(I40*(1+I$8),I$9)</f>
        <v>0</v>
      </c>
      <c r="V41" s="27" t="n">
        <f aca="false">MIN(J40*(1+J$8),J$9)</f>
        <v>0</v>
      </c>
      <c r="W41" s="27" t="n">
        <f aca="false">MIN(K40*(1+K$8),K$9)</f>
        <v>0</v>
      </c>
      <c r="X41" s="27" t="n">
        <f aca="false">MIN(B40*(1+B$8),MAX(N41,$B$11-SUM(O41:W41)))</f>
        <v>0</v>
      </c>
      <c r="Y41" s="27" t="n">
        <f aca="false">MIN(C40*(1+C$8),MAX(O41,$B$11-SUM(X41:X41)-SUM(P41:W41)))</f>
        <v>0</v>
      </c>
      <c r="Z41" s="27" t="n">
        <f aca="false">MIN(D40*(1+D$8),MAX(P41,$B$11-SUM(X41:Y41)-SUM(Q41:W41)))</f>
        <v>0</v>
      </c>
      <c r="AA41" s="27" t="n">
        <f aca="false">MIN(E40*(1+E$8),MAX(Q41,$B$11-SUM(X41:Z41)-SUM(R41:W41)))</f>
        <v>405</v>
      </c>
      <c r="AB41" s="27" t="n">
        <f aca="false">MIN(F40*(1+F$8),MAX(R41,$B$11-SUM(X41:AA41)-SUM(S41:W41)))</f>
        <v>310</v>
      </c>
      <c r="AC41" s="27" t="n">
        <f aca="false">MIN(G40*(1+G$8),MAX(S41,$B$11-SUM(X41:AB41)-SUM(T41:W41)))</f>
        <v>0</v>
      </c>
      <c r="AD41" s="27" t="n">
        <f aca="false">MIN(H40*(1+H$8),MAX(T41,$B$11-SUM(X41:AC41)-SUM(U41:W41)))</f>
        <v>0</v>
      </c>
      <c r="AE41" s="27" t="n">
        <f aca="false">MIN(I40*(1+I$8),MAX(U41,$B$11-SUM(X41:AD41)-SUM(V41:W41)))</f>
        <v>0</v>
      </c>
      <c r="AF41" s="27" t="n">
        <f aca="false">MIN(J40*(1+J$8),MAX(V41,$B$11-SUM(X41:AE41)-SUM(W41:W41)))</f>
        <v>0</v>
      </c>
      <c r="AG41" s="27" t="n">
        <f aca="false">MIN(K40*(1+K$8),MAX(W41,$B$11-SUM(X41:AF41)))</f>
        <v>0</v>
      </c>
      <c r="AI41" s="27" t="n">
        <f aca="false">ROUND(MAX(0,AI40*(1+B$8)-BE41),2)</f>
        <v>0</v>
      </c>
      <c r="AJ41" s="27" t="n">
        <f aca="false">ROUND(MAX(0,AJ40*(1+C$8)-BF41),2)</f>
        <v>0</v>
      </c>
      <c r="AK41" s="27" t="n">
        <f aca="false">ROUND(MAX(0,AK40*(1+D$8)-BG41),2)</f>
        <v>2003.07</v>
      </c>
      <c r="AL41" s="27" t="n">
        <f aca="false">ROUND(MAX(0,AL40*(1+E$8)-BH41),2)</f>
        <v>3404.03</v>
      </c>
      <c r="AM41" s="27" t="n">
        <f aca="false">ROUND(MAX(0,AM40*(1+F$8)-BI41),2)</f>
        <v>1947.15</v>
      </c>
      <c r="AN41" s="27" t="n">
        <f aca="false">ROUND(MAX(0,AN40*(1+G$8)-BJ41),2)</f>
        <v>0</v>
      </c>
      <c r="AO41" s="27" t="n">
        <f aca="false">ROUND(MAX(0,AO40*(1+H$8)-BK41),2)</f>
        <v>0</v>
      </c>
      <c r="AP41" s="27" t="n">
        <f aca="false">ROUND(MAX(0,AP40*(1+I$8)-BL41),2)</f>
        <v>0</v>
      </c>
      <c r="AQ41" s="27" t="n">
        <f aca="false">ROUND(MAX(0,AQ40*(1+J$8)-BM41),2)</f>
        <v>0</v>
      </c>
      <c r="AR41" s="27" t="n">
        <f aca="false">ROUND(MAX(0,AR40*(1+K$8)-BN41),2)</f>
        <v>0</v>
      </c>
      <c r="AS41" s="27" t="n">
        <f aca="false">SUM(AI41:AR41)</f>
        <v>7354.25</v>
      </c>
      <c r="AT41" s="27" t="n">
        <f aca="false">SUMPRODUCT(AI40:AR40,$B$8:$K$8)</f>
        <v>119.0694875</v>
      </c>
      <c r="AU41" s="27" t="n">
        <f aca="false">MIN(AI40*(1+B$8),B$9)</f>
        <v>0</v>
      </c>
      <c r="AV41" s="27" t="n">
        <f aca="false">MIN(AJ40*(1+C$8),C$9)</f>
        <v>0</v>
      </c>
      <c r="AW41" s="27" t="n">
        <f aca="false">MIN(AK40*(1+D$8),D$9)</f>
        <v>75</v>
      </c>
      <c r="AX41" s="27" t="n">
        <f aca="false">MIN(AL40*(1+E$8),E$9)</f>
        <v>95</v>
      </c>
      <c r="AY41" s="27" t="n">
        <f aca="false">MIN(AM40*(1+F$8),F$9)</f>
        <v>310</v>
      </c>
      <c r="AZ41" s="27" t="n">
        <f aca="false">MIN(AN40*(1+G$8),G$9)</f>
        <v>0</v>
      </c>
      <c r="BA41" s="27" t="n">
        <f aca="false">MIN(AO40*(1+H$8),H$9)</f>
        <v>0</v>
      </c>
      <c r="BB41" s="27" t="n">
        <f aca="false">MIN(AP40*(1+I$8),I$9)</f>
        <v>0</v>
      </c>
      <c r="BC41" s="27" t="n">
        <f aca="false">MIN(AQ40*(1+J$8),J$9)</f>
        <v>0</v>
      </c>
      <c r="BD41" s="27" t="n">
        <f aca="false">MIN(AR40*(1+K$8),K$9)</f>
        <v>0</v>
      </c>
      <c r="BE41" s="27" t="n">
        <f aca="false">MIN(AI40*(1+B$8),MAX(AU41,$B$12-SUM(AV41:BD41)))</f>
        <v>0</v>
      </c>
      <c r="BF41" s="27" t="n">
        <f aca="false">MIN(AJ40*(1+C$8),MAX(AV41,$B$12-SUM(BE41:BE41)-SUM(AW41:BD41)))</f>
        <v>0</v>
      </c>
      <c r="BG41" s="27" t="n">
        <f aca="false">MIN(AK40*(1+D$8),MAX(AW41,$B$12-SUM(BE41:BF41)-SUM(AX41:BD41)))</f>
        <v>160</v>
      </c>
      <c r="BH41" s="27" t="n">
        <f aca="false">MIN(AL40*(1+E$8),MAX(AX41,$B$12-SUM(BE41:BG41)-SUM(AY41:BD41)))</f>
        <v>95</v>
      </c>
      <c r="BI41" s="27" t="n">
        <f aca="false">MIN(AM40*(1+F$8),MAX(AY41,$B$12-SUM(BE41:BH41)-SUM(AZ41:BD41)))</f>
        <v>310</v>
      </c>
      <c r="BJ41" s="27" t="n">
        <f aca="false">MIN(AN40*(1+G$8),MAX(AZ41,$B$12-SUM(BE41:BI41)-SUM(BA41:BD41)))</f>
        <v>0</v>
      </c>
      <c r="BK41" s="27" t="n">
        <f aca="false">MIN(AO40*(1+H$8),MAX(BA41,$B$12-SUM(BE41:BJ41)-SUM(BB41:BD41)))</f>
        <v>0</v>
      </c>
      <c r="BL41" s="27" t="n">
        <f aca="false">MIN(AP40*(1+I$8),MAX(BB41,$B$12-SUM(BE41:BK41)-SUM(BC41:BD41)))</f>
        <v>0</v>
      </c>
      <c r="BM41" s="27" t="n">
        <f aca="false">MIN(AQ40*(1+J$8),MAX(BC41,$B$12-SUM(BE41:BL41)-SUM(BD41:BD41)))</f>
        <v>0</v>
      </c>
      <c r="BN41" s="27" t="n">
        <f aca="false">MIN(AR40*(1+K$8),MAX(BD41,$B$12-SUM(BE41:BM41)))</f>
        <v>0</v>
      </c>
    </row>
    <row r="42" customFormat="false" ht="15" hidden="false" customHeight="false" outlineLevel="0" collapsed="false">
      <c r="A42" s="0" t="n">
        <v>28</v>
      </c>
      <c r="B42" s="27" t="n">
        <f aca="false">ROUND(MAX(0,B41*(1+B$8)-X42),2)</f>
        <v>0</v>
      </c>
      <c r="C42" s="27" t="n">
        <f aca="false">ROUND(MAX(0,C41*(1+C$8)-Y42),2)</f>
        <v>0</v>
      </c>
      <c r="D42" s="27" t="n">
        <f aca="false">ROUND(MAX(0,D41*(1+D$8)-Z42),2)</f>
        <v>0</v>
      </c>
      <c r="E42" s="27" t="n">
        <f aca="false">ROUND(MAX(0,E41*(1+E$8)-AA42),2)</f>
        <v>0</v>
      </c>
      <c r="F42" s="27" t="n">
        <f aca="false">ROUND(MAX(0,F41*(1+F$8)-AB42),2)</f>
        <v>1542.91</v>
      </c>
      <c r="G42" s="27" t="n">
        <f aca="false">ROUND(MAX(0,G41*(1+G$8)-AC42),2)</f>
        <v>0</v>
      </c>
      <c r="H42" s="27" t="n">
        <f aca="false">ROUND(MAX(0,H41*(1+H$8)-AD42),2)</f>
        <v>0</v>
      </c>
      <c r="I42" s="27" t="n">
        <f aca="false">ROUND(MAX(0,I41*(1+I$8)-AE42),2)</f>
        <v>0</v>
      </c>
      <c r="J42" s="27" t="n">
        <f aca="false">ROUND(MAX(0,J41*(1+J$8)-AF42),2)</f>
        <v>0</v>
      </c>
      <c r="K42" s="27" t="n">
        <f aca="false">ROUND(MAX(0,K41*(1+K$8)-AG42),2)</f>
        <v>0</v>
      </c>
      <c r="L42" s="30" t="n">
        <f aca="false">SUM(B42:K42)</f>
        <v>1542.91</v>
      </c>
      <c r="M42" s="27" t="n">
        <f aca="false">SUMPRODUCT(B41:K41,$B$8:$K$8)</f>
        <v>16.56508</v>
      </c>
      <c r="N42" s="27" t="n">
        <f aca="false">MIN(B41*(1+B$8),B$9)</f>
        <v>0</v>
      </c>
      <c r="O42" s="27" t="n">
        <f aca="false">MIN(C41*(1+C$8),C$9)</f>
        <v>0</v>
      </c>
      <c r="P42" s="27" t="n">
        <f aca="false">MIN(D41*(1+D$8),D$9)</f>
        <v>0</v>
      </c>
      <c r="Q42" s="27" t="n">
        <f aca="false">MIN(E41*(1+E$8),E$9)</f>
        <v>95</v>
      </c>
      <c r="R42" s="27" t="n">
        <f aca="false">MIN(F41*(1+F$8),F$9)</f>
        <v>310</v>
      </c>
      <c r="S42" s="27" t="n">
        <f aca="false">MIN(G41*(1+G$8),G$9)</f>
        <v>0</v>
      </c>
      <c r="T42" s="27" t="n">
        <f aca="false">MIN(H41*(1+H$8),H$9)</f>
        <v>0</v>
      </c>
      <c r="U42" s="27" t="n">
        <f aca="false">MIN(I41*(1+I$8),I$9)</f>
        <v>0</v>
      </c>
      <c r="V42" s="27" t="n">
        <f aca="false">MIN(J41*(1+J$8),J$9)</f>
        <v>0</v>
      </c>
      <c r="W42" s="27" t="n">
        <f aca="false">MIN(K41*(1+K$8),K$9)</f>
        <v>0</v>
      </c>
      <c r="X42" s="27" t="n">
        <f aca="false">MIN(B41*(1+B$8),MAX(N42,$B$11-SUM(O42:W42)))</f>
        <v>0</v>
      </c>
      <c r="Y42" s="27" t="n">
        <f aca="false">MIN(C41*(1+C$8),MAX(O42,$B$11-SUM(X42:X42)-SUM(P42:W42)))</f>
        <v>0</v>
      </c>
      <c r="Z42" s="27" t="n">
        <f aca="false">MIN(D41*(1+D$8),MAX(P42,$B$11-SUM(X42:Y42)-SUM(Q42:W42)))</f>
        <v>0</v>
      </c>
      <c r="AA42" s="27" t="n">
        <f aca="false">MIN(E41*(1+E$8),MAX(Q42,$B$11-SUM(X42:Z42)-SUM(R42:W42)))</f>
        <v>299.5589675</v>
      </c>
      <c r="AB42" s="27" t="n">
        <f aca="false">MIN(F41*(1+F$8),MAX(R42,$B$11-SUM(X42:AA42)-SUM(S42:W42)))</f>
        <v>415.4410325</v>
      </c>
      <c r="AC42" s="27" t="n">
        <f aca="false">MIN(G41*(1+G$8),MAX(S42,$B$11-SUM(X42:AB42)-SUM(T42:W42)))</f>
        <v>0</v>
      </c>
      <c r="AD42" s="27" t="n">
        <f aca="false">MIN(H41*(1+H$8),MAX(T42,$B$11-SUM(X42:AC42)-SUM(U42:W42)))</f>
        <v>0</v>
      </c>
      <c r="AE42" s="27" t="n">
        <f aca="false">MIN(I41*(1+I$8),MAX(U42,$B$11-SUM(X42:AD42)-SUM(V42:W42)))</f>
        <v>0</v>
      </c>
      <c r="AF42" s="27" t="n">
        <f aca="false">MIN(J41*(1+J$8),MAX(V42,$B$11-SUM(X42:AE42)-SUM(W42:W42)))</f>
        <v>0</v>
      </c>
      <c r="AG42" s="27" t="n">
        <f aca="false">MIN(K41*(1+K$8),MAX(W42,$B$11-SUM(X42:AF42)))</f>
        <v>0</v>
      </c>
      <c r="AI42" s="27" t="n">
        <f aca="false">ROUND(MAX(0,AI41*(1+B$8)-BE42),2)</f>
        <v>0</v>
      </c>
      <c r="AJ42" s="27" t="n">
        <f aca="false">ROUND(MAX(0,AJ41*(1+C$8)-BF42),2)</f>
        <v>0</v>
      </c>
      <c r="AK42" s="27" t="n">
        <f aca="false">ROUND(MAX(0,AK41*(1+D$8)-BG42),2)</f>
        <v>1884.13</v>
      </c>
      <c r="AL42" s="27" t="n">
        <f aca="false">ROUND(MAX(0,AL41*(1+E$8)-BH42),2)</f>
        <v>3371.15</v>
      </c>
      <c r="AM42" s="27" t="n">
        <f aca="false">ROUND(MAX(0,AM41*(1+F$8)-BI42),2)</f>
        <v>1648.35</v>
      </c>
      <c r="AN42" s="27" t="n">
        <f aca="false">ROUND(MAX(0,AN41*(1+G$8)-BJ42),2)</f>
        <v>0</v>
      </c>
      <c r="AO42" s="27" t="n">
        <f aca="false">ROUND(MAX(0,AO41*(1+H$8)-BK42),2)</f>
        <v>0</v>
      </c>
      <c r="AP42" s="27" t="n">
        <f aca="false">ROUND(MAX(0,AP41*(1+I$8)-BL42),2)</f>
        <v>0</v>
      </c>
      <c r="AQ42" s="27" t="n">
        <f aca="false">ROUND(MAX(0,AQ41*(1+J$8)-BM42),2)</f>
        <v>0</v>
      </c>
      <c r="AR42" s="27" t="n">
        <f aca="false">ROUND(MAX(0,AR41*(1+K$8)-BN42),2)</f>
        <v>0</v>
      </c>
      <c r="AS42" s="27" t="n">
        <f aca="false">SUM(AI42:AR42)</f>
        <v>6903.63</v>
      </c>
      <c r="AT42" s="27" t="n">
        <f aca="false">SUMPRODUCT(AI41:AR41,$B$8:$K$8)</f>
        <v>114.382595</v>
      </c>
      <c r="AU42" s="27" t="n">
        <f aca="false">MIN(AI41*(1+B$8),B$9)</f>
        <v>0</v>
      </c>
      <c r="AV42" s="27" t="n">
        <f aca="false">MIN(AJ41*(1+C$8),C$9)</f>
        <v>0</v>
      </c>
      <c r="AW42" s="27" t="n">
        <f aca="false">MIN(AK41*(1+D$8),D$9)</f>
        <v>75</v>
      </c>
      <c r="AX42" s="27" t="n">
        <f aca="false">MIN(AL41*(1+E$8),E$9)</f>
        <v>95</v>
      </c>
      <c r="AY42" s="27" t="n">
        <f aca="false">MIN(AM41*(1+F$8),F$9)</f>
        <v>310</v>
      </c>
      <c r="AZ42" s="27" t="n">
        <f aca="false">MIN(AN41*(1+G$8),G$9)</f>
        <v>0</v>
      </c>
      <c r="BA42" s="27" t="n">
        <f aca="false">MIN(AO41*(1+H$8),H$9)</f>
        <v>0</v>
      </c>
      <c r="BB42" s="27" t="n">
        <f aca="false">MIN(AP41*(1+I$8),I$9)</f>
        <v>0</v>
      </c>
      <c r="BC42" s="27" t="n">
        <f aca="false">MIN(AQ41*(1+J$8),J$9)</f>
        <v>0</v>
      </c>
      <c r="BD42" s="27" t="n">
        <f aca="false">MIN(AR41*(1+K$8),K$9)</f>
        <v>0</v>
      </c>
      <c r="BE42" s="27" t="n">
        <f aca="false">MIN(AI41*(1+B$8),MAX(AU42,$B$12-SUM(AV42:BD42)))</f>
        <v>0</v>
      </c>
      <c r="BF42" s="27" t="n">
        <f aca="false">MIN(AJ41*(1+C$8),MAX(AV42,$B$12-SUM(BE42:BE42)-SUM(AW42:BD42)))</f>
        <v>0</v>
      </c>
      <c r="BG42" s="27" t="n">
        <f aca="false">MIN(AK41*(1+D$8),MAX(AW42,$B$12-SUM(BE42:BF42)-SUM(AX42:BD42)))</f>
        <v>160</v>
      </c>
      <c r="BH42" s="27" t="n">
        <f aca="false">MIN(AL41*(1+E$8),MAX(AX42,$B$12-SUM(BE42:BG42)-SUM(AY42:BD42)))</f>
        <v>95</v>
      </c>
      <c r="BI42" s="27" t="n">
        <f aca="false">MIN(AM41*(1+F$8),MAX(AY42,$B$12-SUM(BE42:BH42)-SUM(AZ42:BD42)))</f>
        <v>310</v>
      </c>
      <c r="BJ42" s="27" t="n">
        <f aca="false">MIN(AN41*(1+G$8),MAX(AZ42,$B$12-SUM(BE42:BI42)-SUM(BA42:BD42)))</f>
        <v>0</v>
      </c>
      <c r="BK42" s="27" t="n">
        <f aca="false">MIN(AO41*(1+H$8),MAX(BA42,$B$12-SUM(BE42:BJ42)-SUM(BB42:BD42)))</f>
        <v>0</v>
      </c>
      <c r="BL42" s="27" t="n">
        <f aca="false">MIN(AP41*(1+I$8),MAX(BB42,$B$12-SUM(BE42:BK42)-SUM(BC42:BD42)))</f>
        <v>0</v>
      </c>
      <c r="BM42" s="27" t="n">
        <f aca="false">MIN(AQ41*(1+J$8),MAX(BC42,$B$12-SUM(BE42:BL42)-SUM(BD42:BD42)))</f>
        <v>0</v>
      </c>
      <c r="BN42" s="27" t="n">
        <f aca="false">MIN(AR41*(1+K$8),MAX(BD42,$B$12-SUM(BE42:BM42)))</f>
        <v>0</v>
      </c>
    </row>
    <row r="43" customFormat="false" ht="15" hidden="false" customHeight="false" outlineLevel="0" collapsed="false">
      <c r="A43" s="0" t="n">
        <v>29</v>
      </c>
      <c r="B43" s="27" t="n">
        <f aca="false">ROUND(MAX(0,B42*(1+B$8)-X43),2)</f>
        <v>0</v>
      </c>
      <c r="C43" s="27" t="n">
        <f aca="false">ROUND(MAX(0,C42*(1+C$8)-Y43),2)</f>
        <v>0</v>
      </c>
      <c r="D43" s="27" t="n">
        <f aca="false">ROUND(MAX(0,D42*(1+D$8)-Z43),2)</f>
        <v>0</v>
      </c>
      <c r="E43" s="27" t="n">
        <f aca="false">ROUND(MAX(0,E42*(1+E$8)-AA43),2)</f>
        <v>0</v>
      </c>
      <c r="F43" s="27" t="n">
        <f aca="false">ROUND(MAX(0,F42*(1+F$8)-AB43),2)</f>
        <v>836.78</v>
      </c>
      <c r="G43" s="27" t="n">
        <f aca="false">ROUND(MAX(0,G42*(1+G$8)-AC43),2)</f>
        <v>0</v>
      </c>
      <c r="H43" s="27" t="n">
        <f aca="false">ROUND(MAX(0,H42*(1+H$8)-AD43),2)</f>
        <v>0</v>
      </c>
      <c r="I43" s="27" t="n">
        <f aca="false">ROUND(MAX(0,I42*(1+I$8)-AE43),2)</f>
        <v>0</v>
      </c>
      <c r="J43" s="27" t="n">
        <f aca="false">ROUND(MAX(0,J42*(1+J$8)-AF43),2)</f>
        <v>0</v>
      </c>
      <c r="K43" s="27" t="n">
        <f aca="false">ROUND(MAX(0,K42*(1+K$8)-AG43),2)</f>
        <v>0</v>
      </c>
      <c r="L43" s="30" t="n">
        <f aca="false">SUM(B43:K43)</f>
        <v>836.78</v>
      </c>
      <c r="M43" s="27" t="n">
        <f aca="false">SUMPRODUCT(B42:K42,$B$8:$K$8)</f>
        <v>8.8717325</v>
      </c>
      <c r="N43" s="27" t="n">
        <f aca="false">MIN(B42*(1+B$8),B$9)</f>
        <v>0</v>
      </c>
      <c r="O43" s="27" t="n">
        <f aca="false">MIN(C42*(1+C$8),C$9)</f>
        <v>0</v>
      </c>
      <c r="P43" s="27" t="n">
        <f aca="false">MIN(D42*(1+D$8),D$9)</f>
        <v>0</v>
      </c>
      <c r="Q43" s="27" t="n">
        <f aca="false">MIN(E42*(1+E$8),E$9)</f>
        <v>0</v>
      </c>
      <c r="R43" s="27" t="n">
        <f aca="false">MIN(F42*(1+F$8),F$9)</f>
        <v>310</v>
      </c>
      <c r="S43" s="27" t="n">
        <f aca="false">MIN(G42*(1+G$8),G$9)</f>
        <v>0</v>
      </c>
      <c r="T43" s="27" t="n">
        <f aca="false">MIN(H42*(1+H$8),H$9)</f>
        <v>0</v>
      </c>
      <c r="U43" s="27" t="n">
        <f aca="false">MIN(I42*(1+I$8),I$9)</f>
        <v>0</v>
      </c>
      <c r="V43" s="27" t="n">
        <f aca="false">MIN(J42*(1+J$8),J$9)</f>
        <v>0</v>
      </c>
      <c r="W43" s="27" t="n">
        <f aca="false">MIN(K42*(1+K$8),K$9)</f>
        <v>0</v>
      </c>
      <c r="X43" s="27" t="n">
        <f aca="false">MIN(B42*(1+B$8),MAX(N43,$B$11-SUM(O43:W43)))</f>
        <v>0</v>
      </c>
      <c r="Y43" s="27" t="n">
        <f aca="false">MIN(C42*(1+C$8),MAX(O43,$B$11-SUM(X43:X43)-SUM(P43:W43)))</f>
        <v>0</v>
      </c>
      <c r="Z43" s="27" t="n">
        <f aca="false">MIN(D42*(1+D$8),MAX(P43,$B$11-SUM(X43:Y43)-SUM(Q43:W43)))</f>
        <v>0</v>
      </c>
      <c r="AA43" s="27" t="n">
        <f aca="false">MIN(E42*(1+E$8),MAX(Q43,$B$11-SUM(X43:Z43)-SUM(R43:W43)))</f>
        <v>0</v>
      </c>
      <c r="AB43" s="27" t="n">
        <f aca="false">MIN(F42*(1+F$8),MAX(R43,$B$11-SUM(X43:AA43)-SUM(S43:W43)))</f>
        <v>715</v>
      </c>
      <c r="AC43" s="27" t="n">
        <f aca="false">MIN(G42*(1+G$8),MAX(S43,$B$11-SUM(X43:AB43)-SUM(T43:W43)))</f>
        <v>0</v>
      </c>
      <c r="AD43" s="27" t="n">
        <f aca="false">MIN(H42*(1+H$8),MAX(T43,$B$11-SUM(X43:AC43)-SUM(U43:W43)))</f>
        <v>0</v>
      </c>
      <c r="AE43" s="27" t="n">
        <f aca="false">MIN(I42*(1+I$8),MAX(U43,$B$11-SUM(X43:AD43)-SUM(V43:W43)))</f>
        <v>0</v>
      </c>
      <c r="AF43" s="27" t="n">
        <f aca="false">MIN(J42*(1+J$8),MAX(V43,$B$11-SUM(X43:AE43)-SUM(W43:W43)))</f>
        <v>0</v>
      </c>
      <c r="AG43" s="27" t="n">
        <f aca="false">MIN(K42*(1+K$8),MAX(W43,$B$11-SUM(X43:AF43)))</f>
        <v>0</v>
      </c>
      <c r="AI43" s="27" t="n">
        <f aca="false">ROUND(MAX(0,AI42*(1+B$8)-BE43),2)</f>
        <v>0</v>
      </c>
      <c r="AJ43" s="27" t="n">
        <f aca="false">ROUND(MAX(0,AJ42*(1+C$8)-BF43),2)</f>
        <v>0</v>
      </c>
      <c r="AK43" s="27" t="n">
        <f aca="false">ROUND(MAX(0,AK42*(1+D$8)-BG43),2)</f>
        <v>1762.75</v>
      </c>
      <c r="AL43" s="27" t="n">
        <f aca="false">ROUND(MAX(0,AL42*(1+E$8)-BH43),2)</f>
        <v>3337.67</v>
      </c>
      <c r="AM43" s="27" t="n">
        <f aca="false">ROUND(MAX(0,AM42*(1+F$8)-BI43),2)</f>
        <v>1347.83</v>
      </c>
      <c r="AN43" s="27" t="n">
        <f aca="false">ROUND(MAX(0,AN42*(1+G$8)-BJ43),2)</f>
        <v>0</v>
      </c>
      <c r="AO43" s="27" t="n">
        <f aca="false">ROUND(MAX(0,AO42*(1+H$8)-BK43),2)</f>
        <v>0</v>
      </c>
      <c r="AP43" s="27" t="n">
        <f aca="false">ROUND(MAX(0,AP42*(1+I$8)-BL43),2)</f>
        <v>0</v>
      </c>
      <c r="AQ43" s="27" t="n">
        <f aca="false">ROUND(MAX(0,AQ42*(1+J$8)-BM43),2)</f>
        <v>0</v>
      </c>
      <c r="AR43" s="27" t="n">
        <f aca="false">ROUND(MAX(0,AR42*(1+K$8)-BN43),2)</f>
        <v>0</v>
      </c>
      <c r="AS43" s="27" t="n">
        <f aca="false">SUM(AI43:AR43)</f>
        <v>6448.25</v>
      </c>
      <c r="AT43" s="27" t="n">
        <f aca="false">SUMPRODUCT(AI42:AR42,$B$8:$K$8)</f>
        <v>109.626165</v>
      </c>
      <c r="AU43" s="27" t="n">
        <f aca="false">MIN(AI42*(1+B$8),B$9)</f>
        <v>0</v>
      </c>
      <c r="AV43" s="27" t="n">
        <f aca="false">MIN(AJ42*(1+C$8),C$9)</f>
        <v>0</v>
      </c>
      <c r="AW43" s="27" t="n">
        <f aca="false">MIN(AK42*(1+D$8),D$9)</f>
        <v>75</v>
      </c>
      <c r="AX43" s="27" t="n">
        <f aca="false">MIN(AL42*(1+E$8),E$9)</f>
        <v>95</v>
      </c>
      <c r="AY43" s="27" t="n">
        <f aca="false">MIN(AM42*(1+F$8),F$9)</f>
        <v>310</v>
      </c>
      <c r="AZ43" s="27" t="n">
        <f aca="false">MIN(AN42*(1+G$8),G$9)</f>
        <v>0</v>
      </c>
      <c r="BA43" s="27" t="n">
        <f aca="false">MIN(AO42*(1+H$8),H$9)</f>
        <v>0</v>
      </c>
      <c r="BB43" s="27" t="n">
        <f aca="false">MIN(AP42*(1+I$8),I$9)</f>
        <v>0</v>
      </c>
      <c r="BC43" s="27" t="n">
        <f aca="false">MIN(AQ42*(1+J$8),J$9)</f>
        <v>0</v>
      </c>
      <c r="BD43" s="27" t="n">
        <f aca="false">MIN(AR42*(1+K$8),K$9)</f>
        <v>0</v>
      </c>
      <c r="BE43" s="27" t="n">
        <f aca="false">MIN(AI42*(1+B$8),MAX(AU43,$B$12-SUM(AV43:BD43)))</f>
        <v>0</v>
      </c>
      <c r="BF43" s="27" t="n">
        <f aca="false">MIN(AJ42*(1+C$8),MAX(AV43,$B$12-SUM(BE43:BE43)-SUM(AW43:BD43)))</f>
        <v>0</v>
      </c>
      <c r="BG43" s="27" t="n">
        <f aca="false">MIN(AK42*(1+D$8),MAX(AW43,$B$12-SUM(BE43:BF43)-SUM(AX43:BD43)))</f>
        <v>160</v>
      </c>
      <c r="BH43" s="27" t="n">
        <f aca="false">MIN(AL42*(1+E$8),MAX(AX43,$B$12-SUM(BE43:BG43)-SUM(AY43:BD43)))</f>
        <v>95</v>
      </c>
      <c r="BI43" s="27" t="n">
        <f aca="false">MIN(AM42*(1+F$8),MAX(AY43,$B$12-SUM(BE43:BH43)-SUM(AZ43:BD43)))</f>
        <v>310</v>
      </c>
      <c r="BJ43" s="27" t="n">
        <f aca="false">MIN(AN42*(1+G$8),MAX(AZ43,$B$12-SUM(BE43:BI43)-SUM(BA43:BD43)))</f>
        <v>0</v>
      </c>
      <c r="BK43" s="27" t="n">
        <f aca="false">MIN(AO42*(1+H$8),MAX(BA43,$B$12-SUM(BE43:BJ43)-SUM(BB43:BD43)))</f>
        <v>0</v>
      </c>
      <c r="BL43" s="27" t="n">
        <f aca="false">MIN(AP42*(1+I$8),MAX(BB43,$B$12-SUM(BE43:BK43)-SUM(BC43:BD43)))</f>
        <v>0</v>
      </c>
      <c r="BM43" s="27" t="n">
        <f aca="false">MIN(AQ42*(1+J$8),MAX(BC43,$B$12-SUM(BE43:BL43)-SUM(BD43:BD43)))</f>
        <v>0</v>
      </c>
      <c r="BN43" s="27" t="n">
        <f aca="false">MIN(AR42*(1+K$8),MAX(BD43,$B$12-SUM(BE43:BM43)))</f>
        <v>0</v>
      </c>
    </row>
    <row r="44" customFormat="false" ht="15" hidden="false" customHeight="false" outlineLevel="0" collapsed="false">
      <c r="A44" s="0" t="n">
        <v>30</v>
      </c>
      <c r="B44" s="27" t="n">
        <f aca="false">ROUND(MAX(0,B43*(1+B$8)-X44),2)</f>
        <v>0</v>
      </c>
      <c r="C44" s="27" t="n">
        <f aca="false">ROUND(MAX(0,C43*(1+C$8)-Y44),2)</f>
        <v>0</v>
      </c>
      <c r="D44" s="27" t="n">
        <f aca="false">ROUND(MAX(0,D43*(1+D$8)-Z44),2)</f>
        <v>0</v>
      </c>
      <c r="E44" s="27" t="n">
        <f aca="false">ROUND(MAX(0,E43*(1+E$8)-AA44),2)</f>
        <v>0</v>
      </c>
      <c r="F44" s="27" t="n">
        <f aca="false">ROUND(MAX(0,F43*(1+F$8)-AB44),2)</f>
        <v>126.59</v>
      </c>
      <c r="G44" s="27" t="n">
        <f aca="false">ROUND(MAX(0,G43*(1+G$8)-AC44),2)</f>
        <v>0</v>
      </c>
      <c r="H44" s="27" t="n">
        <f aca="false">ROUND(MAX(0,H43*(1+H$8)-AD44),2)</f>
        <v>0</v>
      </c>
      <c r="I44" s="27" t="n">
        <f aca="false">ROUND(MAX(0,I43*(1+I$8)-AE44),2)</f>
        <v>0</v>
      </c>
      <c r="J44" s="27" t="n">
        <f aca="false">ROUND(MAX(0,J43*(1+J$8)-AF44),2)</f>
        <v>0</v>
      </c>
      <c r="K44" s="27" t="n">
        <f aca="false">ROUND(MAX(0,K43*(1+K$8)-AG44),2)</f>
        <v>0</v>
      </c>
      <c r="L44" s="30" t="n">
        <f aca="false">SUM(B44:K44)</f>
        <v>126.59</v>
      </c>
      <c r="M44" s="27" t="n">
        <f aca="false">SUMPRODUCT(B43:K43,$B$8:$K$8)</f>
        <v>4.811485</v>
      </c>
      <c r="N44" s="27" t="n">
        <f aca="false">MIN(B43*(1+B$8),B$9)</f>
        <v>0</v>
      </c>
      <c r="O44" s="27" t="n">
        <f aca="false">MIN(C43*(1+C$8),C$9)</f>
        <v>0</v>
      </c>
      <c r="P44" s="27" t="n">
        <f aca="false">MIN(D43*(1+D$8),D$9)</f>
        <v>0</v>
      </c>
      <c r="Q44" s="27" t="n">
        <f aca="false">MIN(E43*(1+E$8),E$9)</f>
        <v>0</v>
      </c>
      <c r="R44" s="27" t="n">
        <f aca="false">MIN(F43*(1+F$8),F$9)</f>
        <v>310</v>
      </c>
      <c r="S44" s="27" t="n">
        <f aca="false">MIN(G43*(1+G$8),G$9)</f>
        <v>0</v>
      </c>
      <c r="T44" s="27" t="n">
        <f aca="false">MIN(H43*(1+H$8),H$9)</f>
        <v>0</v>
      </c>
      <c r="U44" s="27" t="n">
        <f aca="false">MIN(I43*(1+I$8),I$9)</f>
        <v>0</v>
      </c>
      <c r="V44" s="27" t="n">
        <f aca="false">MIN(J43*(1+J$8),J$9)</f>
        <v>0</v>
      </c>
      <c r="W44" s="27" t="n">
        <f aca="false">MIN(K43*(1+K$8),K$9)</f>
        <v>0</v>
      </c>
      <c r="X44" s="27" t="n">
        <f aca="false">MIN(B43*(1+B$8),MAX(N44,$B$11-SUM(O44:W44)))</f>
        <v>0</v>
      </c>
      <c r="Y44" s="27" t="n">
        <f aca="false">MIN(C43*(1+C$8),MAX(O44,$B$11-SUM(X44:X44)-SUM(P44:W44)))</f>
        <v>0</v>
      </c>
      <c r="Z44" s="27" t="n">
        <f aca="false">MIN(D43*(1+D$8),MAX(P44,$B$11-SUM(X44:Y44)-SUM(Q44:W44)))</f>
        <v>0</v>
      </c>
      <c r="AA44" s="27" t="n">
        <f aca="false">MIN(E43*(1+E$8),MAX(Q44,$B$11-SUM(X44:Z44)-SUM(R44:W44)))</f>
        <v>0</v>
      </c>
      <c r="AB44" s="27" t="n">
        <f aca="false">MIN(F43*(1+F$8),MAX(R44,$B$11-SUM(X44:AA44)-SUM(S44:W44)))</f>
        <v>715</v>
      </c>
      <c r="AC44" s="27" t="n">
        <f aca="false">MIN(G43*(1+G$8),MAX(S44,$B$11-SUM(X44:AB44)-SUM(T44:W44)))</f>
        <v>0</v>
      </c>
      <c r="AD44" s="27" t="n">
        <f aca="false">MIN(H43*(1+H$8),MAX(T44,$B$11-SUM(X44:AC44)-SUM(U44:W44)))</f>
        <v>0</v>
      </c>
      <c r="AE44" s="27" t="n">
        <f aca="false">MIN(I43*(1+I$8),MAX(U44,$B$11-SUM(X44:AD44)-SUM(V44:W44)))</f>
        <v>0</v>
      </c>
      <c r="AF44" s="27" t="n">
        <f aca="false">MIN(J43*(1+J$8),MAX(V44,$B$11-SUM(X44:AE44)-SUM(W44:W44)))</f>
        <v>0</v>
      </c>
      <c r="AG44" s="27" t="n">
        <f aca="false">MIN(K43*(1+K$8),MAX(W44,$B$11-SUM(X44:AF44)))</f>
        <v>0</v>
      </c>
      <c r="AI44" s="27" t="n">
        <f aca="false">ROUND(MAX(0,AI43*(1+B$8)-BE44),2)</f>
        <v>0</v>
      </c>
      <c r="AJ44" s="27" t="n">
        <f aca="false">ROUND(MAX(0,AJ43*(1+C$8)-BF44),2)</f>
        <v>0</v>
      </c>
      <c r="AK44" s="27" t="n">
        <f aca="false">ROUND(MAX(0,AK43*(1+D$8)-BG44),2)</f>
        <v>1638.89</v>
      </c>
      <c r="AL44" s="27" t="n">
        <f aca="false">ROUND(MAX(0,AL43*(1+E$8)-BH44),2)</f>
        <v>3303.58</v>
      </c>
      <c r="AM44" s="27" t="n">
        <f aca="false">ROUND(MAX(0,AM43*(1+F$8)-BI44),2)</f>
        <v>1045.58</v>
      </c>
      <c r="AN44" s="27" t="n">
        <f aca="false">ROUND(MAX(0,AN43*(1+G$8)-BJ44),2)</f>
        <v>0</v>
      </c>
      <c r="AO44" s="27" t="n">
        <f aca="false">ROUND(MAX(0,AO43*(1+H$8)-BK44),2)</f>
        <v>0</v>
      </c>
      <c r="AP44" s="27" t="n">
        <f aca="false">ROUND(MAX(0,AP43*(1+I$8)-BL44),2)</f>
        <v>0</v>
      </c>
      <c r="AQ44" s="27" t="n">
        <f aca="false">ROUND(MAX(0,AQ43*(1+J$8)-BM44),2)</f>
        <v>0</v>
      </c>
      <c r="AR44" s="27" t="n">
        <f aca="false">ROUND(MAX(0,AR43*(1+K$8)-BN44),2)</f>
        <v>0</v>
      </c>
      <c r="AS44" s="27" t="n">
        <f aca="false">SUM(AI44:AR44)</f>
        <v>5988.05</v>
      </c>
      <c r="AT44" s="27" t="n">
        <f aca="false">SUMPRODUCT(AI43:AR43,$B$8:$K$8)</f>
        <v>104.798875</v>
      </c>
      <c r="AU44" s="27" t="n">
        <f aca="false">MIN(AI43*(1+B$8),B$9)</f>
        <v>0</v>
      </c>
      <c r="AV44" s="27" t="n">
        <f aca="false">MIN(AJ43*(1+C$8),C$9)</f>
        <v>0</v>
      </c>
      <c r="AW44" s="27" t="n">
        <f aca="false">MIN(AK43*(1+D$8),D$9)</f>
        <v>75</v>
      </c>
      <c r="AX44" s="27" t="n">
        <f aca="false">MIN(AL43*(1+E$8),E$9)</f>
        <v>95</v>
      </c>
      <c r="AY44" s="27" t="n">
        <f aca="false">MIN(AM43*(1+F$8),F$9)</f>
        <v>310</v>
      </c>
      <c r="AZ44" s="27" t="n">
        <f aca="false">MIN(AN43*(1+G$8),G$9)</f>
        <v>0</v>
      </c>
      <c r="BA44" s="27" t="n">
        <f aca="false">MIN(AO43*(1+H$8),H$9)</f>
        <v>0</v>
      </c>
      <c r="BB44" s="27" t="n">
        <f aca="false">MIN(AP43*(1+I$8),I$9)</f>
        <v>0</v>
      </c>
      <c r="BC44" s="27" t="n">
        <f aca="false">MIN(AQ43*(1+J$8),J$9)</f>
        <v>0</v>
      </c>
      <c r="BD44" s="27" t="n">
        <f aca="false">MIN(AR43*(1+K$8),K$9)</f>
        <v>0</v>
      </c>
      <c r="BE44" s="27" t="n">
        <f aca="false">MIN(AI43*(1+B$8),MAX(AU44,$B$12-SUM(AV44:BD44)))</f>
        <v>0</v>
      </c>
      <c r="BF44" s="27" t="n">
        <f aca="false">MIN(AJ43*(1+C$8),MAX(AV44,$B$12-SUM(BE44:BE44)-SUM(AW44:BD44)))</f>
        <v>0</v>
      </c>
      <c r="BG44" s="27" t="n">
        <f aca="false">MIN(AK43*(1+D$8),MAX(AW44,$B$12-SUM(BE44:BF44)-SUM(AX44:BD44)))</f>
        <v>160</v>
      </c>
      <c r="BH44" s="27" t="n">
        <f aca="false">MIN(AL43*(1+E$8),MAX(AX44,$B$12-SUM(BE44:BG44)-SUM(AY44:BD44)))</f>
        <v>95</v>
      </c>
      <c r="BI44" s="27" t="n">
        <f aca="false">MIN(AM43*(1+F$8),MAX(AY44,$B$12-SUM(BE44:BH44)-SUM(AZ44:BD44)))</f>
        <v>310</v>
      </c>
      <c r="BJ44" s="27" t="n">
        <f aca="false">MIN(AN43*(1+G$8),MAX(AZ44,$B$12-SUM(BE44:BI44)-SUM(BA44:BD44)))</f>
        <v>0</v>
      </c>
      <c r="BK44" s="27" t="n">
        <f aca="false">MIN(AO43*(1+H$8),MAX(BA44,$B$12-SUM(BE44:BJ44)-SUM(BB44:BD44)))</f>
        <v>0</v>
      </c>
      <c r="BL44" s="27" t="n">
        <f aca="false">MIN(AP43*(1+I$8),MAX(BB44,$B$12-SUM(BE44:BK44)-SUM(BC44:BD44)))</f>
        <v>0</v>
      </c>
      <c r="BM44" s="27" t="n">
        <f aca="false">MIN(AQ43*(1+J$8),MAX(BC44,$B$12-SUM(BE44:BL44)-SUM(BD44:BD44)))</f>
        <v>0</v>
      </c>
      <c r="BN44" s="27" t="n">
        <f aca="false">MIN(AR43*(1+K$8),MAX(BD44,$B$12-SUM(BE44:BM44)))</f>
        <v>0</v>
      </c>
    </row>
    <row r="45" customFormat="false" ht="15" hidden="false" customHeight="false" outlineLevel="0" collapsed="false">
      <c r="A45" s="0" t="n">
        <v>31</v>
      </c>
      <c r="B45" s="27" t="n">
        <f aca="false">ROUND(MAX(0,B44*(1+B$8)-X45),2)</f>
        <v>0</v>
      </c>
      <c r="C45" s="27" t="n">
        <f aca="false">ROUND(MAX(0,C44*(1+C$8)-Y45),2)</f>
        <v>0</v>
      </c>
      <c r="D45" s="27" t="n">
        <f aca="false">ROUND(MAX(0,D44*(1+D$8)-Z45),2)</f>
        <v>0</v>
      </c>
      <c r="E45" s="27" t="n">
        <f aca="false">ROUND(MAX(0,E44*(1+E$8)-AA45),2)</f>
        <v>0</v>
      </c>
      <c r="F45" s="27" t="n">
        <f aca="false">ROUND(MAX(0,F44*(1+F$8)-AB45),2)</f>
        <v>0</v>
      </c>
      <c r="G45" s="27" t="n">
        <f aca="false">ROUND(MAX(0,G44*(1+G$8)-AC45),2)</f>
        <v>0</v>
      </c>
      <c r="H45" s="27" t="n">
        <f aca="false">ROUND(MAX(0,H44*(1+H$8)-AD45),2)</f>
        <v>0</v>
      </c>
      <c r="I45" s="27" t="n">
        <f aca="false">ROUND(MAX(0,I44*(1+I$8)-AE45),2)</f>
        <v>0</v>
      </c>
      <c r="J45" s="27" t="n">
        <f aca="false">ROUND(MAX(0,J44*(1+J$8)-AF45),2)</f>
        <v>0</v>
      </c>
      <c r="K45" s="27" t="n">
        <f aca="false">ROUND(MAX(0,K44*(1+K$8)-AG45),2)</f>
        <v>0</v>
      </c>
      <c r="L45" s="30" t="n">
        <f aca="false">SUM(B45:K45)</f>
        <v>0</v>
      </c>
      <c r="M45" s="27" t="n">
        <f aca="false">SUMPRODUCT(B44:K44,$B$8:$K$8)</f>
        <v>0.7278925</v>
      </c>
      <c r="N45" s="27" t="n">
        <f aca="false">MIN(B44*(1+B$8),B$9)</f>
        <v>0</v>
      </c>
      <c r="O45" s="27" t="n">
        <f aca="false">MIN(C44*(1+C$8),C$9)</f>
        <v>0</v>
      </c>
      <c r="P45" s="27" t="n">
        <f aca="false">MIN(D44*(1+D$8),D$9)</f>
        <v>0</v>
      </c>
      <c r="Q45" s="27" t="n">
        <f aca="false">MIN(E44*(1+E$8),E$9)</f>
        <v>0</v>
      </c>
      <c r="R45" s="27" t="n">
        <f aca="false">MIN(F44*(1+F$8),F$9)</f>
        <v>127.3178925</v>
      </c>
      <c r="S45" s="27" t="n">
        <f aca="false">MIN(G44*(1+G$8),G$9)</f>
        <v>0</v>
      </c>
      <c r="T45" s="27" t="n">
        <f aca="false">MIN(H44*(1+H$8),H$9)</f>
        <v>0</v>
      </c>
      <c r="U45" s="27" t="n">
        <f aca="false">MIN(I44*(1+I$8),I$9)</f>
        <v>0</v>
      </c>
      <c r="V45" s="27" t="n">
        <f aca="false">MIN(J44*(1+J$8),J$9)</f>
        <v>0</v>
      </c>
      <c r="W45" s="27" t="n">
        <f aca="false">MIN(K44*(1+K$8),K$9)</f>
        <v>0</v>
      </c>
      <c r="X45" s="27" t="n">
        <f aca="false">MIN(B44*(1+B$8),MAX(N45,$B$11-SUM(O45:W45)))</f>
        <v>0</v>
      </c>
      <c r="Y45" s="27" t="n">
        <f aca="false">MIN(C44*(1+C$8),MAX(O45,$B$11-SUM(X45:X45)-SUM(P45:W45)))</f>
        <v>0</v>
      </c>
      <c r="Z45" s="27" t="n">
        <f aca="false">MIN(D44*(1+D$8),MAX(P45,$B$11-SUM(X45:Y45)-SUM(Q45:W45)))</f>
        <v>0</v>
      </c>
      <c r="AA45" s="27" t="n">
        <f aca="false">MIN(E44*(1+E$8),MAX(Q45,$B$11-SUM(X45:Z45)-SUM(R45:W45)))</f>
        <v>0</v>
      </c>
      <c r="AB45" s="27" t="n">
        <f aca="false">MIN(F44*(1+F$8),MAX(R45,$B$11-SUM(X45:AA45)-SUM(S45:W45)))</f>
        <v>127.3178925</v>
      </c>
      <c r="AC45" s="27" t="n">
        <f aca="false">MIN(G44*(1+G$8),MAX(S45,$B$11-SUM(X45:AB45)-SUM(T45:W45)))</f>
        <v>0</v>
      </c>
      <c r="AD45" s="27" t="n">
        <f aca="false">MIN(H44*(1+H$8),MAX(T45,$B$11-SUM(X45:AC45)-SUM(U45:W45)))</f>
        <v>0</v>
      </c>
      <c r="AE45" s="27" t="n">
        <f aca="false">MIN(I44*(1+I$8),MAX(U45,$B$11-SUM(X45:AD45)-SUM(V45:W45)))</f>
        <v>0</v>
      </c>
      <c r="AF45" s="27" t="n">
        <f aca="false">MIN(J44*(1+J$8),MAX(V45,$B$11-SUM(X45:AE45)-SUM(W45:W45)))</f>
        <v>0</v>
      </c>
      <c r="AG45" s="27" t="n">
        <f aca="false">MIN(K44*(1+K$8),MAX(W45,$B$11-SUM(X45:AF45)))</f>
        <v>0</v>
      </c>
      <c r="AI45" s="27" t="n">
        <f aca="false">ROUND(MAX(0,AI44*(1+B$8)-BE45),2)</f>
        <v>0</v>
      </c>
      <c r="AJ45" s="27" t="n">
        <f aca="false">ROUND(MAX(0,AJ44*(1+C$8)-BF45),2)</f>
        <v>0</v>
      </c>
      <c r="AK45" s="27" t="n">
        <f aca="false">ROUND(MAX(0,AK44*(1+D$8)-BG45),2)</f>
        <v>1512.49</v>
      </c>
      <c r="AL45" s="27" t="n">
        <f aca="false">ROUND(MAX(0,AL44*(1+E$8)-BH45),2)</f>
        <v>3268.87</v>
      </c>
      <c r="AM45" s="27" t="n">
        <f aca="false">ROUND(MAX(0,AM44*(1+F$8)-BI45),2)</f>
        <v>741.59</v>
      </c>
      <c r="AN45" s="27" t="n">
        <f aca="false">ROUND(MAX(0,AN44*(1+G$8)-BJ45),2)</f>
        <v>0</v>
      </c>
      <c r="AO45" s="27" t="n">
        <f aca="false">ROUND(MAX(0,AO44*(1+H$8)-BK45),2)</f>
        <v>0</v>
      </c>
      <c r="AP45" s="27" t="n">
        <f aca="false">ROUND(MAX(0,AP44*(1+I$8)-BL45),2)</f>
        <v>0</v>
      </c>
      <c r="AQ45" s="27" t="n">
        <f aca="false">ROUND(MAX(0,AQ44*(1+J$8)-BM45),2)</f>
        <v>0</v>
      </c>
      <c r="AR45" s="27" t="n">
        <f aca="false">ROUND(MAX(0,AR44*(1+K$8)-BN45),2)</f>
        <v>0</v>
      </c>
      <c r="AS45" s="27" t="n">
        <f aca="false">SUM(AI45:AR45)</f>
        <v>5522.95</v>
      </c>
      <c r="AT45" s="27" t="n">
        <f aca="false">SUMPRODUCT(AI44:AR44,$B$8:$K$8)</f>
        <v>99.899665</v>
      </c>
      <c r="AU45" s="27" t="n">
        <f aca="false">MIN(AI44*(1+B$8),B$9)</f>
        <v>0</v>
      </c>
      <c r="AV45" s="27" t="n">
        <f aca="false">MIN(AJ44*(1+C$8),C$9)</f>
        <v>0</v>
      </c>
      <c r="AW45" s="27" t="n">
        <f aca="false">MIN(AK44*(1+D$8),D$9)</f>
        <v>75</v>
      </c>
      <c r="AX45" s="27" t="n">
        <f aca="false">MIN(AL44*(1+E$8),E$9)</f>
        <v>95</v>
      </c>
      <c r="AY45" s="27" t="n">
        <f aca="false">MIN(AM44*(1+F$8),F$9)</f>
        <v>310</v>
      </c>
      <c r="AZ45" s="27" t="n">
        <f aca="false">MIN(AN44*(1+G$8),G$9)</f>
        <v>0</v>
      </c>
      <c r="BA45" s="27" t="n">
        <f aca="false">MIN(AO44*(1+H$8),H$9)</f>
        <v>0</v>
      </c>
      <c r="BB45" s="27" t="n">
        <f aca="false">MIN(AP44*(1+I$8),I$9)</f>
        <v>0</v>
      </c>
      <c r="BC45" s="27" t="n">
        <f aca="false">MIN(AQ44*(1+J$8),J$9)</f>
        <v>0</v>
      </c>
      <c r="BD45" s="27" t="n">
        <f aca="false">MIN(AR44*(1+K$8),K$9)</f>
        <v>0</v>
      </c>
      <c r="BE45" s="27" t="n">
        <f aca="false">MIN(AI44*(1+B$8),MAX(AU45,$B$12-SUM(AV45:BD45)))</f>
        <v>0</v>
      </c>
      <c r="BF45" s="27" t="n">
        <f aca="false">MIN(AJ44*(1+C$8),MAX(AV45,$B$12-SUM(BE45:BE45)-SUM(AW45:BD45)))</f>
        <v>0</v>
      </c>
      <c r="BG45" s="27" t="n">
        <f aca="false">MIN(AK44*(1+D$8),MAX(AW45,$B$12-SUM(BE45:BF45)-SUM(AX45:BD45)))</f>
        <v>160</v>
      </c>
      <c r="BH45" s="27" t="n">
        <f aca="false">MIN(AL44*(1+E$8),MAX(AX45,$B$12-SUM(BE45:BG45)-SUM(AY45:BD45)))</f>
        <v>95</v>
      </c>
      <c r="BI45" s="27" t="n">
        <f aca="false">MIN(AM44*(1+F$8),MAX(AY45,$B$12-SUM(BE45:BH45)-SUM(AZ45:BD45)))</f>
        <v>310</v>
      </c>
      <c r="BJ45" s="27" t="n">
        <f aca="false">MIN(AN44*(1+G$8),MAX(AZ45,$B$12-SUM(BE45:BI45)-SUM(BA45:BD45)))</f>
        <v>0</v>
      </c>
      <c r="BK45" s="27" t="n">
        <f aca="false">MIN(AO44*(1+H$8),MAX(BA45,$B$12-SUM(BE45:BJ45)-SUM(BB45:BD45)))</f>
        <v>0</v>
      </c>
      <c r="BL45" s="27" t="n">
        <f aca="false">MIN(AP44*(1+I$8),MAX(BB45,$B$12-SUM(BE45:BK45)-SUM(BC45:BD45)))</f>
        <v>0</v>
      </c>
      <c r="BM45" s="27" t="n">
        <f aca="false">MIN(AQ44*(1+J$8),MAX(BC45,$B$12-SUM(BE45:BL45)-SUM(BD45:BD45)))</f>
        <v>0</v>
      </c>
      <c r="BN45" s="27" t="n">
        <f aca="false">MIN(AR44*(1+K$8),MAX(BD45,$B$12-SUM(BE45:BM45)))</f>
        <v>0</v>
      </c>
    </row>
    <row r="46" customFormat="false" ht="15" hidden="false" customHeight="false" outlineLevel="0" collapsed="false">
      <c r="A46" s="0" t="n">
        <v>32</v>
      </c>
      <c r="B46" s="27" t="n">
        <f aca="false">ROUND(MAX(0,B45*(1+B$8)-X46),2)</f>
        <v>0</v>
      </c>
      <c r="C46" s="27" t="n">
        <f aca="false">ROUND(MAX(0,C45*(1+C$8)-Y46),2)</f>
        <v>0</v>
      </c>
      <c r="D46" s="27" t="n">
        <f aca="false">ROUND(MAX(0,D45*(1+D$8)-Z46),2)</f>
        <v>0</v>
      </c>
      <c r="E46" s="27" t="n">
        <f aca="false">ROUND(MAX(0,E45*(1+E$8)-AA46),2)</f>
        <v>0</v>
      </c>
      <c r="F46" s="27" t="n">
        <f aca="false">ROUND(MAX(0,F45*(1+F$8)-AB46),2)</f>
        <v>0</v>
      </c>
      <c r="G46" s="27" t="n">
        <f aca="false">ROUND(MAX(0,G45*(1+G$8)-AC46),2)</f>
        <v>0</v>
      </c>
      <c r="H46" s="27" t="n">
        <f aca="false">ROUND(MAX(0,H45*(1+H$8)-AD46),2)</f>
        <v>0</v>
      </c>
      <c r="I46" s="27" t="n">
        <f aca="false">ROUND(MAX(0,I45*(1+I$8)-AE46),2)</f>
        <v>0</v>
      </c>
      <c r="J46" s="27" t="n">
        <f aca="false">ROUND(MAX(0,J45*(1+J$8)-AF46),2)</f>
        <v>0</v>
      </c>
      <c r="K46" s="27" t="n">
        <f aca="false">ROUND(MAX(0,K45*(1+K$8)-AG46),2)</f>
        <v>0</v>
      </c>
      <c r="L46" s="30" t="n">
        <f aca="false">SUM(B46:K46)</f>
        <v>0</v>
      </c>
      <c r="M46" s="27" t="n">
        <f aca="false">SUMPRODUCT(B45:K45,$B$8:$K$8)</f>
        <v>0</v>
      </c>
      <c r="N46" s="27" t="n">
        <f aca="false">MIN(B45*(1+B$8),B$9)</f>
        <v>0</v>
      </c>
      <c r="O46" s="27" t="n">
        <f aca="false">MIN(C45*(1+C$8),C$9)</f>
        <v>0</v>
      </c>
      <c r="P46" s="27" t="n">
        <f aca="false">MIN(D45*(1+D$8),D$9)</f>
        <v>0</v>
      </c>
      <c r="Q46" s="27" t="n">
        <f aca="false">MIN(E45*(1+E$8),E$9)</f>
        <v>0</v>
      </c>
      <c r="R46" s="27" t="n">
        <f aca="false">MIN(F45*(1+F$8),F$9)</f>
        <v>0</v>
      </c>
      <c r="S46" s="27" t="n">
        <f aca="false">MIN(G45*(1+G$8),G$9)</f>
        <v>0</v>
      </c>
      <c r="T46" s="27" t="n">
        <f aca="false">MIN(H45*(1+H$8),H$9)</f>
        <v>0</v>
      </c>
      <c r="U46" s="27" t="n">
        <f aca="false">MIN(I45*(1+I$8),I$9)</f>
        <v>0</v>
      </c>
      <c r="V46" s="27" t="n">
        <f aca="false">MIN(J45*(1+J$8),J$9)</f>
        <v>0</v>
      </c>
      <c r="W46" s="27" t="n">
        <f aca="false">MIN(K45*(1+K$8),K$9)</f>
        <v>0</v>
      </c>
      <c r="X46" s="27" t="n">
        <f aca="false">MIN(B45*(1+B$8),MAX(N46,$B$11-SUM(O46:W46)))</f>
        <v>0</v>
      </c>
      <c r="Y46" s="27" t="n">
        <f aca="false">MIN(C45*(1+C$8),MAX(O46,$B$11-SUM(X46:X46)-SUM(P46:W46)))</f>
        <v>0</v>
      </c>
      <c r="Z46" s="27" t="n">
        <f aca="false">MIN(D45*(1+D$8),MAX(P46,$B$11-SUM(X46:Y46)-SUM(Q46:W46)))</f>
        <v>0</v>
      </c>
      <c r="AA46" s="27" t="n">
        <f aca="false">MIN(E45*(1+E$8),MAX(Q46,$B$11-SUM(X46:Z46)-SUM(R46:W46)))</f>
        <v>0</v>
      </c>
      <c r="AB46" s="27" t="n">
        <f aca="false">MIN(F45*(1+F$8),MAX(R46,$B$11-SUM(X46:AA46)-SUM(S46:W46)))</f>
        <v>0</v>
      </c>
      <c r="AC46" s="27" t="n">
        <f aca="false">MIN(G45*(1+G$8),MAX(S46,$B$11-SUM(X46:AB46)-SUM(T46:W46)))</f>
        <v>0</v>
      </c>
      <c r="AD46" s="27" t="n">
        <f aca="false">MIN(H45*(1+H$8),MAX(T46,$B$11-SUM(X46:AC46)-SUM(U46:W46)))</f>
        <v>0</v>
      </c>
      <c r="AE46" s="27" t="n">
        <f aca="false">MIN(I45*(1+I$8),MAX(U46,$B$11-SUM(X46:AD46)-SUM(V46:W46)))</f>
        <v>0</v>
      </c>
      <c r="AF46" s="27" t="n">
        <f aca="false">MIN(J45*(1+J$8),MAX(V46,$B$11-SUM(X46:AE46)-SUM(W46:W46)))</f>
        <v>0</v>
      </c>
      <c r="AG46" s="27" t="n">
        <f aca="false">MIN(K45*(1+K$8),MAX(W46,$B$11-SUM(X46:AF46)))</f>
        <v>0</v>
      </c>
      <c r="AI46" s="27" t="n">
        <f aca="false">ROUND(MAX(0,AI45*(1+B$8)-BE46),2)</f>
        <v>0</v>
      </c>
      <c r="AJ46" s="27" t="n">
        <f aca="false">ROUND(MAX(0,AJ45*(1+C$8)-BF46),2)</f>
        <v>0</v>
      </c>
      <c r="AK46" s="27" t="n">
        <f aca="false">ROUND(MAX(0,AK45*(1+D$8)-BG46),2)</f>
        <v>1383.5</v>
      </c>
      <c r="AL46" s="27" t="n">
        <f aca="false">ROUND(MAX(0,AL45*(1+E$8)-BH46),2)</f>
        <v>3233.53</v>
      </c>
      <c r="AM46" s="27" t="n">
        <f aca="false">ROUND(MAX(0,AM45*(1+F$8)-BI46),2)</f>
        <v>435.85</v>
      </c>
      <c r="AN46" s="27" t="n">
        <f aca="false">ROUND(MAX(0,AN45*(1+G$8)-BJ46),2)</f>
        <v>0</v>
      </c>
      <c r="AO46" s="27" t="n">
        <f aca="false">ROUND(MAX(0,AO45*(1+H$8)-BK46),2)</f>
        <v>0</v>
      </c>
      <c r="AP46" s="27" t="n">
        <f aca="false">ROUND(MAX(0,AP45*(1+I$8)-BL46),2)</f>
        <v>0</v>
      </c>
      <c r="AQ46" s="27" t="n">
        <f aca="false">ROUND(MAX(0,AQ45*(1+J$8)-BM46),2)</f>
        <v>0</v>
      </c>
      <c r="AR46" s="27" t="n">
        <f aca="false">ROUND(MAX(0,AR45*(1+K$8)-BN46),2)</f>
        <v>0</v>
      </c>
      <c r="AS46" s="27" t="n">
        <f aca="false">SUM(AI46:AR46)</f>
        <v>5052.88</v>
      </c>
      <c r="AT46" s="27" t="n">
        <f aca="false">SUMPRODUCT(AI45:AR45,$B$8:$K$8)</f>
        <v>94.927065</v>
      </c>
      <c r="AU46" s="27" t="n">
        <f aca="false">MIN(AI45*(1+B$8),B$9)</f>
        <v>0</v>
      </c>
      <c r="AV46" s="27" t="n">
        <f aca="false">MIN(AJ45*(1+C$8),C$9)</f>
        <v>0</v>
      </c>
      <c r="AW46" s="27" t="n">
        <f aca="false">MIN(AK45*(1+D$8),D$9)</f>
        <v>75</v>
      </c>
      <c r="AX46" s="27" t="n">
        <f aca="false">MIN(AL45*(1+E$8),E$9)</f>
        <v>95</v>
      </c>
      <c r="AY46" s="27" t="n">
        <f aca="false">MIN(AM45*(1+F$8),F$9)</f>
        <v>310</v>
      </c>
      <c r="AZ46" s="27" t="n">
        <f aca="false">MIN(AN45*(1+G$8),G$9)</f>
        <v>0</v>
      </c>
      <c r="BA46" s="27" t="n">
        <f aca="false">MIN(AO45*(1+H$8),H$9)</f>
        <v>0</v>
      </c>
      <c r="BB46" s="27" t="n">
        <f aca="false">MIN(AP45*(1+I$8),I$9)</f>
        <v>0</v>
      </c>
      <c r="BC46" s="27" t="n">
        <f aca="false">MIN(AQ45*(1+J$8),J$9)</f>
        <v>0</v>
      </c>
      <c r="BD46" s="27" t="n">
        <f aca="false">MIN(AR45*(1+K$8),K$9)</f>
        <v>0</v>
      </c>
      <c r="BE46" s="27" t="n">
        <f aca="false">MIN(AI45*(1+B$8),MAX(AU46,$B$12-SUM(AV46:BD46)))</f>
        <v>0</v>
      </c>
      <c r="BF46" s="27" t="n">
        <f aca="false">MIN(AJ45*(1+C$8),MAX(AV46,$B$12-SUM(BE46:BE46)-SUM(AW46:BD46)))</f>
        <v>0</v>
      </c>
      <c r="BG46" s="27" t="n">
        <f aca="false">MIN(AK45*(1+D$8),MAX(AW46,$B$12-SUM(BE46:BF46)-SUM(AX46:BD46)))</f>
        <v>160</v>
      </c>
      <c r="BH46" s="27" t="n">
        <f aca="false">MIN(AL45*(1+E$8),MAX(AX46,$B$12-SUM(BE46:BG46)-SUM(AY46:BD46)))</f>
        <v>95</v>
      </c>
      <c r="BI46" s="27" t="n">
        <f aca="false">MIN(AM45*(1+F$8),MAX(AY46,$B$12-SUM(BE46:BH46)-SUM(AZ46:BD46)))</f>
        <v>310</v>
      </c>
      <c r="BJ46" s="27" t="n">
        <f aca="false">MIN(AN45*(1+G$8),MAX(AZ46,$B$12-SUM(BE46:BI46)-SUM(BA46:BD46)))</f>
        <v>0</v>
      </c>
      <c r="BK46" s="27" t="n">
        <f aca="false">MIN(AO45*(1+H$8),MAX(BA46,$B$12-SUM(BE46:BJ46)-SUM(BB46:BD46)))</f>
        <v>0</v>
      </c>
      <c r="BL46" s="27" t="n">
        <f aca="false">MIN(AP45*(1+I$8),MAX(BB46,$B$12-SUM(BE46:BK46)-SUM(BC46:BD46)))</f>
        <v>0</v>
      </c>
      <c r="BM46" s="27" t="n">
        <f aca="false">MIN(AQ45*(1+J$8),MAX(BC46,$B$12-SUM(BE46:BL46)-SUM(BD46:BD46)))</f>
        <v>0</v>
      </c>
      <c r="BN46" s="27" t="n">
        <f aca="false">MIN(AR45*(1+K$8),MAX(BD46,$B$12-SUM(BE46:BM46)))</f>
        <v>0</v>
      </c>
    </row>
    <row r="47" customFormat="false" ht="15" hidden="false" customHeight="false" outlineLevel="0" collapsed="false">
      <c r="A47" s="0" t="n">
        <v>33</v>
      </c>
      <c r="B47" s="27" t="n">
        <f aca="false">ROUND(MAX(0,B46*(1+B$8)-X47),2)</f>
        <v>0</v>
      </c>
      <c r="C47" s="27" t="n">
        <f aca="false">ROUND(MAX(0,C46*(1+C$8)-Y47),2)</f>
        <v>0</v>
      </c>
      <c r="D47" s="27" t="n">
        <f aca="false">ROUND(MAX(0,D46*(1+D$8)-Z47),2)</f>
        <v>0</v>
      </c>
      <c r="E47" s="27" t="n">
        <f aca="false">ROUND(MAX(0,E46*(1+E$8)-AA47),2)</f>
        <v>0</v>
      </c>
      <c r="F47" s="27" t="n">
        <f aca="false">ROUND(MAX(0,F46*(1+F$8)-AB47),2)</f>
        <v>0</v>
      </c>
      <c r="G47" s="27" t="n">
        <f aca="false">ROUND(MAX(0,G46*(1+G$8)-AC47),2)</f>
        <v>0</v>
      </c>
      <c r="H47" s="27" t="n">
        <f aca="false">ROUND(MAX(0,H46*(1+H$8)-AD47),2)</f>
        <v>0</v>
      </c>
      <c r="I47" s="27" t="n">
        <f aca="false">ROUND(MAX(0,I46*(1+I$8)-AE47),2)</f>
        <v>0</v>
      </c>
      <c r="J47" s="27" t="n">
        <f aca="false">ROUND(MAX(0,J46*(1+J$8)-AF47),2)</f>
        <v>0</v>
      </c>
      <c r="K47" s="27" t="n">
        <f aca="false">ROUND(MAX(0,K46*(1+K$8)-AG47),2)</f>
        <v>0</v>
      </c>
      <c r="L47" s="30" t="n">
        <f aca="false">SUM(B47:K47)</f>
        <v>0</v>
      </c>
      <c r="M47" s="27" t="n">
        <f aca="false">SUMPRODUCT(B46:K46,$B$8:$K$8)</f>
        <v>0</v>
      </c>
      <c r="N47" s="27" t="n">
        <f aca="false">MIN(B46*(1+B$8),B$9)</f>
        <v>0</v>
      </c>
      <c r="O47" s="27" t="n">
        <f aca="false">MIN(C46*(1+C$8),C$9)</f>
        <v>0</v>
      </c>
      <c r="P47" s="27" t="n">
        <f aca="false">MIN(D46*(1+D$8),D$9)</f>
        <v>0</v>
      </c>
      <c r="Q47" s="27" t="n">
        <f aca="false">MIN(E46*(1+E$8),E$9)</f>
        <v>0</v>
      </c>
      <c r="R47" s="27" t="n">
        <f aca="false">MIN(F46*(1+F$8),F$9)</f>
        <v>0</v>
      </c>
      <c r="S47" s="27" t="n">
        <f aca="false">MIN(G46*(1+G$8),G$9)</f>
        <v>0</v>
      </c>
      <c r="T47" s="27" t="n">
        <f aca="false">MIN(H46*(1+H$8),H$9)</f>
        <v>0</v>
      </c>
      <c r="U47" s="27" t="n">
        <f aca="false">MIN(I46*(1+I$8),I$9)</f>
        <v>0</v>
      </c>
      <c r="V47" s="27" t="n">
        <f aca="false">MIN(J46*(1+J$8),J$9)</f>
        <v>0</v>
      </c>
      <c r="W47" s="27" t="n">
        <f aca="false">MIN(K46*(1+K$8),K$9)</f>
        <v>0</v>
      </c>
      <c r="X47" s="27" t="n">
        <f aca="false">MIN(B46*(1+B$8),MAX(N47,$B$11-SUM(O47:W47)))</f>
        <v>0</v>
      </c>
      <c r="Y47" s="27" t="n">
        <f aca="false">MIN(C46*(1+C$8),MAX(O47,$B$11-SUM(X47:X47)-SUM(P47:W47)))</f>
        <v>0</v>
      </c>
      <c r="Z47" s="27" t="n">
        <f aca="false">MIN(D46*(1+D$8),MAX(P47,$B$11-SUM(X47:Y47)-SUM(Q47:W47)))</f>
        <v>0</v>
      </c>
      <c r="AA47" s="27" t="n">
        <f aca="false">MIN(E46*(1+E$8),MAX(Q47,$B$11-SUM(X47:Z47)-SUM(R47:W47)))</f>
        <v>0</v>
      </c>
      <c r="AB47" s="27" t="n">
        <f aca="false">MIN(F46*(1+F$8),MAX(R47,$B$11-SUM(X47:AA47)-SUM(S47:W47)))</f>
        <v>0</v>
      </c>
      <c r="AC47" s="27" t="n">
        <f aca="false">MIN(G46*(1+G$8),MAX(S47,$B$11-SUM(X47:AB47)-SUM(T47:W47)))</f>
        <v>0</v>
      </c>
      <c r="AD47" s="27" t="n">
        <f aca="false">MIN(H46*(1+H$8),MAX(T47,$B$11-SUM(X47:AC47)-SUM(U47:W47)))</f>
        <v>0</v>
      </c>
      <c r="AE47" s="27" t="n">
        <f aca="false">MIN(I46*(1+I$8),MAX(U47,$B$11-SUM(X47:AD47)-SUM(V47:W47)))</f>
        <v>0</v>
      </c>
      <c r="AF47" s="27" t="n">
        <f aca="false">MIN(J46*(1+J$8),MAX(V47,$B$11-SUM(X47:AE47)-SUM(W47:W47)))</f>
        <v>0</v>
      </c>
      <c r="AG47" s="27" t="n">
        <f aca="false">MIN(K46*(1+K$8),MAX(W47,$B$11-SUM(X47:AF47)))</f>
        <v>0</v>
      </c>
      <c r="AI47" s="27" t="n">
        <f aca="false">ROUND(MAX(0,AI46*(1+B$8)-BE47),2)</f>
        <v>0</v>
      </c>
      <c r="AJ47" s="27" t="n">
        <f aca="false">ROUND(MAX(0,AJ46*(1+C$8)-BF47),2)</f>
        <v>0</v>
      </c>
      <c r="AK47" s="27" t="n">
        <f aca="false">ROUND(MAX(0,AK46*(1+D$8)-BG47),2)</f>
        <v>1251.86</v>
      </c>
      <c r="AL47" s="27" t="n">
        <f aca="false">ROUND(MAX(0,AL46*(1+E$8)-BH47),2)</f>
        <v>3197.54</v>
      </c>
      <c r="AM47" s="27" t="n">
        <f aca="false">ROUND(MAX(0,AM46*(1+F$8)-BI47),2)</f>
        <v>128.36</v>
      </c>
      <c r="AN47" s="27" t="n">
        <f aca="false">ROUND(MAX(0,AN46*(1+G$8)-BJ47),2)</f>
        <v>0</v>
      </c>
      <c r="AO47" s="27" t="n">
        <f aca="false">ROUND(MAX(0,AO46*(1+H$8)-BK47),2)</f>
        <v>0</v>
      </c>
      <c r="AP47" s="27" t="n">
        <f aca="false">ROUND(MAX(0,AP46*(1+I$8)-BL47),2)</f>
        <v>0</v>
      </c>
      <c r="AQ47" s="27" t="n">
        <f aca="false">ROUND(MAX(0,AQ46*(1+J$8)-BM47),2)</f>
        <v>0</v>
      </c>
      <c r="AR47" s="27" t="n">
        <f aca="false">ROUND(MAX(0,AR46*(1+K$8)-BN47),2)</f>
        <v>0</v>
      </c>
      <c r="AS47" s="27" t="n">
        <f aca="false">SUM(AI47:AR47)</f>
        <v>4577.76</v>
      </c>
      <c r="AT47" s="27" t="n">
        <f aca="false">SUMPRODUCT(AI46:AR46,$B$8:$K$8)</f>
        <v>89.87981</v>
      </c>
      <c r="AU47" s="27" t="n">
        <f aca="false">MIN(AI46*(1+B$8),B$9)</f>
        <v>0</v>
      </c>
      <c r="AV47" s="27" t="n">
        <f aca="false">MIN(AJ46*(1+C$8),C$9)</f>
        <v>0</v>
      </c>
      <c r="AW47" s="27" t="n">
        <f aca="false">MIN(AK46*(1+D$8),D$9)</f>
        <v>75</v>
      </c>
      <c r="AX47" s="27" t="n">
        <f aca="false">MIN(AL46*(1+E$8),E$9)</f>
        <v>95</v>
      </c>
      <c r="AY47" s="27" t="n">
        <f aca="false">MIN(AM46*(1+F$8),F$9)</f>
        <v>310</v>
      </c>
      <c r="AZ47" s="27" t="n">
        <f aca="false">MIN(AN46*(1+G$8),G$9)</f>
        <v>0</v>
      </c>
      <c r="BA47" s="27" t="n">
        <f aca="false">MIN(AO46*(1+H$8),H$9)</f>
        <v>0</v>
      </c>
      <c r="BB47" s="27" t="n">
        <f aca="false">MIN(AP46*(1+I$8),I$9)</f>
        <v>0</v>
      </c>
      <c r="BC47" s="27" t="n">
        <f aca="false">MIN(AQ46*(1+J$8),J$9)</f>
        <v>0</v>
      </c>
      <c r="BD47" s="27" t="n">
        <f aca="false">MIN(AR46*(1+K$8),K$9)</f>
        <v>0</v>
      </c>
      <c r="BE47" s="27" t="n">
        <f aca="false">MIN(AI46*(1+B$8),MAX(AU47,$B$12-SUM(AV47:BD47)))</f>
        <v>0</v>
      </c>
      <c r="BF47" s="27" t="n">
        <f aca="false">MIN(AJ46*(1+C$8),MAX(AV47,$B$12-SUM(BE47:BE47)-SUM(AW47:BD47)))</f>
        <v>0</v>
      </c>
      <c r="BG47" s="27" t="n">
        <f aca="false">MIN(AK46*(1+D$8),MAX(AW47,$B$12-SUM(BE47:BF47)-SUM(AX47:BD47)))</f>
        <v>160</v>
      </c>
      <c r="BH47" s="27" t="n">
        <f aca="false">MIN(AL46*(1+E$8),MAX(AX47,$B$12-SUM(BE47:BG47)-SUM(AY47:BD47)))</f>
        <v>95</v>
      </c>
      <c r="BI47" s="27" t="n">
        <f aca="false">MIN(AM46*(1+F$8),MAX(AY47,$B$12-SUM(BE47:BH47)-SUM(AZ47:BD47)))</f>
        <v>310</v>
      </c>
      <c r="BJ47" s="27" t="n">
        <f aca="false">MIN(AN46*(1+G$8),MAX(AZ47,$B$12-SUM(BE47:BI47)-SUM(BA47:BD47)))</f>
        <v>0</v>
      </c>
      <c r="BK47" s="27" t="n">
        <f aca="false">MIN(AO46*(1+H$8),MAX(BA47,$B$12-SUM(BE47:BJ47)-SUM(BB47:BD47)))</f>
        <v>0</v>
      </c>
      <c r="BL47" s="27" t="n">
        <f aca="false">MIN(AP46*(1+I$8),MAX(BB47,$B$12-SUM(BE47:BK47)-SUM(BC47:BD47)))</f>
        <v>0</v>
      </c>
      <c r="BM47" s="27" t="n">
        <f aca="false">MIN(AQ46*(1+J$8),MAX(BC47,$B$12-SUM(BE47:BL47)-SUM(BD47:BD47)))</f>
        <v>0</v>
      </c>
      <c r="BN47" s="27" t="n">
        <f aca="false">MIN(AR46*(1+K$8),MAX(BD47,$B$12-SUM(BE47:BM47)))</f>
        <v>0</v>
      </c>
    </row>
    <row r="48" customFormat="false" ht="15" hidden="false" customHeight="false" outlineLevel="0" collapsed="false">
      <c r="A48" s="0" t="n">
        <v>34</v>
      </c>
      <c r="B48" s="27" t="n">
        <f aca="false">ROUND(MAX(0,B47*(1+B$8)-X48),2)</f>
        <v>0</v>
      </c>
      <c r="C48" s="27" t="n">
        <f aca="false">ROUND(MAX(0,C47*(1+C$8)-Y48),2)</f>
        <v>0</v>
      </c>
      <c r="D48" s="27" t="n">
        <f aca="false">ROUND(MAX(0,D47*(1+D$8)-Z48),2)</f>
        <v>0</v>
      </c>
      <c r="E48" s="27" t="n">
        <f aca="false">ROUND(MAX(0,E47*(1+E$8)-AA48),2)</f>
        <v>0</v>
      </c>
      <c r="F48" s="27" t="n">
        <f aca="false">ROUND(MAX(0,F47*(1+F$8)-AB48),2)</f>
        <v>0</v>
      </c>
      <c r="G48" s="27" t="n">
        <f aca="false">ROUND(MAX(0,G47*(1+G$8)-AC48),2)</f>
        <v>0</v>
      </c>
      <c r="H48" s="27" t="n">
        <f aca="false">ROUND(MAX(0,H47*(1+H$8)-AD48),2)</f>
        <v>0</v>
      </c>
      <c r="I48" s="27" t="n">
        <f aca="false">ROUND(MAX(0,I47*(1+I$8)-AE48),2)</f>
        <v>0</v>
      </c>
      <c r="J48" s="27" t="n">
        <f aca="false">ROUND(MAX(0,J47*(1+J$8)-AF48),2)</f>
        <v>0</v>
      </c>
      <c r="K48" s="27" t="n">
        <f aca="false">ROUND(MAX(0,K47*(1+K$8)-AG48),2)</f>
        <v>0</v>
      </c>
      <c r="L48" s="30" t="n">
        <f aca="false">SUM(B48:K48)</f>
        <v>0</v>
      </c>
      <c r="M48" s="27" t="n">
        <f aca="false">SUMPRODUCT(B47:K47,$B$8:$K$8)</f>
        <v>0</v>
      </c>
      <c r="N48" s="27" t="n">
        <f aca="false">MIN(B47*(1+B$8),B$9)</f>
        <v>0</v>
      </c>
      <c r="O48" s="27" t="n">
        <f aca="false">MIN(C47*(1+C$8),C$9)</f>
        <v>0</v>
      </c>
      <c r="P48" s="27" t="n">
        <f aca="false">MIN(D47*(1+D$8),D$9)</f>
        <v>0</v>
      </c>
      <c r="Q48" s="27" t="n">
        <f aca="false">MIN(E47*(1+E$8),E$9)</f>
        <v>0</v>
      </c>
      <c r="R48" s="27" t="n">
        <f aca="false">MIN(F47*(1+F$8),F$9)</f>
        <v>0</v>
      </c>
      <c r="S48" s="27" t="n">
        <f aca="false">MIN(G47*(1+G$8),G$9)</f>
        <v>0</v>
      </c>
      <c r="T48" s="27" t="n">
        <f aca="false">MIN(H47*(1+H$8),H$9)</f>
        <v>0</v>
      </c>
      <c r="U48" s="27" t="n">
        <f aca="false">MIN(I47*(1+I$8),I$9)</f>
        <v>0</v>
      </c>
      <c r="V48" s="27" t="n">
        <f aca="false">MIN(J47*(1+J$8),J$9)</f>
        <v>0</v>
      </c>
      <c r="W48" s="27" t="n">
        <f aca="false">MIN(K47*(1+K$8),K$9)</f>
        <v>0</v>
      </c>
      <c r="X48" s="27" t="n">
        <f aca="false">MIN(B47*(1+B$8),MAX(N48,$B$11-SUM(O48:W48)))</f>
        <v>0</v>
      </c>
      <c r="Y48" s="27" t="n">
        <f aca="false">MIN(C47*(1+C$8),MAX(O48,$B$11-SUM(X48:X48)-SUM(P48:W48)))</f>
        <v>0</v>
      </c>
      <c r="Z48" s="27" t="n">
        <f aca="false">MIN(D47*(1+D$8),MAX(P48,$B$11-SUM(X48:Y48)-SUM(Q48:W48)))</f>
        <v>0</v>
      </c>
      <c r="AA48" s="27" t="n">
        <f aca="false">MIN(E47*(1+E$8),MAX(Q48,$B$11-SUM(X48:Z48)-SUM(R48:W48)))</f>
        <v>0</v>
      </c>
      <c r="AB48" s="27" t="n">
        <f aca="false">MIN(F47*(1+F$8),MAX(R48,$B$11-SUM(X48:AA48)-SUM(S48:W48)))</f>
        <v>0</v>
      </c>
      <c r="AC48" s="27" t="n">
        <f aca="false">MIN(G47*(1+G$8),MAX(S48,$B$11-SUM(X48:AB48)-SUM(T48:W48)))</f>
        <v>0</v>
      </c>
      <c r="AD48" s="27" t="n">
        <f aca="false">MIN(H47*(1+H$8),MAX(T48,$B$11-SUM(X48:AC48)-SUM(U48:W48)))</f>
        <v>0</v>
      </c>
      <c r="AE48" s="27" t="n">
        <f aca="false">MIN(I47*(1+I$8),MAX(U48,$B$11-SUM(X48:AD48)-SUM(V48:W48)))</f>
        <v>0</v>
      </c>
      <c r="AF48" s="27" t="n">
        <f aca="false">MIN(J47*(1+J$8),MAX(V48,$B$11-SUM(X48:AE48)-SUM(W48:W48)))</f>
        <v>0</v>
      </c>
      <c r="AG48" s="27" t="n">
        <f aca="false">MIN(K47*(1+K$8),MAX(W48,$B$11-SUM(X48:AF48)))</f>
        <v>0</v>
      </c>
      <c r="AI48" s="27" t="n">
        <f aca="false">ROUND(MAX(0,AI47*(1+B$8)-BE48),2)</f>
        <v>0</v>
      </c>
      <c r="AJ48" s="27" t="n">
        <f aca="false">ROUND(MAX(0,AJ47*(1+C$8)-BF48),2)</f>
        <v>0</v>
      </c>
      <c r="AK48" s="27" t="n">
        <f aca="false">ROUND(MAX(0,AK47*(1+D$8)-BG48),2)</f>
        <v>936.62</v>
      </c>
      <c r="AL48" s="27" t="n">
        <f aca="false">ROUND(MAX(0,AL47*(1+E$8)-BH48),2)</f>
        <v>3160.9</v>
      </c>
      <c r="AM48" s="27" t="n">
        <f aca="false">ROUND(MAX(0,AM47*(1+F$8)-BI48),2)</f>
        <v>0</v>
      </c>
      <c r="AN48" s="27" t="n">
        <f aca="false">ROUND(MAX(0,AN47*(1+G$8)-BJ48),2)</f>
        <v>0</v>
      </c>
      <c r="AO48" s="27" t="n">
        <f aca="false">ROUND(MAX(0,AO47*(1+H$8)-BK48),2)</f>
        <v>0</v>
      </c>
      <c r="AP48" s="27" t="n">
        <f aca="false">ROUND(MAX(0,AP47*(1+I$8)-BL48),2)</f>
        <v>0</v>
      </c>
      <c r="AQ48" s="27" t="n">
        <f aca="false">ROUND(MAX(0,AQ47*(1+J$8)-BM48),2)</f>
        <v>0</v>
      </c>
      <c r="AR48" s="27" t="n">
        <f aca="false">ROUND(MAX(0,AR47*(1+K$8)-BN48),2)</f>
        <v>0</v>
      </c>
      <c r="AS48" s="27" t="n">
        <f aca="false">SUM(AI48:AR48)</f>
        <v>4097.52</v>
      </c>
      <c r="AT48" s="27" t="n">
        <f aca="false">SUMPRODUCT(AI47:AR47,$B$8:$K$8)</f>
        <v>84.756305</v>
      </c>
      <c r="AU48" s="27" t="n">
        <f aca="false">MIN(AI47*(1+B$8),B$9)</f>
        <v>0</v>
      </c>
      <c r="AV48" s="27" t="n">
        <f aca="false">MIN(AJ47*(1+C$8),C$9)</f>
        <v>0</v>
      </c>
      <c r="AW48" s="27" t="n">
        <f aca="false">MIN(AK47*(1+D$8),D$9)</f>
        <v>75</v>
      </c>
      <c r="AX48" s="27" t="n">
        <f aca="false">MIN(AL47*(1+E$8),E$9)</f>
        <v>95</v>
      </c>
      <c r="AY48" s="27" t="n">
        <f aca="false">MIN(AM47*(1+F$8),F$9)</f>
        <v>129.09807</v>
      </c>
      <c r="AZ48" s="27" t="n">
        <f aca="false">MIN(AN47*(1+G$8),G$9)</f>
        <v>0</v>
      </c>
      <c r="BA48" s="27" t="n">
        <f aca="false">MIN(AO47*(1+H$8),H$9)</f>
        <v>0</v>
      </c>
      <c r="BB48" s="27" t="n">
        <f aca="false">MIN(AP47*(1+I$8),I$9)</f>
        <v>0</v>
      </c>
      <c r="BC48" s="27" t="n">
        <f aca="false">MIN(AQ47*(1+J$8),J$9)</f>
        <v>0</v>
      </c>
      <c r="BD48" s="27" t="n">
        <f aca="false">MIN(AR47*(1+K$8),K$9)</f>
        <v>0</v>
      </c>
      <c r="BE48" s="27" t="n">
        <f aca="false">MIN(AI47*(1+B$8),MAX(AU48,$B$12-SUM(AV48:BD48)))</f>
        <v>0</v>
      </c>
      <c r="BF48" s="27" t="n">
        <f aca="false">MIN(AJ47*(1+C$8),MAX(AV48,$B$12-SUM(BE48:BE48)-SUM(AW48:BD48)))</f>
        <v>0</v>
      </c>
      <c r="BG48" s="27" t="n">
        <f aca="false">MIN(AK47*(1+D$8),MAX(AW48,$B$12-SUM(BE48:BF48)-SUM(AX48:BD48)))</f>
        <v>340.90193</v>
      </c>
      <c r="BH48" s="27" t="n">
        <f aca="false">MIN(AL47*(1+E$8),MAX(AX48,$B$12-SUM(BE48:BG48)-SUM(AY48:BD48)))</f>
        <v>95</v>
      </c>
      <c r="BI48" s="27" t="n">
        <f aca="false">MIN(AM47*(1+F$8),MAX(AY48,$B$12-SUM(BE48:BH48)-SUM(AZ48:BD48)))</f>
        <v>129.09807</v>
      </c>
      <c r="BJ48" s="27" t="n">
        <f aca="false">MIN(AN47*(1+G$8),MAX(AZ48,$B$12-SUM(BE48:BI48)-SUM(BA48:BD48)))</f>
        <v>0</v>
      </c>
      <c r="BK48" s="27" t="n">
        <f aca="false">MIN(AO47*(1+H$8),MAX(BA48,$B$12-SUM(BE48:BJ48)-SUM(BB48:BD48)))</f>
        <v>0</v>
      </c>
      <c r="BL48" s="27" t="n">
        <f aca="false">MIN(AP47*(1+I$8),MAX(BB48,$B$12-SUM(BE48:BK48)-SUM(BC48:BD48)))</f>
        <v>0</v>
      </c>
      <c r="BM48" s="27" t="n">
        <f aca="false">MIN(AQ47*(1+J$8),MAX(BC48,$B$12-SUM(BE48:BL48)-SUM(BD48:BD48)))</f>
        <v>0</v>
      </c>
      <c r="BN48" s="27" t="n">
        <f aca="false">MIN(AR47*(1+K$8),MAX(BD48,$B$12-SUM(BE48:BM48)))</f>
        <v>0</v>
      </c>
    </row>
    <row r="49" customFormat="false" ht="15" hidden="false" customHeight="false" outlineLevel="0" collapsed="false">
      <c r="A49" s="0" t="n">
        <v>35</v>
      </c>
      <c r="B49" s="27" t="n">
        <f aca="false">ROUND(MAX(0,B48*(1+B$8)-X49),2)</f>
        <v>0</v>
      </c>
      <c r="C49" s="27" t="n">
        <f aca="false">ROUND(MAX(0,C48*(1+C$8)-Y49),2)</f>
        <v>0</v>
      </c>
      <c r="D49" s="27" t="n">
        <f aca="false">ROUND(MAX(0,D48*(1+D$8)-Z49),2)</f>
        <v>0</v>
      </c>
      <c r="E49" s="27" t="n">
        <f aca="false">ROUND(MAX(0,E48*(1+E$8)-AA49),2)</f>
        <v>0</v>
      </c>
      <c r="F49" s="27" t="n">
        <f aca="false">ROUND(MAX(0,F48*(1+F$8)-AB49),2)</f>
        <v>0</v>
      </c>
      <c r="G49" s="27" t="n">
        <f aca="false">ROUND(MAX(0,G48*(1+G$8)-AC49),2)</f>
        <v>0</v>
      </c>
      <c r="H49" s="27" t="n">
        <f aca="false">ROUND(MAX(0,H48*(1+H$8)-AD49),2)</f>
        <v>0</v>
      </c>
      <c r="I49" s="27" t="n">
        <f aca="false">ROUND(MAX(0,I48*(1+I$8)-AE49),2)</f>
        <v>0</v>
      </c>
      <c r="J49" s="27" t="n">
        <f aca="false">ROUND(MAX(0,J48*(1+J$8)-AF49),2)</f>
        <v>0</v>
      </c>
      <c r="K49" s="27" t="n">
        <f aca="false">ROUND(MAX(0,K48*(1+K$8)-AG49),2)</f>
        <v>0</v>
      </c>
      <c r="L49" s="30" t="n">
        <f aca="false">SUM(B49:K49)</f>
        <v>0</v>
      </c>
      <c r="M49" s="27" t="n">
        <f aca="false">SUMPRODUCT(B48:K48,$B$8:$K$8)</f>
        <v>0</v>
      </c>
      <c r="N49" s="27" t="n">
        <f aca="false">MIN(B48*(1+B$8),B$9)</f>
        <v>0</v>
      </c>
      <c r="O49" s="27" t="n">
        <f aca="false">MIN(C48*(1+C$8),C$9)</f>
        <v>0</v>
      </c>
      <c r="P49" s="27" t="n">
        <f aca="false">MIN(D48*(1+D$8),D$9)</f>
        <v>0</v>
      </c>
      <c r="Q49" s="27" t="n">
        <f aca="false">MIN(E48*(1+E$8),E$9)</f>
        <v>0</v>
      </c>
      <c r="R49" s="27" t="n">
        <f aca="false">MIN(F48*(1+F$8),F$9)</f>
        <v>0</v>
      </c>
      <c r="S49" s="27" t="n">
        <f aca="false">MIN(G48*(1+G$8),G$9)</f>
        <v>0</v>
      </c>
      <c r="T49" s="27" t="n">
        <f aca="false">MIN(H48*(1+H$8),H$9)</f>
        <v>0</v>
      </c>
      <c r="U49" s="27" t="n">
        <f aca="false">MIN(I48*(1+I$8),I$9)</f>
        <v>0</v>
      </c>
      <c r="V49" s="27" t="n">
        <f aca="false">MIN(J48*(1+J$8),J$9)</f>
        <v>0</v>
      </c>
      <c r="W49" s="27" t="n">
        <f aca="false">MIN(K48*(1+K$8),K$9)</f>
        <v>0</v>
      </c>
      <c r="X49" s="27" t="n">
        <f aca="false">MIN(B48*(1+B$8),MAX(N49,$B$11-SUM(O49:W49)))</f>
        <v>0</v>
      </c>
      <c r="Y49" s="27" t="n">
        <f aca="false">MIN(C48*(1+C$8),MAX(O49,$B$11-SUM(X49:X49)-SUM(P49:W49)))</f>
        <v>0</v>
      </c>
      <c r="Z49" s="27" t="n">
        <f aca="false">MIN(D48*(1+D$8),MAX(P49,$B$11-SUM(X49:Y49)-SUM(Q49:W49)))</f>
        <v>0</v>
      </c>
      <c r="AA49" s="27" t="n">
        <f aca="false">MIN(E48*(1+E$8),MAX(Q49,$B$11-SUM(X49:Z49)-SUM(R49:W49)))</f>
        <v>0</v>
      </c>
      <c r="AB49" s="27" t="n">
        <f aca="false">MIN(F48*(1+F$8),MAX(R49,$B$11-SUM(X49:AA49)-SUM(S49:W49)))</f>
        <v>0</v>
      </c>
      <c r="AC49" s="27" t="n">
        <f aca="false">MIN(G48*(1+G$8),MAX(S49,$B$11-SUM(X49:AB49)-SUM(T49:W49)))</f>
        <v>0</v>
      </c>
      <c r="AD49" s="27" t="n">
        <f aca="false">MIN(H48*(1+H$8),MAX(T49,$B$11-SUM(X49:AC49)-SUM(U49:W49)))</f>
        <v>0</v>
      </c>
      <c r="AE49" s="27" t="n">
        <f aca="false">MIN(I48*(1+I$8),MAX(U49,$B$11-SUM(X49:AD49)-SUM(V49:W49)))</f>
        <v>0</v>
      </c>
      <c r="AF49" s="27" t="n">
        <f aca="false">MIN(J48*(1+J$8),MAX(V49,$B$11-SUM(X49:AE49)-SUM(W49:W49)))</f>
        <v>0</v>
      </c>
      <c r="AG49" s="27" t="n">
        <f aca="false">MIN(K48*(1+K$8),MAX(W49,$B$11-SUM(X49:AF49)))</f>
        <v>0</v>
      </c>
      <c r="AI49" s="27" t="n">
        <f aca="false">ROUND(MAX(0,AI48*(1+B$8)-BE49),2)</f>
        <v>0</v>
      </c>
      <c r="AJ49" s="27" t="n">
        <f aca="false">ROUND(MAX(0,AJ48*(1+C$8)-BF49),2)</f>
        <v>0</v>
      </c>
      <c r="AK49" s="27" t="n">
        <f aca="false">ROUND(MAX(0,AK48*(1+D$8)-BG49),2)</f>
        <v>485.82</v>
      </c>
      <c r="AL49" s="27" t="n">
        <f aca="false">ROUND(MAX(0,AL48*(1+E$8)-BH49),2)</f>
        <v>3123.59</v>
      </c>
      <c r="AM49" s="27" t="n">
        <f aca="false">ROUND(MAX(0,AM48*(1+F$8)-BI49),2)</f>
        <v>0</v>
      </c>
      <c r="AN49" s="27" t="n">
        <f aca="false">ROUND(MAX(0,AN48*(1+G$8)-BJ49),2)</f>
        <v>0</v>
      </c>
      <c r="AO49" s="27" t="n">
        <f aca="false">ROUND(MAX(0,AO48*(1+H$8)-BK49),2)</f>
        <v>0</v>
      </c>
      <c r="AP49" s="27" t="n">
        <f aca="false">ROUND(MAX(0,AP48*(1+I$8)-BL49),2)</f>
        <v>0</v>
      </c>
      <c r="AQ49" s="27" t="n">
        <f aca="false">ROUND(MAX(0,AQ48*(1+J$8)-BM49),2)</f>
        <v>0</v>
      </c>
      <c r="AR49" s="27" t="n">
        <f aca="false">ROUND(MAX(0,AR48*(1+K$8)-BN49),2)</f>
        <v>0</v>
      </c>
      <c r="AS49" s="27" t="n">
        <f aca="false">SUM(AI49:AR49)</f>
        <v>3609.41</v>
      </c>
      <c r="AT49" s="27" t="n">
        <f aca="false">SUMPRODUCT(AI48:AR48,$B$8:$K$8)</f>
        <v>76.887135</v>
      </c>
      <c r="AU49" s="27" t="n">
        <f aca="false">MIN(AI48*(1+B$8),B$9)</f>
        <v>0</v>
      </c>
      <c r="AV49" s="27" t="n">
        <f aca="false">MIN(AJ48*(1+C$8),C$9)</f>
        <v>0</v>
      </c>
      <c r="AW49" s="27" t="n">
        <f aca="false">MIN(AK48*(1+D$8),D$9)</f>
        <v>75</v>
      </c>
      <c r="AX49" s="27" t="n">
        <f aca="false">MIN(AL48*(1+E$8),E$9)</f>
        <v>95</v>
      </c>
      <c r="AY49" s="27" t="n">
        <f aca="false">MIN(AM48*(1+F$8),F$9)</f>
        <v>0</v>
      </c>
      <c r="AZ49" s="27" t="n">
        <f aca="false">MIN(AN48*(1+G$8),G$9)</f>
        <v>0</v>
      </c>
      <c r="BA49" s="27" t="n">
        <f aca="false">MIN(AO48*(1+H$8),H$9)</f>
        <v>0</v>
      </c>
      <c r="BB49" s="27" t="n">
        <f aca="false">MIN(AP48*(1+I$8),I$9)</f>
        <v>0</v>
      </c>
      <c r="BC49" s="27" t="n">
        <f aca="false">MIN(AQ48*(1+J$8),J$9)</f>
        <v>0</v>
      </c>
      <c r="BD49" s="27" t="n">
        <f aca="false">MIN(AR48*(1+K$8),K$9)</f>
        <v>0</v>
      </c>
      <c r="BE49" s="27" t="n">
        <f aca="false">MIN(AI48*(1+B$8),MAX(AU49,$B$12-SUM(AV49:BD49)))</f>
        <v>0</v>
      </c>
      <c r="BF49" s="27" t="n">
        <f aca="false">MIN(AJ48*(1+C$8),MAX(AV49,$B$12-SUM(BE49:BE49)-SUM(AW49:BD49)))</f>
        <v>0</v>
      </c>
      <c r="BG49" s="27" t="n">
        <f aca="false">MIN(AK48*(1+D$8),MAX(AW49,$B$12-SUM(BE49:BF49)-SUM(AX49:BD49)))</f>
        <v>470</v>
      </c>
      <c r="BH49" s="27" t="n">
        <f aca="false">MIN(AL48*(1+E$8),MAX(AX49,$B$12-SUM(BE49:BG49)-SUM(AY49:BD49)))</f>
        <v>95</v>
      </c>
      <c r="BI49" s="27" t="n">
        <f aca="false">MIN(AM48*(1+F$8),MAX(AY49,$B$12-SUM(BE49:BH49)-SUM(AZ49:BD49)))</f>
        <v>0</v>
      </c>
      <c r="BJ49" s="27" t="n">
        <f aca="false">MIN(AN48*(1+G$8),MAX(AZ49,$B$12-SUM(BE49:BI49)-SUM(BA49:BD49)))</f>
        <v>0</v>
      </c>
      <c r="BK49" s="27" t="n">
        <f aca="false">MIN(AO48*(1+H$8),MAX(BA49,$B$12-SUM(BE49:BJ49)-SUM(BB49:BD49)))</f>
        <v>0</v>
      </c>
      <c r="BL49" s="27" t="n">
        <f aca="false">MIN(AP48*(1+I$8),MAX(BB49,$B$12-SUM(BE49:BK49)-SUM(BC49:BD49)))</f>
        <v>0</v>
      </c>
      <c r="BM49" s="27" t="n">
        <f aca="false">MIN(AQ48*(1+J$8),MAX(BC49,$B$12-SUM(BE49:BL49)-SUM(BD49:BD49)))</f>
        <v>0</v>
      </c>
      <c r="BN49" s="27" t="n">
        <f aca="false">MIN(AR48*(1+K$8),MAX(BD49,$B$12-SUM(BE49:BM49)))</f>
        <v>0</v>
      </c>
    </row>
    <row r="50" customFormat="false" ht="15" hidden="false" customHeight="false" outlineLevel="0" collapsed="false">
      <c r="A50" s="0" t="n">
        <v>36</v>
      </c>
      <c r="B50" s="27" t="n">
        <f aca="false">ROUND(MAX(0,B49*(1+B$8)-X50),2)</f>
        <v>0</v>
      </c>
      <c r="C50" s="27" t="n">
        <f aca="false">ROUND(MAX(0,C49*(1+C$8)-Y50),2)</f>
        <v>0</v>
      </c>
      <c r="D50" s="27" t="n">
        <f aca="false">ROUND(MAX(0,D49*(1+D$8)-Z50),2)</f>
        <v>0</v>
      </c>
      <c r="E50" s="27" t="n">
        <f aca="false">ROUND(MAX(0,E49*(1+E$8)-AA50),2)</f>
        <v>0</v>
      </c>
      <c r="F50" s="27" t="n">
        <f aca="false">ROUND(MAX(0,F49*(1+F$8)-AB50),2)</f>
        <v>0</v>
      </c>
      <c r="G50" s="27" t="n">
        <f aca="false">ROUND(MAX(0,G49*(1+G$8)-AC50),2)</f>
        <v>0</v>
      </c>
      <c r="H50" s="27" t="n">
        <f aca="false">ROUND(MAX(0,H49*(1+H$8)-AD50),2)</f>
        <v>0</v>
      </c>
      <c r="I50" s="27" t="n">
        <f aca="false">ROUND(MAX(0,I49*(1+I$8)-AE50),2)</f>
        <v>0</v>
      </c>
      <c r="J50" s="27" t="n">
        <f aca="false">ROUND(MAX(0,J49*(1+J$8)-AF50),2)</f>
        <v>0</v>
      </c>
      <c r="K50" s="27" t="n">
        <f aca="false">ROUND(MAX(0,K49*(1+K$8)-AG50),2)</f>
        <v>0</v>
      </c>
      <c r="L50" s="30" t="n">
        <f aca="false">SUM(B50:K50)</f>
        <v>0</v>
      </c>
      <c r="M50" s="27" t="n">
        <f aca="false">SUMPRODUCT(B49:K49,$B$8:$K$8)</f>
        <v>0</v>
      </c>
      <c r="N50" s="27" t="n">
        <f aca="false">MIN(B49*(1+B$8),B$9)</f>
        <v>0</v>
      </c>
      <c r="O50" s="27" t="n">
        <f aca="false">MIN(C49*(1+C$8),C$9)</f>
        <v>0</v>
      </c>
      <c r="P50" s="27" t="n">
        <f aca="false">MIN(D49*(1+D$8),D$9)</f>
        <v>0</v>
      </c>
      <c r="Q50" s="27" t="n">
        <f aca="false">MIN(E49*(1+E$8),E$9)</f>
        <v>0</v>
      </c>
      <c r="R50" s="27" t="n">
        <f aca="false">MIN(F49*(1+F$8),F$9)</f>
        <v>0</v>
      </c>
      <c r="S50" s="27" t="n">
        <f aca="false">MIN(G49*(1+G$8),G$9)</f>
        <v>0</v>
      </c>
      <c r="T50" s="27" t="n">
        <f aca="false">MIN(H49*(1+H$8),H$9)</f>
        <v>0</v>
      </c>
      <c r="U50" s="27" t="n">
        <f aca="false">MIN(I49*(1+I$8),I$9)</f>
        <v>0</v>
      </c>
      <c r="V50" s="27" t="n">
        <f aca="false">MIN(J49*(1+J$8),J$9)</f>
        <v>0</v>
      </c>
      <c r="W50" s="27" t="n">
        <f aca="false">MIN(K49*(1+K$8),K$9)</f>
        <v>0</v>
      </c>
      <c r="X50" s="27" t="n">
        <f aca="false">MIN(B49*(1+B$8),MAX(N50,$B$11-SUM(O50:W50)))</f>
        <v>0</v>
      </c>
      <c r="Y50" s="27" t="n">
        <f aca="false">MIN(C49*(1+C$8),MAX(O50,$B$11-SUM(X50:X50)-SUM(P50:W50)))</f>
        <v>0</v>
      </c>
      <c r="Z50" s="27" t="n">
        <f aca="false">MIN(D49*(1+D$8),MAX(P50,$B$11-SUM(X50:Y50)-SUM(Q50:W50)))</f>
        <v>0</v>
      </c>
      <c r="AA50" s="27" t="n">
        <f aca="false">MIN(E49*(1+E$8),MAX(Q50,$B$11-SUM(X50:Z50)-SUM(R50:W50)))</f>
        <v>0</v>
      </c>
      <c r="AB50" s="27" t="n">
        <f aca="false">MIN(F49*(1+F$8),MAX(R50,$B$11-SUM(X50:AA50)-SUM(S50:W50)))</f>
        <v>0</v>
      </c>
      <c r="AC50" s="27" t="n">
        <f aca="false">MIN(G49*(1+G$8),MAX(S50,$B$11-SUM(X50:AB50)-SUM(T50:W50)))</f>
        <v>0</v>
      </c>
      <c r="AD50" s="27" t="n">
        <f aca="false">MIN(H49*(1+H$8),MAX(T50,$B$11-SUM(X50:AC50)-SUM(U50:W50)))</f>
        <v>0</v>
      </c>
      <c r="AE50" s="27" t="n">
        <f aca="false">MIN(I49*(1+I$8),MAX(U50,$B$11-SUM(X50:AD50)-SUM(V50:W50)))</f>
        <v>0</v>
      </c>
      <c r="AF50" s="27" t="n">
        <f aca="false">MIN(J49*(1+J$8),MAX(V50,$B$11-SUM(X50:AE50)-SUM(W50:W50)))</f>
        <v>0</v>
      </c>
      <c r="AG50" s="27" t="n">
        <f aca="false">MIN(K49*(1+K$8),MAX(W50,$B$11-SUM(X50:AF50)))</f>
        <v>0</v>
      </c>
      <c r="AI50" s="27" t="n">
        <f aca="false">ROUND(MAX(0,AI49*(1+B$8)-BE50),2)</f>
        <v>0</v>
      </c>
      <c r="AJ50" s="27" t="n">
        <f aca="false">ROUND(MAX(0,AJ49*(1+C$8)-BF50),2)</f>
        <v>0</v>
      </c>
      <c r="AK50" s="27" t="n">
        <f aca="false">ROUND(MAX(0,AK49*(1+D$8)-BG50),2)</f>
        <v>25.78</v>
      </c>
      <c r="AL50" s="27" t="n">
        <f aca="false">ROUND(MAX(0,AL49*(1+E$8)-BH50),2)</f>
        <v>3085.6</v>
      </c>
      <c r="AM50" s="27" t="n">
        <f aca="false">ROUND(MAX(0,AM49*(1+F$8)-BI50),2)</f>
        <v>0</v>
      </c>
      <c r="AN50" s="27" t="n">
        <f aca="false">ROUND(MAX(0,AN49*(1+G$8)-BJ50),2)</f>
        <v>0</v>
      </c>
      <c r="AO50" s="27" t="n">
        <f aca="false">ROUND(MAX(0,AO49*(1+H$8)-BK50),2)</f>
        <v>0</v>
      </c>
      <c r="AP50" s="27" t="n">
        <f aca="false">ROUND(MAX(0,AP49*(1+I$8)-BL50),2)</f>
        <v>0</v>
      </c>
      <c r="AQ50" s="27" t="n">
        <f aca="false">ROUND(MAX(0,AQ49*(1+J$8)-BM50),2)</f>
        <v>0</v>
      </c>
      <c r="AR50" s="27" t="n">
        <f aca="false">ROUND(MAX(0,AR49*(1+K$8)-BN50),2)</f>
        <v>0</v>
      </c>
      <c r="AS50" s="27" t="n">
        <f aca="false">SUM(AI50:AR50)</f>
        <v>3111.38</v>
      </c>
      <c r="AT50" s="27" t="n">
        <f aca="false">SUMPRODUCT(AI49:AR49,$B$8:$K$8)</f>
        <v>66.9648275</v>
      </c>
      <c r="AU50" s="27" t="n">
        <f aca="false">MIN(AI49*(1+B$8),B$9)</f>
        <v>0</v>
      </c>
      <c r="AV50" s="27" t="n">
        <f aca="false">MIN(AJ49*(1+C$8),C$9)</f>
        <v>0</v>
      </c>
      <c r="AW50" s="27" t="n">
        <f aca="false">MIN(AK49*(1+D$8),D$9)</f>
        <v>75</v>
      </c>
      <c r="AX50" s="27" t="n">
        <f aca="false">MIN(AL49*(1+E$8),E$9)</f>
        <v>95</v>
      </c>
      <c r="AY50" s="27" t="n">
        <f aca="false">MIN(AM49*(1+F$8),F$9)</f>
        <v>0</v>
      </c>
      <c r="AZ50" s="27" t="n">
        <f aca="false">MIN(AN49*(1+G$8),G$9)</f>
        <v>0</v>
      </c>
      <c r="BA50" s="27" t="n">
        <f aca="false">MIN(AO49*(1+H$8),H$9)</f>
        <v>0</v>
      </c>
      <c r="BB50" s="27" t="n">
        <f aca="false">MIN(AP49*(1+I$8),I$9)</f>
        <v>0</v>
      </c>
      <c r="BC50" s="27" t="n">
        <f aca="false">MIN(AQ49*(1+J$8),J$9)</f>
        <v>0</v>
      </c>
      <c r="BD50" s="27" t="n">
        <f aca="false">MIN(AR49*(1+K$8),K$9)</f>
        <v>0</v>
      </c>
      <c r="BE50" s="27" t="n">
        <f aca="false">MIN(AI49*(1+B$8),MAX(AU50,$B$12-SUM(AV50:BD50)))</f>
        <v>0</v>
      </c>
      <c r="BF50" s="27" t="n">
        <f aca="false">MIN(AJ49*(1+C$8),MAX(AV50,$B$12-SUM(BE50:BE50)-SUM(AW50:BD50)))</f>
        <v>0</v>
      </c>
      <c r="BG50" s="27" t="n">
        <f aca="false">MIN(AK49*(1+D$8),MAX(AW50,$B$12-SUM(BE50:BF50)-SUM(AX50:BD50)))</f>
        <v>470</v>
      </c>
      <c r="BH50" s="27" t="n">
        <f aca="false">MIN(AL49*(1+E$8),MAX(AX50,$B$12-SUM(BE50:BG50)-SUM(AY50:BD50)))</f>
        <v>95</v>
      </c>
      <c r="BI50" s="27" t="n">
        <f aca="false">MIN(AM49*(1+F$8),MAX(AY50,$B$12-SUM(BE50:BH50)-SUM(AZ50:BD50)))</f>
        <v>0</v>
      </c>
      <c r="BJ50" s="27" t="n">
        <f aca="false">MIN(AN49*(1+G$8),MAX(AZ50,$B$12-SUM(BE50:BI50)-SUM(BA50:BD50)))</f>
        <v>0</v>
      </c>
      <c r="BK50" s="27" t="n">
        <f aca="false">MIN(AO49*(1+H$8),MAX(BA50,$B$12-SUM(BE50:BJ50)-SUM(BB50:BD50)))</f>
        <v>0</v>
      </c>
      <c r="BL50" s="27" t="n">
        <f aca="false">MIN(AP49*(1+I$8),MAX(BB50,$B$12-SUM(BE50:BK50)-SUM(BC50:BD50)))</f>
        <v>0</v>
      </c>
      <c r="BM50" s="27" t="n">
        <f aca="false">MIN(AQ49*(1+J$8),MAX(BC50,$B$12-SUM(BE50:BL50)-SUM(BD50:BD50)))</f>
        <v>0</v>
      </c>
      <c r="BN50" s="27" t="n">
        <f aca="false">MIN(AR49*(1+K$8),MAX(BD50,$B$12-SUM(BE50:BM50)))</f>
        <v>0</v>
      </c>
    </row>
    <row r="51" customFormat="false" ht="15" hidden="false" customHeight="false" outlineLevel="0" collapsed="false">
      <c r="A51" s="0" t="n">
        <v>37</v>
      </c>
      <c r="B51" s="27" t="n">
        <f aca="false">ROUND(MAX(0,B50*(1+B$8)-X51),2)</f>
        <v>0</v>
      </c>
      <c r="C51" s="27" t="n">
        <f aca="false">ROUND(MAX(0,C50*(1+C$8)-Y51),2)</f>
        <v>0</v>
      </c>
      <c r="D51" s="27" t="n">
        <f aca="false">ROUND(MAX(0,D50*(1+D$8)-Z51),2)</f>
        <v>0</v>
      </c>
      <c r="E51" s="27" t="n">
        <f aca="false">ROUND(MAX(0,E50*(1+E$8)-AA51),2)</f>
        <v>0</v>
      </c>
      <c r="F51" s="27" t="n">
        <f aca="false">ROUND(MAX(0,F50*(1+F$8)-AB51),2)</f>
        <v>0</v>
      </c>
      <c r="G51" s="27" t="n">
        <f aca="false">ROUND(MAX(0,G50*(1+G$8)-AC51),2)</f>
        <v>0</v>
      </c>
      <c r="H51" s="27" t="n">
        <f aca="false">ROUND(MAX(0,H50*(1+H$8)-AD51),2)</f>
        <v>0</v>
      </c>
      <c r="I51" s="27" t="n">
        <f aca="false">ROUND(MAX(0,I50*(1+I$8)-AE51),2)</f>
        <v>0</v>
      </c>
      <c r="J51" s="27" t="n">
        <f aca="false">ROUND(MAX(0,J50*(1+J$8)-AF51),2)</f>
        <v>0</v>
      </c>
      <c r="K51" s="27" t="n">
        <f aca="false">ROUND(MAX(0,K50*(1+K$8)-AG51),2)</f>
        <v>0</v>
      </c>
      <c r="L51" s="30" t="n">
        <f aca="false">SUM(B51:K51)</f>
        <v>0</v>
      </c>
      <c r="M51" s="27" t="n">
        <f aca="false">SUMPRODUCT(B50:K50,$B$8:$K$8)</f>
        <v>0</v>
      </c>
      <c r="N51" s="27" t="n">
        <f aca="false">MIN(B50*(1+B$8),B$9)</f>
        <v>0</v>
      </c>
      <c r="O51" s="27" t="n">
        <f aca="false">MIN(C50*(1+C$8),C$9)</f>
        <v>0</v>
      </c>
      <c r="P51" s="27" t="n">
        <f aca="false">MIN(D50*(1+D$8),D$9)</f>
        <v>0</v>
      </c>
      <c r="Q51" s="27" t="n">
        <f aca="false">MIN(E50*(1+E$8),E$9)</f>
        <v>0</v>
      </c>
      <c r="R51" s="27" t="n">
        <f aca="false">MIN(F50*(1+F$8),F$9)</f>
        <v>0</v>
      </c>
      <c r="S51" s="27" t="n">
        <f aca="false">MIN(G50*(1+G$8),G$9)</f>
        <v>0</v>
      </c>
      <c r="T51" s="27" t="n">
        <f aca="false">MIN(H50*(1+H$8),H$9)</f>
        <v>0</v>
      </c>
      <c r="U51" s="27" t="n">
        <f aca="false">MIN(I50*(1+I$8),I$9)</f>
        <v>0</v>
      </c>
      <c r="V51" s="27" t="n">
        <f aca="false">MIN(J50*(1+J$8),J$9)</f>
        <v>0</v>
      </c>
      <c r="W51" s="27" t="n">
        <f aca="false">MIN(K50*(1+K$8),K$9)</f>
        <v>0</v>
      </c>
      <c r="X51" s="27" t="n">
        <f aca="false">MIN(B50*(1+B$8),MAX(N51,$B$11-SUM(O51:W51)))</f>
        <v>0</v>
      </c>
      <c r="Y51" s="27" t="n">
        <f aca="false">MIN(C50*(1+C$8),MAX(O51,$B$11-SUM(X51:X51)-SUM(P51:W51)))</f>
        <v>0</v>
      </c>
      <c r="Z51" s="27" t="n">
        <f aca="false">MIN(D50*(1+D$8),MAX(P51,$B$11-SUM(X51:Y51)-SUM(Q51:W51)))</f>
        <v>0</v>
      </c>
      <c r="AA51" s="27" t="n">
        <f aca="false">MIN(E50*(1+E$8),MAX(Q51,$B$11-SUM(X51:Z51)-SUM(R51:W51)))</f>
        <v>0</v>
      </c>
      <c r="AB51" s="27" t="n">
        <f aca="false">MIN(F50*(1+F$8),MAX(R51,$B$11-SUM(X51:AA51)-SUM(S51:W51)))</f>
        <v>0</v>
      </c>
      <c r="AC51" s="27" t="n">
        <f aca="false">MIN(G50*(1+G$8),MAX(S51,$B$11-SUM(X51:AB51)-SUM(T51:W51)))</f>
        <v>0</v>
      </c>
      <c r="AD51" s="27" t="n">
        <f aca="false">MIN(H50*(1+H$8),MAX(T51,$B$11-SUM(X51:AC51)-SUM(U51:W51)))</f>
        <v>0</v>
      </c>
      <c r="AE51" s="27" t="n">
        <f aca="false">MIN(I50*(1+I$8),MAX(U51,$B$11-SUM(X51:AD51)-SUM(V51:W51)))</f>
        <v>0</v>
      </c>
      <c r="AF51" s="27" t="n">
        <f aca="false">MIN(J50*(1+J$8),MAX(V51,$B$11-SUM(X51:AE51)-SUM(W51:W51)))</f>
        <v>0</v>
      </c>
      <c r="AG51" s="27" t="n">
        <f aca="false">MIN(K50*(1+K$8),MAX(W51,$B$11-SUM(X51:AF51)))</f>
        <v>0</v>
      </c>
      <c r="AI51" s="27" t="n">
        <f aca="false">ROUND(MAX(0,AI50*(1+B$8)-BE51),2)</f>
        <v>0</v>
      </c>
      <c r="AJ51" s="27" t="n">
        <f aca="false">ROUND(MAX(0,AJ50*(1+C$8)-BF51),2)</f>
        <v>0</v>
      </c>
      <c r="AK51" s="27" t="n">
        <f aca="false">ROUND(MAX(0,AK50*(1+D$8)-BG51),2)</f>
        <v>0</v>
      </c>
      <c r="AL51" s="27" t="n">
        <f aca="false">ROUND(MAX(0,AL50*(1+E$8)-BH51),2)</f>
        <v>2603.22</v>
      </c>
      <c r="AM51" s="27" t="n">
        <f aca="false">ROUND(MAX(0,AM50*(1+F$8)-BI51),2)</f>
        <v>0</v>
      </c>
      <c r="AN51" s="27" t="n">
        <f aca="false">ROUND(MAX(0,AN50*(1+G$8)-BJ51),2)</f>
        <v>0</v>
      </c>
      <c r="AO51" s="27" t="n">
        <f aca="false">ROUND(MAX(0,AO50*(1+H$8)-BK51),2)</f>
        <v>0</v>
      </c>
      <c r="AP51" s="27" t="n">
        <f aca="false">ROUND(MAX(0,AP50*(1+I$8)-BL51),2)</f>
        <v>0</v>
      </c>
      <c r="AQ51" s="27" t="n">
        <f aca="false">ROUND(MAX(0,AQ50*(1+J$8)-BM51),2)</f>
        <v>0</v>
      </c>
      <c r="AR51" s="27" t="n">
        <f aca="false">ROUND(MAX(0,AR50*(1+K$8)-BN51),2)</f>
        <v>0</v>
      </c>
      <c r="AS51" s="27" t="n">
        <f aca="false">SUM(AI51:AR51)</f>
        <v>2603.22</v>
      </c>
      <c r="AT51" s="27" t="n">
        <f aca="false">SUMPRODUCT(AI50:AR50,$B$8:$K$8)</f>
        <v>56.84069</v>
      </c>
      <c r="AU51" s="27" t="n">
        <f aca="false">MIN(AI50*(1+B$8),B$9)</f>
        <v>0</v>
      </c>
      <c r="AV51" s="27" t="n">
        <f aca="false">MIN(AJ50*(1+C$8),C$9)</f>
        <v>0</v>
      </c>
      <c r="AW51" s="27" t="n">
        <f aca="false">MIN(AK50*(1+D$8),D$9)</f>
        <v>26.30849</v>
      </c>
      <c r="AX51" s="27" t="n">
        <f aca="false">MIN(AL50*(1+E$8),E$9)</f>
        <v>95</v>
      </c>
      <c r="AY51" s="27" t="n">
        <f aca="false">MIN(AM50*(1+F$8),F$9)</f>
        <v>0</v>
      </c>
      <c r="AZ51" s="27" t="n">
        <f aca="false">MIN(AN50*(1+G$8),G$9)</f>
        <v>0</v>
      </c>
      <c r="BA51" s="27" t="n">
        <f aca="false">MIN(AO50*(1+H$8),H$9)</f>
        <v>0</v>
      </c>
      <c r="BB51" s="27" t="n">
        <f aca="false">MIN(AP50*(1+I$8),I$9)</f>
        <v>0</v>
      </c>
      <c r="BC51" s="27" t="n">
        <f aca="false">MIN(AQ50*(1+J$8),J$9)</f>
        <v>0</v>
      </c>
      <c r="BD51" s="27" t="n">
        <f aca="false">MIN(AR50*(1+K$8),K$9)</f>
        <v>0</v>
      </c>
      <c r="BE51" s="27" t="n">
        <f aca="false">MIN(AI50*(1+B$8),MAX(AU51,$B$12-SUM(AV51:BD51)))</f>
        <v>0</v>
      </c>
      <c r="BF51" s="27" t="n">
        <f aca="false">MIN(AJ50*(1+C$8),MAX(AV51,$B$12-SUM(BE51:BE51)-SUM(AW51:BD51)))</f>
        <v>0</v>
      </c>
      <c r="BG51" s="27" t="n">
        <f aca="false">MIN(AK50*(1+D$8),MAX(AW51,$B$12-SUM(BE51:BF51)-SUM(AX51:BD51)))</f>
        <v>26.30849</v>
      </c>
      <c r="BH51" s="27" t="n">
        <f aca="false">MIN(AL50*(1+E$8),MAX(AX51,$B$12-SUM(BE51:BG51)-SUM(AY51:BD51)))</f>
        <v>538.69151</v>
      </c>
      <c r="BI51" s="27" t="n">
        <f aca="false">MIN(AM50*(1+F$8),MAX(AY51,$B$12-SUM(BE51:BH51)-SUM(AZ51:BD51)))</f>
        <v>0</v>
      </c>
      <c r="BJ51" s="27" t="n">
        <f aca="false">MIN(AN50*(1+G$8),MAX(AZ51,$B$12-SUM(BE51:BI51)-SUM(BA51:BD51)))</f>
        <v>0</v>
      </c>
      <c r="BK51" s="27" t="n">
        <f aca="false">MIN(AO50*(1+H$8),MAX(BA51,$B$12-SUM(BE51:BJ51)-SUM(BB51:BD51)))</f>
        <v>0</v>
      </c>
      <c r="BL51" s="27" t="n">
        <f aca="false">MIN(AP50*(1+I$8),MAX(BB51,$B$12-SUM(BE51:BK51)-SUM(BC51:BD51)))</f>
        <v>0</v>
      </c>
      <c r="BM51" s="27" t="n">
        <f aca="false">MIN(AQ50*(1+J$8),MAX(BC51,$B$12-SUM(BE51:BL51)-SUM(BD51:BD51)))</f>
        <v>0</v>
      </c>
      <c r="BN51" s="27" t="n">
        <f aca="false">MIN(AR50*(1+K$8),MAX(BD51,$B$12-SUM(BE51:BM51)))</f>
        <v>0</v>
      </c>
    </row>
    <row r="52" customFormat="false" ht="15" hidden="false" customHeight="false" outlineLevel="0" collapsed="false">
      <c r="A52" s="0" t="n">
        <v>38</v>
      </c>
      <c r="B52" s="27" t="n">
        <f aca="false">ROUND(MAX(0,B51*(1+B$8)-X52),2)</f>
        <v>0</v>
      </c>
      <c r="C52" s="27" t="n">
        <f aca="false">ROUND(MAX(0,C51*(1+C$8)-Y52),2)</f>
        <v>0</v>
      </c>
      <c r="D52" s="27" t="n">
        <f aca="false">ROUND(MAX(0,D51*(1+D$8)-Z52),2)</f>
        <v>0</v>
      </c>
      <c r="E52" s="27" t="n">
        <f aca="false">ROUND(MAX(0,E51*(1+E$8)-AA52),2)</f>
        <v>0</v>
      </c>
      <c r="F52" s="27" t="n">
        <f aca="false">ROUND(MAX(0,F51*(1+F$8)-AB52),2)</f>
        <v>0</v>
      </c>
      <c r="G52" s="27" t="n">
        <f aca="false">ROUND(MAX(0,G51*(1+G$8)-AC52),2)</f>
        <v>0</v>
      </c>
      <c r="H52" s="27" t="n">
        <f aca="false">ROUND(MAX(0,H51*(1+H$8)-AD52),2)</f>
        <v>0</v>
      </c>
      <c r="I52" s="27" t="n">
        <f aca="false">ROUND(MAX(0,I51*(1+I$8)-AE52),2)</f>
        <v>0</v>
      </c>
      <c r="J52" s="27" t="n">
        <f aca="false">ROUND(MAX(0,J51*(1+J$8)-AF52),2)</f>
        <v>0</v>
      </c>
      <c r="K52" s="27" t="n">
        <f aca="false">ROUND(MAX(0,K51*(1+K$8)-AG52),2)</f>
        <v>0</v>
      </c>
      <c r="L52" s="30" t="n">
        <f aca="false">SUM(B52:K52)</f>
        <v>0</v>
      </c>
      <c r="M52" s="27" t="n">
        <f aca="false">SUMPRODUCT(B51:K51,$B$8:$K$8)</f>
        <v>0</v>
      </c>
      <c r="N52" s="27" t="n">
        <f aca="false">MIN(B51*(1+B$8),B$9)</f>
        <v>0</v>
      </c>
      <c r="O52" s="27" t="n">
        <f aca="false">MIN(C51*(1+C$8),C$9)</f>
        <v>0</v>
      </c>
      <c r="P52" s="27" t="n">
        <f aca="false">MIN(D51*(1+D$8),D$9)</f>
        <v>0</v>
      </c>
      <c r="Q52" s="27" t="n">
        <f aca="false">MIN(E51*(1+E$8),E$9)</f>
        <v>0</v>
      </c>
      <c r="R52" s="27" t="n">
        <f aca="false">MIN(F51*(1+F$8),F$9)</f>
        <v>0</v>
      </c>
      <c r="S52" s="27" t="n">
        <f aca="false">MIN(G51*(1+G$8),G$9)</f>
        <v>0</v>
      </c>
      <c r="T52" s="27" t="n">
        <f aca="false">MIN(H51*(1+H$8),H$9)</f>
        <v>0</v>
      </c>
      <c r="U52" s="27" t="n">
        <f aca="false">MIN(I51*(1+I$8),I$9)</f>
        <v>0</v>
      </c>
      <c r="V52" s="27" t="n">
        <f aca="false">MIN(J51*(1+J$8),J$9)</f>
        <v>0</v>
      </c>
      <c r="W52" s="27" t="n">
        <f aca="false">MIN(K51*(1+K$8),K$9)</f>
        <v>0</v>
      </c>
      <c r="X52" s="27" t="n">
        <f aca="false">MIN(B51*(1+B$8),MAX(N52,$B$11-SUM(O52:W52)))</f>
        <v>0</v>
      </c>
      <c r="Y52" s="27" t="n">
        <f aca="false">MIN(C51*(1+C$8),MAX(O52,$B$11-SUM(X52:X52)-SUM(P52:W52)))</f>
        <v>0</v>
      </c>
      <c r="Z52" s="27" t="n">
        <f aca="false">MIN(D51*(1+D$8),MAX(P52,$B$11-SUM(X52:Y52)-SUM(Q52:W52)))</f>
        <v>0</v>
      </c>
      <c r="AA52" s="27" t="n">
        <f aca="false">MIN(E51*(1+E$8),MAX(Q52,$B$11-SUM(X52:Z52)-SUM(R52:W52)))</f>
        <v>0</v>
      </c>
      <c r="AB52" s="27" t="n">
        <f aca="false">MIN(F51*(1+F$8),MAX(R52,$B$11-SUM(X52:AA52)-SUM(S52:W52)))</f>
        <v>0</v>
      </c>
      <c r="AC52" s="27" t="n">
        <f aca="false">MIN(G51*(1+G$8),MAX(S52,$B$11-SUM(X52:AB52)-SUM(T52:W52)))</f>
        <v>0</v>
      </c>
      <c r="AD52" s="27" t="n">
        <f aca="false">MIN(H51*(1+H$8),MAX(T52,$B$11-SUM(X52:AC52)-SUM(U52:W52)))</f>
        <v>0</v>
      </c>
      <c r="AE52" s="27" t="n">
        <f aca="false">MIN(I51*(1+I$8),MAX(U52,$B$11-SUM(X52:AD52)-SUM(V52:W52)))</f>
        <v>0</v>
      </c>
      <c r="AF52" s="27" t="n">
        <f aca="false">MIN(J51*(1+J$8),MAX(V52,$B$11-SUM(X52:AE52)-SUM(W52:W52)))</f>
        <v>0</v>
      </c>
      <c r="AG52" s="27" t="n">
        <f aca="false">MIN(K51*(1+K$8),MAX(W52,$B$11-SUM(X52:AF52)))</f>
        <v>0</v>
      </c>
      <c r="AI52" s="27" t="n">
        <f aca="false">ROUND(MAX(0,AI51*(1+B$8)-BE52),2)</f>
        <v>0</v>
      </c>
      <c r="AJ52" s="27" t="n">
        <f aca="false">ROUND(MAX(0,AJ51*(1+C$8)-BF52),2)</f>
        <v>0</v>
      </c>
      <c r="AK52" s="27" t="n">
        <f aca="false">ROUND(MAX(0,AK51*(1+D$8)-BG52),2)</f>
        <v>0</v>
      </c>
      <c r="AL52" s="27" t="n">
        <f aca="false">ROUND(MAX(0,AL51*(1+E$8)-BH52),2)</f>
        <v>2085.73</v>
      </c>
      <c r="AM52" s="27" t="n">
        <f aca="false">ROUND(MAX(0,AM51*(1+F$8)-BI52),2)</f>
        <v>0</v>
      </c>
      <c r="AN52" s="27" t="n">
        <f aca="false">ROUND(MAX(0,AN51*(1+G$8)-BJ52),2)</f>
        <v>0</v>
      </c>
      <c r="AO52" s="27" t="n">
        <f aca="false">ROUND(MAX(0,AO51*(1+H$8)-BK52),2)</f>
        <v>0</v>
      </c>
      <c r="AP52" s="27" t="n">
        <f aca="false">ROUND(MAX(0,AP51*(1+I$8)-BL52),2)</f>
        <v>0</v>
      </c>
      <c r="AQ52" s="27" t="n">
        <f aca="false">ROUND(MAX(0,AQ51*(1+J$8)-BM52),2)</f>
        <v>0</v>
      </c>
      <c r="AR52" s="27" t="n">
        <f aca="false">ROUND(MAX(0,AR51*(1+K$8)-BN52),2)</f>
        <v>0</v>
      </c>
      <c r="AS52" s="27" t="n">
        <f aca="false">SUM(AI52:AR52)</f>
        <v>2085.73</v>
      </c>
      <c r="AT52" s="27" t="n">
        <f aca="false">SUMPRODUCT(AI51:AR51,$B$8:$K$8)</f>
        <v>47.508765</v>
      </c>
      <c r="AU52" s="27" t="n">
        <f aca="false">MIN(AI51*(1+B$8),B$9)</f>
        <v>0</v>
      </c>
      <c r="AV52" s="27" t="n">
        <f aca="false">MIN(AJ51*(1+C$8),C$9)</f>
        <v>0</v>
      </c>
      <c r="AW52" s="27" t="n">
        <f aca="false">MIN(AK51*(1+D$8),D$9)</f>
        <v>0</v>
      </c>
      <c r="AX52" s="27" t="n">
        <f aca="false">MIN(AL51*(1+E$8),E$9)</f>
        <v>95</v>
      </c>
      <c r="AY52" s="27" t="n">
        <f aca="false">MIN(AM51*(1+F$8),F$9)</f>
        <v>0</v>
      </c>
      <c r="AZ52" s="27" t="n">
        <f aca="false">MIN(AN51*(1+G$8),G$9)</f>
        <v>0</v>
      </c>
      <c r="BA52" s="27" t="n">
        <f aca="false">MIN(AO51*(1+H$8),H$9)</f>
        <v>0</v>
      </c>
      <c r="BB52" s="27" t="n">
        <f aca="false">MIN(AP51*(1+I$8),I$9)</f>
        <v>0</v>
      </c>
      <c r="BC52" s="27" t="n">
        <f aca="false">MIN(AQ51*(1+J$8),J$9)</f>
        <v>0</v>
      </c>
      <c r="BD52" s="27" t="n">
        <f aca="false">MIN(AR51*(1+K$8),K$9)</f>
        <v>0</v>
      </c>
      <c r="BE52" s="27" t="n">
        <f aca="false">MIN(AI51*(1+B$8),MAX(AU52,$B$12-SUM(AV52:BD52)))</f>
        <v>0</v>
      </c>
      <c r="BF52" s="27" t="n">
        <f aca="false">MIN(AJ51*(1+C$8),MAX(AV52,$B$12-SUM(BE52:BE52)-SUM(AW52:BD52)))</f>
        <v>0</v>
      </c>
      <c r="BG52" s="27" t="n">
        <f aca="false">MIN(AK51*(1+D$8),MAX(AW52,$B$12-SUM(BE52:BF52)-SUM(AX52:BD52)))</f>
        <v>0</v>
      </c>
      <c r="BH52" s="27" t="n">
        <f aca="false">MIN(AL51*(1+E$8),MAX(AX52,$B$12-SUM(BE52:BG52)-SUM(AY52:BD52)))</f>
        <v>565</v>
      </c>
      <c r="BI52" s="27" t="n">
        <f aca="false">MIN(AM51*(1+F$8),MAX(AY52,$B$12-SUM(BE52:BH52)-SUM(AZ52:BD52)))</f>
        <v>0</v>
      </c>
      <c r="BJ52" s="27" t="n">
        <f aca="false">MIN(AN51*(1+G$8),MAX(AZ52,$B$12-SUM(BE52:BI52)-SUM(BA52:BD52)))</f>
        <v>0</v>
      </c>
      <c r="BK52" s="27" t="n">
        <f aca="false">MIN(AO51*(1+H$8),MAX(BA52,$B$12-SUM(BE52:BJ52)-SUM(BB52:BD52)))</f>
        <v>0</v>
      </c>
      <c r="BL52" s="27" t="n">
        <f aca="false">MIN(AP51*(1+I$8),MAX(BB52,$B$12-SUM(BE52:BK52)-SUM(BC52:BD52)))</f>
        <v>0</v>
      </c>
      <c r="BM52" s="27" t="n">
        <f aca="false">MIN(AQ51*(1+J$8),MAX(BC52,$B$12-SUM(BE52:BL52)-SUM(BD52:BD52)))</f>
        <v>0</v>
      </c>
      <c r="BN52" s="27" t="n">
        <f aca="false">MIN(AR51*(1+K$8),MAX(BD52,$B$12-SUM(BE52:BM52)))</f>
        <v>0</v>
      </c>
    </row>
    <row r="53" customFormat="false" ht="15" hidden="false" customHeight="false" outlineLevel="0" collapsed="false">
      <c r="A53" s="0" t="n">
        <v>39</v>
      </c>
      <c r="B53" s="27" t="n">
        <f aca="false">ROUND(MAX(0,B52*(1+B$8)-X53),2)</f>
        <v>0</v>
      </c>
      <c r="C53" s="27" t="n">
        <f aca="false">ROUND(MAX(0,C52*(1+C$8)-Y53),2)</f>
        <v>0</v>
      </c>
      <c r="D53" s="27" t="n">
        <f aca="false">ROUND(MAX(0,D52*(1+D$8)-Z53),2)</f>
        <v>0</v>
      </c>
      <c r="E53" s="27" t="n">
        <f aca="false">ROUND(MAX(0,E52*(1+E$8)-AA53),2)</f>
        <v>0</v>
      </c>
      <c r="F53" s="27" t="n">
        <f aca="false">ROUND(MAX(0,F52*(1+F$8)-AB53),2)</f>
        <v>0</v>
      </c>
      <c r="G53" s="27" t="n">
        <f aca="false">ROUND(MAX(0,G52*(1+G$8)-AC53),2)</f>
        <v>0</v>
      </c>
      <c r="H53" s="27" t="n">
        <f aca="false">ROUND(MAX(0,H52*(1+H$8)-AD53),2)</f>
        <v>0</v>
      </c>
      <c r="I53" s="27" t="n">
        <f aca="false">ROUND(MAX(0,I52*(1+I$8)-AE53),2)</f>
        <v>0</v>
      </c>
      <c r="J53" s="27" t="n">
        <f aca="false">ROUND(MAX(0,J52*(1+J$8)-AF53),2)</f>
        <v>0</v>
      </c>
      <c r="K53" s="27" t="n">
        <f aca="false">ROUND(MAX(0,K52*(1+K$8)-AG53),2)</f>
        <v>0</v>
      </c>
      <c r="L53" s="30" t="n">
        <f aca="false">SUM(B53:K53)</f>
        <v>0</v>
      </c>
      <c r="M53" s="27" t="n">
        <f aca="false">SUMPRODUCT(B52:K52,$B$8:$K$8)</f>
        <v>0</v>
      </c>
      <c r="N53" s="27" t="n">
        <f aca="false">MIN(B52*(1+B$8),B$9)</f>
        <v>0</v>
      </c>
      <c r="O53" s="27" t="n">
        <f aca="false">MIN(C52*(1+C$8),C$9)</f>
        <v>0</v>
      </c>
      <c r="P53" s="27" t="n">
        <f aca="false">MIN(D52*(1+D$8),D$9)</f>
        <v>0</v>
      </c>
      <c r="Q53" s="27" t="n">
        <f aca="false">MIN(E52*(1+E$8),E$9)</f>
        <v>0</v>
      </c>
      <c r="R53" s="27" t="n">
        <f aca="false">MIN(F52*(1+F$8),F$9)</f>
        <v>0</v>
      </c>
      <c r="S53" s="27" t="n">
        <f aca="false">MIN(G52*(1+G$8),G$9)</f>
        <v>0</v>
      </c>
      <c r="T53" s="27" t="n">
        <f aca="false">MIN(H52*(1+H$8),H$9)</f>
        <v>0</v>
      </c>
      <c r="U53" s="27" t="n">
        <f aca="false">MIN(I52*(1+I$8),I$9)</f>
        <v>0</v>
      </c>
      <c r="V53" s="27" t="n">
        <f aca="false">MIN(J52*(1+J$8),J$9)</f>
        <v>0</v>
      </c>
      <c r="W53" s="27" t="n">
        <f aca="false">MIN(K52*(1+K$8),K$9)</f>
        <v>0</v>
      </c>
      <c r="X53" s="27" t="n">
        <f aca="false">MIN(B52*(1+B$8),MAX(N53,$B$11-SUM(O53:W53)))</f>
        <v>0</v>
      </c>
      <c r="Y53" s="27" t="n">
        <f aca="false">MIN(C52*(1+C$8),MAX(O53,$B$11-SUM(X53:X53)-SUM(P53:W53)))</f>
        <v>0</v>
      </c>
      <c r="Z53" s="27" t="n">
        <f aca="false">MIN(D52*(1+D$8),MAX(P53,$B$11-SUM(X53:Y53)-SUM(Q53:W53)))</f>
        <v>0</v>
      </c>
      <c r="AA53" s="27" t="n">
        <f aca="false">MIN(E52*(1+E$8),MAX(Q53,$B$11-SUM(X53:Z53)-SUM(R53:W53)))</f>
        <v>0</v>
      </c>
      <c r="AB53" s="27" t="n">
        <f aca="false">MIN(F52*(1+F$8),MAX(R53,$B$11-SUM(X53:AA53)-SUM(S53:W53)))</f>
        <v>0</v>
      </c>
      <c r="AC53" s="27" t="n">
        <f aca="false">MIN(G52*(1+G$8),MAX(S53,$B$11-SUM(X53:AB53)-SUM(T53:W53)))</f>
        <v>0</v>
      </c>
      <c r="AD53" s="27" t="n">
        <f aca="false">MIN(H52*(1+H$8),MAX(T53,$B$11-SUM(X53:AC53)-SUM(U53:W53)))</f>
        <v>0</v>
      </c>
      <c r="AE53" s="27" t="n">
        <f aca="false">MIN(I52*(1+I$8),MAX(U53,$B$11-SUM(X53:AD53)-SUM(V53:W53)))</f>
        <v>0</v>
      </c>
      <c r="AF53" s="27" t="n">
        <f aca="false">MIN(J52*(1+J$8),MAX(V53,$B$11-SUM(X53:AE53)-SUM(W53:W53)))</f>
        <v>0</v>
      </c>
      <c r="AG53" s="27" t="n">
        <f aca="false">MIN(K52*(1+K$8),MAX(W53,$B$11-SUM(X53:AF53)))</f>
        <v>0</v>
      </c>
      <c r="AI53" s="27" t="n">
        <f aca="false">ROUND(MAX(0,AI52*(1+B$8)-BE53),2)</f>
        <v>0</v>
      </c>
      <c r="AJ53" s="27" t="n">
        <f aca="false">ROUND(MAX(0,AJ52*(1+C$8)-BF53),2)</f>
        <v>0</v>
      </c>
      <c r="AK53" s="27" t="n">
        <f aca="false">ROUND(MAX(0,AK52*(1+D$8)-BG53),2)</f>
        <v>0</v>
      </c>
      <c r="AL53" s="27" t="n">
        <f aca="false">ROUND(MAX(0,AL52*(1+E$8)-BH53),2)</f>
        <v>1558.79</v>
      </c>
      <c r="AM53" s="27" t="n">
        <f aca="false">ROUND(MAX(0,AM52*(1+F$8)-BI53),2)</f>
        <v>0</v>
      </c>
      <c r="AN53" s="27" t="n">
        <f aca="false">ROUND(MAX(0,AN52*(1+G$8)-BJ53),2)</f>
        <v>0</v>
      </c>
      <c r="AO53" s="27" t="n">
        <f aca="false">ROUND(MAX(0,AO52*(1+H$8)-BK53),2)</f>
        <v>0</v>
      </c>
      <c r="AP53" s="27" t="n">
        <f aca="false">ROUND(MAX(0,AP52*(1+I$8)-BL53),2)</f>
        <v>0</v>
      </c>
      <c r="AQ53" s="27" t="n">
        <f aca="false">ROUND(MAX(0,AQ52*(1+J$8)-BM53),2)</f>
        <v>0</v>
      </c>
      <c r="AR53" s="27" t="n">
        <f aca="false">ROUND(MAX(0,AR52*(1+K$8)-BN53),2)</f>
        <v>0</v>
      </c>
      <c r="AS53" s="27" t="n">
        <f aca="false">SUM(AI53:AR53)</f>
        <v>1558.79</v>
      </c>
      <c r="AT53" s="27" t="n">
        <f aca="false">SUMPRODUCT(AI52:AR52,$B$8:$K$8)</f>
        <v>38.0645725</v>
      </c>
      <c r="AU53" s="27" t="n">
        <f aca="false">MIN(AI52*(1+B$8),B$9)</f>
        <v>0</v>
      </c>
      <c r="AV53" s="27" t="n">
        <f aca="false">MIN(AJ52*(1+C$8),C$9)</f>
        <v>0</v>
      </c>
      <c r="AW53" s="27" t="n">
        <f aca="false">MIN(AK52*(1+D$8),D$9)</f>
        <v>0</v>
      </c>
      <c r="AX53" s="27" t="n">
        <f aca="false">MIN(AL52*(1+E$8),E$9)</f>
        <v>95</v>
      </c>
      <c r="AY53" s="27" t="n">
        <f aca="false">MIN(AM52*(1+F$8),F$9)</f>
        <v>0</v>
      </c>
      <c r="AZ53" s="27" t="n">
        <f aca="false">MIN(AN52*(1+G$8),G$9)</f>
        <v>0</v>
      </c>
      <c r="BA53" s="27" t="n">
        <f aca="false">MIN(AO52*(1+H$8),H$9)</f>
        <v>0</v>
      </c>
      <c r="BB53" s="27" t="n">
        <f aca="false">MIN(AP52*(1+I$8),I$9)</f>
        <v>0</v>
      </c>
      <c r="BC53" s="27" t="n">
        <f aca="false">MIN(AQ52*(1+J$8),J$9)</f>
        <v>0</v>
      </c>
      <c r="BD53" s="27" t="n">
        <f aca="false">MIN(AR52*(1+K$8),K$9)</f>
        <v>0</v>
      </c>
      <c r="BE53" s="27" t="n">
        <f aca="false">MIN(AI52*(1+B$8),MAX(AU53,$B$12-SUM(AV53:BD53)))</f>
        <v>0</v>
      </c>
      <c r="BF53" s="27" t="n">
        <f aca="false">MIN(AJ52*(1+C$8),MAX(AV53,$B$12-SUM(BE53:BE53)-SUM(AW53:BD53)))</f>
        <v>0</v>
      </c>
      <c r="BG53" s="27" t="n">
        <f aca="false">MIN(AK52*(1+D$8),MAX(AW53,$B$12-SUM(BE53:BF53)-SUM(AX53:BD53)))</f>
        <v>0</v>
      </c>
      <c r="BH53" s="27" t="n">
        <f aca="false">MIN(AL52*(1+E$8),MAX(AX53,$B$12-SUM(BE53:BG53)-SUM(AY53:BD53)))</f>
        <v>565</v>
      </c>
      <c r="BI53" s="27" t="n">
        <f aca="false">MIN(AM52*(1+F$8),MAX(AY53,$B$12-SUM(BE53:BH53)-SUM(AZ53:BD53)))</f>
        <v>0</v>
      </c>
      <c r="BJ53" s="27" t="n">
        <f aca="false">MIN(AN52*(1+G$8),MAX(AZ53,$B$12-SUM(BE53:BI53)-SUM(BA53:BD53)))</f>
        <v>0</v>
      </c>
      <c r="BK53" s="27" t="n">
        <f aca="false">MIN(AO52*(1+H$8),MAX(BA53,$B$12-SUM(BE53:BJ53)-SUM(BB53:BD53)))</f>
        <v>0</v>
      </c>
      <c r="BL53" s="27" t="n">
        <f aca="false">MIN(AP52*(1+I$8),MAX(BB53,$B$12-SUM(BE53:BK53)-SUM(BC53:BD53)))</f>
        <v>0</v>
      </c>
      <c r="BM53" s="27" t="n">
        <f aca="false">MIN(AQ52*(1+J$8),MAX(BC53,$B$12-SUM(BE53:BL53)-SUM(BD53:BD53)))</f>
        <v>0</v>
      </c>
      <c r="BN53" s="27" t="n">
        <f aca="false">MIN(AR52*(1+K$8),MAX(BD53,$B$12-SUM(BE53:BM53)))</f>
        <v>0</v>
      </c>
    </row>
    <row r="54" customFormat="false" ht="15" hidden="false" customHeight="false" outlineLevel="0" collapsed="false">
      <c r="A54" s="0" t="n">
        <v>40</v>
      </c>
      <c r="B54" s="27" t="n">
        <f aca="false">ROUND(MAX(0,B53*(1+B$8)-X54),2)</f>
        <v>0</v>
      </c>
      <c r="C54" s="27" t="n">
        <f aca="false">ROUND(MAX(0,C53*(1+C$8)-Y54),2)</f>
        <v>0</v>
      </c>
      <c r="D54" s="27" t="n">
        <f aca="false">ROUND(MAX(0,D53*(1+D$8)-Z54),2)</f>
        <v>0</v>
      </c>
      <c r="E54" s="27" t="n">
        <f aca="false">ROUND(MAX(0,E53*(1+E$8)-AA54),2)</f>
        <v>0</v>
      </c>
      <c r="F54" s="27" t="n">
        <f aca="false">ROUND(MAX(0,F53*(1+F$8)-AB54),2)</f>
        <v>0</v>
      </c>
      <c r="G54" s="27" t="n">
        <f aca="false">ROUND(MAX(0,G53*(1+G$8)-AC54),2)</f>
        <v>0</v>
      </c>
      <c r="H54" s="27" t="n">
        <f aca="false">ROUND(MAX(0,H53*(1+H$8)-AD54),2)</f>
        <v>0</v>
      </c>
      <c r="I54" s="27" t="n">
        <f aca="false">ROUND(MAX(0,I53*(1+I$8)-AE54),2)</f>
        <v>0</v>
      </c>
      <c r="J54" s="27" t="n">
        <f aca="false">ROUND(MAX(0,J53*(1+J$8)-AF54),2)</f>
        <v>0</v>
      </c>
      <c r="K54" s="27" t="n">
        <f aca="false">ROUND(MAX(0,K53*(1+K$8)-AG54),2)</f>
        <v>0</v>
      </c>
      <c r="L54" s="30" t="n">
        <f aca="false">SUM(B54:K54)</f>
        <v>0</v>
      </c>
      <c r="M54" s="27" t="n">
        <f aca="false">SUMPRODUCT(B53:K53,$B$8:$K$8)</f>
        <v>0</v>
      </c>
      <c r="N54" s="27" t="n">
        <f aca="false">MIN(B53*(1+B$8),B$9)</f>
        <v>0</v>
      </c>
      <c r="O54" s="27" t="n">
        <f aca="false">MIN(C53*(1+C$8),C$9)</f>
        <v>0</v>
      </c>
      <c r="P54" s="27" t="n">
        <f aca="false">MIN(D53*(1+D$8),D$9)</f>
        <v>0</v>
      </c>
      <c r="Q54" s="27" t="n">
        <f aca="false">MIN(E53*(1+E$8),E$9)</f>
        <v>0</v>
      </c>
      <c r="R54" s="27" t="n">
        <f aca="false">MIN(F53*(1+F$8),F$9)</f>
        <v>0</v>
      </c>
      <c r="S54" s="27" t="n">
        <f aca="false">MIN(G53*(1+G$8),G$9)</f>
        <v>0</v>
      </c>
      <c r="T54" s="27" t="n">
        <f aca="false">MIN(H53*(1+H$8),H$9)</f>
        <v>0</v>
      </c>
      <c r="U54" s="27" t="n">
        <f aca="false">MIN(I53*(1+I$8),I$9)</f>
        <v>0</v>
      </c>
      <c r="V54" s="27" t="n">
        <f aca="false">MIN(J53*(1+J$8),J$9)</f>
        <v>0</v>
      </c>
      <c r="W54" s="27" t="n">
        <f aca="false">MIN(K53*(1+K$8),K$9)</f>
        <v>0</v>
      </c>
      <c r="X54" s="27" t="n">
        <f aca="false">MIN(B53*(1+B$8),MAX(N54,$B$11-SUM(O54:W54)))</f>
        <v>0</v>
      </c>
      <c r="Y54" s="27" t="n">
        <f aca="false">MIN(C53*(1+C$8),MAX(O54,$B$11-SUM(X54:X54)-SUM(P54:W54)))</f>
        <v>0</v>
      </c>
      <c r="Z54" s="27" t="n">
        <f aca="false">MIN(D53*(1+D$8),MAX(P54,$B$11-SUM(X54:Y54)-SUM(Q54:W54)))</f>
        <v>0</v>
      </c>
      <c r="AA54" s="27" t="n">
        <f aca="false">MIN(E53*(1+E$8),MAX(Q54,$B$11-SUM(X54:Z54)-SUM(R54:W54)))</f>
        <v>0</v>
      </c>
      <c r="AB54" s="27" t="n">
        <f aca="false">MIN(F53*(1+F$8),MAX(R54,$B$11-SUM(X54:AA54)-SUM(S54:W54)))</f>
        <v>0</v>
      </c>
      <c r="AC54" s="27" t="n">
        <f aca="false">MIN(G53*(1+G$8),MAX(S54,$B$11-SUM(X54:AB54)-SUM(T54:W54)))</f>
        <v>0</v>
      </c>
      <c r="AD54" s="27" t="n">
        <f aca="false">MIN(H53*(1+H$8),MAX(T54,$B$11-SUM(X54:AC54)-SUM(U54:W54)))</f>
        <v>0</v>
      </c>
      <c r="AE54" s="27" t="n">
        <f aca="false">MIN(I53*(1+I$8),MAX(U54,$B$11-SUM(X54:AD54)-SUM(V54:W54)))</f>
        <v>0</v>
      </c>
      <c r="AF54" s="27" t="n">
        <f aca="false">MIN(J53*(1+J$8),MAX(V54,$B$11-SUM(X54:AE54)-SUM(W54:W54)))</f>
        <v>0</v>
      </c>
      <c r="AG54" s="27" t="n">
        <f aca="false">MIN(K53*(1+K$8),MAX(W54,$B$11-SUM(X54:AF54)))</f>
        <v>0</v>
      </c>
      <c r="AI54" s="27" t="n">
        <f aca="false">ROUND(MAX(0,AI53*(1+B$8)-BE54),2)</f>
        <v>0</v>
      </c>
      <c r="AJ54" s="27" t="n">
        <f aca="false">ROUND(MAX(0,AJ53*(1+C$8)-BF54),2)</f>
        <v>0</v>
      </c>
      <c r="AK54" s="27" t="n">
        <f aca="false">ROUND(MAX(0,AK53*(1+D$8)-BG54),2)</f>
        <v>0</v>
      </c>
      <c r="AL54" s="27" t="n">
        <f aca="false">ROUND(MAX(0,AL53*(1+E$8)-BH54),2)</f>
        <v>1022.24</v>
      </c>
      <c r="AM54" s="27" t="n">
        <f aca="false">ROUND(MAX(0,AM53*(1+F$8)-BI54),2)</f>
        <v>0</v>
      </c>
      <c r="AN54" s="27" t="n">
        <f aca="false">ROUND(MAX(0,AN53*(1+G$8)-BJ54),2)</f>
        <v>0</v>
      </c>
      <c r="AO54" s="27" t="n">
        <f aca="false">ROUND(MAX(0,AO53*(1+H$8)-BK54),2)</f>
        <v>0</v>
      </c>
      <c r="AP54" s="27" t="n">
        <f aca="false">ROUND(MAX(0,AP53*(1+I$8)-BL54),2)</f>
        <v>0</v>
      </c>
      <c r="AQ54" s="27" t="n">
        <f aca="false">ROUND(MAX(0,AQ53*(1+J$8)-BM54),2)</f>
        <v>0</v>
      </c>
      <c r="AR54" s="27" t="n">
        <f aca="false">ROUND(MAX(0,AR53*(1+K$8)-BN54),2)</f>
        <v>0</v>
      </c>
      <c r="AS54" s="27" t="n">
        <f aca="false">SUM(AI54:AR54)</f>
        <v>1022.24</v>
      </c>
      <c r="AT54" s="27" t="n">
        <f aca="false">SUMPRODUCT(AI53:AR53,$B$8:$K$8)</f>
        <v>28.4479175</v>
      </c>
      <c r="AU54" s="27" t="n">
        <f aca="false">MIN(AI53*(1+B$8),B$9)</f>
        <v>0</v>
      </c>
      <c r="AV54" s="27" t="n">
        <f aca="false">MIN(AJ53*(1+C$8),C$9)</f>
        <v>0</v>
      </c>
      <c r="AW54" s="27" t="n">
        <f aca="false">MIN(AK53*(1+D$8),D$9)</f>
        <v>0</v>
      </c>
      <c r="AX54" s="27" t="n">
        <f aca="false">MIN(AL53*(1+E$8),E$9)</f>
        <v>95</v>
      </c>
      <c r="AY54" s="27" t="n">
        <f aca="false">MIN(AM53*(1+F$8),F$9)</f>
        <v>0</v>
      </c>
      <c r="AZ54" s="27" t="n">
        <f aca="false">MIN(AN53*(1+G$8),G$9)</f>
        <v>0</v>
      </c>
      <c r="BA54" s="27" t="n">
        <f aca="false">MIN(AO53*(1+H$8),H$9)</f>
        <v>0</v>
      </c>
      <c r="BB54" s="27" t="n">
        <f aca="false">MIN(AP53*(1+I$8),I$9)</f>
        <v>0</v>
      </c>
      <c r="BC54" s="27" t="n">
        <f aca="false">MIN(AQ53*(1+J$8),J$9)</f>
        <v>0</v>
      </c>
      <c r="BD54" s="27" t="n">
        <f aca="false">MIN(AR53*(1+K$8),K$9)</f>
        <v>0</v>
      </c>
      <c r="BE54" s="27" t="n">
        <f aca="false">MIN(AI53*(1+B$8),MAX(AU54,$B$12-SUM(AV54:BD54)))</f>
        <v>0</v>
      </c>
      <c r="BF54" s="27" t="n">
        <f aca="false">MIN(AJ53*(1+C$8),MAX(AV54,$B$12-SUM(BE54:BE54)-SUM(AW54:BD54)))</f>
        <v>0</v>
      </c>
      <c r="BG54" s="27" t="n">
        <f aca="false">MIN(AK53*(1+D$8),MAX(AW54,$B$12-SUM(BE54:BF54)-SUM(AX54:BD54)))</f>
        <v>0</v>
      </c>
      <c r="BH54" s="27" t="n">
        <f aca="false">MIN(AL53*(1+E$8),MAX(AX54,$B$12-SUM(BE54:BG54)-SUM(AY54:BD54)))</f>
        <v>565</v>
      </c>
      <c r="BI54" s="27" t="n">
        <f aca="false">MIN(AM53*(1+F$8),MAX(AY54,$B$12-SUM(BE54:BH54)-SUM(AZ54:BD54)))</f>
        <v>0</v>
      </c>
      <c r="BJ54" s="27" t="n">
        <f aca="false">MIN(AN53*(1+G$8),MAX(AZ54,$B$12-SUM(BE54:BI54)-SUM(BA54:BD54)))</f>
        <v>0</v>
      </c>
      <c r="BK54" s="27" t="n">
        <f aca="false">MIN(AO53*(1+H$8),MAX(BA54,$B$12-SUM(BE54:BJ54)-SUM(BB54:BD54)))</f>
        <v>0</v>
      </c>
      <c r="BL54" s="27" t="n">
        <f aca="false">MIN(AP53*(1+I$8),MAX(BB54,$B$12-SUM(BE54:BK54)-SUM(BC54:BD54)))</f>
        <v>0</v>
      </c>
      <c r="BM54" s="27" t="n">
        <f aca="false">MIN(AQ53*(1+J$8),MAX(BC54,$B$12-SUM(BE54:BL54)-SUM(BD54:BD54)))</f>
        <v>0</v>
      </c>
      <c r="BN54" s="27" t="n">
        <f aca="false">MIN(AR53*(1+K$8),MAX(BD54,$B$12-SUM(BE54:BM54)))</f>
        <v>0</v>
      </c>
    </row>
    <row r="55" customFormat="false" ht="15" hidden="false" customHeight="false" outlineLevel="0" collapsed="false">
      <c r="A55" s="0" t="n">
        <v>41</v>
      </c>
      <c r="B55" s="27" t="n">
        <f aca="false">ROUND(MAX(0,B54*(1+B$8)-X55),2)</f>
        <v>0</v>
      </c>
      <c r="C55" s="27" t="n">
        <f aca="false">ROUND(MAX(0,C54*(1+C$8)-Y55),2)</f>
        <v>0</v>
      </c>
      <c r="D55" s="27" t="n">
        <f aca="false">ROUND(MAX(0,D54*(1+D$8)-Z55),2)</f>
        <v>0</v>
      </c>
      <c r="E55" s="27" t="n">
        <f aca="false">ROUND(MAX(0,E54*(1+E$8)-AA55),2)</f>
        <v>0</v>
      </c>
      <c r="F55" s="27" t="n">
        <f aca="false">ROUND(MAX(0,F54*(1+F$8)-AB55),2)</f>
        <v>0</v>
      </c>
      <c r="G55" s="27" t="n">
        <f aca="false">ROUND(MAX(0,G54*(1+G$8)-AC55),2)</f>
        <v>0</v>
      </c>
      <c r="H55" s="27" t="n">
        <f aca="false">ROUND(MAX(0,H54*(1+H$8)-AD55),2)</f>
        <v>0</v>
      </c>
      <c r="I55" s="27" t="n">
        <f aca="false">ROUND(MAX(0,I54*(1+I$8)-AE55),2)</f>
        <v>0</v>
      </c>
      <c r="J55" s="27" t="n">
        <f aca="false">ROUND(MAX(0,J54*(1+J$8)-AF55),2)</f>
        <v>0</v>
      </c>
      <c r="K55" s="27" t="n">
        <f aca="false">ROUND(MAX(0,K54*(1+K$8)-AG55),2)</f>
        <v>0</v>
      </c>
      <c r="L55" s="30" t="n">
        <f aca="false">SUM(B55:K55)</f>
        <v>0</v>
      </c>
      <c r="M55" s="27" t="n">
        <f aca="false">SUMPRODUCT(B54:K54,$B$8:$K$8)</f>
        <v>0</v>
      </c>
      <c r="N55" s="27" t="n">
        <f aca="false">MIN(B54*(1+B$8),B$9)</f>
        <v>0</v>
      </c>
      <c r="O55" s="27" t="n">
        <f aca="false">MIN(C54*(1+C$8),C$9)</f>
        <v>0</v>
      </c>
      <c r="P55" s="27" t="n">
        <f aca="false">MIN(D54*(1+D$8),D$9)</f>
        <v>0</v>
      </c>
      <c r="Q55" s="27" t="n">
        <f aca="false">MIN(E54*(1+E$8),E$9)</f>
        <v>0</v>
      </c>
      <c r="R55" s="27" t="n">
        <f aca="false">MIN(F54*(1+F$8),F$9)</f>
        <v>0</v>
      </c>
      <c r="S55" s="27" t="n">
        <f aca="false">MIN(G54*(1+G$8),G$9)</f>
        <v>0</v>
      </c>
      <c r="T55" s="27" t="n">
        <f aca="false">MIN(H54*(1+H$8),H$9)</f>
        <v>0</v>
      </c>
      <c r="U55" s="27" t="n">
        <f aca="false">MIN(I54*(1+I$8),I$9)</f>
        <v>0</v>
      </c>
      <c r="V55" s="27" t="n">
        <f aca="false">MIN(J54*(1+J$8),J$9)</f>
        <v>0</v>
      </c>
      <c r="W55" s="27" t="n">
        <f aca="false">MIN(K54*(1+K$8),K$9)</f>
        <v>0</v>
      </c>
      <c r="X55" s="27" t="n">
        <f aca="false">MIN(B54*(1+B$8),MAX(N55,$B$11-SUM(O55:W55)))</f>
        <v>0</v>
      </c>
      <c r="Y55" s="27" t="n">
        <f aca="false">MIN(C54*(1+C$8),MAX(O55,$B$11-SUM(X55:X55)-SUM(P55:W55)))</f>
        <v>0</v>
      </c>
      <c r="Z55" s="27" t="n">
        <f aca="false">MIN(D54*(1+D$8),MAX(P55,$B$11-SUM(X55:Y55)-SUM(Q55:W55)))</f>
        <v>0</v>
      </c>
      <c r="AA55" s="27" t="n">
        <f aca="false">MIN(E54*(1+E$8),MAX(Q55,$B$11-SUM(X55:Z55)-SUM(R55:W55)))</f>
        <v>0</v>
      </c>
      <c r="AB55" s="27" t="n">
        <f aca="false">MIN(F54*(1+F$8),MAX(R55,$B$11-SUM(X55:AA55)-SUM(S55:W55)))</f>
        <v>0</v>
      </c>
      <c r="AC55" s="27" t="n">
        <f aca="false">MIN(G54*(1+G$8),MAX(S55,$B$11-SUM(X55:AB55)-SUM(T55:W55)))</f>
        <v>0</v>
      </c>
      <c r="AD55" s="27" t="n">
        <f aca="false">MIN(H54*(1+H$8),MAX(T55,$B$11-SUM(X55:AC55)-SUM(U55:W55)))</f>
        <v>0</v>
      </c>
      <c r="AE55" s="27" t="n">
        <f aca="false">MIN(I54*(1+I$8),MAX(U55,$B$11-SUM(X55:AD55)-SUM(V55:W55)))</f>
        <v>0</v>
      </c>
      <c r="AF55" s="27" t="n">
        <f aca="false">MIN(J54*(1+J$8),MAX(V55,$B$11-SUM(X55:AE55)-SUM(W55:W55)))</f>
        <v>0</v>
      </c>
      <c r="AG55" s="27" t="n">
        <f aca="false">MIN(K54*(1+K$8),MAX(W55,$B$11-SUM(X55:AF55)))</f>
        <v>0</v>
      </c>
      <c r="AI55" s="27" t="n">
        <f aca="false">ROUND(MAX(0,AI54*(1+B$8)-BE55),2)</f>
        <v>0</v>
      </c>
      <c r="AJ55" s="27" t="n">
        <f aca="false">ROUND(MAX(0,AJ54*(1+C$8)-BF55),2)</f>
        <v>0</v>
      </c>
      <c r="AK55" s="27" t="n">
        <f aca="false">ROUND(MAX(0,AK54*(1+D$8)-BG55),2)</f>
        <v>0</v>
      </c>
      <c r="AL55" s="27" t="n">
        <f aca="false">ROUND(MAX(0,AL54*(1+E$8)-BH55),2)</f>
        <v>475.9</v>
      </c>
      <c r="AM55" s="27" t="n">
        <f aca="false">ROUND(MAX(0,AM54*(1+F$8)-BI55),2)</f>
        <v>0</v>
      </c>
      <c r="AN55" s="27" t="n">
        <f aca="false">ROUND(MAX(0,AN54*(1+G$8)-BJ55),2)</f>
        <v>0</v>
      </c>
      <c r="AO55" s="27" t="n">
        <f aca="false">ROUND(MAX(0,AO54*(1+H$8)-BK55),2)</f>
        <v>0</v>
      </c>
      <c r="AP55" s="27" t="n">
        <f aca="false">ROUND(MAX(0,AP54*(1+I$8)-BL55),2)</f>
        <v>0</v>
      </c>
      <c r="AQ55" s="27" t="n">
        <f aca="false">ROUND(MAX(0,AQ54*(1+J$8)-BM55),2)</f>
        <v>0</v>
      </c>
      <c r="AR55" s="27" t="n">
        <f aca="false">ROUND(MAX(0,AR54*(1+K$8)-BN55),2)</f>
        <v>0</v>
      </c>
      <c r="AS55" s="27" t="n">
        <f aca="false">SUM(AI55:AR55)</f>
        <v>475.9</v>
      </c>
      <c r="AT55" s="27" t="n">
        <f aca="false">SUMPRODUCT(AI54:AR54,$B$8:$K$8)</f>
        <v>18.65588</v>
      </c>
      <c r="AU55" s="27" t="n">
        <f aca="false">MIN(AI54*(1+B$8),B$9)</f>
        <v>0</v>
      </c>
      <c r="AV55" s="27" t="n">
        <f aca="false">MIN(AJ54*(1+C$8),C$9)</f>
        <v>0</v>
      </c>
      <c r="AW55" s="27" t="n">
        <f aca="false">MIN(AK54*(1+D$8),D$9)</f>
        <v>0</v>
      </c>
      <c r="AX55" s="27" t="n">
        <f aca="false">MIN(AL54*(1+E$8),E$9)</f>
        <v>95</v>
      </c>
      <c r="AY55" s="27" t="n">
        <f aca="false">MIN(AM54*(1+F$8),F$9)</f>
        <v>0</v>
      </c>
      <c r="AZ55" s="27" t="n">
        <f aca="false">MIN(AN54*(1+G$8),G$9)</f>
        <v>0</v>
      </c>
      <c r="BA55" s="27" t="n">
        <f aca="false">MIN(AO54*(1+H$8),H$9)</f>
        <v>0</v>
      </c>
      <c r="BB55" s="27" t="n">
        <f aca="false">MIN(AP54*(1+I$8),I$9)</f>
        <v>0</v>
      </c>
      <c r="BC55" s="27" t="n">
        <f aca="false">MIN(AQ54*(1+J$8),J$9)</f>
        <v>0</v>
      </c>
      <c r="BD55" s="27" t="n">
        <f aca="false">MIN(AR54*(1+K$8),K$9)</f>
        <v>0</v>
      </c>
      <c r="BE55" s="27" t="n">
        <f aca="false">MIN(AI54*(1+B$8),MAX(AU55,$B$12-SUM(AV55:BD55)))</f>
        <v>0</v>
      </c>
      <c r="BF55" s="27" t="n">
        <f aca="false">MIN(AJ54*(1+C$8),MAX(AV55,$B$12-SUM(BE55:BE55)-SUM(AW55:BD55)))</f>
        <v>0</v>
      </c>
      <c r="BG55" s="27" t="n">
        <f aca="false">MIN(AK54*(1+D$8),MAX(AW55,$B$12-SUM(BE55:BF55)-SUM(AX55:BD55)))</f>
        <v>0</v>
      </c>
      <c r="BH55" s="27" t="n">
        <f aca="false">MIN(AL54*(1+E$8),MAX(AX55,$B$12-SUM(BE55:BG55)-SUM(AY55:BD55)))</f>
        <v>565</v>
      </c>
      <c r="BI55" s="27" t="n">
        <f aca="false">MIN(AM54*(1+F$8),MAX(AY55,$B$12-SUM(BE55:BH55)-SUM(AZ55:BD55)))</f>
        <v>0</v>
      </c>
      <c r="BJ55" s="27" t="n">
        <f aca="false">MIN(AN54*(1+G$8),MAX(AZ55,$B$12-SUM(BE55:BI55)-SUM(BA55:BD55)))</f>
        <v>0</v>
      </c>
      <c r="BK55" s="27" t="n">
        <f aca="false">MIN(AO54*(1+H$8),MAX(BA55,$B$12-SUM(BE55:BJ55)-SUM(BB55:BD55)))</f>
        <v>0</v>
      </c>
      <c r="BL55" s="27" t="n">
        <f aca="false">MIN(AP54*(1+I$8),MAX(BB55,$B$12-SUM(BE55:BK55)-SUM(BC55:BD55)))</f>
        <v>0</v>
      </c>
      <c r="BM55" s="27" t="n">
        <f aca="false">MIN(AQ54*(1+J$8),MAX(BC55,$B$12-SUM(BE55:BL55)-SUM(BD55:BD55)))</f>
        <v>0</v>
      </c>
      <c r="BN55" s="27" t="n">
        <f aca="false">MIN(AR54*(1+K$8),MAX(BD55,$B$12-SUM(BE55:BM55)))</f>
        <v>0</v>
      </c>
    </row>
    <row r="56" customFormat="false" ht="15" hidden="false" customHeight="false" outlineLevel="0" collapsed="false">
      <c r="A56" s="0" t="n">
        <v>42</v>
      </c>
      <c r="B56" s="27" t="n">
        <f aca="false">ROUND(MAX(0,B55*(1+B$8)-X56),2)</f>
        <v>0</v>
      </c>
      <c r="C56" s="27" t="n">
        <f aca="false">ROUND(MAX(0,C55*(1+C$8)-Y56),2)</f>
        <v>0</v>
      </c>
      <c r="D56" s="27" t="n">
        <f aca="false">ROUND(MAX(0,D55*(1+D$8)-Z56),2)</f>
        <v>0</v>
      </c>
      <c r="E56" s="27" t="n">
        <f aca="false">ROUND(MAX(0,E55*(1+E$8)-AA56),2)</f>
        <v>0</v>
      </c>
      <c r="F56" s="27" t="n">
        <f aca="false">ROUND(MAX(0,F55*(1+F$8)-AB56),2)</f>
        <v>0</v>
      </c>
      <c r="G56" s="27" t="n">
        <f aca="false">ROUND(MAX(0,G55*(1+G$8)-AC56),2)</f>
        <v>0</v>
      </c>
      <c r="H56" s="27" t="n">
        <f aca="false">ROUND(MAX(0,H55*(1+H$8)-AD56),2)</f>
        <v>0</v>
      </c>
      <c r="I56" s="27" t="n">
        <f aca="false">ROUND(MAX(0,I55*(1+I$8)-AE56),2)</f>
        <v>0</v>
      </c>
      <c r="J56" s="27" t="n">
        <f aca="false">ROUND(MAX(0,J55*(1+J$8)-AF56),2)</f>
        <v>0</v>
      </c>
      <c r="K56" s="27" t="n">
        <f aca="false">ROUND(MAX(0,K55*(1+K$8)-AG56),2)</f>
        <v>0</v>
      </c>
      <c r="L56" s="30" t="n">
        <f aca="false">SUM(B56:K56)</f>
        <v>0</v>
      </c>
      <c r="M56" s="27" t="n">
        <f aca="false">SUMPRODUCT(B55:K55,$B$8:$K$8)</f>
        <v>0</v>
      </c>
      <c r="N56" s="27" t="n">
        <f aca="false">MIN(B55*(1+B$8),B$9)</f>
        <v>0</v>
      </c>
      <c r="O56" s="27" t="n">
        <f aca="false">MIN(C55*(1+C$8),C$9)</f>
        <v>0</v>
      </c>
      <c r="P56" s="27" t="n">
        <f aca="false">MIN(D55*(1+D$8),D$9)</f>
        <v>0</v>
      </c>
      <c r="Q56" s="27" t="n">
        <f aca="false">MIN(E55*(1+E$8),E$9)</f>
        <v>0</v>
      </c>
      <c r="R56" s="27" t="n">
        <f aca="false">MIN(F55*(1+F$8),F$9)</f>
        <v>0</v>
      </c>
      <c r="S56" s="27" t="n">
        <f aca="false">MIN(G55*(1+G$8),G$9)</f>
        <v>0</v>
      </c>
      <c r="T56" s="27" t="n">
        <f aca="false">MIN(H55*(1+H$8),H$9)</f>
        <v>0</v>
      </c>
      <c r="U56" s="27" t="n">
        <f aca="false">MIN(I55*(1+I$8),I$9)</f>
        <v>0</v>
      </c>
      <c r="V56" s="27" t="n">
        <f aca="false">MIN(J55*(1+J$8),J$9)</f>
        <v>0</v>
      </c>
      <c r="W56" s="27" t="n">
        <f aca="false">MIN(K55*(1+K$8),K$9)</f>
        <v>0</v>
      </c>
      <c r="X56" s="27" t="n">
        <f aca="false">MIN(B55*(1+B$8),MAX(N56,$B$11-SUM(O56:W56)))</f>
        <v>0</v>
      </c>
      <c r="Y56" s="27" t="n">
        <f aca="false">MIN(C55*(1+C$8),MAX(O56,$B$11-SUM(X56:X56)-SUM(P56:W56)))</f>
        <v>0</v>
      </c>
      <c r="Z56" s="27" t="n">
        <f aca="false">MIN(D55*(1+D$8),MAX(P56,$B$11-SUM(X56:Y56)-SUM(Q56:W56)))</f>
        <v>0</v>
      </c>
      <c r="AA56" s="27" t="n">
        <f aca="false">MIN(E55*(1+E$8),MAX(Q56,$B$11-SUM(X56:Z56)-SUM(R56:W56)))</f>
        <v>0</v>
      </c>
      <c r="AB56" s="27" t="n">
        <f aca="false">MIN(F55*(1+F$8),MAX(R56,$B$11-SUM(X56:AA56)-SUM(S56:W56)))</f>
        <v>0</v>
      </c>
      <c r="AC56" s="27" t="n">
        <f aca="false">MIN(G55*(1+G$8),MAX(S56,$B$11-SUM(X56:AB56)-SUM(T56:W56)))</f>
        <v>0</v>
      </c>
      <c r="AD56" s="27" t="n">
        <f aca="false">MIN(H55*(1+H$8),MAX(T56,$B$11-SUM(X56:AC56)-SUM(U56:W56)))</f>
        <v>0</v>
      </c>
      <c r="AE56" s="27" t="n">
        <f aca="false">MIN(I55*(1+I$8),MAX(U56,$B$11-SUM(X56:AD56)-SUM(V56:W56)))</f>
        <v>0</v>
      </c>
      <c r="AF56" s="27" t="n">
        <f aca="false">MIN(J55*(1+J$8),MAX(V56,$B$11-SUM(X56:AE56)-SUM(W56:W56)))</f>
        <v>0</v>
      </c>
      <c r="AG56" s="27" t="n">
        <f aca="false">MIN(K55*(1+K$8),MAX(W56,$B$11-SUM(X56:AF56)))</f>
        <v>0</v>
      </c>
      <c r="AI56" s="27" t="n">
        <f aca="false">ROUND(MAX(0,AI55*(1+B$8)-BE56),2)</f>
        <v>0</v>
      </c>
      <c r="AJ56" s="27" t="n">
        <f aca="false">ROUND(MAX(0,AJ55*(1+C$8)-BF56),2)</f>
        <v>0</v>
      </c>
      <c r="AK56" s="27" t="n">
        <f aca="false">ROUND(MAX(0,AK55*(1+D$8)-BG56),2)</f>
        <v>0</v>
      </c>
      <c r="AL56" s="27" t="n">
        <f aca="false">ROUND(MAX(0,AL55*(1+E$8)-BH56),2)</f>
        <v>0</v>
      </c>
      <c r="AM56" s="27" t="n">
        <f aca="false">ROUND(MAX(0,AM55*(1+F$8)-BI56),2)</f>
        <v>0</v>
      </c>
      <c r="AN56" s="27" t="n">
        <f aca="false">ROUND(MAX(0,AN55*(1+G$8)-BJ56),2)</f>
        <v>0</v>
      </c>
      <c r="AO56" s="27" t="n">
        <f aca="false">ROUND(MAX(0,AO55*(1+H$8)-BK56),2)</f>
        <v>0</v>
      </c>
      <c r="AP56" s="27" t="n">
        <f aca="false">ROUND(MAX(0,AP55*(1+I$8)-BL56),2)</f>
        <v>0</v>
      </c>
      <c r="AQ56" s="27" t="n">
        <f aca="false">ROUND(MAX(0,AQ55*(1+J$8)-BM56),2)</f>
        <v>0</v>
      </c>
      <c r="AR56" s="27" t="n">
        <f aca="false">ROUND(MAX(0,AR55*(1+K$8)-BN56),2)</f>
        <v>0</v>
      </c>
      <c r="AS56" s="27" t="n">
        <f aca="false">SUM(AI56:AR56)</f>
        <v>0</v>
      </c>
      <c r="AT56" s="27" t="n">
        <f aca="false">SUMPRODUCT(AI55:AR55,$B$8:$K$8)</f>
        <v>8.685175</v>
      </c>
      <c r="AU56" s="27" t="n">
        <f aca="false">MIN(AI55*(1+B$8),B$9)</f>
        <v>0</v>
      </c>
      <c r="AV56" s="27" t="n">
        <f aca="false">MIN(AJ55*(1+C$8),C$9)</f>
        <v>0</v>
      </c>
      <c r="AW56" s="27" t="n">
        <f aca="false">MIN(AK55*(1+D$8),D$9)</f>
        <v>0</v>
      </c>
      <c r="AX56" s="27" t="n">
        <f aca="false">MIN(AL55*(1+E$8),E$9)</f>
        <v>95</v>
      </c>
      <c r="AY56" s="27" t="n">
        <f aca="false">MIN(AM55*(1+F$8),F$9)</f>
        <v>0</v>
      </c>
      <c r="AZ56" s="27" t="n">
        <f aca="false">MIN(AN55*(1+G$8),G$9)</f>
        <v>0</v>
      </c>
      <c r="BA56" s="27" t="n">
        <f aca="false">MIN(AO55*(1+H$8),H$9)</f>
        <v>0</v>
      </c>
      <c r="BB56" s="27" t="n">
        <f aca="false">MIN(AP55*(1+I$8),I$9)</f>
        <v>0</v>
      </c>
      <c r="BC56" s="27" t="n">
        <f aca="false">MIN(AQ55*(1+J$8),J$9)</f>
        <v>0</v>
      </c>
      <c r="BD56" s="27" t="n">
        <f aca="false">MIN(AR55*(1+K$8),K$9)</f>
        <v>0</v>
      </c>
      <c r="BE56" s="27" t="n">
        <f aca="false">MIN(AI55*(1+B$8),MAX(AU56,$B$12-SUM(AV56:BD56)))</f>
        <v>0</v>
      </c>
      <c r="BF56" s="27" t="n">
        <f aca="false">MIN(AJ55*(1+C$8),MAX(AV56,$B$12-SUM(BE56:BE56)-SUM(AW56:BD56)))</f>
        <v>0</v>
      </c>
      <c r="BG56" s="27" t="n">
        <f aca="false">MIN(AK55*(1+D$8),MAX(AW56,$B$12-SUM(BE56:BF56)-SUM(AX56:BD56)))</f>
        <v>0</v>
      </c>
      <c r="BH56" s="27" t="n">
        <f aca="false">MIN(AL55*(1+E$8),MAX(AX56,$B$12-SUM(BE56:BG56)-SUM(AY56:BD56)))</f>
        <v>484.585175</v>
      </c>
      <c r="BI56" s="27" t="n">
        <f aca="false">MIN(AM55*(1+F$8),MAX(AY56,$B$12-SUM(BE56:BH56)-SUM(AZ56:BD56)))</f>
        <v>0</v>
      </c>
      <c r="BJ56" s="27" t="n">
        <f aca="false">MIN(AN55*(1+G$8),MAX(AZ56,$B$12-SUM(BE56:BI56)-SUM(BA56:BD56)))</f>
        <v>0</v>
      </c>
      <c r="BK56" s="27" t="n">
        <f aca="false">MIN(AO55*(1+H$8),MAX(BA56,$B$12-SUM(BE56:BJ56)-SUM(BB56:BD56)))</f>
        <v>0</v>
      </c>
      <c r="BL56" s="27" t="n">
        <f aca="false">MIN(AP55*(1+I$8),MAX(BB56,$B$12-SUM(BE56:BK56)-SUM(BC56:BD56)))</f>
        <v>0</v>
      </c>
      <c r="BM56" s="27" t="n">
        <f aca="false">MIN(AQ55*(1+J$8),MAX(BC56,$B$12-SUM(BE56:BL56)-SUM(BD56:BD56)))</f>
        <v>0</v>
      </c>
      <c r="BN56" s="27" t="n">
        <f aca="false">MIN(AR55*(1+K$8),MAX(BD56,$B$12-SUM(BE56:BM56)))</f>
        <v>0</v>
      </c>
    </row>
    <row r="57" customFormat="false" ht="15" hidden="false" customHeight="false" outlineLevel="0" collapsed="false">
      <c r="A57" s="0" t="n">
        <v>43</v>
      </c>
      <c r="B57" s="27" t="n">
        <f aca="false">ROUND(MAX(0,B56*(1+B$8)-X57),2)</f>
        <v>0</v>
      </c>
      <c r="C57" s="27" t="n">
        <f aca="false">ROUND(MAX(0,C56*(1+C$8)-Y57),2)</f>
        <v>0</v>
      </c>
      <c r="D57" s="27" t="n">
        <f aca="false">ROUND(MAX(0,D56*(1+D$8)-Z57),2)</f>
        <v>0</v>
      </c>
      <c r="E57" s="27" t="n">
        <f aca="false">ROUND(MAX(0,E56*(1+E$8)-AA57),2)</f>
        <v>0</v>
      </c>
      <c r="F57" s="27" t="n">
        <f aca="false">ROUND(MAX(0,F56*(1+F$8)-AB57),2)</f>
        <v>0</v>
      </c>
      <c r="G57" s="27" t="n">
        <f aca="false">ROUND(MAX(0,G56*(1+G$8)-AC57),2)</f>
        <v>0</v>
      </c>
      <c r="H57" s="27" t="n">
        <f aca="false">ROUND(MAX(0,H56*(1+H$8)-AD57),2)</f>
        <v>0</v>
      </c>
      <c r="I57" s="27" t="n">
        <f aca="false">ROUND(MAX(0,I56*(1+I$8)-AE57),2)</f>
        <v>0</v>
      </c>
      <c r="J57" s="27" t="n">
        <f aca="false">ROUND(MAX(0,J56*(1+J$8)-AF57),2)</f>
        <v>0</v>
      </c>
      <c r="K57" s="27" t="n">
        <f aca="false">ROUND(MAX(0,K56*(1+K$8)-AG57),2)</f>
        <v>0</v>
      </c>
      <c r="L57" s="30" t="n">
        <f aca="false">SUM(B57:K57)</f>
        <v>0</v>
      </c>
      <c r="M57" s="27" t="n">
        <f aca="false">SUMPRODUCT(B56:K56,$B$8:$K$8)</f>
        <v>0</v>
      </c>
      <c r="N57" s="27" t="n">
        <f aca="false">MIN(B56*(1+B$8),B$9)</f>
        <v>0</v>
      </c>
      <c r="O57" s="27" t="n">
        <f aca="false">MIN(C56*(1+C$8),C$9)</f>
        <v>0</v>
      </c>
      <c r="P57" s="27" t="n">
        <f aca="false">MIN(D56*(1+D$8),D$9)</f>
        <v>0</v>
      </c>
      <c r="Q57" s="27" t="n">
        <f aca="false">MIN(E56*(1+E$8),E$9)</f>
        <v>0</v>
      </c>
      <c r="R57" s="27" t="n">
        <f aca="false">MIN(F56*(1+F$8),F$9)</f>
        <v>0</v>
      </c>
      <c r="S57" s="27" t="n">
        <f aca="false">MIN(G56*(1+G$8),G$9)</f>
        <v>0</v>
      </c>
      <c r="T57" s="27" t="n">
        <f aca="false">MIN(H56*(1+H$8),H$9)</f>
        <v>0</v>
      </c>
      <c r="U57" s="27" t="n">
        <f aca="false">MIN(I56*(1+I$8),I$9)</f>
        <v>0</v>
      </c>
      <c r="V57" s="27" t="n">
        <f aca="false">MIN(J56*(1+J$8),J$9)</f>
        <v>0</v>
      </c>
      <c r="W57" s="27" t="n">
        <f aca="false">MIN(K56*(1+K$8),K$9)</f>
        <v>0</v>
      </c>
      <c r="X57" s="27" t="n">
        <f aca="false">MIN(B56*(1+B$8),MAX(N57,$B$11-SUM(O57:W57)))</f>
        <v>0</v>
      </c>
      <c r="Y57" s="27" t="n">
        <f aca="false">MIN(C56*(1+C$8),MAX(O57,$B$11-SUM(X57:X57)-SUM(P57:W57)))</f>
        <v>0</v>
      </c>
      <c r="Z57" s="27" t="n">
        <f aca="false">MIN(D56*(1+D$8),MAX(P57,$B$11-SUM(X57:Y57)-SUM(Q57:W57)))</f>
        <v>0</v>
      </c>
      <c r="AA57" s="27" t="n">
        <f aca="false">MIN(E56*(1+E$8),MAX(Q57,$B$11-SUM(X57:Z57)-SUM(R57:W57)))</f>
        <v>0</v>
      </c>
      <c r="AB57" s="27" t="n">
        <f aca="false">MIN(F56*(1+F$8),MAX(R57,$B$11-SUM(X57:AA57)-SUM(S57:W57)))</f>
        <v>0</v>
      </c>
      <c r="AC57" s="27" t="n">
        <f aca="false">MIN(G56*(1+G$8),MAX(S57,$B$11-SUM(X57:AB57)-SUM(T57:W57)))</f>
        <v>0</v>
      </c>
      <c r="AD57" s="27" t="n">
        <f aca="false">MIN(H56*(1+H$8),MAX(T57,$B$11-SUM(X57:AC57)-SUM(U57:W57)))</f>
        <v>0</v>
      </c>
      <c r="AE57" s="27" t="n">
        <f aca="false">MIN(I56*(1+I$8),MAX(U57,$B$11-SUM(X57:AD57)-SUM(V57:W57)))</f>
        <v>0</v>
      </c>
      <c r="AF57" s="27" t="n">
        <f aca="false">MIN(J56*(1+J$8),MAX(V57,$B$11-SUM(X57:AE57)-SUM(W57:W57)))</f>
        <v>0</v>
      </c>
      <c r="AG57" s="27" t="n">
        <f aca="false">MIN(K56*(1+K$8),MAX(W57,$B$11-SUM(X57:AF57)))</f>
        <v>0</v>
      </c>
      <c r="AI57" s="27" t="n">
        <f aca="false">ROUND(MAX(0,AI56*(1+B$8)-BE57),2)</f>
        <v>0</v>
      </c>
      <c r="AJ57" s="27" t="n">
        <f aca="false">ROUND(MAX(0,AJ56*(1+C$8)-BF57),2)</f>
        <v>0</v>
      </c>
      <c r="AK57" s="27" t="n">
        <f aca="false">ROUND(MAX(0,AK56*(1+D$8)-BG57),2)</f>
        <v>0</v>
      </c>
      <c r="AL57" s="27" t="n">
        <f aca="false">ROUND(MAX(0,AL56*(1+E$8)-BH57),2)</f>
        <v>0</v>
      </c>
      <c r="AM57" s="27" t="n">
        <f aca="false">ROUND(MAX(0,AM56*(1+F$8)-BI57),2)</f>
        <v>0</v>
      </c>
      <c r="AN57" s="27" t="n">
        <f aca="false">ROUND(MAX(0,AN56*(1+G$8)-BJ57),2)</f>
        <v>0</v>
      </c>
      <c r="AO57" s="27" t="n">
        <f aca="false">ROUND(MAX(0,AO56*(1+H$8)-BK57),2)</f>
        <v>0</v>
      </c>
      <c r="AP57" s="27" t="n">
        <f aca="false">ROUND(MAX(0,AP56*(1+I$8)-BL57),2)</f>
        <v>0</v>
      </c>
      <c r="AQ57" s="27" t="n">
        <f aca="false">ROUND(MAX(0,AQ56*(1+J$8)-BM57),2)</f>
        <v>0</v>
      </c>
      <c r="AR57" s="27" t="n">
        <f aca="false">ROUND(MAX(0,AR56*(1+K$8)-BN57),2)</f>
        <v>0</v>
      </c>
      <c r="AS57" s="27" t="n">
        <f aca="false">SUM(AI57:AR57)</f>
        <v>0</v>
      </c>
      <c r="AT57" s="27" t="n">
        <f aca="false">SUMPRODUCT(AI56:AR56,$B$8:$K$8)</f>
        <v>0</v>
      </c>
      <c r="AU57" s="27" t="n">
        <f aca="false">MIN(AI56*(1+B$8),B$9)</f>
        <v>0</v>
      </c>
      <c r="AV57" s="27" t="n">
        <f aca="false">MIN(AJ56*(1+C$8),C$9)</f>
        <v>0</v>
      </c>
      <c r="AW57" s="27" t="n">
        <f aca="false">MIN(AK56*(1+D$8),D$9)</f>
        <v>0</v>
      </c>
      <c r="AX57" s="27" t="n">
        <f aca="false">MIN(AL56*(1+E$8),E$9)</f>
        <v>0</v>
      </c>
      <c r="AY57" s="27" t="n">
        <f aca="false">MIN(AM56*(1+F$8),F$9)</f>
        <v>0</v>
      </c>
      <c r="AZ57" s="27" t="n">
        <f aca="false">MIN(AN56*(1+G$8),G$9)</f>
        <v>0</v>
      </c>
      <c r="BA57" s="27" t="n">
        <f aca="false">MIN(AO56*(1+H$8),H$9)</f>
        <v>0</v>
      </c>
      <c r="BB57" s="27" t="n">
        <f aca="false">MIN(AP56*(1+I$8),I$9)</f>
        <v>0</v>
      </c>
      <c r="BC57" s="27" t="n">
        <f aca="false">MIN(AQ56*(1+J$8),J$9)</f>
        <v>0</v>
      </c>
      <c r="BD57" s="27" t="n">
        <f aca="false">MIN(AR56*(1+K$8),K$9)</f>
        <v>0</v>
      </c>
      <c r="BE57" s="27" t="n">
        <f aca="false">MIN(AI56*(1+B$8),MAX(AU57,$B$12-SUM(AV57:BD57)))</f>
        <v>0</v>
      </c>
      <c r="BF57" s="27" t="n">
        <f aca="false">MIN(AJ56*(1+C$8),MAX(AV57,$B$12-SUM(BE57:BE57)-SUM(AW57:BD57)))</f>
        <v>0</v>
      </c>
      <c r="BG57" s="27" t="n">
        <f aca="false">MIN(AK56*(1+D$8),MAX(AW57,$B$12-SUM(BE57:BF57)-SUM(AX57:BD57)))</f>
        <v>0</v>
      </c>
      <c r="BH57" s="27" t="n">
        <f aca="false">MIN(AL56*(1+E$8),MAX(AX57,$B$12-SUM(BE57:BG57)-SUM(AY57:BD57)))</f>
        <v>0</v>
      </c>
      <c r="BI57" s="27" t="n">
        <f aca="false">MIN(AM56*(1+F$8),MAX(AY57,$B$12-SUM(BE57:BH57)-SUM(AZ57:BD57)))</f>
        <v>0</v>
      </c>
      <c r="BJ57" s="27" t="n">
        <f aca="false">MIN(AN56*(1+G$8),MAX(AZ57,$B$12-SUM(BE57:BI57)-SUM(BA57:BD57)))</f>
        <v>0</v>
      </c>
      <c r="BK57" s="27" t="n">
        <f aca="false">MIN(AO56*(1+H$8),MAX(BA57,$B$12-SUM(BE57:BJ57)-SUM(BB57:BD57)))</f>
        <v>0</v>
      </c>
      <c r="BL57" s="27" t="n">
        <f aca="false">MIN(AP56*(1+I$8),MAX(BB57,$B$12-SUM(BE57:BK57)-SUM(BC57:BD57)))</f>
        <v>0</v>
      </c>
      <c r="BM57" s="27" t="n">
        <f aca="false">MIN(AQ56*(1+J$8),MAX(BC57,$B$12-SUM(BE57:BL57)-SUM(BD57:BD57)))</f>
        <v>0</v>
      </c>
      <c r="BN57" s="27" t="n">
        <f aca="false">MIN(AR56*(1+K$8),MAX(BD57,$B$12-SUM(BE57:BM57)))</f>
        <v>0</v>
      </c>
    </row>
    <row r="58" customFormat="false" ht="15" hidden="false" customHeight="false" outlineLevel="0" collapsed="false">
      <c r="A58" s="0" t="n">
        <v>44</v>
      </c>
      <c r="B58" s="27" t="n">
        <f aca="false">ROUND(MAX(0,B57*(1+B$8)-X58),2)</f>
        <v>0</v>
      </c>
      <c r="C58" s="27" t="n">
        <f aca="false">ROUND(MAX(0,C57*(1+C$8)-Y58),2)</f>
        <v>0</v>
      </c>
      <c r="D58" s="27" t="n">
        <f aca="false">ROUND(MAX(0,D57*(1+D$8)-Z58),2)</f>
        <v>0</v>
      </c>
      <c r="E58" s="27" t="n">
        <f aca="false">ROUND(MAX(0,E57*(1+E$8)-AA58),2)</f>
        <v>0</v>
      </c>
      <c r="F58" s="27" t="n">
        <f aca="false">ROUND(MAX(0,F57*(1+F$8)-AB58),2)</f>
        <v>0</v>
      </c>
      <c r="G58" s="27" t="n">
        <f aca="false">ROUND(MAX(0,G57*(1+G$8)-AC58),2)</f>
        <v>0</v>
      </c>
      <c r="H58" s="27" t="n">
        <f aca="false">ROUND(MAX(0,H57*(1+H$8)-AD58),2)</f>
        <v>0</v>
      </c>
      <c r="I58" s="27" t="n">
        <f aca="false">ROUND(MAX(0,I57*(1+I$8)-AE58),2)</f>
        <v>0</v>
      </c>
      <c r="J58" s="27" t="n">
        <f aca="false">ROUND(MAX(0,J57*(1+J$8)-AF58),2)</f>
        <v>0</v>
      </c>
      <c r="K58" s="27" t="n">
        <f aca="false">ROUND(MAX(0,K57*(1+K$8)-AG58),2)</f>
        <v>0</v>
      </c>
      <c r="L58" s="30" t="n">
        <f aca="false">SUM(B58:K58)</f>
        <v>0</v>
      </c>
      <c r="M58" s="27" t="n">
        <f aca="false">SUMPRODUCT(B57:K57,$B$8:$K$8)</f>
        <v>0</v>
      </c>
      <c r="N58" s="27" t="n">
        <f aca="false">MIN(B57*(1+B$8),B$9)</f>
        <v>0</v>
      </c>
      <c r="O58" s="27" t="n">
        <f aca="false">MIN(C57*(1+C$8),C$9)</f>
        <v>0</v>
      </c>
      <c r="P58" s="27" t="n">
        <f aca="false">MIN(D57*(1+D$8),D$9)</f>
        <v>0</v>
      </c>
      <c r="Q58" s="27" t="n">
        <f aca="false">MIN(E57*(1+E$8),E$9)</f>
        <v>0</v>
      </c>
      <c r="R58" s="27" t="n">
        <f aca="false">MIN(F57*(1+F$8),F$9)</f>
        <v>0</v>
      </c>
      <c r="S58" s="27" t="n">
        <f aca="false">MIN(G57*(1+G$8),G$9)</f>
        <v>0</v>
      </c>
      <c r="T58" s="27" t="n">
        <f aca="false">MIN(H57*(1+H$8),H$9)</f>
        <v>0</v>
      </c>
      <c r="U58" s="27" t="n">
        <f aca="false">MIN(I57*(1+I$8),I$9)</f>
        <v>0</v>
      </c>
      <c r="V58" s="27" t="n">
        <f aca="false">MIN(J57*(1+J$8),J$9)</f>
        <v>0</v>
      </c>
      <c r="W58" s="27" t="n">
        <f aca="false">MIN(K57*(1+K$8),K$9)</f>
        <v>0</v>
      </c>
      <c r="X58" s="27" t="n">
        <f aca="false">MIN(B57*(1+B$8),MAX(N58,$B$11-SUM(O58:W58)))</f>
        <v>0</v>
      </c>
      <c r="Y58" s="27" t="n">
        <f aca="false">MIN(C57*(1+C$8),MAX(O58,$B$11-SUM(X58:X58)-SUM(P58:W58)))</f>
        <v>0</v>
      </c>
      <c r="Z58" s="27" t="n">
        <f aca="false">MIN(D57*(1+D$8),MAX(P58,$B$11-SUM(X58:Y58)-SUM(Q58:W58)))</f>
        <v>0</v>
      </c>
      <c r="AA58" s="27" t="n">
        <f aca="false">MIN(E57*(1+E$8),MAX(Q58,$B$11-SUM(X58:Z58)-SUM(R58:W58)))</f>
        <v>0</v>
      </c>
      <c r="AB58" s="27" t="n">
        <f aca="false">MIN(F57*(1+F$8),MAX(R58,$B$11-SUM(X58:AA58)-SUM(S58:W58)))</f>
        <v>0</v>
      </c>
      <c r="AC58" s="27" t="n">
        <f aca="false">MIN(G57*(1+G$8),MAX(S58,$B$11-SUM(X58:AB58)-SUM(T58:W58)))</f>
        <v>0</v>
      </c>
      <c r="AD58" s="27" t="n">
        <f aca="false">MIN(H57*(1+H$8),MAX(T58,$B$11-SUM(X58:AC58)-SUM(U58:W58)))</f>
        <v>0</v>
      </c>
      <c r="AE58" s="27" t="n">
        <f aca="false">MIN(I57*(1+I$8),MAX(U58,$B$11-SUM(X58:AD58)-SUM(V58:W58)))</f>
        <v>0</v>
      </c>
      <c r="AF58" s="27" t="n">
        <f aca="false">MIN(J57*(1+J$8),MAX(V58,$B$11-SUM(X58:AE58)-SUM(W58:W58)))</f>
        <v>0</v>
      </c>
      <c r="AG58" s="27" t="n">
        <f aca="false">MIN(K57*(1+K$8),MAX(W58,$B$11-SUM(X58:AF58)))</f>
        <v>0</v>
      </c>
      <c r="AI58" s="27" t="n">
        <f aca="false">ROUND(MAX(0,AI57*(1+B$8)-BE58),2)</f>
        <v>0</v>
      </c>
      <c r="AJ58" s="27" t="n">
        <f aca="false">ROUND(MAX(0,AJ57*(1+C$8)-BF58),2)</f>
        <v>0</v>
      </c>
      <c r="AK58" s="27" t="n">
        <f aca="false">ROUND(MAX(0,AK57*(1+D$8)-BG58),2)</f>
        <v>0</v>
      </c>
      <c r="AL58" s="27" t="n">
        <f aca="false">ROUND(MAX(0,AL57*(1+E$8)-BH58),2)</f>
        <v>0</v>
      </c>
      <c r="AM58" s="27" t="n">
        <f aca="false">ROUND(MAX(0,AM57*(1+F$8)-BI58),2)</f>
        <v>0</v>
      </c>
      <c r="AN58" s="27" t="n">
        <f aca="false">ROUND(MAX(0,AN57*(1+G$8)-BJ58),2)</f>
        <v>0</v>
      </c>
      <c r="AO58" s="27" t="n">
        <f aca="false">ROUND(MAX(0,AO57*(1+H$8)-BK58),2)</f>
        <v>0</v>
      </c>
      <c r="AP58" s="27" t="n">
        <f aca="false">ROUND(MAX(0,AP57*(1+I$8)-BL58),2)</f>
        <v>0</v>
      </c>
      <c r="AQ58" s="27" t="n">
        <f aca="false">ROUND(MAX(0,AQ57*(1+J$8)-BM58),2)</f>
        <v>0</v>
      </c>
      <c r="AR58" s="27" t="n">
        <f aca="false">ROUND(MAX(0,AR57*(1+K$8)-BN58),2)</f>
        <v>0</v>
      </c>
      <c r="AS58" s="27" t="n">
        <f aca="false">SUM(AI58:AR58)</f>
        <v>0</v>
      </c>
      <c r="AT58" s="27" t="n">
        <f aca="false">SUMPRODUCT(AI57:AR57,$B$8:$K$8)</f>
        <v>0</v>
      </c>
      <c r="AU58" s="27" t="n">
        <f aca="false">MIN(AI57*(1+B$8),B$9)</f>
        <v>0</v>
      </c>
      <c r="AV58" s="27" t="n">
        <f aca="false">MIN(AJ57*(1+C$8),C$9)</f>
        <v>0</v>
      </c>
      <c r="AW58" s="27" t="n">
        <f aca="false">MIN(AK57*(1+D$8),D$9)</f>
        <v>0</v>
      </c>
      <c r="AX58" s="27" t="n">
        <f aca="false">MIN(AL57*(1+E$8),E$9)</f>
        <v>0</v>
      </c>
      <c r="AY58" s="27" t="n">
        <f aca="false">MIN(AM57*(1+F$8),F$9)</f>
        <v>0</v>
      </c>
      <c r="AZ58" s="27" t="n">
        <f aca="false">MIN(AN57*(1+G$8),G$9)</f>
        <v>0</v>
      </c>
      <c r="BA58" s="27" t="n">
        <f aca="false">MIN(AO57*(1+H$8),H$9)</f>
        <v>0</v>
      </c>
      <c r="BB58" s="27" t="n">
        <f aca="false">MIN(AP57*(1+I$8),I$9)</f>
        <v>0</v>
      </c>
      <c r="BC58" s="27" t="n">
        <f aca="false">MIN(AQ57*(1+J$8),J$9)</f>
        <v>0</v>
      </c>
      <c r="BD58" s="27" t="n">
        <f aca="false">MIN(AR57*(1+K$8),K$9)</f>
        <v>0</v>
      </c>
      <c r="BE58" s="27" t="n">
        <f aca="false">MIN(AI57*(1+B$8),MAX(AU58,$B$12-SUM(AV58:BD58)))</f>
        <v>0</v>
      </c>
      <c r="BF58" s="27" t="n">
        <f aca="false">MIN(AJ57*(1+C$8),MAX(AV58,$B$12-SUM(BE58:BE58)-SUM(AW58:BD58)))</f>
        <v>0</v>
      </c>
      <c r="BG58" s="27" t="n">
        <f aca="false">MIN(AK57*(1+D$8),MAX(AW58,$B$12-SUM(BE58:BF58)-SUM(AX58:BD58)))</f>
        <v>0</v>
      </c>
      <c r="BH58" s="27" t="n">
        <f aca="false">MIN(AL57*(1+E$8),MAX(AX58,$B$12-SUM(BE58:BG58)-SUM(AY58:BD58)))</f>
        <v>0</v>
      </c>
      <c r="BI58" s="27" t="n">
        <f aca="false">MIN(AM57*(1+F$8),MAX(AY58,$B$12-SUM(BE58:BH58)-SUM(AZ58:BD58)))</f>
        <v>0</v>
      </c>
      <c r="BJ58" s="27" t="n">
        <f aca="false">MIN(AN57*(1+G$8),MAX(AZ58,$B$12-SUM(BE58:BI58)-SUM(BA58:BD58)))</f>
        <v>0</v>
      </c>
      <c r="BK58" s="27" t="n">
        <f aca="false">MIN(AO57*(1+H$8),MAX(BA58,$B$12-SUM(BE58:BJ58)-SUM(BB58:BD58)))</f>
        <v>0</v>
      </c>
      <c r="BL58" s="27" t="n">
        <f aca="false">MIN(AP57*(1+I$8),MAX(BB58,$B$12-SUM(BE58:BK58)-SUM(BC58:BD58)))</f>
        <v>0</v>
      </c>
      <c r="BM58" s="27" t="n">
        <f aca="false">MIN(AQ57*(1+J$8),MAX(BC58,$B$12-SUM(BE58:BL58)-SUM(BD58:BD58)))</f>
        <v>0</v>
      </c>
      <c r="BN58" s="27" t="n">
        <f aca="false">MIN(AR57*(1+K$8),MAX(BD58,$B$12-SUM(BE58:BM58)))</f>
        <v>0</v>
      </c>
    </row>
    <row r="59" customFormat="false" ht="15" hidden="false" customHeight="false" outlineLevel="0" collapsed="false">
      <c r="A59" s="0" t="n">
        <v>45</v>
      </c>
      <c r="B59" s="27" t="n">
        <f aca="false">ROUND(MAX(0,B58*(1+B$8)-X59),2)</f>
        <v>0</v>
      </c>
      <c r="C59" s="27" t="n">
        <f aca="false">ROUND(MAX(0,C58*(1+C$8)-Y59),2)</f>
        <v>0</v>
      </c>
      <c r="D59" s="27" t="n">
        <f aca="false">ROUND(MAX(0,D58*(1+D$8)-Z59),2)</f>
        <v>0</v>
      </c>
      <c r="E59" s="27" t="n">
        <f aca="false">ROUND(MAX(0,E58*(1+E$8)-AA59),2)</f>
        <v>0</v>
      </c>
      <c r="F59" s="27" t="n">
        <f aca="false">ROUND(MAX(0,F58*(1+F$8)-AB59),2)</f>
        <v>0</v>
      </c>
      <c r="G59" s="27" t="n">
        <f aca="false">ROUND(MAX(0,G58*(1+G$8)-AC59),2)</f>
        <v>0</v>
      </c>
      <c r="H59" s="27" t="n">
        <f aca="false">ROUND(MAX(0,H58*(1+H$8)-AD59),2)</f>
        <v>0</v>
      </c>
      <c r="I59" s="27" t="n">
        <f aca="false">ROUND(MAX(0,I58*(1+I$8)-AE59),2)</f>
        <v>0</v>
      </c>
      <c r="J59" s="27" t="n">
        <f aca="false">ROUND(MAX(0,J58*(1+J$8)-AF59),2)</f>
        <v>0</v>
      </c>
      <c r="K59" s="27" t="n">
        <f aca="false">ROUND(MAX(0,K58*(1+K$8)-AG59),2)</f>
        <v>0</v>
      </c>
      <c r="L59" s="30" t="n">
        <f aca="false">SUM(B59:K59)</f>
        <v>0</v>
      </c>
      <c r="M59" s="27" t="n">
        <f aca="false">SUMPRODUCT(B58:K58,$B$8:$K$8)</f>
        <v>0</v>
      </c>
      <c r="N59" s="27" t="n">
        <f aca="false">MIN(B58*(1+B$8),B$9)</f>
        <v>0</v>
      </c>
      <c r="O59" s="27" t="n">
        <f aca="false">MIN(C58*(1+C$8),C$9)</f>
        <v>0</v>
      </c>
      <c r="P59" s="27" t="n">
        <f aca="false">MIN(D58*(1+D$8),D$9)</f>
        <v>0</v>
      </c>
      <c r="Q59" s="27" t="n">
        <f aca="false">MIN(E58*(1+E$8),E$9)</f>
        <v>0</v>
      </c>
      <c r="R59" s="27" t="n">
        <f aca="false">MIN(F58*(1+F$8),F$9)</f>
        <v>0</v>
      </c>
      <c r="S59" s="27" t="n">
        <f aca="false">MIN(G58*(1+G$8),G$9)</f>
        <v>0</v>
      </c>
      <c r="T59" s="27" t="n">
        <f aca="false">MIN(H58*(1+H$8),H$9)</f>
        <v>0</v>
      </c>
      <c r="U59" s="27" t="n">
        <f aca="false">MIN(I58*(1+I$8),I$9)</f>
        <v>0</v>
      </c>
      <c r="V59" s="27" t="n">
        <f aca="false">MIN(J58*(1+J$8),J$9)</f>
        <v>0</v>
      </c>
      <c r="W59" s="27" t="n">
        <f aca="false">MIN(K58*(1+K$8),K$9)</f>
        <v>0</v>
      </c>
      <c r="X59" s="27" t="n">
        <f aca="false">MIN(B58*(1+B$8),MAX(N59,$B$11-SUM(O59:W59)))</f>
        <v>0</v>
      </c>
      <c r="Y59" s="27" t="n">
        <f aca="false">MIN(C58*(1+C$8),MAX(O59,$B$11-SUM(X59:X59)-SUM(P59:W59)))</f>
        <v>0</v>
      </c>
      <c r="Z59" s="27" t="n">
        <f aca="false">MIN(D58*(1+D$8),MAX(P59,$B$11-SUM(X59:Y59)-SUM(Q59:W59)))</f>
        <v>0</v>
      </c>
      <c r="AA59" s="27" t="n">
        <f aca="false">MIN(E58*(1+E$8),MAX(Q59,$B$11-SUM(X59:Z59)-SUM(R59:W59)))</f>
        <v>0</v>
      </c>
      <c r="AB59" s="27" t="n">
        <f aca="false">MIN(F58*(1+F$8),MAX(R59,$B$11-SUM(X59:AA59)-SUM(S59:W59)))</f>
        <v>0</v>
      </c>
      <c r="AC59" s="27" t="n">
        <f aca="false">MIN(G58*(1+G$8),MAX(S59,$B$11-SUM(X59:AB59)-SUM(T59:W59)))</f>
        <v>0</v>
      </c>
      <c r="AD59" s="27" t="n">
        <f aca="false">MIN(H58*(1+H$8),MAX(T59,$B$11-SUM(X59:AC59)-SUM(U59:W59)))</f>
        <v>0</v>
      </c>
      <c r="AE59" s="27" t="n">
        <f aca="false">MIN(I58*(1+I$8),MAX(U59,$B$11-SUM(X59:AD59)-SUM(V59:W59)))</f>
        <v>0</v>
      </c>
      <c r="AF59" s="27" t="n">
        <f aca="false">MIN(J58*(1+J$8),MAX(V59,$B$11-SUM(X59:AE59)-SUM(W59:W59)))</f>
        <v>0</v>
      </c>
      <c r="AG59" s="27" t="n">
        <f aca="false">MIN(K58*(1+K$8),MAX(W59,$B$11-SUM(X59:AF59)))</f>
        <v>0</v>
      </c>
      <c r="AI59" s="27" t="n">
        <f aca="false">ROUND(MAX(0,AI58*(1+B$8)-BE59),2)</f>
        <v>0</v>
      </c>
      <c r="AJ59" s="27" t="n">
        <f aca="false">ROUND(MAX(0,AJ58*(1+C$8)-BF59),2)</f>
        <v>0</v>
      </c>
      <c r="AK59" s="27" t="n">
        <f aca="false">ROUND(MAX(0,AK58*(1+D$8)-BG59),2)</f>
        <v>0</v>
      </c>
      <c r="AL59" s="27" t="n">
        <f aca="false">ROUND(MAX(0,AL58*(1+E$8)-BH59),2)</f>
        <v>0</v>
      </c>
      <c r="AM59" s="27" t="n">
        <f aca="false">ROUND(MAX(0,AM58*(1+F$8)-BI59),2)</f>
        <v>0</v>
      </c>
      <c r="AN59" s="27" t="n">
        <f aca="false">ROUND(MAX(0,AN58*(1+G$8)-BJ59),2)</f>
        <v>0</v>
      </c>
      <c r="AO59" s="27" t="n">
        <f aca="false">ROUND(MAX(0,AO58*(1+H$8)-BK59),2)</f>
        <v>0</v>
      </c>
      <c r="AP59" s="27" t="n">
        <f aca="false">ROUND(MAX(0,AP58*(1+I$8)-BL59),2)</f>
        <v>0</v>
      </c>
      <c r="AQ59" s="27" t="n">
        <f aca="false">ROUND(MAX(0,AQ58*(1+J$8)-BM59),2)</f>
        <v>0</v>
      </c>
      <c r="AR59" s="27" t="n">
        <f aca="false">ROUND(MAX(0,AR58*(1+K$8)-BN59),2)</f>
        <v>0</v>
      </c>
      <c r="AS59" s="27" t="n">
        <f aca="false">SUM(AI59:AR59)</f>
        <v>0</v>
      </c>
      <c r="AT59" s="27" t="n">
        <f aca="false">SUMPRODUCT(AI58:AR58,$B$8:$K$8)</f>
        <v>0</v>
      </c>
      <c r="AU59" s="27" t="n">
        <f aca="false">MIN(AI58*(1+B$8),B$9)</f>
        <v>0</v>
      </c>
      <c r="AV59" s="27" t="n">
        <f aca="false">MIN(AJ58*(1+C$8),C$9)</f>
        <v>0</v>
      </c>
      <c r="AW59" s="27" t="n">
        <f aca="false">MIN(AK58*(1+D$8),D$9)</f>
        <v>0</v>
      </c>
      <c r="AX59" s="27" t="n">
        <f aca="false">MIN(AL58*(1+E$8),E$9)</f>
        <v>0</v>
      </c>
      <c r="AY59" s="27" t="n">
        <f aca="false">MIN(AM58*(1+F$8),F$9)</f>
        <v>0</v>
      </c>
      <c r="AZ59" s="27" t="n">
        <f aca="false">MIN(AN58*(1+G$8),G$9)</f>
        <v>0</v>
      </c>
      <c r="BA59" s="27" t="n">
        <f aca="false">MIN(AO58*(1+H$8),H$9)</f>
        <v>0</v>
      </c>
      <c r="BB59" s="27" t="n">
        <f aca="false">MIN(AP58*(1+I$8),I$9)</f>
        <v>0</v>
      </c>
      <c r="BC59" s="27" t="n">
        <f aca="false">MIN(AQ58*(1+J$8),J$9)</f>
        <v>0</v>
      </c>
      <c r="BD59" s="27" t="n">
        <f aca="false">MIN(AR58*(1+K$8),K$9)</f>
        <v>0</v>
      </c>
      <c r="BE59" s="27" t="n">
        <f aca="false">MIN(AI58*(1+B$8),MAX(AU59,$B$12-SUM(AV59:BD59)))</f>
        <v>0</v>
      </c>
      <c r="BF59" s="27" t="n">
        <f aca="false">MIN(AJ58*(1+C$8),MAX(AV59,$B$12-SUM(BE59:BE59)-SUM(AW59:BD59)))</f>
        <v>0</v>
      </c>
      <c r="BG59" s="27" t="n">
        <f aca="false">MIN(AK58*(1+D$8),MAX(AW59,$B$12-SUM(BE59:BF59)-SUM(AX59:BD59)))</f>
        <v>0</v>
      </c>
      <c r="BH59" s="27" t="n">
        <f aca="false">MIN(AL58*(1+E$8),MAX(AX59,$B$12-SUM(BE59:BG59)-SUM(AY59:BD59)))</f>
        <v>0</v>
      </c>
      <c r="BI59" s="27" t="n">
        <f aca="false">MIN(AM58*(1+F$8),MAX(AY59,$B$12-SUM(BE59:BH59)-SUM(AZ59:BD59)))</f>
        <v>0</v>
      </c>
      <c r="BJ59" s="27" t="n">
        <f aca="false">MIN(AN58*(1+G$8),MAX(AZ59,$B$12-SUM(BE59:BI59)-SUM(BA59:BD59)))</f>
        <v>0</v>
      </c>
      <c r="BK59" s="27" t="n">
        <f aca="false">MIN(AO58*(1+H$8),MAX(BA59,$B$12-SUM(BE59:BJ59)-SUM(BB59:BD59)))</f>
        <v>0</v>
      </c>
      <c r="BL59" s="27" t="n">
        <f aca="false">MIN(AP58*(1+I$8),MAX(BB59,$B$12-SUM(BE59:BK59)-SUM(BC59:BD59)))</f>
        <v>0</v>
      </c>
      <c r="BM59" s="27" t="n">
        <f aca="false">MIN(AQ58*(1+J$8),MAX(BC59,$B$12-SUM(BE59:BL59)-SUM(BD59:BD59)))</f>
        <v>0</v>
      </c>
      <c r="BN59" s="27" t="n">
        <f aca="false">MIN(AR58*(1+K$8),MAX(BD59,$B$12-SUM(BE59:BM59)))</f>
        <v>0</v>
      </c>
    </row>
    <row r="60" customFormat="false" ht="15" hidden="false" customHeight="false" outlineLevel="0" collapsed="false">
      <c r="A60" s="0" t="n">
        <v>46</v>
      </c>
      <c r="B60" s="27" t="n">
        <f aca="false">ROUND(MAX(0,B59*(1+B$8)-X60),2)</f>
        <v>0</v>
      </c>
      <c r="C60" s="27" t="n">
        <f aca="false">ROUND(MAX(0,C59*(1+C$8)-Y60),2)</f>
        <v>0</v>
      </c>
      <c r="D60" s="27" t="n">
        <f aca="false">ROUND(MAX(0,D59*(1+D$8)-Z60),2)</f>
        <v>0</v>
      </c>
      <c r="E60" s="27" t="n">
        <f aca="false">ROUND(MAX(0,E59*(1+E$8)-AA60),2)</f>
        <v>0</v>
      </c>
      <c r="F60" s="27" t="n">
        <f aca="false">ROUND(MAX(0,F59*(1+F$8)-AB60),2)</f>
        <v>0</v>
      </c>
      <c r="G60" s="27" t="n">
        <f aca="false">ROUND(MAX(0,G59*(1+G$8)-AC60),2)</f>
        <v>0</v>
      </c>
      <c r="H60" s="27" t="n">
        <f aca="false">ROUND(MAX(0,H59*(1+H$8)-AD60),2)</f>
        <v>0</v>
      </c>
      <c r="I60" s="27" t="n">
        <f aca="false">ROUND(MAX(0,I59*(1+I$8)-AE60),2)</f>
        <v>0</v>
      </c>
      <c r="J60" s="27" t="n">
        <f aca="false">ROUND(MAX(0,J59*(1+J$8)-AF60),2)</f>
        <v>0</v>
      </c>
      <c r="K60" s="27" t="n">
        <f aca="false">ROUND(MAX(0,K59*(1+K$8)-AG60),2)</f>
        <v>0</v>
      </c>
      <c r="L60" s="30" t="n">
        <f aca="false">SUM(B60:K60)</f>
        <v>0</v>
      </c>
      <c r="M60" s="27" t="n">
        <f aca="false">SUMPRODUCT(B59:K59,$B$8:$K$8)</f>
        <v>0</v>
      </c>
      <c r="N60" s="27" t="n">
        <f aca="false">MIN(B59*(1+B$8),B$9)</f>
        <v>0</v>
      </c>
      <c r="O60" s="27" t="n">
        <f aca="false">MIN(C59*(1+C$8),C$9)</f>
        <v>0</v>
      </c>
      <c r="P60" s="27" t="n">
        <f aca="false">MIN(D59*(1+D$8),D$9)</f>
        <v>0</v>
      </c>
      <c r="Q60" s="27" t="n">
        <f aca="false">MIN(E59*(1+E$8),E$9)</f>
        <v>0</v>
      </c>
      <c r="R60" s="27" t="n">
        <f aca="false">MIN(F59*(1+F$8),F$9)</f>
        <v>0</v>
      </c>
      <c r="S60" s="27" t="n">
        <f aca="false">MIN(G59*(1+G$8),G$9)</f>
        <v>0</v>
      </c>
      <c r="T60" s="27" t="n">
        <f aca="false">MIN(H59*(1+H$8),H$9)</f>
        <v>0</v>
      </c>
      <c r="U60" s="27" t="n">
        <f aca="false">MIN(I59*(1+I$8),I$9)</f>
        <v>0</v>
      </c>
      <c r="V60" s="27" t="n">
        <f aca="false">MIN(J59*(1+J$8),J$9)</f>
        <v>0</v>
      </c>
      <c r="W60" s="27" t="n">
        <f aca="false">MIN(K59*(1+K$8),K$9)</f>
        <v>0</v>
      </c>
      <c r="X60" s="27" t="n">
        <f aca="false">MIN(B59*(1+B$8),MAX(N60,$B$11-SUM(O60:W60)))</f>
        <v>0</v>
      </c>
      <c r="Y60" s="27" t="n">
        <f aca="false">MIN(C59*(1+C$8),MAX(O60,$B$11-SUM(X60:X60)-SUM(P60:W60)))</f>
        <v>0</v>
      </c>
      <c r="Z60" s="27" t="n">
        <f aca="false">MIN(D59*(1+D$8),MAX(P60,$B$11-SUM(X60:Y60)-SUM(Q60:W60)))</f>
        <v>0</v>
      </c>
      <c r="AA60" s="27" t="n">
        <f aca="false">MIN(E59*(1+E$8),MAX(Q60,$B$11-SUM(X60:Z60)-SUM(R60:W60)))</f>
        <v>0</v>
      </c>
      <c r="AB60" s="27" t="n">
        <f aca="false">MIN(F59*(1+F$8),MAX(R60,$B$11-SUM(X60:AA60)-SUM(S60:W60)))</f>
        <v>0</v>
      </c>
      <c r="AC60" s="27" t="n">
        <f aca="false">MIN(G59*(1+G$8),MAX(S60,$B$11-SUM(X60:AB60)-SUM(T60:W60)))</f>
        <v>0</v>
      </c>
      <c r="AD60" s="27" t="n">
        <f aca="false">MIN(H59*(1+H$8),MAX(T60,$B$11-SUM(X60:AC60)-SUM(U60:W60)))</f>
        <v>0</v>
      </c>
      <c r="AE60" s="27" t="n">
        <f aca="false">MIN(I59*(1+I$8),MAX(U60,$B$11-SUM(X60:AD60)-SUM(V60:W60)))</f>
        <v>0</v>
      </c>
      <c r="AF60" s="27" t="n">
        <f aca="false">MIN(J59*(1+J$8),MAX(V60,$B$11-SUM(X60:AE60)-SUM(W60:W60)))</f>
        <v>0</v>
      </c>
      <c r="AG60" s="27" t="n">
        <f aca="false">MIN(K59*(1+K$8),MAX(W60,$B$11-SUM(X60:AF60)))</f>
        <v>0</v>
      </c>
      <c r="AI60" s="27" t="n">
        <f aca="false">ROUND(MAX(0,AI59*(1+B$8)-BE60),2)</f>
        <v>0</v>
      </c>
      <c r="AJ60" s="27" t="n">
        <f aca="false">ROUND(MAX(0,AJ59*(1+C$8)-BF60),2)</f>
        <v>0</v>
      </c>
      <c r="AK60" s="27" t="n">
        <f aca="false">ROUND(MAX(0,AK59*(1+D$8)-BG60),2)</f>
        <v>0</v>
      </c>
      <c r="AL60" s="27" t="n">
        <f aca="false">ROUND(MAX(0,AL59*(1+E$8)-BH60),2)</f>
        <v>0</v>
      </c>
      <c r="AM60" s="27" t="n">
        <f aca="false">ROUND(MAX(0,AM59*(1+F$8)-BI60),2)</f>
        <v>0</v>
      </c>
      <c r="AN60" s="27" t="n">
        <f aca="false">ROUND(MAX(0,AN59*(1+G$8)-BJ60),2)</f>
        <v>0</v>
      </c>
      <c r="AO60" s="27" t="n">
        <f aca="false">ROUND(MAX(0,AO59*(1+H$8)-BK60),2)</f>
        <v>0</v>
      </c>
      <c r="AP60" s="27" t="n">
        <f aca="false">ROUND(MAX(0,AP59*(1+I$8)-BL60),2)</f>
        <v>0</v>
      </c>
      <c r="AQ60" s="27" t="n">
        <f aca="false">ROUND(MAX(0,AQ59*(1+J$8)-BM60),2)</f>
        <v>0</v>
      </c>
      <c r="AR60" s="27" t="n">
        <f aca="false">ROUND(MAX(0,AR59*(1+K$8)-BN60),2)</f>
        <v>0</v>
      </c>
      <c r="AS60" s="27" t="n">
        <f aca="false">SUM(AI60:AR60)</f>
        <v>0</v>
      </c>
      <c r="AT60" s="27" t="n">
        <f aca="false">SUMPRODUCT(AI59:AR59,$B$8:$K$8)</f>
        <v>0</v>
      </c>
      <c r="AU60" s="27" t="n">
        <f aca="false">MIN(AI59*(1+B$8),B$9)</f>
        <v>0</v>
      </c>
      <c r="AV60" s="27" t="n">
        <f aca="false">MIN(AJ59*(1+C$8),C$9)</f>
        <v>0</v>
      </c>
      <c r="AW60" s="27" t="n">
        <f aca="false">MIN(AK59*(1+D$8),D$9)</f>
        <v>0</v>
      </c>
      <c r="AX60" s="27" t="n">
        <f aca="false">MIN(AL59*(1+E$8),E$9)</f>
        <v>0</v>
      </c>
      <c r="AY60" s="27" t="n">
        <f aca="false">MIN(AM59*(1+F$8),F$9)</f>
        <v>0</v>
      </c>
      <c r="AZ60" s="27" t="n">
        <f aca="false">MIN(AN59*(1+G$8),G$9)</f>
        <v>0</v>
      </c>
      <c r="BA60" s="27" t="n">
        <f aca="false">MIN(AO59*(1+H$8),H$9)</f>
        <v>0</v>
      </c>
      <c r="BB60" s="27" t="n">
        <f aca="false">MIN(AP59*(1+I$8),I$9)</f>
        <v>0</v>
      </c>
      <c r="BC60" s="27" t="n">
        <f aca="false">MIN(AQ59*(1+J$8),J$9)</f>
        <v>0</v>
      </c>
      <c r="BD60" s="27" t="n">
        <f aca="false">MIN(AR59*(1+K$8),K$9)</f>
        <v>0</v>
      </c>
      <c r="BE60" s="27" t="n">
        <f aca="false">MIN(AI59*(1+B$8),MAX(AU60,$B$12-SUM(AV60:BD60)))</f>
        <v>0</v>
      </c>
      <c r="BF60" s="27" t="n">
        <f aca="false">MIN(AJ59*(1+C$8),MAX(AV60,$B$12-SUM(BE60:BE60)-SUM(AW60:BD60)))</f>
        <v>0</v>
      </c>
      <c r="BG60" s="27" t="n">
        <f aca="false">MIN(AK59*(1+D$8),MAX(AW60,$B$12-SUM(BE60:BF60)-SUM(AX60:BD60)))</f>
        <v>0</v>
      </c>
      <c r="BH60" s="27" t="n">
        <f aca="false">MIN(AL59*(1+E$8),MAX(AX60,$B$12-SUM(BE60:BG60)-SUM(AY60:BD60)))</f>
        <v>0</v>
      </c>
      <c r="BI60" s="27" t="n">
        <f aca="false">MIN(AM59*(1+F$8),MAX(AY60,$B$12-SUM(BE60:BH60)-SUM(AZ60:BD60)))</f>
        <v>0</v>
      </c>
      <c r="BJ60" s="27" t="n">
        <f aca="false">MIN(AN59*(1+G$8),MAX(AZ60,$B$12-SUM(BE60:BI60)-SUM(BA60:BD60)))</f>
        <v>0</v>
      </c>
      <c r="BK60" s="27" t="n">
        <f aca="false">MIN(AO59*(1+H$8),MAX(BA60,$B$12-SUM(BE60:BJ60)-SUM(BB60:BD60)))</f>
        <v>0</v>
      </c>
      <c r="BL60" s="27" t="n">
        <f aca="false">MIN(AP59*(1+I$8),MAX(BB60,$B$12-SUM(BE60:BK60)-SUM(BC60:BD60)))</f>
        <v>0</v>
      </c>
      <c r="BM60" s="27" t="n">
        <f aca="false">MIN(AQ59*(1+J$8),MAX(BC60,$B$12-SUM(BE60:BL60)-SUM(BD60:BD60)))</f>
        <v>0</v>
      </c>
      <c r="BN60" s="27" t="n">
        <f aca="false">MIN(AR59*(1+K$8),MAX(BD60,$B$12-SUM(BE60:BM60)))</f>
        <v>0</v>
      </c>
    </row>
    <row r="61" customFormat="false" ht="15" hidden="false" customHeight="false" outlineLevel="0" collapsed="false">
      <c r="A61" s="0" t="n">
        <v>47</v>
      </c>
      <c r="B61" s="27" t="n">
        <f aca="false">ROUND(MAX(0,B60*(1+B$8)-X61),2)</f>
        <v>0</v>
      </c>
      <c r="C61" s="27" t="n">
        <f aca="false">ROUND(MAX(0,C60*(1+C$8)-Y61),2)</f>
        <v>0</v>
      </c>
      <c r="D61" s="27" t="n">
        <f aca="false">ROUND(MAX(0,D60*(1+D$8)-Z61),2)</f>
        <v>0</v>
      </c>
      <c r="E61" s="27" t="n">
        <f aca="false">ROUND(MAX(0,E60*(1+E$8)-AA61),2)</f>
        <v>0</v>
      </c>
      <c r="F61" s="27" t="n">
        <f aca="false">ROUND(MAX(0,F60*(1+F$8)-AB61),2)</f>
        <v>0</v>
      </c>
      <c r="G61" s="27" t="n">
        <f aca="false">ROUND(MAX(0,G60*(1+G$8)-AC61),2)</f>
        <v>0</v>
      </c>
      <c r="H61" s="27" t="n">
        <f aca="false">ROUND(MAX(0,H60*(1+H$8)-AD61),2)</f>
        <v>0</v>
      </c>
      <c r="I61" s="27" t="n">
        <f aca="false">ROUND(MAX(0,I60*(1+I$8)-AE61),2)</f>
        <v>0</v>
      </c>
      <c r="J61" s="27" t="n">
        <f aca="false">ROUND(MAX(0,J60*(1+J$8)-AF61),2)</f>
        <v>0</v>
      </c>
      <c r="K61" s="27" t="n">
        <f aca="false">ROUND(MAX(0,K60*(1+K$8)-AG61),2)</f>
        <v>0</v>
      </c>
      <c r="L61" s="30" t="n">
        <f aca="false">SUM(B61:K61)</f>
        <v>0</v>
      </c>
      <c r="M61" s="27" t="n">
        <f aca="false">SUMPRODUCT(B60:K60,$B$8:$K$8)</f>
        <v>0</v>
      </c>
      <c r="N61" s="27" t="n">
        <f aca="false">MIN(B60*(1+B$8),B$9)</f>
        <v>0</v>
      </c>
      <c r="O61" s="27" t="n">
        <f aca="false">MIN(C60*(1+C$8),C$9)</f>
        <v>0</v>
      </c>
      <c r="P61" s="27" t="n">
        <f aca="false">MIN(D60*(1+D$8),D$9)</f>
        <v>0</v>
      </c>
      <c r="Q61" s="27" t="n">
        <f aca="false">MIN(E60*(1+E$8),E$9)</f>
        <v>0</v>
      </c>
      <c r="R61" s="27" t="n">
        <f aca="false">MIN(F60*(1+F$8),F$9)</f>
        <v>0</v>
      </c>
      <c r="S61" s="27" t="n">
        <f aca="false">MIN(G60*(1+G$8),G$9)</f>
        <v>0</v>
      </c>
      <c r="T61" s="27" t="n">
        <f aca="false">MIN(H60*(1+H$8),H$9)</f>
        <v>0</v>
      </c>
      <c r="U61" s="27" t="n">
        <f aca="false">MIN(I60*(1+I$8),I$9)</f>
        <v>0</v>
      </c>
      <c r="V61" s="27" t="n">
        <f aca="false">MIN(J60*(1+J$8),J$9)</f>
        <v>0</v>
      </c>
      <c r="W61" s="27" t="n">
        <f aca="false">MIN(K60*(1+K$8),K$9)</f>
        <v>0</v>
      </c>
      <c r="X61" s="27" t="n">
        <f aca="false">MIN(B60*(1+B$8),MAX(N61,$B$11-SUM(O61:W61)))</f>
        <v>0</v>
      </c>
      <c r="Y61" s="27" t="n">
        <f aca="false">MIN(C60*(1+C$8),MAX(O61,$B$11-SUM(X61:X61)-SUM(P61:W61)))</f>
        <v>0</v>
      </c>
      <c r="Z61" s="27" t="n">
        <f aca="false">MIN(D60*(1+D$8),MAX(P61,$B$11-SUM(X61:Y61)-SUM(Q61:W61)))</f>
        <v>0</v>
      </c>
      <c r="AA61" s="27" t="n">
        <f aca="false">MIN(E60*(1+E$8),MAX(Q61,$B$11-SUM(X61:Z61)-SUM(R61:W61)))</f>
        <v>0</v>
      </c>
      <c r="AB61" s="27" t="n">
        <f aca="false">MIN(F60*(1+F$8),MAX(R61,$B$11-SUM(X61:AA61)-SUM(S61:W61)))</f>
        <v>0</v>
      </c>
      <c r="AC61" s="27" t="n">
        <f aca="false">MIN(G60*(1+G$8),MAX(S61,$B$11-SUM(X61:AB61)-SUM(T61:W61)))</f>
        <v>0</v>
      </c>
      <c r="AD61" s="27" t="n">
        <f aca="false">MIN(H60*(1+H$8),MAX(T61,$B$11-SUM(X61:AC61)-SUM(U61:W61)))</f>
        <v>0</v>
      </c>
      <c r="AE61" s="27" t="n">
        <f aca="false">MIN(I60*(1+I$8),MAX(U61,$B$11-SUM(X61:AD61)-SUM(V61:W61)))</f>
        <v>0</v>
      </c>
      <c r="AF61" s="27" t="n">
        <f aca="false">MIN(J60*(1+J$8),MAX(V61,$B$11-SUM(X61:AE61)-SUM(W61:W61)))</f>
        <v>0</v>
      </c>
      <c r="AG61" s="27" t="n">
        <f aca="false">MIN(K60*(1+K$8),MAX(W61,$B$11-SUM(X61:AF61)))</f>
        <v>0</v>
      </c>
      <c r="AI61" s="27" t="n">
        <f aca="false">ROUND(MAX(0,AI60*(1+B$8)-BE61),2)</f>
        <v>0</v>
      </c>
      <c r="AJ61" s="27" t="n">
        <f aca="false">ROUND(MAX(0,AJ60*(1+C$8)-BF61),2)</f>
        <v>0</v>
      </c>
      <c r="AK61" s="27" t="n">
        <f aca="false">ROUND(MAX(0,AK60*(1+D$8)-BG61),2)</f>
        <v>0</v>
      </c>
      <c r="AL61" s="27" t="n">
        <f aca="false">ROUND(MAX(0,AL60*(1+E$8)-BH61),2)</f>
        <v>0</v>
      </c>
      <c r="AM61" s="27" t="n">
        <f aca="false">ROUND(MAX(0,AM60*(1+F$8)-BI61),2)</f>
        <v>0</v>
      </c>
      <c r="AN61" s="27" t="n">
        <f aca="false">ROUND(MAX(0,AN60*(1+G$8)-BJ61),2)</f>
        <v>0</v>
      </c>
      <c r="AO61" s="27" t="n">
        <f aca="false">ROUND(MAX(0,AO60*(1+H$8)-BK61),2)</f>
        <v>0</v>
      </c>
      <c r="AP61" s="27" t="n">
        <f aca="false">ROUND(MAX(0,AP60*(1+I$8)-BL61),2)</f>
        <v>0</v>
      </c>
      <c r="AQ61" s="27" t="n">
        <f aca="false">ROUND(MAX(0,AQ60*(1+J$8)-BM61),2)</f>
        <v>0</v>
      </c>
      <c r="AR61" s="27" t="n">
        <f aca="false">ROUND(MAX(0,AR60*(1+K$8)-BN61),2)</f>
        <v>0</v>
      </c>
      <c r="AS61" s="27" t="n">
        <f aca="false">SUM(AI61:AR61)</f>
        <v>0</v>
      </c>
      <c r="AT61" s="27" t="n">
        <f aca="false">SUMPRODUCT(AI60:AR60,$B$8:$K$8)</f>
        <v>0</v>
      </c>
      <c r="AU61" s="27" t="n">
        <f aca="false">MIN(AI60*(1+B$8),B$9)</f>
        <v>0</v>
      </c>
      <c r="AV61" s="27" t="n">
        <f aca="false">MIN(AJ60*(1+C$8),C$9)</f>
        <v>0</v>
      </c>
      <c r="AW61" s="27" t="n">
        <f aca="false">MIN(AK60*(1+D$8),D$9)</f>
        <v>0</v>
      </c>
      <c r="AX61" s="27" t="n">
        <f aca="false">MIN(AL60*(1+E$8),E$9)</f>
        <v>0</v>
      </c>
      <c r="AY61" s="27" t="n">
        <f aca="false">MIN(AM60*(1+F$8),F$9)</f>
        <v>0</v>
      </c>
      <c r="AZ61" s="27" t="n">
        <f aca="false">MIN(AN60*(1+G$8),G$9)</f>
        <v>0</v>
      </c>
      <c r="BA61" s="27" t="n">
        <f aca="false">MIN(AO60*(1+H$8),H$9)</f>
        <v>0</v>
      </c>
      <c r="BB61" s="27" t="n">
        <f aca="false">MIN(AP60*(1+I$8),I$9)</f>
        <v>0</v>
      </c>
      <c r="BC61" s="27" t="n">
        <f aca="false">MIN(AQ60*(1+J$8),J$9)</f>
        <v>0</v>
      </c>
      <c r="BD61" s="27" t="n">
        <f aca="false">MIN(AR60*(1+K$8),K$9)</f>
        <v>0</v>
      </c>
      <c r="BE61" s="27" t="n">
        <f aca="false">MIN(AI60*(1+B$8),MAX(AU61,$B$12-SUM(AV61:BD61)))</f>
        <v>0</v>
      </c>
      <c r="BF61" s="27" t="n">
        <f aca="false">MIN(AJ60*(1+C$8),MAX(AV61,$B$12-SUM(BE61:BE61)-SUM(AW61:BD61)))</f>
        <v>0</v>
      </c>
      <c r="BG61" s="27" t="n">
        <f aca="false">MIN(AK60*(1+D$8),MAX(AW61,$B$12-SUM(BE61:BF61)-SUM(AX61:BD61)))</f>
        <v>0</v>
      </c>
      <c r="BH61" s="27" t="n">
        <f aca="false">MIN(AL60*(1+E$8),MAX(AX61,$B$12-SUM(BE61:BG61)-SUM(AY61:BD61)))</f>
        <v>0</v>
      </c>
      <c r="BI61" s="27" t="n">
        <f aca="false">MIN(AM60*(1+F$8),MAX(AY61,$B$12-SUM(BE61:BH61)-SUM(AZ61:BD61)))</f>
        <v>0</v>
      </c>
      <c r="BJ61" s="27" t="n">
        <f aca="false">MIN(AN60*(1+G$8),MAX(AZ61,$B$12-SUM(BE61:BI61)-SUM(BA61:BD61)))</f>
        <v>0</v>
      </c>
      <c r="BK61" s="27" t="n">
        <f aca="false">MIN(AO60*(1+H$8),MAX(BA61,$B$12-SUM(BE61:BJ61)-SUM(BB61:BD61)))</f>
        <v>0</v>
      </c>
      <c r="BL61" s="27" t="n">
        <f aca="false">MIN(AP60*(1+I$8),MAX(BB61,$B$12-SUM(BE61:BK61)-SUM(BC61:BD61)))</f>
        <v>0</v>
      </c>
      <c r="BM61" s="27" t="n">
        <f aca="false">MIN(AQ60*(1+J$8),MAX(BC61,$B$12-SUM(BE61:BL61)-SUM(BD61:BD61)))</f>
        <v>0</v>
      </c>
      <c r="BN61" s="27" t="n">
        <f aca="false">MIN(AR60*(1+K$8),MAX(BD61,$B$12-SUM(BE61:BM61)))</f>
        <v>0</v>
      </c>
    </row>
    <row r="62" customFormat="false" ht="15" hidden="false" customHeight="false" outlineLevel="0" collapsed="false">
      <c r="A62" s="0" t="n">
        <v>48</v>
      </c>
      <c r="B62" s="27" t="n">
        <f aca="false">ROUND(MAX(0,B61*(1+B$8)-X62),2)</f>
        <v>0</v>
      </c>
      <c r="C62" s="27" t="n">
        <f aca="false">ROUND(MAX(0,C61*(1+C$8)-Y62),2)</f>
        <v>0</v>
      </c>
      <c r="D62" s="27" t="n">
        <f aca="false">ROUND(MAX(0,D61*(1+D$8)-Z62),2)</f>
        <v>0</v>
      </c>
      <c r="E62" s="27" t="n">
        <f aca="false">ROUND(MAX(0,E61*(1+E$8)-AA62),2)</f>
        <v>0</v>
      </c>
      <c r="F62" s="27" t="n">
        <f aca="false">ROUND(MAX(0,F61*(1+F$8)-AB62),2)</f>
        <v>0</v>
      </c>
      <c r="G62" s="27" t="n">
        <f aca="false">ROUND(MAX(0,G61*(1+G$8)-AC62),2)</f>
        <v>0</v>
      </c>
      <c r="H62" s="27" t="n">
        <f aca="false">ROUND(MAX(0,H61*(1+H$8)-AD62),2)</f>
        <v>0</v>
      </c>
      <c r="I62" s="27" t="n">
        <f aca="false">ROUND(MAX(0,I61*(1+I$8)-AE62),2)</f>
        <v>0</v>
      </c>
      <c r="J62" s="27" t="n">
        <f aca="false">ROUND(MAX(0,J61*(1+J$8)-AF62),2)</f>
        <v>0</v>
      </c>
      <c r="K62" s="27" t="n">
        <f aca="false">ROUND(MAX(0,K61*(1+K$8)-AG62),2)</f>
        <v>0</v>
      </c>
      <c r="L62" s="30" t="n">
        <f aca="false">SUM(B62:K62)</f>
        <v>0</v>
      </c>
      <c r="M62" s="27" t="n">
        <f aca="false">SUMPRODUCT(B61:K61,$B$8:$K$8)</f>
        <v>0</v>
      </c>
      <c r="N62" s="27" t="n">
        <f aca="false">MIN(B61*(1+B$8),B$9)</f>
        <v>0</v>
      </c>
      <c r="O62" s="27" t="n">
        <f aca="false">MIN(C61*(1+C$8),C$9)</f>
        <v>0</v>
      </c>
      <c r="P62" s="27" t="n">
        <f aca="false">MIN(D61*(1+D$8),D$9)</f>
        <v>0</v>
      </c>
      <c r="Q62" s="27" t="n">
        <f aca="false">MIN(E61*(1+E$8),E$9)</f>
        <v>0</v>
      </c>
      <c r="R62" s="27" t="n">
        <f aca="false">MIN(F61*(1+F$8),F$9)</f>
        <v>0</v>
      </c>
      <c r="S62" s="27" t="n">
        <f aca="false">MIN(G61*(1+G$8),G$9)</f>
        <v>0</v>
      </c>
      <c r="T62" s="27" t="n">
        <f aca="false">MIN(H61*(1+H$8),H$9)</f>
        <v>0</v>
      </c>
      <c r="U62" s="27" t="n">
        <f aca="false">MIN(I61*(1+I$8),I$9)</f>
        <v>0</v>
      </c>
      <c r="V62" s="27" t="n">
        <f aca="false">MIN(J61*(1+J$8),J$9)</f>
        <v>0</v>
      </c>
      <c r="W62" s="27" t="n">
        <f aca="false">MIN(K61*(1+K$8),K$9)</f>
        <v>0</v>
      </c>
      <c r="X62" s="27" t="n">
        <f aca="false">MIN(B61*(1+B$8),MAX(N62,$B$11-SUM(O62:W62)))</f>
        <v>0</v>
      </c>
      <c r="Y62" s="27" t="n">
        <f aca="false">MIN(C61*(1+C$8),MAX(O62,$B$11-SUM(X62:X62)-SUM(P62:W62)))</f>
        <v>0</v>
      </c>
      <c r="Z62" s="27" t="n">
        <f aca="false">MIN(D61*(1+D$8),MAX(P62,$B$11-SUM(X62:Y62)-SUM(Q62:W62)))</f>
        <v>0</v>
      </c>
      <c r="AA62" s="27" t="n">
        <f aca="false">MIN(E61*(1+E$8),MAX(Q62,$B$11-SUM(X62:Z62)-SUM(R62:W62)))</f>
        <v>0</v>
      </c>
      <c r="AB62" s="27" t="n">
        <f aca="false">MIN(F61*(1+F$8),MAX(R62,$B$11-SUM(X62:AA62)-SUM(S62:W62)))</f>
        <v>0</v>
      </c>
      <c r="AC62" s="27" t="n">
        <f aca="false">MIN(G61*(1+G$8),MAX(S62,$B$11-SUM(X62:AB62)-SUM(T62:W62)))</f>
        <v>0</v>
      </c>
      <c r="AD62" s="27" t="n">
        <f aca="false">MIN(H61*(1+H$8),MAX(T62,$B$11-SUM(X62:AC62)-SUM(U62:W62)))</f>
        <v>0</v>
      </c>
      <c r="AE62" s="27" t="n">
        <f aca="false">MIN(I61*(1+I$8),MAX(U62,$B$11-SUM(X62:AD62)-SUM(V62:W62)))</f>
        <v>0</v>
      </c>
      <c r="AF62" s="27" t="n">
        <f aca="false">MIN(J61*(1+J$8),MAX(V62,$B$11-SUM(X62:AE62)-SUM(W62:W62)))</f>
        <v>0</v>
      </c>
      <c r="AG62" s="27" t="n">
        <f aca="false">MIN(K61*(1+K$8),MAX(W62,$B$11-SUM(X62:AF62)))</f>
        <v>0</v>
      </c>
      <c r="AI62" s="27" t="n">
        <f aca="false">ROUND(MAX(0,AI61*(1+B$8)-BE62),2)</f>
        <v>0</v>
      </c>
      <c r="AJ62" s="27" t="n">
        <f aca="false">ROUND(MAX(0,AJ61*(1+C$8)-BF62),2)</f>
        <v>0</v>
      </c>
      <c r="AK62" s="27" t="n">
        <f aca="false">ROUND(MAX(0,AK61*(1+D$8)-BG62),2)</f>
        <v>0</v>
      </c>
      <c r="AL62" s="27" t="n">
        <f aca="false">ROUND(MAX(0,AL61*(1+E$8)-BH62),2)</f>
        <v>0</v>
      </c>
      <c r="AM62" s="27" t="n">
        <f aca="false">ROUND(MAX(0,AM61*(1+F$8)-BI62),2)</f>
        <v>0</v>
      </c>
      <c r="AN62" s="27" t="n">
        <f aca="false">ROUND(MAX(0,AN61*(1+G$8)-BJ62),2)</f>
        <v>0</v>
      </c>
      <c r="AO62" s="27" t="n">
        <f aca="false">ROUND(MAX(0,AO61*(1+H$8)-BK62),2)</f>
        <v>0</v>
      </c>
      <c r="AP62" s="27" t="n">
        <f aca="false">ROUND(MAX(0,AP61*(1+I$8)-BL62),2)</f>
        <v>0</v>
      </c>
      <c r="AQ62" s="27" t="n">
        <f aca="false">ROUND(MAX(0,AQ61*(1+J$8)-BM62),2)</f>
        <v>0</v>
      </c>
      <c r="AR62" s="27" t="n">
        <f aca="false">ROUND(MAX(0,AR61*(1+K$8)-BN62),2)</f>
        <v>0</v>
      </c>
      <c r="AS62" s="27" t="n">
        <f aca="false">SUM(AI62:AR62)</f>
        <v>0</v>
      </c>
      <c r="AT62" s="27" t="n">
        <f aca="false">SUMPRODUCT(AI61:AR61,$B$8:$K$8)</f>
        <v>0</v>
      </c>
      <c r="AU62" s="27" t="n">
        <f aca="false">MIN(AI61*(1+B$8),B$9)</f>
        <v>0</v>
      </c>
      <c r="AV62" s="27" t="n">
        <f aca="false">MIN(AJ61*(1+C$8),C$9)</f>
        <v>0</v>
      </c>
      <c r="AW62" s="27" t="n">
        <f aca="false">MIN(AK61*(1+D$8),D$9)</f>
        <v>0</v>
      </c>
      <c r="AX62" s="27" t="n">
        <f aca="false">MIN(AL61*(1+E$8),E$9)</f>
        <v>0</v>
      </c>
      <c r="AY62" s="27" t="n">
        <f aca="false">MIN(AM61*(1+F$8),F$9)</f>
        <v>0</v>
      </c>
      <c r="AZ62" s="27" t="n">
        <f aca="false">MIN(AN61*(1+G$8),G$9)</f>
        <v>0</v>
      </c>
      <c r="BA62" s="27" t="n">
        <f aca="false">MIN(AO61*(1+H$8),H$9)</f>
        <v>0</v>
      </c>
      <c r="BB62" s="27" t="n">
        <f aca="false">MIN(AP61*(1+I$8),I$9)</f>
        <v>0</v>
      </c>
      <c r="BC62" s="27" t="n">
        <f aca="false">MIN(AQ61*(1+J$8),J$9)</f>
        <v>0</v>
      </c>
      <c r="BD62" s="27" t="n">
        <f aca="false">MIN(AR61*(1+K$8),K$9)</f>
        <v>0</v>
      </c>
      <c r="BE62" s="27" t="n">
        <f aca="false">MIN(AI61*(1+B$8),MAX(AU62,$B$12-SUM(AV62:BD62)))</f>
        <v>0</v>
      </c>
      <c r="BF62" s="27" t="n">
        <f aca="false">MIN(AJ61*(1+C$8),MAX(AV62,$B$12-SUM(BE62:BE62)-SUM(AW62:BD62)))</f>
        <v>0</v>
      </c>
      <c r="BG62" s="27" t="n">
        <f aca="false">MIN(AK61*(1+D$8),MAX(AW62,$B$12-SUM(BE62:BF62)-SUM(AX62:BD62)))</f>
        <v>0</v>
      </c>
      <c r="BH62" s="27" t="n">
        <f aca="false">MIN(AL61*(1+E$8),MAX(AX62,$B$12-SUM(BE62:BG62)-SUM(AY62:BD62)))</f>
        <v>0</v>
      </c>
      <c r="BI62" s="27" t="n">
        <f aca="false">MIN(AM61*(1+F$8),MAX(AY62,$B$12-SUM(BE62:BH62)-SUM(AZ62:BD62)))</f>
        <v>0</v>
      </c>
      <c r="BJ62" s="27" t="n">
        <f aca="false">MIN(AN61*(1+G$8),MAX(AZ62,$B$12-SUM(BE62:BI62)-SUM(BA62:BD62)))</f>
        <v>0</v>
      </c>
      <c r="BK62" s="27" t="n">
        <f aca="false">MIN(AO61*(1+H$8),MAX(BA62,$B$12-SUM(BE62:BJ62)-SUM(BB62:BD62)))</f>
        <v>0</v>
      </c>
      <c r="BL62" s="27" t="n">
        <f aca="false">MIN(AP61*(1+I$8),MAX(BB62,$B$12-SUM(BE62:BK62)-SUM(BC62:BD62)))</f>
        <v>0</v>
      </c>
      <c r="BM62" s="27" t="n">
        <f aca="false">MIN(AQ61*(1+J$8),MAX(BC62,$B$12-SUM(BE62:BL62)-SUM(BD62:BD62)))</f>
        <v>0</v>
      </c>
      <c r="BN62" s="27" t="n">
        <f aca="false">MIN(AR61*(1+K$8),MAX(BD62,$B$12-SUM(BE62:BM62)))</f>
        <v>0</v>
      </c>
    </row>
    <row r="63" customFormat="false" ht="15" hidden="false" customHeight="false" outlineLevel="0" collapsed="false">
      <c r="A63" s="0" t="n">
        <v>49</v>
      </c>
      <c r="B63" s="27" t="n">
        <f aca="false">ROUND(MAX(0,B62*(1+B$8)-X63),2)</f>
        <v>0</v>
      </c>
      <c r="C63" s="27" t="n">
        <f aca="false">ROUND(MAX(0,C62*(1+C$8)-Y63),2)</f>
        <v>0</v>
      </c>
      <c r="D63" s="27" t="n">
        <f aca="false">ROUND(MAX(0,D62*(1+D$8)-Z63),2)</f>
        <v>0</v>
      </c>
      <c r="E63" s="27" t="n">
        <f aca="false">ROUND(MAX(0,E62*(1+E$8)-AA63),2)</f>
        <v>0</v>
      </c>
      <c r="F63" s="27" t="n">
        <f aca="false">ROUND(MAX(0,F62*(1+F$8)-AB63),2)</f>
        <v>0</v>
      </c>
      <c r="G63" s="27" t="n">
        <f aca="false">ROUND(MAX(0,G62*(1+G$8)-AC63),2)</f>
        <v>0</v>
      </c>
      <c r="H63" s="27" t="n">
        <f aca="false">ROUND(MAX(0,H62*(1+H$8)-AD63),2)</f>
        <v>0</v>
      </c>
      <c r="I63" s="27" t="n">
        <f aca="false">ROUND(MAX(0,I62*(1+I$8)-AE63),2)</f>
        <v>0</v>
      </c>
      <c r="J63" s="27" t="n">
        <f aca="false">ROUND(MAX(0,J62*(1+J$8)-AF63),2)</f>
        <v>0</v>
      </c>
      <c r="K63" s="27" t="n">
        <f aca="false">ROUND(MAX(0,K62*(1+K$8)-AG63),2)</f>
        <v>0</v>
      </c>
      <c r="L63" s="30" t="n">
        <f aca="false">SUM(B63:K63)</f>
        <v>0</v>
      </c>
      <c r="M63" s="27" t="n">
        <f aca="false">SUMPRODUCT(B62:K62,$B$8:$K$8)</f>
        <v>0</v>
      </c>
      <c r="N63" s="27" t="n">
        <f aca="false">MIN(B62*(1+B$8),B$9)</f>
        <v>0</v>
      </c>
      <c r="O63" s="27" t="n">
        <f aca="false">MIN(C62*(1+C$8),C$9)</f>
        <v>0</v>
      </c>
      <c r="P63" s="27" t="n">
        <f aca="false">MIN(D62*(1+D$8),D$9)</f>
        <v>0</v>
      </c>
      <c r="Q63" s="27" t="n">
        <f aca="false">MIN(E62*(1+E$8),E$9)</f>
        <v>0</v>
      </c>
      <c r="R63" s="27" t="n">
        <f aca="false">MIN(F62*(1+F$8),F$9)</f>
        <v>0</v>
      </c>
      <c r="S63" s="27" t="n">
        <f aca="false">MIN(G62*(1+G$8),G$9)</f>
        <v>0</v>
      </c>
      <c r="T63" s="27" t="n">
        <f aca="false">MIN(H62*(1+H$8),H$9)</f>
        <v>0</v>
      </c>
      <c r="U63" s="27" t="n">
        <f aca="false">MIN(I62*(1+I$8),I$9)</f>
        <v>0</v>
      </c>
      <c r="V63" s="27" t="n">
        <f aca="false">MIN(J62*(1+J$8),J$9)</f>
        <v>0</v>
      </c>
      <c r="W63" s="27" t="n">
        <f aca="false">MIN(K62*(1+K$8),K$9)</f>
        <v>0</v>
      </c>
      <c r="X63" s="27" t="n">
        <f aca="false">MIN(B62*(1+B$8),MAX(N63,$B$11-SUM(O63:W63)))</f>
        <v>0</v>
      </c>
      <c r="Y63" s="27" t="n">
        <f aca="false">MIN(C62*(1+C$8),MAX(O63,$B$11-SUM(X63:X63)-SUM(P63:W63)))</f>
        <v>0</v>
      </c>
      <c r="Z63" s="27" t="n">
        <f aca="false">MIN(D62*(1+D$8),MAX(P63,$B$11-SUM(X63:Y63)-SUM(Q63:W63)))</f>
        <v>0</v>
      </c>
      <c r="AA63" s="27" t="n">
        <f aca="false">MIN(E62*(1+E$8),MAX(Q63,$B$11-SUM(X63:Z63)-SUM(R63:W63)))</f>
        <v>0</v>
      </c>
      <c r="AB63" s="27" t="n">
        <f aca="false">MIN(F62*(1+F$8),MAX(R63,$B$11-SUM(X63:AA63)-SUM(S63:W63)))</f>
        <v>0</v>
      </c>
      <c r="AC63" s="27" t="n">
        <f aca="false">MIN(G62*(1+G$8),MAX(S63,$B$11-SUM(X63:AB63)-SUM(T63:W63)))</f>
        <v>0</v>
      </c>
      <c r="AD63" s="27" t="n">
        <f aca="false">MIN(H62*(1+H$8),MAX(T63,$B$11-SUM(X63:AC63)-SUM(U63:W63)))</f>
        <v>0</v>
      </c>
      <c r="AE63" s="27" t="n">
        <f aca="false">MIN(I62*(1+I$8),MAX(U63,$B$11-SUM(X63:AD63)-SUM(V63:W63)))</f>
        <v>0</v>
      </c>
      <c r="AF63" s="27" t="n">
        <f aca="false">MIN(J62*(1+J$8),MAX(V63,$B$11-SUM(X63:AE63)-SUM(W63:W63)))</f>
        <v>0</v>
      </c>
      <c r="AG63" s="27" t="n">
        <f aca="false">MIN(K62*(1+K$8),MAX(W63,$B$11-SUM(X63:AF63)))</f>
        <v>0</v>
      </c>
      <c r="AI63" s="27" t="n">
        <f aca="false">ROUND(MAX(0,AI62*(1+B$8)-BE63),2)</f>
        <v>0</v>
      </c>
      <c r="AJ63" s="27" t="n">
        <f aca="false">ROUND(MAX(0,AJ62*(1+C$8)-BF63),2)</f>
        <v>0</v>
      </c>
      <c r="AK63" s="27" t="n">
        <f aca="false">ROUND(MAX(0,AK62*(1+D$8)-BG63),2)</f>
        <v>0</v>
      </c>
      <c r="AL63" s="27" t="n">
        <f aca="false">ROUND(MAX(0,AL62*(1+E$8)-BH63),2)</f>
        <v>0</v>
      </c>
      <c r="AM63" s="27" t="n">
        <f aca="false">ROUND(MAX(0,AM62*(1+F$8)-BI63),2)</f>
        <v>0</v>
      </c>
      <c r="AN63" s="27" t="n">
        <f aca="false">ROUND(MAX(0,AN62*(1+G$8)-BJ63),2)</f>
        <v>0</v>
      </c>
      <c r="AO63" s="27" t="n">
        <f aca="false">ROUND(MAX(0,AO62*(1+H$8)-BK63),2)</f>
        <v>0</v>
      </c>
      <c r="AP63" s="27" t="n">
        <f aca="false">ROUND(MAX(0,AP62*(1+I$8)-BL63),2)</f>
        <v>0</v>
      </c>
      <c r="AQ63" s="27" t="n">
        <f aca="false">ROUND(MAX(0,AQ62*(1+J$8)-BM63),2)</f>
        <v>0</v>
      </c>
      <c r="AR63" s="27" t="n">
        <f aca="false">ROUND(MAX(0,AR62*(1+K$8)-BN63),2)</f>
        <v>0</v>
      </c>
      <c r="AS63" s="27" t="n">
        <f aca="false">SUM(AI63:AR63)</f>
        <v>0</v>
      </c>
      <c r="AT63" s="27" t="n">
        <f aca="false">SUMPRODUCT(AI62:AR62,$B$8:$K$8)</f>
        <v>0</v>
      </c>
      <c r="AU63" s="27" t="n">
        <f aca="false">MIN(AI62*(1+B$8),B$9)</f>
        <v>0</v>
      </c>
      <c r="AV63" s="27" t="n">
        <f aca="false">MIN(AJ62*(1+C$8),C$9)</f>
        <v>0</v>
      </c>
      <c r="AW63" s="27" t="n">
        <f aca="false">MIN(AK62*(1+D$8),D$9)</f>
        <v>0</v>
      </c>
      <c r="AX63" s="27" t="n">
        <f aca="false">MIN(AL62*(1+E$8),E$9)</f>
        <v>0</v>
      </c>
      <c r="AY63" s="27" t="n">
        <f aca="false">MIN(AM62*(1+F$8),F$9)</f>
        <v>0</v>
      </c>
      <c r="AZ63" s="27" t="n">
        <f aca="false">MIN(AN62*(1+G$8),G$9)</f>
        <v>0</v>
      </c>
      <c r="BA63" s="27" t="n">
        <f aca="false">MIN(AO62*(1+H$8),H$9)</f>
        <v>0</v>
      </c>
      <c r="BB63" s="27" t="n">
        <f aca="false">MIN(AP62*(1+I$8),I$9)</f>
        <v>0</v>
      </c>
      <c r="BC63" s="27" t="n">
        <f aca="false">MIN(AQ62*(1+J$8),J$9)</f>
        <v>0</v>
      </c>
      <c r="BD63" s="27" t="n">
        <f aca="false">MIN(AR62*(1+K$8),K$9)</f>
        <v>0</v>
      </c>
      <c r="BE63" s="27" t="n">
        <f aca="false">MIN(AI62*(1+B$8),MAX(AU63,$B$12-SUM(AV63:BD63)))</f>
        <v>0</v>
      </c>
      <c r="BF63" s="27" t="n">
        <f aca="false">MIN(AJ62*(1+C$8),MAX(AV63,$B$12-SUM(BE63:BE63)-SUM(AW63:BD63)))</f>
        <v>0</v>
      </c>
      <c r="BG63" s="27" t="n">
        <f aca="false">MIN(AK62*(1+D$8),MAX(AW63,$B$12-SUM(BE63:BF63)-SUM(AX63:BD63)))</f>
        <v>0</v>
      </c>
      <c r="BH63" s="27" t="n">
        <f aca="false">MIN(AL62*(1+E$8),MAX(AX63,$B$12-SUM(BE63:BG63)-SUM(AY63:BD63)))</f>
        <v>0</v>
      </c>
      <c r="BI63" s="27" t="n">
        <f aca="false">MIN(AM62*(1+F$8),MAX(AY63,$B$12-SUM(BE63:BH63)-SUM(AZ63:BD63)))</f>
        <v>0</v>
      </c>
      <c r="BJ63" s="27" t="n">
        <f aca="false">MIN(AN62*(1+G$8),MAX(AZ63,$B$12-SUM(BE63:BI63)-SUM(BA63:BD63)))</f>
        <v>0</v>
      </c>
      <c r="BK63" s="27" t="n">
        <f aca="false">MIN(AO62*(1+H$8),MAX(BA63,$B$12-SUM(BE63:BJ63)-SUM(BB63:BD63)))</f>
        <v>0</v>
      </c>
      <c r="BL63" s="27" t="n">
        <f aca="false">MIN(AP62*(1+I$8),MAX(BB63,$B$12-SUM(BE63:BK63)-SUM(BC63:BD63)))</f>
        <v>0</v>
      </c>
      <c r="BM63" s="27" t="n">
        <f aca="false">MIN(AQ62*(1+J$8),MAX(BC63,$B$12-SUM(BE63:BL63)-SUM(BD63:BD63)))</f>
        <v>0</v>
      </c>
      <c r="BN63" s="27" t="n">
        <f aca="false">MIN(AR62*(1+K$8),MAX(BD63,$B$12-SUM(BE63:BM63)))</f>
        <v>0</v>
      </c>
    </row>
    <row r="64" customFormat="false" ht="15" hidden="false" customHeight="false" outlineLevel="0" collapsed="false">
      <c r="A64" s="0" t="n">
        <v>50</v>
      </c>
      <c r="B64" s="27" t="n">
        <f aca="false">ROUND(MAX(0,B63*(1+B$8)-X64),2)</f>
        <v>0</v>
      </c>
      <c r="C64" s="27" t="n">
        <f aca="false">ROUND(MAX(0,C63*(1+C$8)-Y64),2)</f>
        <v>0</v>
      </c>
      <c r="D64" s="27" t="n">
        <f aca="false">ROUND(MAX(0,D63*(1+D$8)-Z64),2)</f>
        <v>0</v>
      </c>
      <c r="E64" s="27" t="n">
        <f aca="false">ROUND(MAX(0,E63*(1+E$8)-AA64),2)</f>
        <v>0</v>
      </c>
      <c r="F64" s="27" t="n">
        <f aca="false">ROUND(MAX(0,F63*(1+F$8)-AB64),2)</f>
        <v>0</v>
      </c>
      <c r="G64" s="27" t="n">
        <f aca="false">ROUND(MAX(0,G63*(1+G$8)-AC64),2)</f>
        <v>0</v>
      </c>
      <c r="H64" s="27" t="n">
        <f aca="false">ROUND(MAX(0,H63*(1+H$8)-AD64),2)</f>
        <v>0</v>
      </c>
      <c r="I64" s="27" t="n">
        <f aca="false">ROUND(MAX(0,I63*(1+I$8)-AE64),2)</f>
        <v>0</v>
      </c>
      <c r="J64" s="27" t="n">
        <f aca="false">ROUND(MAX(0,J63*(1+J$8)-AF64),2)</f>
        <v>0</v>
      </c>
      <c r="K64" s="27" t="n">
        <f aca="false">ROUND(MAX(0,K63*(1+K$8)-AG64),2)</f>
        <v>0</v>
      </c>
      <c r="L64" s="30" t="n">
        <f aca="false">SUM(B64:K64)</f>
        <v>0</v>
      </c>
      <c r="M64" s="27" t="n">
        <f aca="false">SUMPRODUCT(B63:K63,$B$8:$K$8)</f>
        <v>0</v>
      </c>
      <c r="N64" s="27" t="n">
        <f aca="false">MIN(B63*(1+B$8),B$9)</f>
        <v>0</v>
      </c>
      <c r="O64" s="27" t="n">
        <f aca="false">MIN(C63*(1+C$8),C$9)</f>
        <v>0</v>
      </c>
      <c r="P64" s="27" t="n">
        <f aca="false">MIN(D63*(1+D$8),D$9)</f>
        <v>0</v>
      </c>
      <c r="Q64" s="27" t="n">
        <f aca="false">MIN(E63*(1+E$8),E$9)</f>
        <v>0</v>
      </c>
      <c r="R64" s="27" t="n">
        <f aca="false">MIN(F63*(1+F$8),F$9)</f>
        <v>0</v>
      </c>
      <c r="S64" s="27" t="n">
        <f aca="false">MIN(G63*(1+G$8),G$9)</f>
        <v>0</v>
      </c>
      <c r="T64" s="27" t="n">
        <f aca="false">MIN(H63*(1+H$8),H$9)</f>
        <v>0</v>
      </c>
      <c r="U64" s="27" t="n">
        <f aca="false">MIN(I63*(1+I$8),I$9)</f>
        <v>0</v>
      </c>
      <c r="V64" s="27" t="n">
        <f aca="false">MIN(J63*(1+J$8),J$9)</f>
        <v>0</v>
      </c>
      <c r="W64" s="27" t="n">
        <f aca="false">MIN(K63*(1+K$8),K$9)</f>
        <v>0</v>
      </c>
      <c r="X64" s="27" t="n">
        <f aca="false">MIN(B63*(1+B$8),MAX(N64,$B$11-SUM(O64:W64)))</f>
        <v>0</v>
      </c>
      <c r="Y64" s="27" t="n">
        <f aca="false">MIN(C63*(1+C$8),MAX(O64,$B$11-SUM(X64:X64)-SUM(P64:W64)))</f>
        <v>0</v>
      </c>
      <c r="Z64" s="27" t="n">
        <f aca="false">MIN(D63*(1+D$8),MAX(P64,$B$11-SUM(X64:Y64)-SUM(Q64:W64)))</f>
        <v>0</v>
      </c>
      <c r="AA64" s="27" t="n">
        <f aca="false">MIN(E63*(1+E$8),MAX(Q64,$B$11-SUM(X64:Z64)-SUM(R64:W64)))</f>
        <v>0</v>
      </c>
      <c r="AB64" s="27" t="n">
        <f aca="false">MIN(F63*(1+F$8),MAX(R64,$B$11-SUM(X64:AA64)-SUM(S64:W64)))</f>
        <v>0</v>
      </c>
      <c r="AC64" s="27" t="n">
        <f aca="false">MIN(G63*(1+G$8),MAX(S64,$B$11-SUM(X64:AB64)-SUM(T64:W64)))</f>
        <v>0</v>
      </c>
      <c r="AD64" s="27" t="n">
        <f aca="false">MIN(H63*(1+H$8),MAX(T64,$B$11-SUM(X64:AC64)-SUM(U64:W64)))</f>
        <v>0</v>
      </c>
      <c r="AE64" s="27" t="n">
        <f aca="false">MIN(I63*(1+I$8),MAX(U64,$B$11-SUM(X64:AD64)-SUM(V64:W64)))</f>
        <v>0</v>
      </c>
      <c r="AF64" s="27" t="n">
        <f aca="false">MIN(J63*(1+J$8),MAX(V64,$B$11-SUM(X64:AE64)-SUM(W64:W64)))</f>
        <v>0</v>
      </c>
      <c r="AG64" s="27" t="n">
        <f aca="false">MIN(K63*(1+K$8),MAX(W64,$B$11-SUM(X64:AF64)))</f>
        <v>0</v>
      </c>
      <c r="AI64" s="27" t="n">
        <f aca="false">ROUND(MAX(0,AI63*(1+B$8)-BE64),2)</f>
        <v>0</v>
      </c>
      <c r="AJ64" s="27" t="n">
        <f aca="false">ROUND(MAX(0,AJ63*(1+C$8)-BF64),2)</f>
        <v>0</v>
      </c>
      <c r="AK64" s="27" t="n">
        <f aca="false">ROUND(MAX(0,AK63*(1+D$8)-BG64),2)</f>
        <v>0</v>
      </c>
      <c r="AL64" s="27" t="n">
        <f aca="false">ROUND(MAX(0,AL63*(1+E$8)-BH64),2)</f>
        <v>0</v>
      </c>
      <c r="AM64" s="27" t="n">
        <f aca="false">ROUND(MAX(0,AM63*(1+F$8)-BI64),2)</f>
        <v>0</v>
      </c>
      <c r="AN64" s="27" t="n">
        <f aca="false">ROUND(MAX(0,AN63*(1+G$8)-BJ64),2)</f>
        <v>0</v>
      </c>
      <c r="AO64" s="27" t="n">
        <f aca="false">ROUND(MAX(0,AO63*(1+H$8)-BK64),2)</f>
        <v>0</v>
      </c>
      <c r="AP64" s="27" t="n">
        <f aca="false">ROUND(MAX(0,AP63*(1+I$8)-BL64),2)</f>
        <v>0</v>
      </c>
      <c r="AQ64" s="27" t="n">
        <f aca="false">ROUND(MAX(0,AQ63*(1+J$8)-BM64),2)</f>
        <v>0</v>
      </c>
      <c r="AR64" s="27" t="n">
        <f aca="false">ROUND(MAX(0,AR63*(1+K$8)-BN64),2)</f>
        <v>0</v>
      </c>
      <c r="AS64" s="27" t="n">
        <f aca="false">SUM(AI64:AR64)</f>
        <v>0</v>
      </c>
      <c r="AT64" s="27" t="n">
        <f aca="false">SUMPRODUCT(AI63:AR63,$B$8:$K$8)</f>
        <v>0</v>
      </c>
      <c r="AU64" s="27" t="n">
        <f aca="false">MIN(AI63*(1+B$8),B$9)</f>
        <v>0</v>
      </c>
      <c r="AV64" s="27" t="n">
        <f aca="false">MIN(AJ63*(1+C$8),C$9)</f>
        <v>0</v>
      </c>
      <c r="AW64" s="27" t="n">
        <f aca="false">MIN(AK63*(1+D$8),D$9)</f>
        <v>0</v>
      </c>
      <c r="AX64" s="27" t="n">
        <f aca="false">MIN(AL63*(1+E$8),E$9)</f>
        <v>0</v>
      </c>
      <c r="AY64" s="27" t="n">
        <f aca="false">MIN(AM63*(1+F$8),F$9)</f>
        <v>0</v>
      </c>
      <c r="AZ64" s="27" t="n">
        <f aca="false">MIN(AN63*(1+G$8),G$9)</f>
        <v>0</v>
      </c>
      <c r="BA64" s="27" t="n">
        <f aca="false">MIN(AO63*(1+H$8),H$9)</f>
        <v>0</v>
      </c>
      <c r="BB64" s="27" t="n">
        <f aca="false">MIN(AP63*(1+I$8),I$9)</f>
        <v>0</v>
      </c>
      <c r="BC64" s="27" t="n">
        <f aca="false">MIN(AQ63*(1+J$8),J$9)</f>
        <v>0</v>
      </c>
      <c r="BD64" s="27" t="n">
        <f aca="false">MIN(AR63*(1+K$8),K$9)</f>
        <v>0</v>
      </c>
      <c r="BE64" s="27" t="n">
        <f aca="false">MIN(AI63*(1+B$8),MAX(AU64,$B$12-SUM(AV64:BD64)))</f>
        <v>0</v>
      </c>
      <c r="BF64" s="27" t="n">
        <f aca="false">MIN(AJ63*(1+C$8),MAX(AV64,$B$12-SUM(BE64:BE64)-SUM(AW64:BD64)))</f>
        <v>0</v>
      </c>
      <c r="BG64" s="27" t="n">
        <f aca="false">MIN(AK63*(1+D$8),MAX(AW64,$B$12-SUM(BE64:BF64)-SUM(AX64:BD64)))</f>
        <v>0</v>
      </c>
      <c r="BH64" s="27" t="n">
        <f aca="false">MIN(AL63*(1+E$8),MAX(AX64,$B$12-SUM(BE64:BG64)-SUM(AY64:BD64)))</f>
        <v>0</v>
      </c>
      <c r="BI64" s="27" t="n">
        <f aca="false">MIN(AM63*(1+F$8),MAX(AY64,$B$12-SUM(BE64:BH64)-SUM(AZ64:BD64)))</f>
        <v>0</v>
      </c>
      <c r="BJ64" s="27" t="n">
        <f aca="false">MIN(AN63*(1+G$8),MAX(AZ64,$B$12-SUM(BE64:BI64)-SUM(BA64:BD64)))</f>
        <v>0</v>
      </c>
      <c r="BK64" s="27" t="n">
        <f aca="false">MIN(AO63*(1+H$8),MAX(BA64,$B$12-SUM(BE64:BJ64)-SUM(BB64:BD64)))</f>
        <v>0</v>
      </c>
      <c r="BL64" s="27" t="n">
        <f aca="false">MIN(AP63*(1+I$8),MAX(BB64,$B$12-SUM(BE64:BK64)-SUM(BC64:BD64)))</f>
        <v>0</v>
      </c>
      <c r="BM64" s="27" t="n">
        <f aca="false">MIN(AQ63*(1+J$8),MAX(BC64,$B$12-SUM(BE64:BL64)-SUM(BD64:BD64)))</f>
        <v>0</v>
      </c>
      <c r="BN64" s="27" t="n">
        <f aca="false">MIN(AR63*(1+K$8),MAX(BD64,$B$12-SUM(BE64:BM64)))</f>
        <v>0</v>
      </c>
    </row>
    <row r="65" customFormat="false" ht="15" hidden="false" customHeight="false" outlineLevel="0" collapsed="false">
      <c r="A65" s="0" t="n">
        <v>51</v>
      </c>
      <c r="B65" s="27" t="n">
        <f aca="false">ROUND(MAX(0,B64*(1+B$8)-X65),2)</f>
        <v>0</v>
      </c>
      <c r="C65" s="27" t="n">
        <f aca="false">ROUND(MAX(0,C64*(1+C$8)-Y65),2)</f>
        <v>0</v>
      </c>
      <c r="D65" s="27" t="n">
        <f aca="false">ROUND(MAX(0,D64*(1+D$8)-Z65),2)</f>
        <v>0</v>
      </c>
      <c r="E65" s="27" t="n">
        <f aca="false">ROUND(MAX(0,E64*(1+E$8)-AA65),2)</f>
        <v>0</v>
      </c>
      <c r="F65" s="27" t="n">
        <f aca="false">ROUND(MAX(0,F64*(1+F$8)-AB65),2)</f>
        <v>0</v>
      </c>
      <c r="G65" s="27" t="n">
        <f aca="false">ROUND(MAX(0,G64*(1+G$8)-AC65),2)</f>
        <v>0</v>
      </c>
      <c r="H65" s="27" t="n">
        <f aca="false">ROUND(MAX(0,H64*(1+H$8)-AD65),2)</f>
        <v>0</v>
      </c>
      <c r="I65" s="27" t="n">
        <f aca="false">ROUND(MAX(0,I64*(1+I$8)-AE65),2)</f>
        <v>0</v>
      </c>
      <c r="J65" s="27" t="n">
        <f aca="false">ROUND(MAX(0,J64*(1+J$8)-AF65),2)</f>
        <v>0</v>
      </c>
      <c r="K65" s="27" t="n">
        <f aca="false">ROUND(MAX(0,K64*(1+K$8)-AG65),2)</f>
        <v>0</v>
      </c>
      <c r="L65" s="30" t="n">
        <f aca="false">SUM(B65:K65)</f>
        <v>0</v>
      </c>
      <c r="M65" s="27" t="n">
        <f aca="false">SUMPRODUCT(B64:K64,$B$8:$K$8)</f>
        <v>0</v>
      </c>
      <c r="N65" s="27" t="n">
        <f aca="false">MIN(B64*(1+B$8),B$9)</f>
        <v>0</v>
      </c>
      <c r="O65" s="27" t="n">
        <f aca="false">MIN(C64*(1+C$8),C$9)</f>
        <v>0</v>
      </c>
      <c r="P65" s="27" t="n">
        <f aca="false">MIN(D64*(1+D$8),D$9)</f>
        <v>0</v>
      </c>
      <c r="Q65" s="27" t="n">
        <f aca="false">MIN(E64*(1+E$8),E$9)</f>
        <v>0</v>
      </c>
      <c r="R65" s="27" t="n">
        <f aca="false">MIN(F64*(1+F$8),F$9)</f>
        <v>0</v>
      </c>
      <c r="S65" s="27" t="n">
        <f aca="false">MIN(G64*(1+G$8),G$9)</f>
        <v>0</v>
      </c>
      <c r="T65" s="27" t="n">
        <f aca="false">MIN(H64*(1+H$8),H$9)</f>
        <v>0</v>
      </c>
      <c r="U65" s="27" t="n">
        <f aca="false">MIN(I64*(1+I$8),I$9)</f>
        <v>0</v>
      </c>
      <c r="V65" s="27" t="n">
        <f aca="false">MIN(J64*(1+J$8),J$9)</f>
        <v>0</v>
      </c>
      <c r="W65" s="27" t="n">
        <f aca="false">MIN(K64*(1+K$8),K$9)</f>
        <v>0</v>
      </c>
      <c r="X65" s="27" t="n">
        <f aca="false">MIN(B64*(1+B$8),MAX(N65,$B$11-SUM(O65:W65)))</f>
        <v>0</v>
      </c>
      <c r="Y65" s="27" t="n">
        <f aca="false">MIN(C64*(1+C$8),MAX(O65,$B$11-SUM(X65:X65)-SUM(P65:W65)))</f>
        <v>0</v>
      </c>
      <c r="Z65" s="27" t="n">
        <f aca="false">MIN(D64*(1+D$8),MAX(P65,$B$11-SUM(X65:Y65)-SUM(Q65:W65)))</f>
        <v>0</v>
      </c>
      <c r="AA65" s="27" t="n">
        <f aca="false">MIN(E64*(1+E$8),MAX(Q65,$B$11-SUM(X65:Z65)-SUM(R65:W65)))</f>
        <v>0</v>
      </c>
      <c r="AB65" s="27" t="n">
        <f aca="false">MIN(F64*(1+F$8),MAX(R65,$B$11-SUM(X65:AA65)-SUM(S65:W65)))</f>
        <v>0</v>
      </c>
      <c r="AC65" s="27" t="n">
        <f aca="false">MIN(G64*(1+G$8),MAX(S65,$B$11-SUM(X65:AB65)-SUM(T65:W65)))</f>
        <v>0</v>
      </c>
      <c r="AD65" s="27" t="n">
        <f aca="false">MIN(H64*(1+H$8),MAX(T65,$B$11-SUM(X65:AC65)-SUM(U65:W65)))</f>
        <v>0</v>
      </c>
      <c r="AE65" s="27" t="n">
        <f aca="false">MIN(I64*(1+I$8),MAX(U65,$B$11-SUM(X65:AD65)-SUM(V65:W65)))</f>
        <v>0</v>
      </c>
      <c r="AF65" s="27" t="n">
        <f aca="false">MIN(J64*(1+J$8),MAX(V65,$B$11-SUM(X65:AE65)-SUM(W65:W65)))</f>
        <v>0</v>
      </c>
      <c r="AG65" s="27" t="n">
        <f aca="false">MIN(K64*(1+K$8),MAX(W65,$B$11-SUM(X65:AF65)))</f>
        <v>0</v>
      </c>
      <c r="AI65" s="27" t="n">
        <f aca="false">ROUND(MAX(0,AI64*(1+B$8)-BE65),2)</f>
        <v>0</v>
      </c>
      <c r="AJ65" s="27" t="n">
        <f aca="false">ROUND(MAX(0,AJ64*(1+C$8)-BF65),2)</f>
        <v>0</v>
      </c>
      <c r="AK65" s="27" t="n">
        <f aca="false">ROUND(MAX(0,AK64*(1+D$8)-BG65),2)</f>
        <v>0</v>
      </c>
      <c r="AL65" s="27" t="n">
        <f aca="false">ROUND(MAX(0,AL64*(1+E$8)-BH65),2)</f>
        <v>0</v>
      </c>
      <c r="AM65" s="27" t="n">
        <f aca="false">ROUND(MAX(0,AM64*(1+F$8)-BI65),2)</f>
        <v>0</v>
      </c>
      <c r="AN65" s="27" t="n">
        <f aca="false">ROUND(MAX(0,AN64*(1+G$8)-BJ65),2)</f>
        <v>0</v>
      </c>
      <c r="AO65" s="27" t="n">
        <f aca="false">ROUND(MAX(0,AO64*(1+H$8)-BK65),2)</f>
        <v>0</v>
      </c>
      <c r="AP65" s="27" t="n">
        <f aca="false">ROUND(MAX(0,AP64*(1+I$8)-BL65),2)</f>
        <v>0</v>
      </c>
      <c r="AQ65" s="27" t="n">
        <f aca="false">ROUND(MAX(0,AQ64*(1+J$8)-BM65),2)</f>
        <v>0</v>
      </c>
      <c r="AR65" s="27" t="n">
        <f aca="false">ROUND(MAX(0,AR64*(1+K$8)-BN65),2)</f>
        <v>0</v>
      </c>
      <c r="AS65" s="27" t="n">
        <f aca="false">SUM(AI65:AR65)</f>
        <v>0</v>
      </c>
      <c r="AT65" s="27" t="n">
        <f aca="false">SUMPRODUCT(AI64:AR64,$B$8:$K$8)</f>
        <v>0</v>
      </c>
      <c r="AU65" s="27" t="n">
        <f aca="false">MIN(AI64*(1+B$8),B$9)</f>
        <v>0</v>
      </c>
      <c r="AV65" s="27" t="n">
        <f aca="false">MIN(AJ64*(1+C$8),C$9)</f>
        <v>0</v>
      </c>
      <c r="AW65" s="27" t="n">
        <f aca="false">MIN(AK64*(1+D$8),D$9)</f>
        <v>0</v>
      </c>
      <c r="AX65" s="27" t="n">
        <f aca="false">MIN(AL64*(1+E$8),E$9)</f>
        <v>0</v>
      </c>
      <c r="AY65" s="27" t="n">
        <f aca="false">MIN(AM64*(1+F$8),F$9)</f>
        <v>0</v>
      </c>
      <c r="AZ65" s="27" t="n">
        <f aca="false">MIN(AN64*(1+G$8),G$9)</f>
        <v>0</v>
      </c>
      <c r="BA65" s="27" t="n">
        <f aca="false">MIN(AO64*(1+H$8),H$9)</f>
        <v>0</v>
      </c>
      <c r="BB65" s="27" t="n">
        <f aca="false">MIN(AP64*(1+I$8),I$9)</f>
        <v>0</v>
      </c>
      <c r="BC65" s="27" t="n">
        <f aca="false">MIN(AQ64*(1+J$8),J$9)</f>
        <v>0</v>
      </c>
      <c r="BD65" s="27" t="n">
        <f aca="false">MIN(AR64*(1+K$8),K$9)</f>
        <v>0</v>
      </c>
      <c r="BE65" s="27" t="n">
        <f aca="false">MIN(AI64*(1+B$8),MAX(AU65,$B$12-SUM(AV65:BD65)))</f>
        <v>0</v>
      </c>
      <c r="BF65" s="27" t="n">
        <f aca="false">MIN(AJ64*(1+C$8),MAX(AV65,$B$12-SUM(BE65:BE65)-SUM(AW65:BD65)))</f>
        <v>0</v>
      </c>
      <c r="BG65" s="27" t="n">
        <f aca="false">MIN(AK64*(1+D$8),MAX(AW65,$B$12-SUM(BE65:BF65)-SUM(AX65:BD65)))</f>
        <v>0</v>
      </c>
      <c r="BH65" s="27" t="n">
        <f aca="false">MIN(AL64*(1+E$8),MAX(AX65,$B$12-SUM(BE65:BG65)-SUM(AY65:BD65)))</f>
        <v>0</v>
      </c>
      <c r="BI65" s="27" t="n">
        <f aca="false">MIN(AM64*(1+F$8),MAX(AY65,$B$12-SUM(BE65:BH65)-SUM(AZ65:BD65)))</f>
        <v>0</v>
      </c>
      <c r="BJ65" s="27" t="n">
        <f aca="false">MIN(AN64*(1+G$8),MAX(AZ65,$B$12-SUM(BE65:BI65)-SUM(BA65:BD65)))</f>
        <v>0</v>
      </c>
      <c r="BK65" s="27" t="n">
        <f aca="false">MIN(AO64*(1+H$8),MAX(BA65,$B$12-SUM(BE65:BJ65)-SUM(BB65:BD65)))</f>
        <v>0</v>
      </c>
      <c r="BL65" s="27" t="n">
        <f aca="false">MIN(AP64*(1+I$8),MAX(BB65,$B$12-SUM(BE65:BK65)-SUM(BC65:BD65)))</f>
        <v>0</v>
      </c>
      <c r="BM65" s="27" t="n">
        <f aca="false">MIN(AQ64*(1+J$8),MAX(BC65,$B$12-SUM(BE65:BL65)-SUM(BD65:BD65)))</f>
        <v>0</v>
      </c>
      <c r="BN65" s="27" t="n">
        <f aca="false">MIN(AR64*(1+K$8),MAX(BD65,$B$12-SUM(BE65:BM65)))</f>
        <v>0</v>
      </c>
    </row>
    <row r="66" customFormat="false" ht="15" hidden="false" customHeight="false" outlineLevel="0" collapsed="false">
      <c r="A66" s="0" t="n">
        <v>52</v>
      </c>
      <c r="B66" s="27" t="n">
        <f aca="false">ROUND(MAX(0,B65*(1+B$8)-X66),2)</f>
        <v>0</v>
      </c>
      <c r="C66" s="27" t="n">
        <f aca="false">ROUND(MAX(0,C65*(1+C$8)-Y66),2)</f>
        <v>0</v>
      </c>
      <c r="D66" s="27" t="n">
        <f aca="false">ROUND(MAX(0,D65*(1+D$8)-Z66),2)</f>
        <v>0</v>
      </c>
      <c r="E66" s="27" t="n">
        <f aca="false">ROUND(MAX(0,E65*(1+E$8)-AA66),2)</f>
        <v>0</v>
      </c>
      <c r="F66" s="27" t="n">
        <f aca="false">ROUND(MAX(0,F65*(1+F$8)-AB66),2)</f>
        <v>0</v>
      </c>
      <c r="G66" s="27" t="n">
        <f aca="false">ROUND(MAX(0,G65*(1+G$8)-AC66),2)</f>
        <v>0</v>
      </c>
      <c r="H66" s="27" t="n">
        <f aca="false">ROUND(MAX(0,H65*(1+H$8)-AD66),2)</f>
        <v>0</v>
      </c>
      <c r="I66" s="27" t="n">
        <f aca="false">ROUND(MAX(0,I65*(1+I$8)-AE66),2)</f>
        <v>0</v>
      </c>
      <c r="J66" s="27" t="n">
        <f aca="false">ROUND(MAX(0,J65*(1+J$8)-AF66),2)</f>
        <v>0</v>
      </c>
      <c r="K66" s="27" t="n">
        <f aca="false">ROUND(MAX(0,K65*(1+K$8)-AG66),2)</f>
        <v>0</v>
      </c>
      <c r="L66" s="30" t="n">
        <f aca="false">SUM(B66:K66)</f>
        <v>0</v>
      </c>
      <c r="M66" s="27" t="n">
        <f aca="false">SUMPRODUCT(B65:K65,$B$8:$K$8)</f>
        <v>0</v>
      </c>
      <c r="N66" s="27" t="n">
        <f aca="false">MIN(B65*(1+B$8),B$9)</f>
        <v>0</v>
      </c>
      <c r="O66" s="27" t="n">
        <f aca="false">MIN(C65*(1+C$8),C$9)</f>
        <v>0</v>
      </c>
      <c r="P66" s="27" t="n">
        <f aca="false">MIN(D65*(1+D$8),D$9)</f>
        <v>0</v>
      </c>
      <c r="Q66" s="27" t="n">
        <f aca="false">MIN(E65*(1+E$8),E$9)</f>
        <v>0</v>
      </c>
      <c r="R66" s="27" t="n">
        <f aca="false">MIN(F65*(1+F$8),F$9)</f>
        <v>0</v>
      </c>
      <c r="S66" s="27" t="n">
        <f aca="false">MIN(G65*(1+G$8),G$9)</f>
        <v>0</v>
      </c>
      <c r="T66" s="27" t="n">
        <f aca="false">MIN(H65*(1+H$8),H$9)</f>
        <v>0</v>
      </c>
      <c r="U66" s="27" t="n">
        <f aca="false">MIN(I65*(1+I$8),I$9)</f>
        <v>0</v>
      </c>
      <c r="V66" s="27" t="n">
        <f aca="false">MIN(J65*(1+J$8),J$9)</f>
        <v>0</v>
      </c>
      <c r="W66" s="27" t="n">
        <f aca="false">MIN(K65*(1+K$8),K$9)</f>
        <v>0</v>
      </c>
      <c r="X66" s="27" t="n">
        <f aca="false">MIN(B65*(1+B$8),MAX(N66,$B$11-SUM(O66:W66)))</f>
        <v>0</v>
      </c>
      <c r="Y66" s="27" t="n">
        <f aca="false">MIN(C65*(1+C$8),MAX(O66,$B$11-SUM(X66:X66)-SUM(P66:W66)))</f>
        <v>0</v>
      </c>
      <c r="Z66" s="27" t="n">
        <f aca="false">MIN(D65*(1+D$8),MAX(P66,$B$11-SUM(X66:Y66)-SUM(Q66:W66)))</f>
        <v>0</v>
      </c>
      <c r="AA66" s="27" t="n">
        <f aca="false">MIN(E65*(1+E$8),MAX(Q66,$B$11-SUM(X66:Z66)-SUM(R66:W66)))</f>
        <v>0</v>
      </c>
      <c r="AB66" s="27" t="n">
        <f aca="false">MIN(F65*(1+F$8),MAX(R66,$B$11-SUM(X66:AA66)-SUM(S66:W66)))</f>
        <v>0</v>
      </c>
      <c r="AC66" s="27" t="n">
        <f aca="false">MIN(G65*(1+G$8),MAX(S66,$B$11-SUM(X66:AB66)-SUM(T66:W66)))</f>
        <v>0</v>
      </c>
      <c r="AD66" s="27" t="n">
        <f aca="false">MIN(H65*(1+H$8),MAX(T66,$B$11-SUM(X66:AC66)-SUM(U66:W66)))</f>
        <v>0</v>
      </c>
      <c r="AE66" s="27" t="n">
        <f aca="false">MIN(I65*(1+I$8),MAX(U66,$B$11-SUM(X66:AD66)-SUM(V66:W66)))</f>
        <v>0</v>
      </c>
      <c r="AF66" s="27" t="n">
        <f aca="false">MIN(J65*(1+J$8),MAX(V66,$B$11-SUM(X66:AE66)-SUM(W66:W66)))</f>
        <v>0</v>
      </c>
      <c r="AG66" s="27" t="n">
        <f aca="false">MIN(K65*(1+K$8),MAX(W66,$B$11-SUM(X66:AF66)))</f>
        <v>0</v>
      </c>
      <c r="AI66" s="27" t="n">
        <f aca="false">ROUND(MAX(0,AI65*(1+B$8)-BE66),2)</f>
        <v>0</v>
      </c>
      <c r="AJ66" s="27" t="n">
        <f aca="false">ROUND(MAX(0,AJ65*(1+C$8)-BF66),2)</f>
        <v>0</v>
      </c>
      <c r="AK66" s="27" t="n">
        <f aca="false">ROUND(MAX(0,AK65*(1+D$8)-BG66),2)</f>
        <v>0</v>
      </c>
      <c r="AL66" s="27" t="n">
        <f aca="false">ROUND(MAX(0,AL65*(1+E$8)-BH66),2)</f>
        <v>0</v>
      </c>
      <c r="AM66" s="27" t="n">
        <f aca="false">ROUND(MAX(0,AM65*(1+F$8)-BI66),2)</f>
        <v>0</v>
      </c>
      <c r="AN66" s="27" t="n">
        <f aca="false">ROUND(MAX(0,AN65*(1+G$8)-BJ66),2)</f>
        <v>0</v>
      </c>
      <c r="AO66" s="27" t="n">
        <f aca="false">ROUND(MAX(0,AO65*(1+H$8)-BK66),2)</f>
        <v>0</v>
      </c>
      <c r="AP66" s="27" t="n">
        <f aca="false">ROUND(MAX(0,AP65*(1+I$8)-BL66),2)</f>
        <v>0</v>
      </c>
      <c r="AQ66" s="27" t="n">
        <f aca="false">ROUND(MAX(0,AQ65*(1+J$8)-BM66),2)</f>
        <v>0</v>
      </c>
      <c r="AR66" s="27" t="n">
        <f aca="false">ROUND(MAX(0,AR65*(1+K$8)-BN66),2)</f>
        <v>0</v>
      </c>
      <c r="AS66" s="27" t="n">
        <f aca="false">SUM(AI66:AR66)</f>
        <v>0</v>
      </c>
      <c r="AT66" s="27" t="n">
        <f aca="false">SUMPRODUCT(AI65:AR65,$B$8:$K$8)</f>
        <v>0</v>
      </c>
      <c r="AU66" s="27" t="n">
        <f aca="false">MIN(AI65*(1+B$8),B$9)</f>
        <v>0</v>
      </c>
      <c r="AV66" s="27" t="n">
        <f aca="false">MIN(AJ65*(1+C$8),C$9)</f>
        <v>0</v>
      </c>
      <c r="AW66" s="27" t="n">
        <f aca="false">MIN(AK65*(1+D$8),D$9)</f>
        <v>0</v>
      </c>
      <c r="AX66" s="27" t="n">
        <f aca="false">MIN(AL65*(1+E$8),E$9)</f>
        <v>0</v>
      </c>
      <c r="AY66" s="27" t="n">
        <f aca="false">MIN(AM65*(1+F$8),F$9)</f>
        <v>0</v>
      </c>
      <c r="AZ66" s="27" t="n">
        <f aca="false">MIN(AN65*(1+G$8),G$9)</f>
        <v>0</v>
      </c>
      <c r="BA66" s="27" t="n">
        <f aca="false">MIN(AO65*(1+H$8),H$9)</f>
        <v>0</v>
      </c>
      <c r="BB66" s="27" t="n">
        <f aca="false">MIN(AP65*(1+I$8),I$9)</f>
        <v>0</v>
      </c>
      <c r="BC66" s="27" t="n">
        <f aca="false">MIN(AQ65*(1+J$8),J$9)</f>
        <v>0</v>
      </c>
      <c r="BD66" s="27" t="n">
        <f aca="false">MIN(AR65*(1+K$8),K$9)</f>
        <v>0</v>
      </c>
      <c r="BE66" s="27" t="n">
        <f aca="false">MIN(AI65*(1+B$8),MAX(AU66,$B$12-SUM(AV66:BD66)))</f>
        <v>0</v>
      </c>
      <c r="BF66" s="27" t="n">
        <f aca="false">MIN(AJ65*(1+C$8),MAX(AV66,$B$12-SUM(BE66:BE66)-SUM(AW66:BD66)))</f>
        <v>0</v>
      </c>
      <c r="BG66" s="27" t="n">
        <f aca="false">MIN(AK65*(1+D$8),MAX(AW66,$B$12-SUM(BE66:BF66)-SUM(AX66:BD66)))</f>
        <v>0</v>
      </c>
      <c r="BH66" s="27" t="n">
        <f aca="false">MIN(AL65*(1+E$8),MAX(AX66,$B$12-SUM(BE66:BG66)-SUM(AY66:BD66)))</f>
        <v>0</v>
      </c>
      <c r="BI66" s="27" t="n">
        <f aca="false">MIN(AM65*(1+F$8),MAX(AY66,$B$12-SUM(BE66:BH66)-SUM(AZ66:BD66)))</f>
        <v>0</v>
      </c>
      <c r="BJ66" s="27" t="n">
        <f aca="false">MIN(AN65*(1+G$8),MAX(AZ66,$B$12-SUM(BE66:BI66)-SUM(BA66:BD66)))</f>
        <v>0</v>
      </c>
      <c r="BK66" s="27" t="n">
        <f aca="false">MIN(AO65*(1+H$8),MAX(BA66,$B$12-SUM(BE66:BJ66)-SUM(BB66:BD66)))</f>
        <v>0</v>
      </c>
      <c r="BL66" s="27" t="n">
        <f aca="false">MIN(AP65*(1+I$8),MAX(BB66,$B$12-SUM(BE66:BK66)-SUM(BC66:BD66)))</f>
        <v>0</v>
      </c>
      <c r="BM66" s="27" t="n">
        <f aca="false">MIN(AQ65*(1+J$8),MAX(BC66,$B$12-SUM(BE66:BL66)-SUM(BD66:BD66)))</f>
        <v>0</v>
      </c>
      <c r="BN66" s="27" t="n">
        <f aca="false">MIN(AR65*(1+K$8),MAX(BD66,$B$12-SUM(BE66:BM66)))</f>
        <v>0</v>
      </c>
    </row>
    <row r="67" customFormat="false" ht="15" hidden="false" customHeight="false" outlineLevel="0" collapsed="false">
      <c r="A67" s="0" t="n">
        <v>53</v>
      </c>
      <c r="B67" s="27" t="n">
        <f aca="false">ROUND(MAX(0,B66*(1+B$8)-X67),2)</f>
        <v>0</v>
      </c>
      <c r="C67" s="27" t="n">
        <f aca="false">ROUND(MAX(0,C66*(1+C$8)-Y67),2)</f>
        <v>0</v>
      </c>
      <c r="D67" s="27" t="n">
        <f aca="false">ROUND(MAX(0,D66*(1+D$8)-Z67),2)</f>
        <v>0</v>
      </c>
      <c r="E67" s="27" t="n">
        <f aca="false">ROUND(MAX(0,E66*(1+E$8)-AA67),2)</f>
        <v>0</v>
      </c>
      <c r="F67" s="27" t="n">
        <f aca="false">ROUND(MAX(0,F66*(1+F$8)-AB67),2)</f>
        <v>0</v>
      </c>
      <c r="G67" s="27" t="n">
        <f aca="false">ROUND(MAX(0,G66*(1+G$8)-AC67),2)</f>
        <v>0</v>
      </c>
      <c r="H67" s="27" t="n">
        <f aca="false">ROUND(MAX(0,H66*(1+H$8)-AD67),2)</f>
        <v>0</v>
      </c>
      <c r="I67" s="27" t="n">
        <f aca="false">ROUND(MAX(0,I66*(1+I$8)-AE67),2)</f>
        <v>0</v>
      </c>
      <c r="J67" s="27" t="n">
        <f aca="false">ROUND(MAX(0,J66*(1+J$8)-AF67),2)</f>
        <v>0</v>
      </c>
      <c r="K67" s="27" t="n">
        <f aca="false">ROUND(MAX(0,K66*(1+K$8)-AG67),2)</f>
        <v>0</v>
      </c>
      <c r="L67" s="30" t="n">
        <f aca="false">SUM(B67:K67)</f>
        <v>0</v>
      </c>
      <c r="M67" s="27" t="n">
        <f aca="false">SUMPRODUCT(B66:K66,$B$8:$K$8)</f>
        <v>0</v>
      </c>
      <c r="N67" s="27" t="n">
        <f aca="false">MIN(B66*(1+B$8),B$9)</f>
        <v>0</v>
      </c>
      <c r="O67" s="27" t="n">
        <f aca="false">MIN(C66*(1+C$8),C$9)</f>
        <v>0</v>
      </c>
      <c r="P67" s="27" t="n">
        <f aca="false">MIN(D66*(1+D$8),D$9)</f>
        <v>0</v>
      </c>
      <c r="Q67" s="27" t="n">
        <f aca="false">MIN(E66*(1+E$8),E$9)</f>
        <v>0</v>
      </c>
      <c r="R67" s="27" t="n">
        <f aca="false">MIN(F66*(1+F$8),F$9)</f>
        <v>0</v>
      </c>
      <c r="S67" s="27" t="n">
        <f aca="false">MIN(G66*(1+G$8),G$9)</f>
        <v>0</v>
      </c>
      <c r="T67" s="27" t="n">
        <f aca="false">MIN(H66*(1+H$8),H$9)</f>
        <v>0</v>
      </c>
      <c r="U67" s="27" t="n">
        <f aca="false">MIN(I66*(1+I$8),I$9)</f>
        <v>0</v>
      </c>
      <c r="V67" s="27" t="n">
        <f aca="false">MIN(J66*(1+J$8),J$9)</f>
        <v>0</v>
      </c>
      <c r="W67" s="27" t="n">
        <f aca="false">MIN(K66*(1+K$8),K$9)</f>
        <v>0</v>
      </c>
      <c r="X67" s="27" t="n">
        <f aca="false">MIN(B66*(1+B$8),MAX(N67,$B$11-SUM(O67:W67)))</f>
        <v>0</v>
      </c>
      <c r="Y67" s="27" t="n">
        <f aca="false">MIN(C66*(1+C$8),MAX(O67,$B$11-SUM(X67:X67)-SUM(P67:W67)))</f>
        <v>0</v>
      </c>
      <c r="Z67" s="27" t="n">
        <f aca="false">MIN(D66*(1+D$8),MAX(P67,$B$11-SUM(X67:Y67)-SUM(Q67:W67)))</f>
        <v>0</v>
      </c>
      <c r="AA67" s="27" t="n">
        <f aca="false">MIN(E66*(1+E$8),MAX(Q67,$B$11-SUM(X67:Z67)-SUM(R67:W67)))</f>
        <v>0</v>
      </c>
      <c r="AB67" s="27" t="n">
        <f aca="false">MIN(F66*(1+F$8),MAX(R67,$B$11-SUM(X67:AA67)-SUM(S67:W67)))</f>
        <v>0</v>
      </c>
      <c r="AC67" s="27" t="n">
        <f aca="false">MIN(G66*(1+G$8),MAX(S67,$B$11-SUM(X67:AB67)-SUM(T67:W67)))</f>
        <v>0</v>
      </c>
      <c r="AD67" s="27" t="n">
        <f aca="false">MIN(H66*(1+H$8),MAX(T67,$B$11-SUM(X67:AC67)-SUM(U67:W67)))</f>
        <v>0</v>
      </c>
      <c r="AE67" s="27" t="n">
        <f aca="false">MIN(I66*(1+I$8),MAX(U67,$B$11-SUM(X67:AD67)-SUM(V67:W67)))</f>
        <v>0</v>
      </c>
      <c r="AF67" s="27" t="n">
        <f aca="false">MIN(J66*(1+J$8),MAX(V67,$B$11-SUM(X67:AE67)-SUM(W67:W67)))</f>
        <v>0</v>
      </c>
      <c r="AG67" s="27" t="n">
        <f aca="false">MIN(K66*(1+K$8),MAX(W67,$B$11-SUM(X67:AF67)))</f>
        <v>0</v>
      </c>
      <c r="AI67" s="27" t="n">
        <f aca="false">ROUND(MAX(0,AI66*(1+B$8)-BE67),2)</f>
        <v>0</v>
      </c>
      <c r="AJ67" s="27" t="n">
        <f aca="false">ROUND(MAX(0,AJ66*(1+C$8)-BF67),2)</f>
        <v>0</v>
      </c>
      <c r="AK67" s="27" t="n">
        <f aca="false">ROUND(MAX(0,AK66*(1+D$8)-BG67),2)</f>
        <v>0</v>
      </c>
      <c r="AL67" s="27" t="n">
        <f aca="false">ROUND(MAX(0,AL66*(1+E$8)-BH67),2)</f>
        <v>0</v>
      </c>
      <c r="AM67" s="27" t="n">
        <f aca="false">ROUND(MAX(0,AM66*(1+F$8)-BI67),2)</f>
        <v>0</v>
      </c>
      <c r="AN67" s="27" t="n">
        <f aca="false">ROUND(MAX(0,AN66*(1+G$8)-BJ67),2)</f>
        <v>0</v>
      </c>
      <c r="AO67" s="27" t="n">
        <f aca="false">ROUND(MAX(0,AO66*(1+H$8)-BK67),2)</f>
        <v>0</v>
      </c>
      <c r="AP67" s="27" t="n">
        <f aca="false">ROUND(MAX(0,AP66*(1+I$8)-BL67),2)</f>
        <v>0</v>
      </c>
      <c r="AQ67" s="27" t="n">
        <f aca="false">ROUND(MAX(0,AQ66*(1+J$8)-BM67),2)</f>
        <v>0</v>
      </c>
      <c r="AR67" s="27" t="n">
        <f aca="false">ROUND(MAX(0,AR66*(1+K$8)-BN67),2)</f>
        <v>0</v>
      </c>
      <c r="AS67" s="27" t="n">
        <f aca="false">SUM(AI67:AR67)</f>
        <v>0</v>
      </c>
      <c r="AT67" s="27" t="n">
        <f aca="false">SUMPRODUCT(AI66:AR66,$B$8:$K$8)</f>
        <v>0</v>
      </c>
      <c r="AU67" s="27" t="n">
        <f aca="false">MIN(AI66*(1+B$8),B$9)</f>
        <v>0</v>
      </c>
      <c r="AV67" s="27" t="n">
        <f aca="false">MIN(AJ66*(1+C$8),C$9)</f>
        <v>0</v>
      </c>
      <c r="AW67" s="27" t="n">
        <f aca="false">MIN(AK66*(1+D$8),D$9)</f>
        <v>0</v>
      </c>
      <c r="AX67" s="27" t="n">
        <f aca="false">MIN(AL66*(1+E$8),E$9)</f>
        <v>0</v>
      </c>
      <c r="AY67" s="27" t="n">
        <f aca="false">MIN(AM66*(1+F$8),F$9)</f>
        <v>0</v>
      </c>
      <c r="AZ67" s="27" t="n">
        <f aca="false">MIN(AN66*(1+G$8),G$9)</f>
        <v>0</v>
      </c>
      <c r="BA67" s="27" t="n">
        <f aca="false">MIN(AO66*(1+H$8),H$9)</f>
        <v>0</v>
      </c>
      <c r="BB67" s="27" t="n">
        <f aca="false">MIN(AP66*(1+I$8),I$9)</f>
        <v>0</v>
      </c>
      <c r="BC67" s="27" t="n">
        <f aca="false">MIN(AQ66*(1+J$8),J$9)</f>
        <v>0</v>
      </c>
      <c r="BD67" s="27" t="n">
        <f aca="false">MIN(AR66*(1+K$8),K$9)</f>
        <v>0</v>
      </c>
      <c r="BE67" s="27" t="n">
        <f aca="false">MIN(AI66*(1+B$8),MAX(AU67,$B$12-SUM(AV67:BD67)))</f>
        <v>0</v>
      </c>
      <c r="BF67" s="27" t="n">
        <f aca="false">MIN(AJ66*(1+C$8),MAX(AV67,$B$12-SUM(BE67:BE67)-SUM(AW67:BD67)))</f>
        <v>0</v>
      </c>
      <c r="BG67" s="27" t="n">
        <f aca="false">MIN(AK66*(1+D$8),MAX(AW67,$B$12-SUM(BE67:BF67)-SUM(AX67:BD67)))</f>
        <v>0</v>
      </c>
      <c r="BH67" s="27" t="n">
        <f aca="false">MIN(AL66*(1+E$8),MAX(AX67,$B$12-SUM(BE67:BG67)-SUM(AY67:BD67)))</f>
        <v>0</v>
      </c>
      <c r="BI67" s="27" t="n">
        <f aca="false">MIN(AM66*(1+F$8),MAX(AY67,$B$12-SUM(BE67:BH67)-SUM(AZ67:BD67)))</f>
        <v>0</v>
      </c>
      <c r="BJ67" s="27" t="n">
        <f aca="false">MIN(AN66*(1+G$8),MAX(AZ67,$B$12-SUM(BE67:BI67)-SUM(BA67:BD67)))</f>
        <v>0</v>
      </c>
      <c r="BK67" s="27" t="n">
        <f aca="false">MIN(AO66*(1+H$8),MAX(BA67,$B$12-SUM(BE67:BJ67)-SUM(BB67:BD67)))</f>
        <v>0</v>
      </c>
      <c r="BL67" s="27" t="n">
        <f aca="false">MIN(AP66*(1+I$8),MAX(BB67,$B$12-SUM(BE67:BK67)-SUM(BC67:BD67)))</f>
        <v>0</v>
      </c>
      <c r="BM67" s="27" t="n">
        <f aca="false">MIN(AQ66*(1+J$8),MAX(BC67,$B$12-SUM(BE67:BL67)-SUM(BD67:BD67)))</f>
        <v>0</v>
      </c>
      <c r="BN67" s="27" t="n">
        <f aca="false">MIN(AR66*(1+K$8),MAX(BD67,$B$12-SUM(BE67:BM67)))</f>
        <v>0</v>
      </c>
    </row>
    <row r="68" customFormat="false" ht="15" hidden="false" customHeight="false" outlineLevel="0" collapsed="false">
      <c r="A68" s="0" t="n">
        <v>54</v>
      </c>
      <c r="B68" s="27" t="n">
        <f aca="false">ROUND(MAX(0,B67*(1+B$8)-X68),2)</f>
        <v>0</v>
      </c>
      <c r="C68" s="27" t="n">
        <f aca="false">ROUND(MAX(0,C67*(1+C$8)-Y68),2)</f>
        <v>0</v>
      </c>
      <c r="D68" s="27" t="n">
        <f aca="false">ROUND(MAX(0,D67*(1+D$8)-Z68),2)</f>
        <v>0</v>
      </c>
      <c r="E68" s="27" t="n">
        <f aca="false">ROUND(MAX(0,E67*(1+E$8)-AA68),2)</f>
        <v>0</v>
      </c>
      <c r="F68" s="27" t="n">
        <f aca="false">ROUND(MAX(0,F67*(1+F$8)-AB68),2)</f>
        <v>0</v>
      </c>
      <c r="G68" s="27" t="n">
        <f aca="false">ROUND(MAX(0,G67*(1+G$8)-AC68),2)</f>
        <v>0</v>
      </c>
      <c r="H68" s="27" t="n">
        <f aca="false">ROUND(MAX(0,H67*(1+H$8)-AD68),2)</f>
        <v>0</v>
      </c>
      <c r="I68" s="27" t="n">
        <f aca="false">ROUND(MAX(0,I67*(1+I$8)-AE68),2)</f>
        <v>0</v>
      </c>
      <c r="J68" s="27" t="n">
        <f aca="false">ROUND(MAX(0,J67*(1+J$8)-AF68),2)</f>
        <v>0</v>
      </c>
      <c r="K68" s="27" t="n">
        <f aca="false">ROUND(MAX(0,K67*(1+K$8)-AG68),2)</f>
        <v>0</v>
      </c>
      <c r="L68" s="30" t="n">
        <f aca="false">SUM(B68:K68)</f>
        <v>0</v>
      </c>
      <c r="M68" s="27" t="n">
        <f aca="false">SUMPRODUCT(B67:K67,$B$8:$K$8)</f>
        <v>0</v>
      </c>
      <c r="N68" s="27" t="n">
        <f aca="false">MIN(B67*(1+B$8),B$9)</f>
        <v>0</v>
      </c>
      <c r="O68" s="27" t="n">
        <f aca="false">MIN(C67*(1+C$8),C$9)</f>
        <v>0</v>
      </c>
      <c r="P68" s="27" t="n">
        <f aca="false">MIN(D67*(1+D$8),D$9)</f>
        <v>0</v>
      </c>
      <c r="Q68" s="27" t="n">
        <f aca="false">MIN(E67*(1+E$8),E$9)</f>
        <v>0</v>
      </c>
      <c r="R68" s="27" t="n">
        <f aca="false">MIN(F67*(1+F$8),F$9)</f>
        <v>0</v>
      </c>
      <c r="S68" s="27" t="n">
        <f aca="false">MIN(G67*(1+G$8),G$9)</f>
        <v>0</v>
      </c>
      <c r="T68" s="27" t="n">
        <f aca="false">MIN(H67*(1+H$8),H$9)</f>
        <v>0</v>
      </c>
      <c r="U68" s="27" t="n">
        <f aca="false">MIN(I67*(1+I$8),I$9)</f>
        <v>0</v>
      </c>
      <c r="V68" s="27" t="n">
        <f aca="false">MIN(J67*(1+J$8),J$9)</f>
        <v>0</v>
      </c>
      <c r="W68" s="27" t="n">
        <f aca="false">MIN(K67*(1+K$8),K$9)</f>
        <v>0</v>
      </c>
      <c r="X68" s="27" t="n">
        <f aca="false">MIN(B67*(1+B$8),MAX(N68,$B$11-SUM(O68:W68)))</f>
        <v>0</v>
      </c>
      <c r="Y68" s="27" t="n">
        <f aca="false">MIN(C67*(1+C$8),MAX(O68,$B$11-SUM(X68:X68)-SUM(P68:W68)))</f>
        <v>0</v>
      </c>
      <c r="Z68" s="27" t="n">
        <f aca="false">MIN(D67*(1+D$8),MAX(P68,$B$11-SUM(X68:Y68)-SUM(Q68:W68)))</f>
        <v>0</v>
      </c>
      <c r="AA68" s="27" t="n">
        <f aca="false">MIN(E67*(1+E$8),MAX(Q68,$B$11-SUM(X68:Z68)-SUM(R68:W68)))</f>
        <v>0</v>
      </c>
      <c r="AB68" s="27" t="n">
        <f aca="false">MIN(F67*(1+F$8),MAX(R68,$B$11-SUM(X68:AA68)-SUM(S68:W68)))</f>
        <v>0</v>
      </c>
      <c r="AC68" s="27" t="n">
        <f aca="false">MIN(G67*(1+G$8),MAX(S68,$B$11-SUM(X68:AB68)-SUM(T68:W68)))</f>
        <v>0</v>
      </c>
      <c r="AD68" s="27" t="n">
        <f aca="false">MIN(H67*(1+H$8),MAX(T68,$B$11-SUM(X68:AC68)-SUM(U68:W68)))</f>
        <v>0</v>
      </c>
      <c r="AE68" s="27" t="n">
        <f aca="false">MIN(I67*(1+I$8),MAX(U68,$B$11-SUM(X68:AD68)-SUM(V68:W68)))</f>
        <v>0</v>
      </c>
      <c r="AF68" s="27" t="n">
        <f aca="false">MIN(J67*(1+J$8),MAX(V68,$B$11-SUM(X68:AE68)-SUM(W68:W68)))</f>
        <v>0</v>
      </c>
      <c r="AG68" s="27" t="n">
        <f aca="false">MIN(K67*(1+K$8),MAX(W68,$B$11-SUM(X68:AF68)))</f>
        <v>0</v>
      </c>
      <c r="AI68" s="27" t="n">
        <f aca="false">ROUND(MAX(0,AI67*(1+B$8)-BE68),2)</f>
        <v>0</v>
      </c>
      <c r="AJ68" s="27" t="n">
        <f aca="false">ROUND(MAX(0,AJ67*(1+C$8)-BF68),2)</f>
        <v>0</v>
      </c>
      <c r="AK68" s="27" t="n">
        <f aca="false">ROUND(MAX(0,AK67*(1+D$8)-BG68),2)</f>
        <v>0</v>
      </c>
      <c r="AL68" s="27" t="n">
        <f aca="false">ROUND(MAX(0,AL67*(1+E$8)-BH68),2)</f>
        <v>0</v>
      </c>
      <c r="AM68" s="27" t="n">
        <f aca="false">ROUND(MAX(0,AM67*(1+F$8)-BI68),2)</f>
        <v>0</v>
      </c>
      <c r="AN68" s="27" t="n">
        <f aca="false">ROUND(MAX(0,AN67*(1+G$8)-BJ68),2)</f>
        <v>0</v>
      </c>
      <c r="AO68" s="27" t="n">
        <f aca="false">ROUND(MAX(0,AO67*(1+H$8)-BK68),2)</f>
        <v>0</v>
      </c>
      <c r="AP68" s="27" t="n">
        <f aca="false">ROUND(MAX(0,AP67*(1+I$8)-BL68),2)</f>
        <v>0</v>
      </c>
      <c r="AQ68" s="27" t="n">
        <f aca="false">ROUND(MAX(0,AQ67*(1+J$8)-BM68),2)</f>
        <v>0</v>
      </c>
      <c r="AR68" s="27" t="n">
        <f aca="false">ROUND(MAX(0,AR67*(1+K$8)-BN68),2)</f>
        <v>0</v>
      </c>
      <c r="AS68" s="27" t="n">
        <f aca="false">SUM(AI68:AR68)</f>
        <v>0</v>
      </c>
      <c r="AT68" s="27" t="n">
        <f aca="false">SUMPRODUCT(AI67:AR67,$B$8:$K$8)</f>
        <v>0</v>
      </c>
      <c r="AU68" s="27" t="n">
        <f aca="false">MIN(AI67*(1+B$8),B$9)</f>
        <v>0</v>
      </c>
      <c r="AV68" s="27" t="n">
        <f aca="false">MIN(AJ67*(1+C$8),C$9)</f>
        <v>0</v>
      </c>
      <c r="AW68" s="27" t="n">
        <f aca="false">MIN(AK67*(1+D$8),D$9)</f>
        <v>0</v>
      </c>
      <c r="AX68" s="27" t="n">
        <f aca="false">MIN(AL67*(1+E$8),E$9)</f>
        <v>0</v>
      </c>
      <c r="AY68" s="27" t="n">
        <f aca="false">MIN(AM67*(1+F$8),F$9)</f>
        <v>0</v>
      </c>
      <c r="AZ68" s="27" t="n">
        <f aca="false">MIN(AN67*(1+G$8),G$9)</f>
        <v>0</v>
      </c>
      <c r="BA68" s="27" t="n">
        <f aca="false">MIN(AO67*(1+H$8),H$9)</f>
        <v>0</v>
      </c>
      <c r="BB68" s="27" t="n">
        <f aca="false">MIN(AP67*(1+I$8),I$9)</f>
        <v>0</v>
      </c>
      <c r="BC68" s="27" t="n">
        <f aca="false">MIN(AQ67*(1+J$8),J$9)</f>
        <v>0</v>
      </c>
      <c r="BD68" s="27" t="n">
        <f aca="false">MIN(AR67*(1+K$8),K$9)</f>
        <v>0</v>
      </c>
      <c r="BE68" s="27" t="n">
        <f aca="false">MIN(AI67*(1+B$8),MAX(AU68,$B$12-SUM(AV68:BD68)))</f>
        <v>0</v>
      </c>
      <c r="BF68" s="27" t="n">
        <f aca="false">MIN(AJ67*(1+C$8),MAX(AV68,$B$12-SUM(BE68:BE68)-SUM(AW68:BD68)))</f>
        <v>0</v>
      </c>
      <c r="BG68" s="27" t="n">
        <f aca="false">MIN(AK67*(1+D$8),MAX(AW68,$B$12-SUM(BE68:BF68)-SUM(AX68:BD68)))</f>
        <v>0</v>
      </c>
      <c r="BH68" s="27" t="n">
        <f aca="false">MIN(AL67*(1+E$8),MAX(AX68,$B$12-SUM(BE68:BG68)-SUM(AY68:BD68)))</f>
        <v>0</v>
      </c>
      <c r="BI68" s="27" t="n">
        <f aca="false">MIN(AM67*(1+F$8),MAX(AY68,$B$12-SUM(BE68:BH68)-SUM(AZ68:BD68)))</f>
        <v>0</v>
      </c>
      <c r="BJ68" s="27" t="n">
        <f aca="false">MIN(AN67*(1+G$8),MAX(AZ68,$B$12-SUM(BE68:BI68)-SUM(BA68:BD68)))</f>
        <v>0</v>
      </c>
      <c r="BK68" s="27" t="n">
        <f aca="false">MIN(AO67*(1+H$8),MAX(BA68,$B$12-SUM(BE68:BJ68)-SUM(BB68:BD68)))</f>
        <v>0</v>
      </c>
      <c r="BL68" s="27" t="n">
        <f aca="false">MIN(AP67*(1+I$8),MAX(BB68,$B$12-SUM(BE68:BK68)-SUM(BC68:BD68)))</f>
        <v>0</v>
      </c>
      <c r="BM68" s="27" t="n">
        <f aca="false">MIN(AQ67*(1+J$8),MAX(BC68,$B$12-SUM(BE68:BL68)-SUM(BD68:BD68)))</f>
        <v>0</v>
      </c>
      <c r="BN68" s="27" t="n">
        <f aca="false">MIN(AR67*(1+K$8),MAX(BD68,$B$12-SUM(BE68:BM68)))</f>
        <v>0</v>
      </c>
    </row>
    <row r="69" customFormat="false" ht="15" hidden="false" customHeight="false" outlineLevel="0" collapsed="false">
      <c r="A69" s="0" t="n">
        <v>55</v>
      </c>
      <c r="B69" s="27" t="n">
        <f aca="false">ROUND(MAX(0,B68*(1+B$8)-X69),2)</f>
        <v>0</v>
      </c>
      <c r="C69" s="27" t="n">
        <f aca="false">ROUND(MAX(0,C68*(1+C$8)-Y69),2)</f>
        <v>0</v>
      </c>
      <c r="D69" s="27" t="n">
        <f aca="false">ROUND(MAX(0,D68*(1+D$8)-Z69),2)</f>
        <v>0</v>
      </c>
      <c r="E69" s="27" t="n">
        <f aca="false">ROUND(MAX(0,E68*(1+E$8)-AA69),2)</f>
        <v>0</v>
      </c>
      <c r="F69" s="27" t="n">
        <f aca="false">ROUND(MAX(0,F68*(1+F$8)-AB69),2)</f>
        <v>0</v>
      </c>
      <c r="G69" s="27" t="n">
        <f aca="false">ROUND(MAX(0,G68*(1+G$8)-AC69),2)</f>
        <v>0</v>
      </c>
      <c r="H69" s="27" t="n">
        <f aca="false">ROUND(MAX(0,H68*(1+H$8)-AD69),2)</f>
        <v>0</v>
      </c>
      <c r="I69" s="27" t="n">
        <f aca="false">ROUND(MAX(0,I68*(1+I$8)-AE69),2)</f>
        <v>0</v>
      </c>
      <c r="J69" s="27" t="n">
        <f aca="false">ROUND(MAX(0,J68*(1+J$8)-AF69),2)</f>
        <v>0</v>
      </c>
      <c r="K69" s="27" t="n">
        <f aca="false">ROUND(MAX(0,K68*(1+K$8)-AG69),2)</f>
        <v>0</v>
      </c>
      <c r="L69" s="30" t="n">
        <f aca="false">SUM(B69:K69)</f>
        <v>0</v>
      </c>
      <c r="M69" s="27" t="n">
        <f aca="false">SUMPRODUCT(B68:K68,$B$8:$K$8)</f>
        <v>0</v>
      </c>
      <c r="N69" s="27" t="n">
        <f aca="false">MIN(B68*(1+B$8),B$9)</f>
        <v>0</v>
      </c>
      <c r="O69" s="27" t="n">
        <f aca="false">MIN(C68*(1+C$8),C$9)</f>
        <v>0</v>
      </c>
      <c r="P69" s="27" t="n">
        <f aca="false">MIN(D68*(1+D$8),D$9)</f>
        <v>0</v>
      </c>
      <c r="Q69" s="27" t="n">
        <f aca="false">MIN(E68*(1+E$8),E$9)</f>
        <v>0</v>
      </c>
      <c r="R69" s="27" t="n">
        <f aca="false">MIN(F68*(1+F$8),F$9)</f>
        <v>0</v>
      </c>
      <c r="S69" s="27" t="n">
        <f aca="false">MIN(G68*(1+G$8),G$9)</f>
        <v>0</v>
      </c>
      <c r="T69" s="27" t="n">
        <f aca="false">MIN(H68*(1+H$8),H$9)</f>
        <v>0</v>
      </c>
      <c r="U69" s="27" t="n">
        <f aca="false">MIN(I68*(1+I$8),I$9)</f>
        <v>0</v>
      </c>
      <c r="V69" s="27" t="n">
        <f aca="false">MIN(J68*(1+J$8),J$9)</f>
        <v>0</v>
      </c>
      <c r="W69" s="27" t="n">
        <f aca="false">MIN(K68*(1+K$8),K$9)</f>
        <v>0</v>
      </c>
      <c r="X69" s="27" t="n">
        <f aca="false">MIN(B68*(1+B$8),MAX(N69,$B$11-SUM(O69:W69)))</f>
        <v>0</v>
      </c>
      <c r="Y69" s="27" t="n">
        <f aca="false">MIN(C68*(1+C$8),MAX(O69,$B$11-SUM(X69:X69)-SUM(P69:W69)))</f>
        <v>0</v>
      </c>
      <c r="Z69" s="27" t="n">
        <f aca="false">MIN(D68*(1+D$8),MAX(P69,$B$11-SUM(X69:Y69)-SUM(Q69:W69)))</f>
        <v>0</v>
      </c>
      <c r="AA69" s="27" t="n">
        <f aca="false">MIN(E68*(1+E$8),MAX(Q69,$B$11-SUM(X69:Z69)-SUM(R69:W69)))</f>
        <v>0</v>
      </c>
      <c r="AB69" s="27" t="n">
        <f aca="false">MIN(F68*(1+F$8),MAX(R69,$B$11-SUM(X69:AA69)-SUM(S69:W69)))</f>
        <v>0</v>
      </c>
      <c r="AC69" s="27" t="n">
        <f aca="false">MIN(G68*(1+G$8),MAX(S69,$B$11-SUM(X69:AB69)-SUM(T69:W69)))</f>
        <v>0</v>
      </c>
      <c r="AD69" s="27" t="n">
        <f aca="false">MIN(H68*(1+H$8),MAX(T69,$B$11-SUM(X69:AC69)-SUM(U69:W69)))</f>
        <v>0</v>
      </c>
      <c r="AE69" s="27" t="n">
        <f aca="false">MIN(I68*(1+I$8),MAX(U69,$B$11-SUM(X69:AD69)-SUM(V69:W69)))</f>
        <v>0</v>
      </c>
      <c r="AF69" s="27" t="n">
        <f aca="false">MIN(J68*(1+J$8),MAX(V69,$B$11-SUM(X69:AE69)-SUM(W69:W69)))</f>
        <v>0</v>
      </c>
      <c r="AG69" s="27" t="n">
        <f aca="false">MIN(K68*(1+K$8),MAX(W69,$B$11-SUM(X69:AF69)))</f>
        <v>0</v>
      </c>
      <c r="AI69" s="27" t="n">
        <f aca="false">ROUND(MAX(0,AI68*(1+B$8)-BE69),2)</f>
        <v>0</v>
      </c>
      <c r="AJ69" s="27" t="n">
        <f aca="false">ROUND(MAX(0,AJ68*(1+C$8)-BF69),2)</f>
        <v>0</v>
      </c>
      <c r="AK69" s="27" t="n">
        <f aca="false">ROUND(MAX(0,AK68*(1+D$8)-BG69),2)</f>
        <v>0</v>
      </c>
      <c r="AL69" s="27" t="n">
        <f aca="false">ROUND(MAX(0,AL68*(1+E$8)-BH69),2)</f>
        <v>0</v>
      </c>
      <c r="AM69" s="27" t="n">
        <f aca="false">ROUND(MAX(0,AM68*(1+F$8)-BI69),2)</f>
        <v>0</v>
      </c>
      <c r="AN69" s="27" t="n">
        <f aca="false">ROUND(MAX(0,AN68*(1+G$8)-BJ69),2)</f>
        <v>0</v>
      </c>
      <c r="AO69" s="27" t="n">
        <f aca="false">ROUND(MAX(0,AO68*(1+H$8)-BK69),2)</f>
        <v>0</v>
      </c>
      <c r="AP69" s="27" t="n">
        <f aca="false">ROUND(MAX(0,AP68*(1+I$8)-BL69),2)</f>
        <v>0</v>
      </c>
      <c r="AQ69" s="27" t="n">
        <f aca="false">ROUND(MAX(0,AQ68*(1+J$8)-BM69),2)</f>
        <v>0</v>
      </c>
      <c r="AR69" s="27" t="n">
        <f aca="false">ROUND(MAX(0,AR68*(1+K$8)-BN69),2)</f>
        <v>0</v>
      </c>
      <c r="AS69" s="27" t="n">
        <f aca="false">SUM(AI69:AR69)</f>
        <v>0</v>
      </c>
      <c r="AT69" s="27" t="n">
        <f aca="false">SUMPRODUCT(AI68:AR68,$B$8:$K$8)</f>
        <v>0</v>
      </c>
      <c r="AU69" s="27" t="n">
        <f aca="false">MIN(AI68*(1+B$8),B$9)</f>
        <v>0</v>
      </c>
      <c r="AV69" s="27" t="n">
        <f aca="false">MIN(AJ68*(1+C$8),C$9)</f>
        <v>0</v>
      </c>
      <c r="AW69" s="27" t="n">
        <f aca="false">MIN(AK68*(1+D$8),D$9)</f>
        <v>0</v>
      </c>
      <c r="AX69" s="27" t="n">
        <f aca="false">MIN(AL68*(1+E$8),E$9)</f>
        <v>0</v>
      </c>
      <c r="AY69" s="27" t="n">
        <f aca="false">MIN(AM68*(1+F$8),F$9)</f>
        <v>0</v>
      </c>
      <c r="AZ69" s="27" t="n">
        <f aca="false">MIN(AN68*(1+G$8),G$9)</f>
        <v>0</v>
      </c>
      <c r="BA69" s="27" t="n">
        <f aca="false">MIN(AO68*(1+H$8),H$9)</f>
        <v>0</v>
      </c>
      <c r="BB69" s="27" t="n">
        <f aca="false">MIN(AP68*(1+I$8),I$9)</f>
        <v>0</v>
      </c>
      <c r="BC69" s="27" t="n">
        <f aca="false">MIN(AQ68*(1+J$8),J$9)</f>
        <v>0</v>
      </c>
      <c r="BD69" s="27" t="n">
        <f aca="false">MIN(AR68*(1+K$8),K$9)</f>
        <v>0</v>
      </c>
      <c r="BE69" s="27" t="n">
        <f aca="false">MIN(AI68*(1+B$8),MAX(AU69,$B$12-SUM(AV69:BD69)))</f>
        <v>0</v>
      </c>
      <c r="BF69" s="27" t="n">
        <f aca="false">MIN(AJ68*(1+C$8),MAX(AV69,$B$12-SUM(BE69:BE69)-SUM(AW69:BD69)))</f>
        <v>0</v>
      </c>
      <c r="BG69" s="27" t="n">
        <f aca="false">MIN(AK68*(1+D$8),MAX(AW69,$B$12-SUM(BE69:BF69)-SUM(AX69:BD69)))</f>
        <v>0</v>
      </c>
      <c r="BH69" s="27" t="n">
        <f aca="false">MIN(AL68*(1+E$8),MAX(AX69,$B$12-SUM(BE69:BG69)-SUM(AY69:BD69)))</f>
        <v>0</v>
      </c>
      <c r="BI69" s="27" t="n">
        <f aca="false">MIN(AM68*(1+F$8),MAX(AY69,$B$12-SUM(BE69:BH69)-SUM(AZ69:BD69)))</f>
        <v>0</v>
      </c>
      <c r="BJ69" s="27" t="n">
        <f aca="false">MIN(AN68*(1+G$8),MAX(AZ69,$B$12-SUM(BE69:BI69)-SUM(BA69:BD69)))</f>
        <v>0</v>
      </c>
      <c r="BK69" s="27" t="n">
        <f aca="false">MIN(AO68*(1+H$8),MAX(BA69,$B$12-SUM(BE69:BJ69)-SUM(BB69:BD69)))</f>
        <v>0</v>
      </c>
      <c r="BL69" s="27" t="n">
        <f aca="false">MIN(AP68*(1+I$8),MAX(BB69,$B$12-SUM(BE69:BK69)-SUM(BC69:BD69)))</f>
        <v>0</v>
      </c>
      <c r="BM69" s="27" t="n">
        <f aca="false">MIN(AQ68*(1+J$8),MAX(BC69,$B$12-SUM(BE69:BL69)-SUM(BD69:BD69)))</f>
        <v>0</v>
      </c>
      <c r="BN69" s="27" t="n">
        <f aca="false">MIN(AR68*(1+K$8),MAX(BD69,$B$12-SUM(BE69:BM69)))</f>
        <v>0</v>
      </c>
    </row>
    <row r="70" customFormat="false" ht="15" hidden="false" customHeight="false" outlineLevel="0" collapsed="false">
      <c r="A70" s="0" t="n">
        <v>56</v>
      </c>
      <c r="B70" s="27" t="n">
        <f aca="false">ROUND(MAX(0,B69*(1+B$8)-X70),2)</f>
        <v>0</v>
      </c>
      <c r="C70" s="27" t="n">
        <f aca="false">ROUND(MAX(0,C69*(1+C$8)-Y70),2)</f>
        <v>0</v>
      </c>
      <c r="D70" s="27" t="n">
        <f aca="false">ROUND(MAX(0,D69*(1+D$8)-Z70),2)</f>
        <v>0</v>
      </c>
      <c r="E70" s="27" t="n">
        <f aca="false">ROUND(MAX(0,E69*(1+E$8)-AA70),2)</f>
        <v>0</v>
      </c>
      <c r="F70" s="27" t="n">
        <f aca="false">ROUND(MAX(0,F69*(1+F$8)-AB70),2)</f>
        <v>0</v>
      </c>
      <c r="G70" s="27" t="n">
        <f aca="false">ROUND(MAX(0,G69*(1+G$8)-AC70),2)</f>
        <v>0</v>
      </c>
      <c r="H70" s="27" t="n">
        <f aca="false">ROUND(MAX(0,H69*(1+H$8)-AD70),2)</f>
        <v>0</v>
      </c>
      <c r="I70" s="27" t="n">
        <f aca="false">ROUND(MAX(0,I69*(1+I$8)-AE70),2)</f>
        <v>0</v>
      </c>
      <c r="J70" s="27" t="n">
        <f aca="false">ROUND(MAX(0,J69*(1+J$8)-AF70),2)</f>
        <v>0</v>
      </c>
      <c r="K70" s="27" t="n">
        <f aca="false">ROUND(MAX(0,K69*(1+K$8)-AG70),2)</f>
        <v>0</v>
      </c>
      <c r="L70" s="30" t="n">
        <f aca="false">SUM(B70:K70)</f>
        <v>0</v>
      </c>
      <c r="M70" s="27" t="n">
        <f aca="false">SUMPRODUCT(B69:K69,$B$8:$K$8)</f>
        <v>0</v>
      </c>
      <c r="N70" s="27" t="n">
        <f aca="false">MIN(B69*(1+B$8),B$9)</f>
        <v>0</v>
      </c>
      <c r="O70" s="27" t="n">
        <f aca="false">MIN(C69*(1+C$8),C$9)</f>
        <v>0</v>
      </c>
      <c r="P70" s="27" t="n">
        <f aca="false">MIN(D69*(1+D$8),D$9)</f>
        <v>0</v>
      </c>
      <c r="Q70" s="27" t="n">
        <f aca="false">MIN(E69*(1+E$8),E$9)</f>
        <v>0</v>
      </c>
      <c r="R70" s="27" t="n">
        <f aca="false">MIN(F69*(1+F$8),F$9)</f>
        <v>0</v>
      </c>
      <c r="S70" s="27" t="n">
        <f aca="false">MIN(G69*(1+G$8),G$9)</f>
        <v>0</v>
      </c>
      <c r="T70" s="27" t="n">
        <f aca="false">MIN(H69*(1+H$8),H$9)</f>
        <v>0</v>
      </c>
      <c r="U70" s="27" t="n">
        <f aca="false">MIN(I69*(1+I$8),I$9)</f>
        <v>0</v>
      </c>
      <c r="V70" s="27" t="n">
        <f aca="false">MIN(J69*(1+J$8),J$9)</f>
        <v>0</v>
      </c>
      <c r="W70" s="27" t="n">
        <f aca="false">MIN(K69*(1+K$8),K$9)</f>
        <v>0</v>
      </c>
      <c r="X70" s="27" t="n">
        <f aca="false">MIN(B69*(1+B$8),MAX(N70,$B$11-SUM(O70:W70)))</f>
        <v>0</v>
      </c>
      <c r="Y70" s="27" t="n">
        <f aca="false">MIN(C69*(1+C$8),MAX(O70,$B$11-SUM(X70:X70)-SUM(P70:W70)))</f>
        <v>0</v>
      </c>
      <c r="Z70" s="27" t="n">
        <f aca="false">MIN(D69*(1+D$8),MAX(P70,$B$11-SUM(X70:Y70)-SUM(Q70:W70)))</f>
        <v>0</v>
      </c>
      <c r="AA70" s="27" t="n">
        <f aca="false">MIN(E69*(1+E$8),MAX(Q70,$B$11-SUM(X70:Z70)-SUM(R70:W70)))</f>
        <v>0</v>
      </c>
      <c r="AB70" s="27" t="n">
        <f aca="false">MIN(F69*(1+F$8),MAX(R70,$B$11-SUM(X70:AA70)-SUM(S70:W70)))</f>
        <v>0</v>
      </c>
      <c r="AC70" s="27" t="n">
        <f aca="false">MIN(G69*(1+G$8),MAX(S70,$B$11-SUM(X70:AB70)-SUM(T70:W70)))</f>
        <v>0</v>
      </c>
      <c r="AD70" s="27" t="n">
        <f aca="false">MIN(H69*(1+H$8),MAX(T70,$B$11-SUM(X70:AC70)-SUM(U70:W70)))</f>
        <v>0</v>
      </c>
      <c r="AE70" s="27" t="n">
        <f aca="false">MIN(I69*(1+I$8),MAX(U70,$B$11-SUM(X70:AD70)-SUM(V70:W70)))</f>
        <v>0</v>
      </c>
      <c r="AF70" s="27" t="n">
        <f aca="false">MIN(J69*(1+J$8),MAX(V70,$B$11-SUM(X70:AE70)-SUM(W70:W70)))</f>
        <v>0</v>
      </c>
      <c r="AG70" s="27" t="n">
        <f aca="false">MIN(K69*(1+K$8),MAX(W70,$B$11-SUM(X70:AF70)))</f>
        <v>0</v>
      </c>
      <c r="AI70" s="27" t="n">
        <f aca="false">ROUND(MAX(0,AI69*(1+B$8)-BE70),2)</f>
        <v>0</v>
      </c>
      <c r="AJ70" s="27" t="n">
        <f aca="false">ROUND(MAX(0,AJ69*(1+C$8)-BF70),2)</f>
        <v>0</v>
      </c>
      <c r="AK70" s="27" t="n">
        <f aca="false">ROUND(MAX(0,AK69*(1+D$8)-BG70),2)</f>
        <v>0</v>
      </c>
      <c r="AL70" s="27" t="n">
        <f aca="false">ROUND(MAX(0,AL69*(1+E$8)-BH70),2)</f>
        <v>0</v>
      </c>
      <c r="AM70" s="27" t="n">
        <f aca="false">ROUND(MAX(0,AM69*(1+F$8)-BI70),2)</f>
        <v>0</v>
      </c>
      <c r="AN70" s="27" t="n">
        <f aca="false">ROUND(MAX(0,AN69*(1+G$8)-BJ70),2)</f>
        <v>0</v>
      </c>
      <c r="AO70" s="27" t="n">
        <f aca="false">ROUND(MAX(0,AO69*(1+H$8)-BK70),2)</f>
        <v>0</v>
      </c>
      <c r="AP70" s="27" t="n">
        <f aca="false">ROUND(MAX(0,AP69*(1+I$8)-BL70),2)</f>
        <v>0</v>
      </c>
      <c r="AQ70" s="27" t="n">
        <f aca="false">ROUND(MAX(0,AQ69*(1+J$8)-BM70),2)</f>
        <v>0</v>
      </c>
      <c r="AR70" s="27" t="n">
        <f aca="false">ROUND(MAX(0,AR69*(1+K$8)-BN70),2)</f>
        <v>0</v>
      </c>
      <c r="AS70" s="27" t="n">
        <f aca="false">SUM(AI70:AR70)</f>
        <v>0</v>
      </c>
      <c r="AT70" s="27" t="n">
        <f aca="false">SUMPRODUCT(AI69:AR69,$B$8:$K$8)</f>
        <v>0</v>
      </c>
      <c r="AU70" s="27" t="n">
        <f aca="false">MIN(AI69*(1+B$8),B$9)</f>
        <v>0</v>
      </c>
      <c r="AV70" s="27" t="n">
        <f aca="false">MIN(AJ69*(1+C$8),C$9)</f>
        <v>0</v>
      </c>
      <c r="AW70" s="27" t="n">
        <f aca="false">MIN(AK69*(1+D$8),D$9)</f>
        <v>0</v>
      </c>
      <c r="AX70" s="27" t="n">
        <f aca="false">MIN(AL69*(1+E$8),E$9)</f>
        <v>0</v>
      </c>
      <c r="AY70" s="27" t="n">
        <f aca="false">MIN(AM69*(1+F$8),F$9)</f>
        <v>0</v>
      </c>
      <c r="AZ70" s="27" t="n">
        <f aca="false">MIN(AN69*(1+G$8),G$9)</f>
        <v>0</v>
      </c>
      <c r="BA70" s="27" t="n">
        <f aca="false">MIN(AO69*(1+H$8),H$9)</f>
        <v>0</v>
      </c>
      <c r="BB70" s="27" t="n">
        <f aca="false">MIN(AP69*(1+I$8),I$9)</f>
        <v>0</v>
      </c>
      <c r="BC70" s="27" t="n">
        <f aca="false">MIN(AQ69*(1+J$8),J$9)</f>
        <v>0</v>
      </c>
      <c r="BD70" s="27" t="n">
        <f aca="false">MIN(AR69*(1+K$8),K$9)</f>
        <v>0</v>
      </c>
      <c r="BE70" s="27" t="n">
        <f aca="false">MIN(AI69*(1+B$8),MAX(AU70,$B$12-SUM(AV70:BD70)))</f>
        <v>0</v>
      </c>
      <c r="BF70" s="27" t="n">
        <f aca="false">MIN(AJ69*(1+C$8),MAX(AV70,$B$12-SUM(BE70:BE70)-SUM(AW70:BD70)))</f>
        <v>0</v>
      </c>
      <c r="BG70" s="27" t="n">
        <f aca="false">MIN(AK69*(1+D$8),MAX(AW70,$B$12-SUM(BE70:BF70)-SUM(AX70:BD70)))</f>
        <v>0</v>
      </c>
      <c r="BH70" s="27" t="n">
        <f aca="false">MIN(AL69*(1+E$8),MAX(AX70,$B$12-SUM(BE70:BG70)-SUM(AY70:BD70)))</f>
        <v>0</v>
      </c>
      <c r="BI70" s="27" t="n">
        <f aca="false">MIN(AM69*(1+F$8),MAX(AY70,$B$12-SUM(BE70:BH70)-SUM(AZ70:BD70)))</f>
        <v>0</v>
      </c>
      <c r="BJ70" s="27" t="n">
        <f aca="false">MIN(AN69*(1+G$8),MAX(AZ70,$B$12-SUM(BE70:BI70)-SUM(BA70:BD70)))</f>
        <v>0</v>
      </c>
      <c r="BK70" s="27" t="n">
        <f aca="false">MIN(AO69*(1+H$8),MAX(BA70,$B$12-SUM(BE70:BJ70)-SUM(BB70:BD70)))</f>
        <v>0</v>
      </c>
      <c r="BL70" s="27" t="n">
        <f aca="false">MIN(AP69*(1+I$8),MAX(BB70,$B$12-SUM(BE70:BK70)-SUM(BC70:BD70)))</f>
        <v>0</v>
      </c>
      <c r="BM70" s="27" t="n">
        <f aca="false">MIN(AQ69*(1+J$8),MAX(BC70,$B$12-SUM(BE70:BL70)-SUM(BD70:BD70)))</f>
        <v>0</v>
      </c>
      <c r="BN70" s="27" t="n">
        <f aca="false">MIN(AR69*(1+K$8),MAX(BD70,$B$12-SUM(BE70:BM70)))</f>
        <v>0</v>
      </c>
    </row>
    <row r="71" customFormat="false" ht="15" hidden="false" customHeight="false" outlineLevel="0" collapsed="false">
      <c r="A71" s="0" t="n">
        <v>57</v>
      </c>
      <c r="B71" s="27" t="n">
        <f aca="false">ROUND(MAX(0,B70*(1+B$8)-X71),2)</f>
        <v>0</v>
      </c>
      <c r="C71" s="27" t="n">
        <f aca="false">ROUND(MAX(0,C70*(1+C$8)-Y71),2)</f>
        <v>0</v>
      </c>
      <c r="D71" s="27" t="n">
        <f aca="false">ROUND(MAX(0,D70*(1+D$8)-Z71),2)</f>
        <v>0</v>
      </c>
      <c r="E71" s="27" t="n">
        <f aca="false">ROUND(MAX(0,E70*(1+E$8)-AA71),2)</f>
        <v>0</v>
      </c>
      <c r="F71" s="27" t="n">
        <f aca="false">ROUND(MAX(0,F70*(1+F$8)-AB71),2)</f>
        <v>0</v>
      </c>
      <c r="G71" s="27" t="n">
        <f aca="false">ROUND(MAX(0,G70*(1+G$8)-AC71),2)</f>
        <v>0</v>
      </c>
      <c r="H71" s="27" t="n">
        <f aca="false">ROUND(MAX(0,H70*(1+H$8)-AD71),2)</f>
        <v>0</v>
      </c>
      <c r="I71" s="27" t="n">
        <f aca="false">ROUND(MAX(0,I70*(1+I$8)-AE71),2)</f>
        <v>0</v>
      </c>
      <c r="J71" s="27" t="n">
        <f aca="false">ROUND(MAX(0,J70*(1+J$8)-AF71),2)</f>
        <v>0</v>
      </c>
      <c r="K71" s="27" t="n">
        <f aca="false">ROUND(MAX(0,K70*(1+K$8)-AG71),2)</f>
        <v>0</v>
      </c>
      <c r="L71" s="30" t="n">
        <f aca="false">SUM(B71:K71)</f>
        <v>0</v>
      </c>
      <c r="M71" s="27" t="n">
        <f aca="false">SUMPRODUCT(B70:K70,$B$8:$K$8)</f>
        <v>0</v>
      </c>
      <c r="N71" s="27" t="n">
        <f aca="false">MIN(B70*(1+B$8),B$9)</f>
        <v>0</v>
      </c>
      <c r="O71" s="27" t="n">
        <f aca="false">MIN(C70*(1+C$8),C$9)</f>
        <v>0</v>
      </c>
      <c r="P71" s="27" t="n">
        <f aca="false">MIN(D70*(1+D$8),D$9)</f>
        <v>0</v>
      </c>
      <c r="Q71" s="27" t="n">
        <f aca="false">MIN(E70*(1+E$8),E$9)</f>
        <v>0</v>
      </c>
      <c r="R71" s="27" t="n">
        <f aca="false">MIN(F70*(1+F$8),F$9)</f>
        <v>0</v>
      </c>
      <c r="S71" s="27" t="n">
        <f aca="false">MIN(G70*(1+G$8),G$9)</f>
        <v>0</v>
      </c>
      <c r="T71" s="27" t="n">
        <f aca="false">MIN(H70*(1+H$8),H$9)</f>
        <v>0</v>
      </c>
      <c r="U71" s="27" t="n">
        <f aca="false">MIN(I70*(1+I$8),I$9)</f>
        <v>0</v>
      </c>
      <c r="V71" s="27" t="n">
        <f aca="false">MIN(J70*(1+J$8),J$9)</f>
        <v>0</v>
      </c>
      <c r="W71" s="27" t="n">
        <f aca="false">MIN(K70*(1+K$8),K$9)</f>
        <v>0</v>
      </c>
      <c r="X71" s="27" t="n">
        <f aca="false">MIN(B70*(1+B$8),MAX(N71,$B$11-SUM(O71:W71)))</f>
        <v>0</v>
      </c>
      <c r="Y71" s="27" t="n">
        <f aca="false">MIN(C70*(1+C$8),MAX(O71,$B$11-SUM(X71:X71)-SUM(P71:W71)))</f>
        <v>0</v>
      </c>
      <c r="Z71" s="27" t="n">
        <f aca="false">MIN(D70*(1+D$8),MAX(P71,$B$11-SUM(X71:Y71)-SUM(Q71:W71)))</f>
        <v>0</v>
      </c>
      <c r="AA71" s="27" t="n">
        <f aca="false">MIN(E70*(1+E$8),MAX(Q71,$B$11-SUM(X71:Z71)-SUM(R71:W71)))</f>
        <v>0</v>
      </c>
      <c r="AB71" s="27" t="n">
        <f aca="false">MIN(F70*(1+F$8),MAX(R71,$B$11-SUM(X71:AA71)-SUM(S71:W71)))</f>
        <v>0</v>
      </c>
      <c r="AC71" s="27" t="n">
        <f aca="false">MIN(G70*(1+G$8),MAX(S71,$B$11-SUM(X71:AB71)-SUM(T71:W71)))</f>
        <v>0</v>
      </c>
      <c r="AD71" s="27" t="n">
        <f aca="false">MIN(H70*(1+H$8),MAX(T71,$B$11-SUM(X71:AC71)-SUM(U71:W71)))</f>
        <v>0</v>
      </c>
      <c r="AE71" s="27" t="n">
        <f aca="false">MIN(I70*(1+I$8),MAX(U71,$B$11-SUM(X71:AD71)-SUM(V71:W71)))</f>
        <v>0</v>
      </c>
      <c r="AF71" s="27" t="n">
        <f aca="false">MIN(J70*(1+J$8),MAX(V71,$B$11-SUM(X71:AE71)-SUM(W71:W71)))</f>
        <v>0</v>
      </c>
      <c r="AG71" s="27" t="n">
        <f aca="false">MIN(K70*(1+K$8),MAX(W71,$B$11-SUM(X71:AF71)))</f>
        <v>0</v>
      </c>
      <c r="AI71" s="27" t="n">
        <f aca="false">ROUND(MAX(0,AI70*(1+B$8)-BE71),2)</f>
        <v>0</v>
      </c>
      <c r="AJ71" s="27" t="n">
        <f aca="false">ROUND(MAX(0,AJ70*(1+C$8)-BF71),2)</f>
        <v>0</v>
      </c>
      <c r="AK71" s="27" t="n">
        <f aca="false">ROUND(MAX(0,AK70*(1+D$8)-BG71),2)</f>
        <v>0</v>
      </c>
      <c r="AL71" s="27" t="n">
        <f aca="false">ROUND(MAX(0,AL70*(1+E$8)-BH71),2)</f>
        <v>0</v>
      </c>
      <c r="AM71" s="27" t="n">
        <f aca="false">ROUND(MAX(0,AM70*(1+F$8)-BI71),2)</f>
        <v>0</v>
      </c>
      <c r="AN71" s="27" t="n">
        <f aca="false">ROUND(MAX(0,AN70*(1+G$8)-BJ71),2)</f>
        <v>0</v>
      </c>
      <c r="AO71" s="27" t="n">
        <f aca="false">ROUND(MAX(0,AO70*(1+H$8)-BK71),2)</f>
        <v>0</v>
      </c>
      <c r="AP71" s="27" t="n">
        <f aca="false">ROUND(MAX(0,AP70*(1+I$8)-BL71),2)</f>
        <v>0</v>
      </c>
      <c r="AQ71" s="27" t="n">
        <f aca="false">ROUND(MAX(0,AQ70*(1+J$8)-BM71),2)</f>
        <v>0</v>
      </c>
      <c r="AR71" s="27" t="n">
        <f aca="false">ROUND(MAX(0,AR70*(1+K$8)-BN71),2)</f>
        <v>0</v>
      </c>
      <c r="AS71" s="27" t="n">
        <f aca="false">SUM(AI71:AR71)</f>
        <v>0</v>
      </c>
      <c r="AT71" s="27" t="n">
        <f aca="false">SUMPRODUCT(AI70:AR70,$B$8:$K$8)</f>
        <v>0</v>
      </c>
      <c r="AU71" s="27" t="n">
        <f aca="false">MIN(AI70*(1+B$8),B$9)</f>
        <v>0</v>
      </c>
      <c r="AV71" s="27" t="n">
        <f aca="false">MIN(AJ70*(1+C$8),C$9)</f>
        <v>0</v>
      </c>
      <c r="AW71" s="27" t="n">
        <f aca="false">MIN(AK70*(1+D$8),D$9)</f>
        <v>0</v>
      </c>
      <c r="AX71" s="27" t="n">
        <f aca="false">MIN(AL70*(1+E$8),E$9)</f>
        <v>0</v>
      </c>
      <c r="AY71" s="27" t="n">
        <f aca="false">MIN(AM70*(1+F$8),F$9)</f>
        <v>0</v>
      </c>
      <c r="AZ71" s="27" t="n">
        <f aca="false">MIN(AN70*(1+G$8),G$9)</f>
        <v>0</v>
      </c>
      <c r="BA71" s="27" t="n">
        <f aca="false">MIN(AO70*(1+H$8),H$9)</f>
        <v>0</v>
      </c>
      <c r="BB71" s="27" t="n">
        <f aca="false">MIN(AP70*(1+I$8),I$9)</f>
        <v>0</v>
      </c>
      <c r="BC71" s="27" t="n">
        <f aca="false">MIN(AQ70*(1+J$8),J$9)</f>
        <v>0</v>
      </c>
      <c r="BD71" s="27" t="n">
        <f aca="false">MIN(AR70*(1+K$8),K$9)</f>
        <v>0</v>
      </c>
      <c r="BE71" s="27" t="n">
        <f aca="false">MIN(AI70*(1+B$8),MAX(AU71,$B$12-SUM(AV71:BD71)))</f>
        <v>0</v>
      </c>
      <c r="BF71" s="27" t="n">
        <f aca="false">MIN(AJ70*(1+C$8),MAX(AV71,$B$12-SUM(BE71:BE71)-SUM(AW71:BD71)))</f>
        <v>0</v>
      </c>
      <c r="BG71" s="27" t="n">
        <f aca="false">MIN(AK70*(1+D$8),MAX(AW71,$B$12-SUM(BE71:BF71)-SUM(AX71:BD71)))</f>
        <v>0</v>
      </c>
      <c r="BH71" s="27" t="n">
        <f aca="false">MIN(AL70*(1+E$8),MAX(AX71,$B$12-SUM(BE71:BG71)-SUM(AY71:BD71)))</f>
        <v>0</v>
      </c>
      <c r="BI71" s="27" t="n">
        <f aca="false">MIN(AM70*(1+F$8),MAX(AY71,$B$12-SUM(BE71:BH71)-SUM(AZ71:BD71)))</f>
        <v>0</v>
      </c>
      <c r="BJ71" s="27" t="n">
        <f aca="false">MIN(AN70*(1+G$8),MAX(AZ71,$B$12-SUM(BE71:BI71)-SUM(BA71:BD71)))</f>
        <v>0</v>
      </c>
      <c r="BK71" s="27" t="n">
        <f aca="false">MIN(AO70*(1+H$8),MAX(BA71,$B$12-SUM(BE71:BJ71)-SUM(BB71:BD71)))</f>
        <v>0</v>
      </c>
      <c r="BL71" s="27" t="n">
        <f aca="false">MIN(AP70*(1+I$8),MAX(BB71,$B$12-SUM(BE71:BK71)-SUM(BC71:BD71)))</f>
        <v>0</v>
      </c>
      <c r="BM71" s="27" t="n">
        <f aca="false">MIN(AQ70*(1+J$8),MAX(BC71,$B$12-SUM(BE71:BL71)-SUM(BD71:BD71)))</f>
        <v>0</v>
      </c>
      <c r="BN71" s="27" t="n">
        <f aca="false">MIN(AR70*(1+K$8),MAX(BD71,$B$12-SUM(BE71:BM71)))</f>
        <v>0</v>
      </c>
    </row>
    <row r="72" customFormat="false" ht="15" hidden="false" customHeight="false" outlineLevel="0" collapsed="false">
      <c r="A72" s="0" t="n">
        <v>58</v>
      </c>
      <c r="B72" s="27" t="n">
        <f aca="false">ROUND(MAX(0,B71*(1+B$8)-X72),2)</f>
        <v>0</v>
      </c>
      <c r="C72" s="27" t="n">
        <f aca="false">ROUND(MAX(0,C71*(1+C$8)-Y72),2)</f>
        <v>0</v>
      </c>
      <c r="D72" s="27" t="n">
        <f aca="false">ROUND(MAX(0,D71*(1+D$8)-Z72),2)</f>
        <v>0</v>
      </c>
      <c r="E72" s="27" t="n">
        <f aca="false">ROUND(MAX(0,E71*(1+E$8)-AA72),2)</f>
        <v>0</v>
      </c>
      <c r="F72" s="27" t="n">
        <f aca="false">ROUND(MAX(0,F71*(1+F$8)-AB72),2)</f>
        <v>0</v>
      </c>
      <c r="G72" s="27" t="n">
        <f aca="false">ROUND(MAX(0,G71*(1+G$8)-AC72),2)</f>
        <v>0</v>
      </c>
      <c r="H72" s="27" t="n">
        <f aca="false">ROUND(MAX(0,H71*(1+H$8)-AD72),2)</f>
        <v>0</v>
      </c>
      <c r="I72" s="27" t="n">
        <f aca="false">ROUND(MAX(0,I71*(1+I$8)-AE72),2)</f>
        <v>0</v>
      </c>
      <c r="J72" s="27" t="n">
        <f aca="false">ROUND(MAX(0,J71*(1+J$8)-AF72),2)</f>
        <v>0</v>
      </c>
      <c r="K72" s="27" t="n">
        <f aca="false">ROUND(MAX(0,K71*(1+K$8)-AG72),2)</f>
        <v>0</v>
      </c>
      <c r="L72" s="30" t="n">
        <f aca="false">SUM(B72:K72)</f>
        <v>0</v>
      </c>
      <c r="M72" s="27" t="n">
        <f aca="false">SUMPRODUCT(B71:K71,$B$8:$K$8)</f>
        <v>0</v>
      </c>
      <c r="N72" s="27" t="n">
        <f aca="false">MIN(B71*(1+B$8),B$9)</f>
        <v>0</v>
      </c>
      <c r="O72" s="27" t="n">
        <f aca="false">MIN(C71*(1+C$8),C$9)</f>
        <v>0</v>
      </c>
      <c r="P72" s="27" t="n">
        <f aca="false">MIN(D71*(1+D$8),D$9)</f>
        <v>0</v>
      </c>
      <c r="Q72" s="27" t="n">
        <f aca="false">MIN(E71*(1+E$8),E$9)</f>
        <v>0</v>
      </c>
      <c r="R72" s="27" t="n">
        <f aca="false">MIN(F71*(1+F$8),F$9)</f>
        <v>0</v>
      </c>
      <c r="S72" s="27" t="n">
        <f aca="false">MIN(G71*(1+G$8),G$9)</f>
        <v>0</v>
      </c>
      <c r="T72" s="27" t="n">
        <f aca="false">MIN(H71*(1+H$8),H$9)</f>
        <v>0</v>
      </c>
      <c r="U72" s="27" t="n">
        <f aca="false">MIN(I71*(1+I$8),I$9)</f>
        <v>0</v>
      </c>
      <c r="V72" s="27" t="n">
        <f aca="false">MIN(J71*(1+J$8),J$9)</f>
        <v>0</v>
      </c>
      <c r="W72" s="27" t="n">
        <f aca="false">MIN(K71*(1+K$8),K$9)</f>
        <v>0</v>
      </c>
      <c r="X72" s="27" t="n">
        <f aca="false">MIN(B71*(1+B$8),MAX(N72,$B$11-SUM(O72:W72)))</f>
        <v>0</v>
      </c>
      <c r="Y72" s="27" t="n">
        <f aca="false">MIN(C71*(1+C$8),MAX(O72,$B$11-SUM(X72:X72)-SUM(P72:W72)))</f>
        <v>0</v>
      </c>
      <c r="Z72" s="27" t="n">
        <f aca="false">MIN(D71*(1+D$8),MAX(P72,$B$11-SUM(X72:Y72)-SUM(Q72:W72)))</f>
        <v>0</v>
      </c>
      <c r="AA72" s="27" t="n">
        <f aca="false">MIN(E71*(1+E$8),MAX(Q72,$B$11-SUM(X72:Z72)-SUM(R72:W72)))</f>
        <v>0</v>
      </c>
      <c r="AB72" s="27" t="n">
        <f aca="false">MIN(F71*(1+F$8),MAX(R72,$B$11-SUM(X72:AA72)-SUM(S72:W72)))</f>
        <v>0</v>
      </c>
      <c r="AC72" s="27" t="n">
        <f aca="false">MIN(G71*(1+G$8),MAX(S72,$B$11-SUM(X72:AB72)-SUM(T72:W72)))</f>
        <v>0</v>
      </c>
      <c r="AD72" s="27" t="n">
        <f aca="false">MIN(H71*(1+H$8),MAX(T72,$B$11-SUM(X72:AC72)-SUM(U72:W72)))</f>
        <v>0</v>
      </c>
      <c r="AE72" s="27" t="n">
        <f aca="false">MIN(I71*(1+I$8),MAX(U72,$B$11-SUM(X72:AD72)-SUM(V72:W72)))</f>
        <v>0</v>
      </c>
      <c r="AF72" s="27" t="n">
        <f aca="false">MIN(J71*(1+J$8),MAX(V72,$B$11-SUM(X72:AE72)-SUM(W72:W72)))</f>
        <v>0</v>
      </c>
      <c r="AG72" s="27" t="n">
        <f aca="false">MIN(K71*(1+K$8),MAX(W72,$B$11-SUM(X72:AF72)))</f>
        <v>0</v>
      </c>
      <c r="AI72" s="27" t="n">
        <f aca="false">ROUND(MAX(0,AI71*(1+B$8)-BE72),2)</f>
        <v>0</v>
      </c>
      <c r="AJ72" s="27" t="n">
        <f aca="false">ROUND(MAX(0,AJ71*(1+C$8)-BF72),2)</f>
        <v>0</v>
      </c>
      <c r="AK72" s="27" t="n">
        <f aca="false">ROUND(MAX(0,AK71*(1+D$8)-BG72),2)</f>
        <v>0</v>
      </c>
      <c r="AL72" s="27" t="n">
        <f aca="false">ROUND(MAX(0,AL71*(1+E$8)-BH72),2)</f>
        <v>0</v>
      </c>
      <c r="AM72" s="27" t="n">
        <f aca="false">ROUND(MAX(0,AM71*(1+F$8)-BI72),2)</f>
        <v>0</v>
      </c>
      <c r="AN72" s="27" t="n">
        <f aca="false">ROUND(MAX(0,AN71*(1+G$8)-BJ72),2)</f>
        <v>0</v>
      </c>
      <c r="AO72" s="27" t="n">
        <f aca="false">ROUND(MAX(0,AO71*(1+H$8)-BK72),2)</f>
        <v>0</v>
      </c>
      <c r="AP72" s="27" t="n">
        <f aca="false">ROUND(MAX(0,AP71*(1+I$8)-BL72),2)</f>
        <v>0</v>
      </c>
      <c r="AQ72" s="27" t="n">
        <f aca="false">ROUND(MAX(0,AQ71*(1+J$8)-BM72),2)</f>
        <v>0</v>
      </c>
      <c r="AR72" s="27" t="n">
        <f aca="false">ROUND(MAX(0,AR71*(1+K$8)-BN72),2)</f>
        <v>0</v>
      </c>
      <c r="AS72" s="27" t="n">
        <f aca="false">SUM(AI72:AR72)</f>
        <v>0</v>
      </c>
      <c r="AT72" s="27" t="n">
        <f aca="false">SUMPRODUCT(AI71:AR71,$B$8:$K$8)</f>
        <v>0</v>
      </c>
      <c r="AU72" s="27" t="n">
        <f aca="false">MIN(AI71*(1+B$8),B$9)</f>
        <v>0</v>
      </c>
      <c r="AV72" s="27" t="n">
        <f aca="false">MIN(AJ71*(1+C$8),C$9)</f>
        <v>0</v>
      </c>
      <c r="AW72" s="27" t="n">
        <f aca="false">MIN(AK71*(1+D$8),D$9)</f>
        <v>0</v>
      </c>
      <c r="AX72" s="27" t="n">
        <f aca="false">MIN(AL71*(1+E$8),E$9)</f>
        <v>0</v>
      </c>
      <c r="AY72" s="27" t="n">
        <f aca="false">MIN(AM71*(1+F$8),F$9)</f>
        <v>0</v>
      </c>
      <c r="AZ72" s="27" t="n">
        <f aca="false">MIN(AN71*(1+G$8),G$9)</f>
        <v>0</v>
      </c>
      <c r="BA72" s="27" t="n">
        <f aca="false">MIN(AO71*(1+H$8),H$9)</f>
        <v>0</v>
      </c>
      <c r="BB72" s="27" t="n">
        <f aca="false">MIN(AP71*(1+I$8),I$9)</f>
        <v>0</v>
      </c>
      <c r="BC72" s="27" t="n">
        <f aca="false">MIN(AQ71*(1+J$8),J$9)</f>
        <v>0</v>
      </c>
      <c r="BD72" s="27" t="n">
        <f aca="false">MIN(AR71*(1+K$8),K$9)</f>
        <v>0</v>
      </c>
      <c r="BE72" s="27" t="n">
        <f aca="false">MIN(AI71*(1+B$8),MAX(AU72,$B$12-SUM(AV72:BD72)))</f>
        <v>0</v>
      </c>
      <c r="BF72" s="27" t="n">
        <f aca="false">MIN(AJ71*(1+C$8),MAX(AV72,$B$12-SUM(BE72:BE72)-SUM(AW72:BD72)))</f>
        <v>0</v>
      </c>
      <c r="BG72" s="27" t="n">
        <f aca="false">MIN(AK71*(1+D$8),MAX(AW72,$B$12-SUM(BE72:BF72)-SUM(AX72:BD72)))</f>
        <v>0</v>
      </c>
      <c r="BH72" s="27" t="n">
        <f aca="false">MIN(AL71*(1+E$8),MAX(AX72,$B$12-SUM(BE72:BG72)-SUM(AY72:BD72)))</f>
        <v>0</v>
      </c>
      <c r="BI72" s="27" t="n">
        <f aca="false">MIN(AM71*(1+F$8),MAX(AY72,$B$12-SUM(BE72:BH72)-SUM(AZ72:BD72)))</f>
        <v>0</v>
      </c>
      <c r="BJ72" s="27" t="n">
        <f aca="false">MIN(AN71*(1+G$8),MAX(AZ72,$B$12-SUM(BE72:BI72)-SUM(BA72:BD72)))</f>
        <v>0</v>
      </c>
      <c r="BK72" s="27" t="n">
        <f aca="false">MIN(AO71*(1+H$8),MAX(BA72,$B$12-SUM(BE72:BJ72)-SUM(BB72:BD72)))</f>
        <v>0</v>
      </c>
      <c r="BL72" s="27" t="n">
        <f aca="false">MIN(AP71*(1+I$8),MAX(BB72,$B$12-SUM(BE72:BK72)-SUM(BC72:BD72)))</f>
        <v>0</v>
      </c>
      <c r="BM72" s="27" t="n">
        <f aca="false">MIN(AQ71*(1+J$8),MAX(BC72,$B$12-SUM(BE72:BL72)-SUM(BD72:BD72)))</f>
        <v>0</v>
      </c>
      <c r="BN72" s="27" t="n">
        <f aca="false">MIN(AR71*(1+K$8),MAX(BD72,$B$12-SUM(BE72:BM72)))</f>
        <v>0</v>
      </c>
    </row>
    <row r="73" customFormat="false" ht="15" hidden="false" customHeight="false" outlineLevel="0" collapsed="false">
      <c r="A73" s="0" t="n">
        <v>59</v>
      </c>
      <c r="B73" s="27" t="n">
        <f aca="false">ROUND(MAX(0,B72*(1+B$8)-X73),2)</f>
        <v>0</v>
      </c>
      <c r="C73" s="27" t="n">
        <f aca="false">ROUND(MAX(0,C72*(1+C$8)-Y73),2)</f>
        <v>0</v>
      </c>
      <c r="D73" s="27" t="n">
        <f aca="false">ROUND(MAX(0,D72*(1+D$8)-Z73),2)</f>
        <v>0</v>
      </c>
      <c r="E73" s="27" t="n">
        <f aca="false">ROUND(MAX(0,E72*(1+E$8)-AA73),2)</f>
        <v>0</v>
      </c>
      <c r="F73" s="27" t="n">
        <f aca="false">ROUND(MAX(0,F72*(1+F$8)-AB73),2)</f>
        <v>0</v>
      </c>
      <c r="G73" s="27" t="n">
        <f aca="false">ROUND(MAX(0,G72*(1+G$8)-AC73),2)</f>
        <v>0</v>
      </c>
      <c r="H73" s="27" t="n">
        <f aca="false">ROUND(MAX(0,H72*(1+H$8)-AD73),2)</f>
        <v>0</v>
      </c>
      <c r="I73" s="27" t="n">
        <f aca="false">ROUND(MAX(0,I72*(1+I$8)-AE73),2)</f>
        <v>0</v>
      </c>
      <c r="J73" s="27" t="n">
        <f aca="false">ROUND(MAX(0,J72*(1+J$8)-AF73),2)</f>
        <v>0</v>
      </c>
      <c r="K73" s="27" t="n">
        <f aca="false">ROUND(MAX(0,K72*(1+K$8)-AG73),2)</f>
        <v>0</v>
      </c>
      <c r="L73" s="30" t="n">
        <f aca="false">SUM(B73:K73)</f>
        <v>0</v>
      </c>
      <c r="M73" s="27" t="n">
        <f aca="false">SUMPRODUCT(B72:K72,$B$8:$K$8)</f>
        <v>0</v>
      </c>
      <c r="N73" s="27" t="n">
        <f aca="false">MIN(B72*(1+B$8),B$9)</f>
        <v>0</v>
      </c>
      <c r="O73" s="27" t="n">
        <f aca="false">MIN(C72*(1+C$8),C$9)</f>
        <v>0</v>
      </c>
      <c r="P73" s="27" t="n">
        <f aca="false">MIN(D72*(1+D$8),D$9)</f>
        <v>0</v>
      </c>
      <c r="Q73" s="27" t="n">
        <f aca="false">MIN(E72*(1+E$8),E$9)</f>
        <v>0</v>
      </c>
      <c r="R73" s="27" t="n">
        <f aca="false">MIN(F72*(1+F$8),F$9)</f>
        <v>0</v>
      </c>
      <c r="S73" s="27" t="n">
        <f aca="false">MIN(G72*(1+G$8),G$9)</f>
        <v>0</v>
      </c>
      <c r="T73" s="27" t="n">
        <f aca="false">MIN(H72*(1+H$8),H$9)</f>
        <v>0</v>
      </c>
      <c r="U73" s="27" t="n">
        <f aca="false">MIN(I72*(1+I$8),I$9)</f>
        <v>0</v>
      </c>
      <c r="V73" s="27" t="n">
        <f aca="false">MIN(J72*(1+J$8),J$9)</f>
        <v>0</v>
      </c>
      <c r="W73" s="27" t="n">
        <f aca="false">MIN(K72*(1+K$8),K$9)</f>
        <v>0</v>
      </c>
      <c r="X73" s="27" t="n">
        <f aca="false">MIN(B72*(1+B$8),MAX(N73,$B$11-SUM(O73:W73)))</f>
        <v>0</v>
      </c>
      <c r="Y73" s="27" t="n">
        <f aca="false">MIN(C72*(1+C$8),MAX(O73,$B$11-SUM(X73:X73)-SUM(P73:W73)))</f>
        <v>0</v>
      </c>
      <c r="Z73" s="27" t="n">
        <f aca="false">MIN(D72*(1+D$8),MAX(P73,$B$11-SUM(X73:Y73)-SUM(Q73:W73)))</f>
        <v>0</v>
      </c>
      <c r="AA73" s="27" t="n">
        <f aca="false">MIN(E72*(1+E$8),MAX(Q73,$B$11-SUM(X73:Z73)-SUM(R73:W73)))</f>
        <v>0</v>
      </c>
      <c r="AB73" s="27" t="n">
        <f aca="false">MIN(F72*(1+F$8),MAX(R73,$B$11-SUM(X73:AA73)-SUM(S73:W73)))</f>
        <v>0</v>
      </c>
      <c r="AC73" s="27" t="n">
        <f aca="false">MIN(G72*(1+G$8),MAX(S73,$B$11-SUM(X73:AB73)-SUM(T73:W73)))</f>
        <v>0</v>
      </c>
      <c r="AD73" s="27" t="n">
        <f aca="false">MIN(H72*(1+H$8),MAX(T73,$B$11-SUM(X73:AC73)-SUM(U73:W73)))</f>
        <v>0</v>
      </c>
      <c r="AE73" s="27" t="n">
        <f aca="false">MIN(I72*(1+I$8),MAX(U73,$B$11-SUM(X73:AD73)-SUM(V73:W73)))</f>
        <v>0</v>
      </c>
      <c r="AF73" s="27" t="n">
        <f aca="false">MIN(J72*(1+J$8),MAX(V73,$B$11-SUM(X73:AE73)-SUM(W73:W73)))</f>
        <v>0</v>
      </c>
      <c r="AG73" s="27" t="n">
        <f aca="false">MIN(K72*(1+K$8),MAX(W73,$B$11-SUM(X73:AF73)))</f>
        <v>0</v>
      </c>
      <c r="AI73" s="27" t="n">
        <f aca="false">ROUND(MAX(0,AI72*(1+B$8)-BE73),2)</f>
        <v>0</v>
      </c>
      <c r="AJ73" s="27" t="n">
        <f aca="false">ROUND(MAX(0,AJ72*(1+C$8)-BF73),2)</f>
        <v>0</v>
      </c>
      <c r="AK73" s="27" t="n">
        <f aca="false">ROUND(MAX(0,AK72*(1+D$8)-BG73),2)</f>
        <v>0</v>
      </c>
      <c r="AL73" s="27" t="n">
        <f aca="false">ROUND(MAX(0,AL72*(1+E$8)-BH73),2)</f>
        <v>0</v>
      </c>
      <c r="AM73" s="27" t="n">
        <f aca="false">ROUND(MAX(0,AM72*(1+F$8)-BI73),2)</f>
        <v>0</v>
      </c>
      <c r="AN73" s="27" t="n">
        <f aca="false">ROUND(MAX(0,AN72*(1+G$8)-BJ73),2)</f>
        <v>0</v>
      </c>
      <c r="AO73" s="27" t="n">
        <f aca="false">ROUND(MAX(0,AO72*(1+H$8)-BK73),2)</f>
        <v>0</v>
      </c>
      <c r="AP73" s="27" t="n">
        <f aca="false">ROUND(MAX(0,AP72*(1+I$8)-BL73),2)</f>
        <v>0</v>
      </c>
      <c r="AQ73" s="27" t="n">
        <f aca="false">ROUND(MAX(0,AQ72*(1+J$8)-BM73),2)</f>
        <v>0</v>
      </c>
      <c r="AR73" s="27" t="n">
        <f aca="false">ROUND(MAX(0,AR72*(1+K$8)-BN73),2)</f>
        <v>0</v>
      </c>
      <c r="AS73" s="27" t="n">
        <f aca="false">SUM(AI73:AR73)</f>
        <v>0</v>
      </c>
      <c r="AT73" s="27" t="n">
        <f aca="false">SUMPRODUCT(AI72:AR72,$B$8:$K$8)</f>
        <v>0</v>
      </c>
      <c r="AU73" s="27" t="n">
        <f aca="false">MIN(AI72*(1+B$8),B$9)</f>
        <v>0</v>
      </c>
      <c r="AV73" s="27" t="n">
        <f aca="false">MIN(AJ72*(1+C$8),C$9)</f>
        <v>0</v>
      </c>
      <c r="AW73" s="27" t="n">
        <f aca="false">MIN(AK72*(1+D$8),D$9)</f>
        <v>0</v>
      </c>
      <c r="AX73" s="27" t="n">
        <f aca="false">MIN(AL72*(1+E$8),E$9)</f>
        <v>0</v>
      </c>
      <c r="AY73" s="27" t="n">
        <f aca="false">MIN(AM72*(1+F$8),F$9)</f>
        <v>0</v>
      </c>
      <c r="AZ73" s="27" t="n">
        <f aca="false">MIN(AN72*(1+G$8),G$9)</f>
        <v>0</v>
      </c>
      <c r="BA73" s="27" t="n">
        <f aca="false">MIN(AO72*(1+H$8),H$9)</f>
        <v>0</v>
      </c>
      <c r="BB73" s="27" t="n">
        <f aca="false">MIN(AP72*(1+I$8),I$9)</f>
        <v>0</v>
      </c>
      <c r="BC73" s="27" t="n">
        <f aca="false">MIN(AQ72*(1+J$8),J$9)</f>
        <v>0</v>
      </c>
      <c r="BD73" s="27" t="n">
        <f aca="false">MIN(AR72*(1+K$8),K$9)</f>
        <v>0</v>
      </c>
      <c r="BE73" s="27" t="n">
        <f aca="false">MIN(AI72*(1+B$8),MAX(AU73,$B$12-SUM(AV73:BD73)))</f>
        <v>0</v>
      </c>
      <c r="BF73" s="27" t="n">
        <f aca="false">MIN(AJ72*(1+C$8),MAX(AV73,$B$12-SUM(BE73:BE73)-SUM(AW73:BD73)))</f>
        <v>0</v>
      </c>
      <c r="BG73" s="27" t="n">
        <f aca="false">MIN(AK72*(1+D$8),MAX(AW73,$B$12-SUM(BE73:BF73)-SUM(AX73:BD73)))</f>
        <v>0</v>
      </c>
      <c r="BH73" s="27" t="n">
        <f aca="false">MIN(AL72*(1+E$8),MAX(AX73,$B$12-SUM(BE73:BG73)-SUM(AY73:BD73)))</f>
        <v>0</v>
      </c>
      <c r="BI73" s="27" t="n">
        <f aca="false">MIN(AM72*(1+F$8),MAX(AY73,$B$12-SUM(BE73:BH73)-SUM(AZ73:BD73)))</f>
        <v>0</v>
      </c>
      <c r="BJ73" s="27" t="n">
        <f aca="false">MIN(AN72*(1+G$8),MAX(AZ73,$B$12-SUM(BE73:BI73)-SUM(BA73:BD73)))</f>
        <v>0</v>
      </c>
      <c r="BK73" s="27" t="n">
        <f aca="false">MIN(AO72*(1+H$8),MAX(BA73,$B$12-SUM(BE73:BJ73)-SUM(BB73:BD73)))</f>
        <v>0</v>
      </c>
      <c r="BL73" s="27" t="n">
        <f aca="false">MIN(AP72*(1+I$8),MAX(BB73,$B$12-SUM(BE73:BK73)-SUM(BC73:BD73)))</f>
        <v>0</v>
      </c>
      <c r="BM73" s="27" t="n">
        <f aca="false">MIN(AQ72*(1+J$8),MAX(BC73,$B$12-SUM(BE73:BL73)-SUM(BD73:BD73)))</f>
        <v>0</v>
      </c>
      <c r="BN73" s="27" t="n">
        <f aca="false">MIN(AR72*(1+K$8),MAX(BD73,$B$12-SUM(BE73:BM73)))</f>
        <v>0</v>
      </c>
    </row>
    <row r="74" customFormat="false" ht="15" hidden="false" customHeight="false" outlineLevel="0" collapsed="false">
      <c r="A74" s="0" t="n">
        <v>60</v>
      </c>
      <c r="B74" s="27" t="n">
        <f aca="false">ROUND(MAX(0,B73*(1+B$8)-X74),2)</f>
        <v>0</v>
      </c>
      <c r="C74" s="27" t="n">
        <f aca="false">ROUND(MAX(0,C73*(1+C$8)-Y74),2)</f>
        <v>0</v>
      </c>
      <c r="D74" s="27" t="n">
        <f aca="false">ROUND(MAX(0,D73*(1+D$8)-Z74),2)</f>
        <v>0</v>
      </c>
      <c r="E74" s="27" t="n">
        <f aca="false">ROUND(MAX(0,E73*(1+E$8)-AA74),2)</f>
        <v>0</v>
      </c>
      <c r="F74" s="27" t="n">
        <f aca="false">ROUND(MAX(0,F73*(1+F$8)-AB74),2)</f>
        <v>0</v>
      </c>
      <c r="G74" s="27" t="n">
        <f aca="false">ROUND(MAX(0,G73*(1+G$8)-AC74),2)</f>
        <v>0</v>
      </c>
      <c r="H74" s="27" t="n">
        <f aca="false">ROUND(MAX(0,H73*(1+H$8)-AD74),2)</f>
        <v>0</v>
      </c>
      <c r="I74" s="27" t="n">
        <f aca="false">ROUND(MAX(0,I73*(1+I$8)-AE74),2)</f>
        <v>0</v>
      </c>
      <c r="J74" s="27" t="n">
        <f aca="false">ROUND(MAX(0,J73*(1+J$8)-AF74),2)</f>
        <v>0</v>
      </c>
      <c r="K74" s="27" t="n">
        <f aca="false">ROUND(MAX(0,K73*(1+K$8)-AG74),2)</f>
        <v>0</v>
      </c>
      <c r="L74" s="30" t="n">
        <f aca="false">SUM(B74:K74)</f>
        <v>0</v>
      </c>
      <c r="M74" s="27" t="n">
        <f aca="false">SUMPRODUCT(B73:K73,$B$8:$K$8)</f>
        <v>0</v>
      </c>
      <c r="N74" s="27" t="n">
        <f aca="false">MIN(B73*(1+B$8),B$9)</f>
        <v>0</v>
      </c>
      <c r="O74" s="27" t="n">
        <f aca="false">MIN(C73*(1+C$8),C$9)</f>
        <v>0</v>
      </c>
      <c r="P74" s="27" t="n">
        <f aca="false">MIN(D73*(1+D$8),D$9)</f>
        <v>0</v>
      </c>
      <c r="Q74" s="27" t="n">
        <f aca="false">MIN(E73*(1+E$8),E$9)</f>
        <v>0</v>
      </c>
      <c r="R74" s="27" t="n">
        <f aca="false">MIN(F73*(1+F$8),F$9)</f>
        <v>0</v>
      </c>
      <c r="S74" s="27" t="n">
        <f aca="false">MIN(G73*(1+G$8),G$9)</f>
        <v>0</v>
      </c>
      <c r="T74" s="27" t="n">
        <f aca="false">MIN(H73*(1+H$8),H$9)</f>
        <v>0</v>
      </c>
      <c r="U74" s="27" t="n">
        <f aca="false">MIN(I73*(1+I$8),I$9)</f>
        <v>0</v>
      </c>
      <c r="V74" s="27" t="n">
        <f aca="false">MIN(J73*(1+J$8),J$9)</f>
        <v>0</v>
      </c>
      <c r="W74" s="27" t="n">
        <f aca="false">MIN(K73*(1+K$8),K$9)</f>
        <v>0</v>
      </c>
      <c r="X74" s="27" t="n">
        <f aca="false">MIN(B73*(1+B$8),MAX(N74,$B$11-SUM(O74:W74)))</f>
        <v>0</v>
      </c>
      <c r="Y74" s="27" t="n">
        <f aca="false">MIN(C73*(1+C$8),MAX(O74,$B$11-SUM(X74:X74)-SUM(P74:W74)))</f>
        <v>0</v>
      </c>
      <c r="Z74" s="27" t="n">
        <f aca="false">MIN(D73*(1+D$8),MAX(P74,$B$11-SUM(X74:Y74)-SUM(Q74:W74)))</f>
        <v>0</v>
      </c>
      <c r="AA74" s="27" t="n">
        <f aca="false">MIN(E73*(1+E$8),MAX(Q74,$B$11-SUM(X74:Z74)-SUM(R74:W74)))</f>
        <v>0</v>
      </c>
      <c r="AB74" s="27" t="n">
        <f aca="false">MIN(F73*(1+F$8),MAX(R74,$B$11-SUM(X74:AA74)-SUM(S74:W74)))</f>
        <v>0</v>
      </c>
      <c r="AC74" s="27" t="n">
        <f aca="false">MIN(G73*(1+G$8),MAX(S74,$B$11-SUM(X74:AB74)-SUM(T74:W74)))</f>
        <v>0</v>
      </c>
      <c r="AD74" s="27" t="n">
        <f aca="false">MIN(H73*(1+H$8),MAX(T74,$B$11-SUM(X74:AC74)-SUM(U74:W74)))</f>
        <v>0</v>
      </c>
      <c r="AE74" s="27" t="n">
        <f aca="false">MIN(I73*(1+I$8),MAX(U74,$B$11-SUM(X74:AD74)-SUM(V74:W74)))</f>
        <v>0</v>
      </c>
      <c r="AF74" s="27" t="n">
        <f aca="false">MIN(J73*(1+J$8),MAX(V74,$B$11-SUM(X74:AE74)-SUM(W74:W74)))</f>
        <v>0</v>
      </c>
      <c r="AG74" s="27" t="n">
        <f aca="false">MIN(K73*(1+K$8),MAX(W74,$B$11-SUM(X74:AF74)))</f>
        <v>0</v>
      </c>
      <c r="AI74" s="27" t="n">
        <f aca="false">ROUND(MAX(0,AI73*(1+B$8)-BE74),2)</f>
        <v>0</v>
      </c>
      <c r="AJ74" s="27" t="n">
        <f aca="false">ROUND(MAX(0,AJ73*(1+C$8)-BF74),2)</f>
        <v>0</v>
      </c>
      <c r="AK74" s="27" t="n">
        <f aca="false">ROUND(MAX(0,AK73*(1+D$8)-BG74),2)</f>
        <v>0</v>
      </c>
      <c r="AL74" s="27" t="n">
        <f aca="false">ROUND(MAX(0,AL73*(1+E$8)-BH74),2)</f>
        <v>0</v>
      </c>
      <c r="AM74" s="27" t="n">
        <f aca="false">ROUND(MAX(0,AM73*(1+F$8)-BI74),2)</f>
        <v>0</v>
      </c>
      <c r="AN74" s="27" t="n">
        <f aca="false">ROUND(MAX(0,AN73*(1+G$8)-BJ74),2)</f>
        <v>0</v>
      </c>
      <c r="AO74" s="27" t="n">
        <f aca="false">ROUND(MAX(0,AO73*(1+H$8)-BK74),2)</f>
        <v>0</v>
      </c>
      <c r="AP74" s="27" t="n">
        <f aca="false">ROUND(MAX(0,AP73*(1+I$8)-BL74),2)</f>
        <v>0</v>
      </c>
      <c r="AQ74" s="27" t="n">
        <f aca="false">ROUND(MAX(0,AQ73*(1+J$8)-BM74),2)</f>
        <v>0</v>
      </c>
      <c r="AR74" s="27" t="n">
        <f aca="false">ROUND(MAX(0,AR73*(1+K$8)-BN74),2)</f>
        <v>0</v>
      </c>
      <c r="AS74" s="27" t="n">
        <f aca="false">SUM(AI74:AR74)</f>
        <v>0</v>
      </c>
      <c r="AT74" s="27" t="n">
        <f aca="false">SUMPRODUCT(AI73:AR73,$B$8:$K$8)</f>
        <v>0</v>
      </c>
      <c r="AU74" s="27" t="n">
        <f aca="false">MIN(AI73*(1+B$8),B$9)</f>
        <v>0</v>
      </c>
      <c r="AV74" s="27" t="n">
        <f aca="false">MIN(AJ73*(1+C$8),C$9)</f>
        <v>0</v>
      </c>
      <c r="AW74" s="27" t="n">
        <f aca="false">MIN(AK73*(1+D$8),D$9)</f>
        <v>0</v>
      </c>
      <c r="AX74" s="27" t="n">
        <f aca="false">MIN(AL73*(1+E$8),E$9)</f>
        <v>0</v>
      </c>
      <c r="AY74" s="27" t="n">
        <f aca="false">MIN(AM73*(1+F$8),F$9)</f>
        <v>0</v>
      </c>
      <c r="AZ74" s="27" t="n">
        <f aca="false">MIN(AN73*(1+G$8),G$9)</f>
        <v>0</v>
      </c>
      <c r="BA74" s="27" t="n">
        <f aca="false">MIN(AO73*(1+H$8),H$9)</f>
        <v>0</v>
      </c>
      <c r="BB74" s="27" t="n">
        <f aca="false">MIN(AP73*(1+I$8),I$9)</f>
        <v>0</v>
      </c>
      <c r="BC74" s="27" t="n">
        <f aca="false">MIN(AQ73*(1+J$8),J$9)</f>
        <v>0</v>
      </c>
      <c r="BD74" s="27" t="n">
        <f aca="false">MIN(AR73*(1+K$8),K$9)</f>
        <v>0</v>
      </c>
      <c r="BE74" s="27" t="n">
        <f aca="false">MIN(AI73*(1+B$8),MAX(AU74,$B$12-SUM(AV74:BD74)))</f>
        <v>0</v>
      </c>
      <c r="BF74" s="27" t="n">
        <f aca="false">MIN(AJ73*(1+C$8),MAX(AV74,$B$12-SUM(BE74:BE74)-SUM(AW74:BD74)))</f>
        <v>0</v>
      </c>
      <c r="BG74" s="27" t="n">
        <f aca="false">MIN(AK73*(1+D$8),MAX(AW74,$B$12-SUM(BE74:BF74)-SUM(AX74:BD74)))</f>
        <v>0</v>
      </c>
      <c r="BH74" s="27" t="n">
        <f aca="false">MIN(AL73*(1+E$8),MAX(AX74,$B$12-SUM(BE74:BG74)-SUM(AY74:BD74)))</f>
        <v>0</v>
      </c>
      <c r="BI74" s="27" t="n">
        <f aca="false">MIN(AM73*(1+F$8),MAX(AY74,$B$12-SUM(BE74:BH74)-SUM(AZ74:BD74)))</f>
        <v>0</v>
      </c>
      <c r="BJ74" s="27" t="n">
        <f aca="false">MIN(AN73*(1+G$8),MAX(AZ74,$B$12-SUM(BE74:BI74)-SUM(BA74:BD74)))</f>
        <v>0</v>
      </c>
      <c r="BK74" s="27" t="n">
        <f aca="false">MIN(AO73*(1+H$8),MAX(BA74,$B$12-SUM(BE74:BJ74)-SUM(BB74:BD74)))</f>
        <v>0</v>
      </c>
      <c r="BL74" s="27" t="n">
        <f aca="false">MIN(AP73*(1+I$8),MAX(BB74,$B$12-SUM(BE74:BK74)-SUM(BC74:BD74)))</f>
        <v>0</v>
      </c>
      <c r="BM74" s="27" t="n">
        <f aca="false">MIN(AQ73*(1+J$8),MAX(BC74,$B$12-SUM(BE74:BL74)-SUM(BD74:BD74)))</f>
        <v>0</v>
      </c>
      <c r="BN74" s="27" t="n">
        <f aca="false">MIN(AR73*(1+K$8),MAX(BD74,$B$12-SUM(BE74:BM74)))</f>
        <v>0</v>
      </c>
    </row>
    <row r="75" customFormat="false" ht="15" hidden="false" customHeight="false" outlineLevel="0" collapsed="false">
      <c r="A75" s="0" t="n">
        <v>61</v>
      </c>
      <c r="B75" s="27" t="n">
        <f aca="false">ROUND(MAX(0,B74*(1+B$8)-X75),2)</f>
        <v>0</v>
      </c>
      <c r="C75" s="27" t="n">
        <f aca="false">ROUND(MAX(0,C74*(1+C$8)-Y75),2)</f>
        <v>0</v>
      </c>
      <c r="D75" s="27" t="n">
        <f aca="false">ROUND(MAX(0,D74*(1+D$8)-Z75),2)</f>
        <v>0</v>
      </c>
      <c r="E75" s="27" t="n">
        <f aca="false">ROUND(MAX(0,E74*(1+E$8)-AA75),2)</f>
        <v>0</v>
      </c>
      <c r="F75" s="27" t="n">
        <f aca="false">ROUND(MAX(0,F74*(1+F$8)-AB75),2)</f>
        <v>0</v>
      </c>
      <c r="G75" s="27" t="n">
        <f aca="false">ROUND(MAX(0,G74*(1+G$8)-AC75),2)</f>
        <v>0</v>
      </c>
      <c r="H75" s="27" t="n">
        <f aca="false">ROUND(MAX(0,H74*(1+H$8)-AD75),2)</f>
        <v>0</v>
      </c>
      <c r="I75" s="27" t="n">
        <f aca="false">ROUND(MAX(0,I74*(1+I$8)-AE75),2)</f>
        <v>0</v>
      </c>
      <c r="J75" s="27" t="n">
        <f aca="false">ROUND(MAX(0,J74*(1+J$8)-AF75),2)</f>
        <v>0</v>
      </c>
      <c r="K75" s="27" t="n">
        <f aca="false">ROUND(MAX(0,K74*(1+K$8)-AG75),2)</f>
        <v>0</v>
      </c>
      <c r="L75" s="30" t="n">
        <f aca="false">SUM(B75:K75)</f>
        <v>0</v>
      </c>
      <c r="M75" s="27" t="n">
        <f aca="false">SUMPRODUCT(B74:K74,$B$8:$K$8)</f>
        <v>0</v>
      </c>
      <c r="N75" s="27" t="n">
        <f aca="false">MIN(B74*(1+B$8),B$9)</f>
        <v>0</v>
      </c>
      <c r="O75" s="27" t="n">
        <f aca="false">MIN(C74*(1+C$8),C$9)</f>
        <v>0</v>
      </c>
      <c r="P75" s="27" t="n">
        <f aca="false">MIN(D74*(1+D$8),D$9)</f>
        <v>0</v>
      </c>
      <c r="Q75" s="27" t="n">
        <f aca="false">MIN(E74*(1+E$8),E$9)</f>
        <v>0</v>
      </c>
      <c r="R75" s="27" t="n">
        <f aca="false">MIN(F74*(1+F$8),F$9)</f>
        <v>0</v>
      </c>
      <c r="S75" s="27" t="n">
        <f aca="false">MIN(G74*(1+G$8),G$9)</f>
        <v>0</v>
      </c>
      <c r="T75" s="27" t="n">
        <f aca="false">MIN(H74*(1+H$8),H$9)</f>
        <v>0</v>
      </c>
      <c r="U75" s="27" t="n">
        <f aca="false">MIN(I74*(1+I$8),I$9)</f>
        <v>0</v>
      </c>
      <c r="V75" s="27" t="n">
        <f aca="false">MIN(J74*(1+J$8),J$9)</f>
        <v>0</v>
      </c>
      <c r="W75" s="27" t="n">
        <f aca="false">MIN(K74*(1+K$8),K$9)</f>
        <v>0</v>
      </c>
      <c r="X75" s="27" t="n">
        <f aca="false">MIN(B74*(1+B$8),MAX(N75,$B$11-SUM(O75:W75)))</f>
        <v>0</v>
      </c>
      <c r="Y75" s="27" t="n">
        <f aca="false">MIN(C74*(1+C$8),MAX(O75,$B$11-SUM(X75:X75)-SUM(P75:W75)))</f>
        <v>0</v>
      </c>
      <c r="Z75" s="27" t="n">
        <f aca="false">MIN(D74*(1+D$8),MAX(P75,$B$11-SUM(X75:Y75)-SUM(Q75:W75)))</f>
        <v>0</v>
      </c>
      <c r="AA75" s="27" t="n">
        <f aca="false">MIN(E74*(1+E$8),MAX(Q75,$B$11-SUM(X75:Z75)-SUM(R75:W75)))</f>
        <v>0</v>
      </c>
      <c r="AB75" s="27" t="n">
        <f aca="false">MIN(F74*(1+F$8),MAX(R75,$B$11-SUM(X75:AA75)-SUM(S75:W75)))</f>
        <v>0</v>
      </c>
      <c r="AC75" s="27" t="n">
        <f aca="false">MIN(G74*(1+G$8),MAX(S75,$B$11-SUM(X75:AB75)-SUM(T75:W75)))</f>
        <v>0</v>
      </c>
      <c r="AD75" s="27" t="n">
        <f aca="false">MIN(H74*(1+H$8),MAX(T75,$B$11-SUM(X75:AC75)-SUM(U75:W75)))</f>
        <v>0</v>
      </c>
      <c r="AE75" s="27" t="n">
        <f aca="false">MIN(I74*(1+I$8),MAX(U75,$B$11-SUM(X75:AD75)-SUM(V75:W75)))</f>
        <v>0</v>
      </c>
      <c r="AF75" s="27" t="n">
        <f aca="false">MIN(J74*(1+J$8),MAX(V75,$B$11-SUM(X75:AE75)-SUM(W75:W75)))</f>
        <v>0</v>
      </c>
      <c r="AG75" s="27" t="n">
        <f aca="false">MIN(K74*(1+K$8),MAX(W75,$B$11-SUM(X75:AF75)))</f>
        <v>0</v>
      </c>
      <c r="AI75" s="27" t="n">
        <f aca="false">ROUND(MAX(0,AI74*(1+B$8)-BE75),2)</f>
        <v>0</v>
      </c>
      <c r="AJ75" s="27" t="n">
        <f aca="false">ROUND(MAX(0,AJ74*(1+C$8)-BF75),2)</f>
        <v>0</v>
      </c>
      <c r="AK75" s="27" t="n">
        <f aca="false">ROUND(MAX(0,AK74*(1+D$8)-BG75),2)</f>
        <v>0</v>
      </c>
      <c r="AL75" s="27" t="n">
        <f aca="false">ROUND(MAX(0,AL74*(1+E$8)-BH75),2)</f>
        <v>0</v>
      </c>
      <c r="AM75" s="27" t="n">
        <f aca="false">ROUND(MAX(0,AM74*(1+F$8)-BI75),2)</f>
        <v>0</v>
      </c>
      <c r="AN75" s="27" t="n">
        <f aca="false">ROUND(MAX(0,AN74*(1+G$8)-BJ75),2)</f>
        <v>0</v>
      </c>
      <c r="AO75" s="27" t="n">
        <f aca="false">ROUND(MAX(0,AO74*(1+H$8)-BK75),2)</f>
        <v>0</v>
      </c>
      <c r="AP75" s="27" t="n">
        <f aca="false">ROUND(MAX(0,AP74*(1+I$8)-BL75),2)</f>
        <v>0</v>
      </c>
      <c r="AQ75" s="27" t="n">
        <f aca="false">ROUND(MAX(0,AQ74*(1+J$8)-BM75),2)</f>
        <v>0</v>
      </c>
      <c r="AR75" s="27" t="n">
        <f aca="false">ROUND(MAX(0,AR74*(1+K$8)-BN75),2)</f>
        <v>0</v>
      </c>
      <c r="AS75" s="27" t="n">
        <f aca="false">SUM(AI75:AR75)</f>
        <v>0</v>
      </c>
      <c r="AT75" s="27" t="n">
        <f aca="false">SUMPRODUCT(AI74:AR74,$B$8:$K$8)</f>
        <v>0</v>
      </c>
      <c r="AU75" s="27" t="n">
        <f aca="false">MIN(AI74*(1+B$8),B$9)</f>
        <v>0</v>
      </c>
      <c r="AV75" s="27" t="n">
        <f aca="false">MIN(AJ74*(1+C$8),C$9)</f>
        <v>0</v>
      </c>
      <c r="AW75" s="27" t="n">
        <f aca="false">MIN(AK74*(1+D$8),D$9)</f>
        <v>0</v>
      </c>
      <c r="AX75" s="27" t="n">
        <f aca="false">MIN(AL74*(1+E$8),E$9)</f>
        <v>0</v>
      </c>
      <c r="AY75" s="27" t="n">
        <f aca="false">MIN(AM74*(1+F$8),F$9)</f>
        <v>0</v>
      </c>
      <c r="AZ75" s="27" t="n">
        <f aca="false">MIN(AN74*(1+G$8),G$9)</f>
        <v>0</v>
      </c>
      <c r="BA75" s="27" t="n">
        <f aca="false">MIN(AO74*(1+H$8),H$9)</f>
        <v>0</v>
      </c>
      <c r="BB75" s="27" t="n">
        <f aca="false">MIN(AP74*(1+I$8),I$9)</f>
        <v>0</v>
      </c>
      <c r="BC75" s="27" t="n">
        <f aca="false">MIN(AQ74*(1+J$8),J$9)</f>
        <v>0</v>
      </c>
      <c r="BD75" s="27" t="n">
        <f aca="false">MIN(AR74*(1+K$8),K$9)</f>
        <v>0</v>
      </c>
      <c r="BE75" s="27" t="n">
        <f aca="false">MIN(AI74*(1+B$8),MAX(AU75,$B$12-SUM(AV75:BD75)))</f>
        <v>0</v>
      </c>
      <c r="BF75" s="27" t="n">
        <f aca="false">MIN(AJ74*(1+C$8),MAX(AV75,$B$12-SUM(BE75:BE75)-SUM(AW75:BD75)))</f>
        <v>0</v>
      </c>
      <c r="BG75" s="27" t="n">
        <f aca="false">MIN(AK74*(1+D$8),MAX(AW75,$B$12-SUM(BE75:BF75)-SUM(AX75:BD75)))</f>
        <v>0</v>
      </c>
      <c r="BH75" s="27" t="n">
        <f aca="false">MIN(AL74*(1+E$8),MAX(AX75,$B$12-SUM(BE75:BG75)-SUM(AY75:BD75)))</f>
        <v>0</v>
      </c>
      <c r="BI75" s="27" t="n">
        <f aca="false">MIN(AM74*(1+F$8),MAX(AY75,$B$12-SUM(BE75:BH75)-SUM(AZ75:BD75)))</f>
        <v>0</v>
      </c>
      <c r="BJ75" s="27" t="n">
        <f aca="false">MIN(AN74*(1+G$8),MAX(AZ75,$B$12-SUM(BE75:BI75)-SUM(BA75:BD75)))</f>
        <v>0</v>
      </c>
      <c r="BK75" s="27" t="n">
        <f aca="false">MIN(AO74*(1+H$8),MAX(BA75,$B$12-SUM(BE75:BJ75)-SUM(BB75:BD75)))</f>
        <v>0</v>
      </c>
      <c r="BL75" s="27" t="n">
        <f aca="false">MIN(AP74*(1+I$8),MAX(BB75,$B$12-SUM(BE75:BK75)-SUM(BC75:BD75)))</f>
        <v>0</v>
      </c>
      <c r="BM75" s="27" t="n">
        <f aca="false">MIN(AQ74*(1+J$8),MAX(BC75,$B$12-SUM(BE75:BL75)-SUM(BD75:BD75)))</f>
        <v>0</v>
      </c>
      <c r="BN75" s="27" t="n">
        <f aca="false">MIN(AR74*(1+K$8),MAX(BD75,$B$12-SUM(BE75:BM75)))</f>
        <v>0</v>
      </c>
    </row>
    <row r="76" customFormat="false" ht="15" hidden="false" customHeight="false" outlineLevel="0" collapsed="false">
      <c r="A76" s="0" t="n">
        <v>62</v>
      </c>
      <c r="B76" s="27" t="n">
        <f aca="false">ROUND(MAX(0,B75*(1+B$8)-X76),2)</f>
        <v>0</v>
      </c>
      <c r="C76" s="27" t="n">
        <f aca="false">ROUND(MAX(0,C75*(1+C$8)-Y76),2)</f>
        <v>0</v>
      </c>
      <c r="D76" s="27" t="n">
        <f aca="false">ROUND(MAX(0,D75*(1+D$8)-Z76),2)</f>
        <v>0</v>
      </c>
      <c r="E76" s="27" t="n">
        <f aca="false">ROUND(MAX(0,E75*(1+E$8)-AA76),2)</f>
        <v>0</v>
      </c>
      <c r="F76" s="27" t="n">
        <f aca="false">ROUND(MAX(0,F75*(1+F$8)-AB76),2)</f>
        <v>0</v>
      </c>
      <c r="G76" s="27" t="n">
        <f aca="false">ROUND(MAX(0,G75*(1+G$8)-AC76),2)</f>
        <v>0</v>
      </c>
      <c r="H76" s="27" t="n">
        <f aca="false">ROUND(MAX(0,H75*(1+H$8)-AD76),2)</f>
        <v>0</v>
      </c>
      <c r="I76" s="27" t="n">
        <f aca="false">ROUND(MAX(0,I75*(1+I$8)-AE76),2)</f>
        <v>0</v>
      </c>
      <c r="J76" s="27" t="n">
        <f aca="false">ROUND(MAX(0,J75*(1+J$8)-AF76),2)</f>
        <v>0</v>
      </c>
      <c r="K76" s="27" t="n">
        <f aca="false">ROUND(MAX(0,K75*(1+K$8)-AG76),2)</f>
        <v>0</v>
      </c>
      <c r="L76" s="30" t="n">
        <f aca="false">SUM(B76:K76)</f>
        <v>0</v>
      </c>
      <c r="M76" s="27" t="n">
        <f aca="false">SUMPRODUCT(B75:K75,$B$8:$K$8)</f>
        <v>0</v>
      </c>
      <c r="N76" s="27" t="n">
        <f aca="false">MIN(B75*(1+B$8),B$9)</f>
        <v>0</v>
      </c>
      <c r="O76" s="27" t="n">
        <f aca="false">MIN(C75*(1+C$8),C$9)</f>
        <v>0</v>
      </c>
      <c r="P76" s="27" t="n">
        <f aca="false">MIN(D75*(1+D$8),D$9)</f>
        <v>0</v>
      </c>
      <c r="Q76" s="27" t="n">
        <f aca="false">MIN(E75*(1+E$8),E$9)</f>
        <v>0</v>
      </c>
      <c r="R76" s="27" t="n">
        <f aca="false">MIN(F75*(1+F$8),F$9)</f>
        <v>0</v>
      </c>
      <c r="S76" s="27" t="n">
        <f aca="false">MIN(G75*(1+G$8),G$9)</f>
        <v>0</v>
      </c>
      <c r="T76" s="27" t="n">
        <f aca="false">MIN(H75*(1+H$8),H$9)</f>
        <v>0</v>
      </c>
      <c r="U76" s="27" t="n">
        <f aca="false">MIN(I75*(1+I$8),I$9)</f>
        <v>0</v>
      </c>
      <c r="V76" s="27" t="n">
        <f aca="false">MIN(J75*(1+J$8),J$9)</f>
        <v>0</v>
      </c>
      <c r="W76" s="27" t="n">
        <f aca="false">MIN(K75*(1+K$8),K$9)</f>
        <v>0</v>
      </c>
      <c r="X76" s="27" t="n">
        <f aca="false">MIN(B75*(1+B$8),MAX(N76,$B$11-SUM(O76:W76)))</f>
        <v>0</v>
      </c>
      <c r="Y76" s="27" t="n">
        <f aca="false">MIN(C75*(1+C$8),MAX(O76,$B$11-SUM(X76:X76)-SUM(P76:W76)))</f>
        <v>0</v>
      </c>
      <c r="Z76" s="27" t="n">
        <f aca="false">MIN(D75*(1+D$8),MAX(P76,$B$11-SUM(X76:Y76)-SUM(Q76:W76)))</f>
        <v>0</v>
      </c>
      <c r="AA76" s="27" t="n">
        <f aca="false">MIN(E75*(1+E$8),MAX(Q76,$B$11-SUM(X76:Z76)-SUM(R76:W76)))</f>
        <v>0</v>
      </c>
      <c r="AB76" s="27" t="n">
        <f aca="false">MIN(F75*(1+F$8),MAX(R76,$B$11-SUM(X76:AA76)-SUM(S76:W76)))</f>
        <v>0</v>
      </c>
      <c r="AC76" s="27" t="n">
        <f aca="false">MIN(G75*(1+G$8),MAX(S76,$B$11-SUM(X76:AB76)-SUM(T76:W76)))</f>
        <v>0</v>
      </c>
      <c r="AD76" s="27" t="n">
        <f aca="false">MIN(H75*(1+H$8),MAX(T76,$B$11-SUM(X76:AC76)-SUM(U76:W76)))</f>
        <v>0</v>
      </c>
      <c r="AE76" s="27" t="n">
        <f aca="false">MIN(I75*(1+I$8),MAX(U76,$B$11-SUM(X76:AD76)-SUM(V76:W76)))</f>
        <v>0</v>
      </c>
      <c r="AF76" s="27" t="n">
        <f aca="false">MIN(J75*(1+J$8),MAX(V76,$B$11-SUM(X76:AE76)-SUM(W76:W76)))</f>
        <v>0</v>
      </c>
      <c r="AG76" s="27" t="n">
        <f aca="false">MIN(K75*(1+K$8),MAX(W76,$B$11-SUM(X76:AF76)))</f>
        <v>0</v>
      </c>
      <c r="AI76" s="27" t="n">
        <f aca="false">ROUND(MAX(0,AI75*(1+B$8)-BE76),2)</f>
        <v>0</v>
      </c>
      <c r="AJ76" s="27" t="n">
        <f aca="false">ROUND(MAX(0,AJ75*(1+C$8)-BF76),2)</f>
        <v>0</v>
      </c>
      <c r="AK76" s="27" t="n">
        <f aca="false">ROUND(MAX(0,AK75*(1+D$8)-BG76),2)</f>
        <v>0</v>
      </c>
      <c r="AL76" s="27" t="n">
        <f aca="false">ROUND(MAX(0,AL75*(1+E$8)-BH76),2)</f>
        <v>0</v>
      </c>
      <c r="AM76" s="27" t="n">
        <f aca="false">ROUND(MAX(0,AM75*(1+F$8)-BI76),2)</f>
        <v>0</v>
      </c>
      <c r="AN76" s="27" t="n">
        <f aca="false">ROUND(MAX(0,AN75*(1+G$8)-BJ76),2)</f>
        <v>0</v>
      </c>
      <c r="AO76" s="27" t="n">
        <f aca="false">ROUND(MAX(0,AO75*(1+H$8)-BK76),2)</f>
        <v>0</v>
      </c>
      <c r="AP76" s="27" t="n">
        <f aca="false">ROUND(MAX(0,AP75*(1+I$8)-BL76),2)</f>
        <v>0</v>
      </c>
      <c r="AQ76" s="27" t="n">
        <f aca="false">ROUND(MAX(0,AQ75*(1+J$8)-BM76),2)</f>
        <v>0</v>
      </c>
      <c r="AR76" s="27" t="n">
        <f aca="false">ROUND(MAX(0,AR75*(1+K$8)-BN76),2)</f>
        <v>0</v>
      </c>
      <c r="AS76" s="27" t="n">
        <f aca="false">SUM(AI76:AR76)</f>
        <v>0</v>
      </c>
      <c r="AT76" s="27" t="n">
        <f aca="false">SUMPRODUCT(AI75:AR75,$B$8:$K$8)</f>
        <v>0</v>
      </c>
      <c r="AU76" s="27" t="n">
        <f aca="false">MIN(AI75*(1+B$8),B$9)</f>
        <v>0</v>
      </c>
      <c r="AV76" s="27" t="n">
        <f aca="false">MIN(AJ75*(1+C$8),C$9)</f>
        <v>0</v>
      </c>
      <c r="AW76" s="27" t="n">
        <f aca="false">MIN(AK75*(1+D$8),D$9)</f>
        <v>0</v>
      </c>
      <c r="AX76" s="27" t="n">
        <f aca="false">MIN(AL75*(1+E$8),E$9)</f>
        <v>0</v>
      </c>
      <c r="AY76" s="27" t="n">
        <f aca="false">MIN(AM75*(1+F$8),F$9)</f>
        <v>0</v>
      </c>
      <c r="AZ76" s="27" t="n">
        <f aca="false">MIN(AN75*(1+G$8),G$9)</f>
        <v>0</v>
      </c>
      <c r="BA76" s="27" t="n">
        <f aca="false">MIN(AO75*(1+H$8),H$9)</f>
        <v>0</v>
      </c>
      <c r="BB76" s="27" t="n">
        <f aca="false">MIN(AP75*(1+I$8),I$9)</f>
        <v>0</v>
      </c>
      <c r="BC76" s="27" t="n">
        <f aca="false">MIN(AQ75*(1+J$8),J$9)</f>
        <v>0</v>
      </c>
      <c r="BD76" s="27" t="n">
        <f aca="false">MIN(AR75*(1+K$8),K$9)</f>
        <v>0</v>
      </c>
      <c r="BE76" s="27" t="n">
        <f aca="false">MIN(AI75*(1+B$8),MAX(AU76,$B$12-SUM(AV76:BD76)))</f>
        <v>0</v>
      </c>
      <c r="BF76" s="27" t="n">
        <f aca="false">MIN(AJ75*(1+C$8),MAX(AV76,$B$12-SUM(BE76:BE76)-SUM(AW76:BD76)))</f>
        <v>0</v>
      </c>
      <c r="BG76" s="27" t="n">
        <f aca="false">MIN(AK75*(1+D$8),MAX(AW76,$B$12-SUM(BE76:BF76)-SUM(AX76:BD76)))</f>
        <v>0</v>
      </c>
      <c r="BH76" s="27" t="n">
        <f aca="false">MIN(AL75*(1+E$8),MAX(AX76,$B$12-SUM(BE76:BG76)-SUM(AY76:BD76)))</f>
        <v>0</v>
      </c>
      <c r="BI76" s="27" t="n">
        <f aca="false">MIN(AM75*(1+F$8),MAX(AY76,$B$12-SUM(BE76:BH76)-SUM(AZ76:BD76)))</f>
        <v>0</v>
      </c>
      <c r="BJ76" s="27" t="n">
        <f aca="false">MIN(AN75*(1+G$8),MAX(AZ76,$B$12-SUM(BE76:BI76)-SUM(BA76:BD76)))</f>
        <v>0</v>
      </c>
      <c r="BK76" s="27" t="n">
        <f aca="false">MIN(AO75*(1+H$8),MAX(BA76,$B$12-SUM(BE76:BJ76)-SUM(BB76:BD76)))</f>
        <v>0</v>
      </c>
      <c r="BL76" s="27" t="n">
        <f aca="false">MIN(AP75*(1+I$8),MAX(BB76,$B$12-SUM(BE76:BK76)-SUM(BC76:BD76)))</f>
        <v>0</v>
      </c>
      <c r="BM76" s="27" t="n">
        <f aca="false">MIN(AQ75*(1+J$8),MAX(BC76,$B$12-SUM(BE76:BL76)-SUM(BD76:BD76)))</f>
        <v>0</v>
      </c>
      <c r="BN76" s="27" t="n">
        <f aca="false">MIN(AR75*(1+K$8),MAX(BD76,$B$12-SUM(BE76:BM76)))</f>
        <v>0</v>
      </c>
    </row>
    <row r="77" customFormat="false" ht="15" hidden="false" customHeight="false" outlineLevel="0" collapsed="false">
      <c r="A77" s="0" t="n">
        <v>63</v>
      </c>
      <c r="B77" s="27" t="n">
        <f aca="false">ROUND(MAX(0,B76*(1+B$8)-X77),2)</f>
        <v>0</v>
      </c>
      <c r="C77" s="27" t="n">
        <f aca="false">ROUND(MAX(0,C76*(1+C$8)-Y77),2)</f>
        <v>0</v>
      </c>
      <c r="D77" s="27" t="n">
        <f aca="false">ROUND(MAX(0,D76*(1+D$8)-Z77),2)</f>
        <v>0</v>
      </c>
      <c r="E77" s="27" t="n">
        <f aca="false">ROUND(MAX(0,E76*(1+E$8)-AA77),2)</f>
        <v>0</v>
      </c>
      <c r="F77" s="27" t="n">
        <f aca="false">ROUND(MAX(0,F76*(1+F$8)-AB77),2)</f>
        <v>0</v>
      </c>
      <c r="G77" s="27" t="n">
        <f aca="false">ROUND(MAX(0,G76*(1+G$8)-AC77),2)</f>
        <v>0</v>
      </c>
      <c r="H77" s="27" t="n">
        <f aca="false">ROUND(MAX(0,H76*(1+H$8)-AD77),2)</f>
        <v>0</v>
      </c>
      <c r="I77" s="27" t="n">
        <f aca="false">ROUND(MAX(0,I76*(1+I$8)-AE77),2)</f>
        <v>0</v>
      </c>
      <c r="J77" s="27" t="n">
        <f aca="false">ROUND(MAX(0,J76*(1+J$8)-AF77),2)</f>
        <v>0</v>
      </c>
      <c r="K77" s="27" t="n">
        <f aca="false">ROUND(MAX(0,K76*(1+K$8)-AG77),2)</f>
        <v>0</v>
      </c>
      <c r="L77" s="30" t="n">
        <f aca="false">SUM(B77:K77)</f>
        <v>0</v>
      </c>
      <c r="M77" s="27" t="n">
        <f aca="false">SUMPRODUCT(B76:K76,$B$8:$K$8)</f>
        <v>0</v>
      </c>
      <c r="N77" s="27" t="n">
        <f aca="false">MIN(B76*(1+B$8),B$9)</f>
        <v>0</v>
      </c>
      <c r="O77" s="27" t="n">
        <f aca="false">MIN(C76*(1+C$8),C$9)</f>
        <v>0</v>
      </c>
      <c r="P77" s="27" t="n">
        <f aca="false">MIN(D76*(1+D$8),D$9)</f>
        <v>0</v>
      </c>
      <c r="Q77" s="27" t="n">
        <f aca="false">MIN(E76*(1+E$8),E$9)</f>
        <v>0</v>
      </c>
      <c r="R77" s="27" t="n">
        <f aca="false">MIN(F76*(1+F$8),F$9)</f>
        <v>0</v>
      </c>
      <c r="S77" s="27" t="n">
        <f aca="false">MIN(G76*(1+G$8),G$9)</f>
        <v>0</v>
      </c>
      <c r="T77" s="27" t="n">
        <f aca="false">MIN(H76*(1+H$8),H$9)</f>
        <v>0</v>
      </c>
      <c r="U77" s="27" t="n">
        <f aca="false">MIN(I76*(1+I$8),I$9)</f>
        <v>0</v>
      </c>
      <c r="V77" s="27" t="n">
        <f aca="false">MIN(J76*(1+J$8),J$9)</f>
        <v>0</v>
      </c>
      <c r="W77" s="27" t="n">
        <f aca="false">MIN(K76*(1+K$8),K$9)</f>
        <v>0</v>
      </c>
      <c r="X77" s="27" t="n">
        <f aca="false">MIN(B76*(1+B$8),MAX(N77,$B$11-SUM(O77:W77)))</f>
        <v>0</v>
      </c>
      <c r="Y77" s="27" t="n">
        <f aca="false">MIN(C76*(1+C$8),MAX(O77,$B$11-SUM(X77:X77)-SUM(P77:W77)))</f>
        <v>0</v>
      </c>
      <c r="Z77" s="27" t="n">
        <f aca="false">MIN(D76*(1+D$8),MAX(P77,$B$11-SUM(X77:Y77)-SUM(Q77:W77)))</f>
        <v>0</v>
      </c>
      <c r="AA77" s="27" t="n">
        <f aca="false">MIN(E76*(1+E$8),MAX(Q77,$B$11-SUM(X77:Z77)-SUM(R77:W77)))</f>
        <v>0</v>
      </c>
      <c r="AB77" s="27" t="n">
        <f aca="false">MIN(F76*(1+F$8),MAX(R77,$B$11-SUM(X77:AA77)-SUM(S77:W77)))</f>
        <v>0</v>
      </c>
      <c r="AC77" s="27" t="n">
        <f aca="false">MIN(G76*(1+G$8),MAX(S77,$B$11-SUM(X77:AB77)-SUM(T77:W77)))</f>
        <v>0</v>
      </c>
      <c r="AD77" s="27" t="n">
        <f aca="false">MIN(H76*(1+H$8),MAX(T77,$B$11-SUM(X77:AC77)-SUM(U77:W77)))</f>
        <v>0</v>
      </c>
      <c r="AE77" s="27" t="n">
        <f aca="false">MIN(I76*(1+I$8),MAX(U77,$B$11-SUM(X77:AD77)-SUM(V77:W77)))</f>
        <v>0</v>
      </c>
      <c r="AF77" s="27" t="n">
        <f aca="false">MIN(J76*(1+J$8),MAX(V77,$B$11-SUM(X77:AE77)-SUM(W77:W77)))</f>
        <v>0</v>
      </c>
      <c r="AG77" s="27" t="n">
        <f aca="false">MIN(K76*(1+K$8),MAX(W77,$B$11-SUM(X77:AF77)))</f>
        <v>0</v>
      </c>
      <c r="AI77" s="27" t="n">
        <f aca="false">ROUND(MAX(0,AI76*(1+B$8)-BE77),2)</f>
        <v>0</v>
      </c>
      <c r="AJ77" s="27" t="n">
        <f aca="false">ROUND(MAX(0,AJ76*(1+C$8)-BF77),2)</f>
        <v>0</v>
      </c>
      <c r="AK77" s="27" t="n">
        <f aca="false">ROUND(MAX(0,AK76*(1+D$8)-BG77),2)</f>
        <v>0</v>
      </c>
      <c r="AL77" s="27" t="n">
        <f aca="false">ROUND(MAX(0,AL76*(1+E$8)-BH77),2)</f>
        <v>0</v>
      </c>
      <c r="AM77" s="27" t="n">
        <f aca="false">ROUND(MAX(0,AM76*(1+F$8)-BI77),2)</f>
        <v>0</v>
      </c>
      <c r="AN77" s="27" t="n">
        <f aca="false">ROUND(MAX(0,AN76*(1+G$8)-BJ77),2)</f>
        <v>0</v>
      </c>
      <c r="AO77" s="27" t="n">
        <f aca="false">ROUND(MAX(0,AO76*(1+H$8)-BK77),2)</f>
        <v>0</v>
      </c>
      <c r="AP77" s="27" t="n">
        <f aca="false">ROUND(MAX(0,AP76*(1+I$8)-BL77),2)</f>
        <v>0</v>
      </c>
      <c r="AQ77" s="27" t="n">
        <f aca="false">ROUND(MAX(0,AQ76*(1+J$8)-BM77),2)</f>
        <v>0</v>
      </c>
      <c r="AR77" s="27" t="n">
        <f aca="false">ROUND(MAX(0,AR76*(1+K$8)-BN77),2)</f>
        <v>0</v>
      </c>
      <c r="AS77" s="27" t="n">
        <f aca="false">SUM(AI77:AR77)</f>
        <v>0</v>
      </c>
      <c r="AT77" s="27" t="n">
        <f aca="false">SUMPRODUCT(AI76:AR76,$B$8:$K$8)</f>
        <v>0</v>
      </c>
      <c r="AU77" s="27" t="n">
        <f aca="false">MIN(AI76*(1+B$8),B$9)</f>
        <v>0</v>
      </c>
      <c r="AV77" s="27" t="n">
        <f aca="false">MIN(AJ76*(1+C$8),C$9)</f>
        <v>0</v>
      </c>
      <c r="AW77" s="27" t="n">
        <f aca="false">MIN(AK76*(1+D$8),D$9)</f>
        <v>0</v>
      </c>
      <c r="AX77" s="27" t="n">
        <f aca="false">MIN(AL76*(1+E$8),E$9)</f>
        <v>0</v>
      </c>
      <c r="AY77" s="27" t="n">
        <f aca="false">MIN(AM76*(1+F$8),F$9)</f>
        <v>0</v>
      </c>
      <c r="AZ77" s="27" t="n">
        <f aca="false">MIN(AN76*(1+G$8),G$9)</f>
        <v>0</v>
      </c>
      <c r="BA77" s="27" t="n">
        <f aca="false">MIN(AO76*(1+H$8),H$9)</f>
        <v>0</v>
      </c>
      <c r="BB77" s="27" t="n">
        <f aca="false">MIN(AP76*(1+I$8),I$9)</f>
        <v>0</v>
      </c>
      <c r="BC77" s="27" t="n">
        <f aca="false">MIN(AQ76*(1+J$8),J$9)</f>
        <v>0</v>
      </c>
      <c r="BD77" s="27" t="n">
        <f aca="false">MIN(AR76*(1+K$8),K$9)</f>
        <v>0</v>
      </c>
      <c r="BE77" s="27" t="n">
        <f aca="false">MIN(AI76*(1+B$8),MAX(AU77,$B$12-SUM(AV77:BD77)))</f>
        <v>0</v>
      </c>
      <c r="BF77" s="27" t="n">
        <f aca="false">MIN(AJ76*(1+C$8),MAX(AV77,$B$12-SUM(BE77:BE77)-SUM(AW77:BD77)))</f>
        <v>0</v>
      </c>
      <c r="BG77" s="27" t="n">
        <f aca="false">MIN(AK76*(1+D$8),MAX(AW77,$B$12-SUM(BE77:BF77)-SUM(AX77:BD77)))</f>
        <v>0</v>
      </c>
      <c r="BH77" s="27" t="n">
        <f aca="false">MIN(AL76*(1+E$8),MAX(AX77,$B$12-SUM(BE77:BG77)-SUM(AY77:BD77)))</f>
        <v>0</v>
      </c>
      <c r="BI77" s="27" t="n">
        <f aca="false">MIN(AM76*(1+F$8),MAX(AY77,$B$12-SUM(BE77:BH77)-SUM(AZ77:BD77)))</f>
        <v>0</v>
      </c>
      <c r="BJ77" s="27" t="n">
        <f aca="false">MIN(AN76*(1+G$8),MAX(AZ77,$B$12-SUM(BE77:BI77)-SUM(BA77:BD77)))</f>
        <v>0</v>
      </c>
      <c r="BK77" s="27" t="n">
        <f aca="false">MIN(AO76*(1+H$8),MAX(BA77,$B$12-SUM(BE77:BJ77)-SUM(BB77:BD77)))</f>
        <v>0</v>
      </c>
      <c r="BL77" s="27" t="n">
        <f aca="false">MIN(AP76*(1+I$8),MAX(BB77,$B$12-SUM(BE77:BK77)-SUM(BC77:BD77)))</f>
        <v>0</v>
      </c>
      <c r="BM77" s="27" t="n">
        <f aca="false">MIN(AQ76*(1+J$8),MAX(BC77,$B$12-SUM(BE77:BL77)-SUM(BD77:BD77)))</f>
        <v>0</v>
      </c>
      <c r="BN77" s="27" t="n">
        <f aca="false">MIN(AR76*(1+K$8),MAX(BD77,$B$12-SUM(BE77:BM77)))</f>
        <v>0</v>
      </c>
    </row>
    <row r="78" customFormat="false" ht="15" hidden="false" customHeight="false" outlineLevel="0" collapsed="false">
      <c r="A78" s="0" t="n">
        <v>64</v>
      </c>
      <c r="B78" s="27" t="n">
        <f aca="false">ROUND(MAX(0,B77*(1+B$8)-X78),2)</f>
        <v>0</v>
      </c>
      <c r="C78" s="27" t="n">
        <f aca="false">ROUND(MAX(0,C77*(1+C$8)-Y78),2)</f>
        <v>0</v>
      </c>
      <c r="D78" s="27" t="n">
        <f aca="false">ROUND(MAX(0,D77*(1+D$8)-Z78),2)</f>
        <v>0</v>
      </c>
      <c r="E78" s="27" t="n">
        <f aca="false">ROUND(MAX(0,E77*(1+E$8)-AA78),2)</f>
        <v>0</v>
      </c>
      <c r="F78" s="27" t="n">
        <f aca="false">ROUND(MAX(0,F77*(1+F$8)-AB78),2)</f>
        <v>0</v>
      </c>
      <c r="G78" s="27" t="n">
        <f aca="false">ROUND(MAX(0,G77*(1+G$8)-AC78),2)</f>
        <v>0</v>
      </c>
      <c r="H78" s="27" t="n">
        <f aca="false">ROUND(MAX(0,H77*(1+H$8)-AD78),2)</f>
        <v>0</v>
      </c>
      <c r="I78" s="27" t="n">
        <f aca="false">ROUND(MAX(0,I77*(1+I$8)-AE78),2)</f>
        <v>0</v>
      </c>
      <c r="J78" s="27" t="n">
        <f aca="false">ROUND(MAX(0,J77*(1+J$8)-AF78),2)</f>
        <v>0</v>
      </c>
      <c r="K78" s="27" t="n">
        <f aca="false">ROUND(MAX(0,K77*(1+K$8)-AG78),2)</f>
        <v>0</v>
      </c>
      <c r="L78" s="30" t="n">
        <f aca="false">SUM(B78:K78)</f>
        <v>0</v>
      </c>
      <c r="M78" s="27" t="n">
        <f aca="false">SUMPRODUCT(B77:K77,$B$8:$K$8)</f>
        <v>0</v>
      </c>
      <c r="N78" s="27" t="n">
        <f aca="false">MIN(B77*(1+B$8),B$9)</f>
        <v>0</v>
      </c>
      <c r="O78" s="27" t="n">
        <f aca="false">MIN(C77*(1+C$8),C$9)</f>
        <v>0</v>
      </c>
      <c r="P78" s="27" t="n">
        <f aca="false">MIN(D77*(1+D$8),D$9)</f>
        <v>0</v>
      </c>
      <c r="Q78" s="27" t="n">
        <f aca="false">MIN(E77*(1+E$8),E$9)</f>
        <v>0</v>
      </c>
      <c r="R78" s="27" t="n">
        <f aca="false">MIN(F77*(1+F$8),F$9)</f>
        <v>0</v>
      </c>
      <c r="S78" s="27" t="n">
        <f aca="false">MIN(G77*(1+G$8),G$9)</f>
        <v>0</v>
      </c>
      <c r="T78" s="27" t="n">
        <f aca="false">MIN(H77*(1+H$8),H$9)</f>
        <v>0</v>
      </c>
      <c r="U78" s="27" t="n">
        <f aca="false">MIN(I77*(1+I$8),I$9)</f>
        <v>0</v>
      </c>
      <c r="V78" s="27" t="n">
        <f aca="false">MIN(J77*(1+J$8),J$9)</f>
        <v>0</v>
      </c>
      <c r="W78" s="27" t="n">
        <f aca="false">MIN(K77*(1+K$8),K$9)</f>
        <v>0</v>
      </c>
      <c r="X78" s="27" t="n">
        <f aca="false">MIN(B77*(1+B$8),MAX(N78,$B$11-SUM(O78:W78)))</f>
        <v>0</v>
      </c>
      <c r="Y78" s="27" t="n">
        <f aca="false">MIN(C77*(1+C$8),MAX(O78,$B$11-SUM(X78:X78)-SUM(P78:W78)))</f>
        <v>0</v>
      </c>
      <c r="Z78" s="27" t="n">
        <f aca="false">MIN(D77*(1+D$8),MAX(P78,$B$11-SUM(X78:Y78)-SUM(Q78:W78)))</f>
        <v>0</v>
      </c>
      <c r="AA78" s="27" t="n">
        <f aca="false">MIN(E77*(1+E$8),MAX(Q78,$B$11-SUM(X78:Z78)-SUM(R78:W78)))</f>
        <v>0</v>
      </c>
      <c r="AB78" s="27" t="n">
        <f aca="false">MIN(F77*(1+F$8),MAX(R78,$B$11-SUM(X78:AA78)-SUM(S78:W78)))</f>
        <v>0</v>
      </c>
      <c r="AC78" s="27" t="n">
        <f aca="false">MIN(G77*(1+G$8),MAX(S78,$B$11-SUM(X78:AB78)-SUM(T78:W78)))</f>
        <v>0</v>
      </c>
      <c r="AD78" s="27" t="n">
        <f aca="false">MIN(H77*(1+H$8),MAX(T78,$B$11-SUM(X78:AC78)-SUM(U78:W78)))</f>
        <v>0</v>
      </c>
      <c r="AE78" s="27" t="n">
        <f aca="false">MIN(I77*(1+I$8),MAX(U78,$B$11-SUM(X78:AD78)-SUM(V78:W78)))</f>
        <v>0</v>
      </c>
      <c r="AF78" s="27" t="n">
        <f aca="false">MIN(J77*(1+J$8),MAX(V78,$B$11-SUM(X78:AE78)-SUM(W78:W78)))</f>
        <v>0</v>
      </c>
      <c r="AG78" s="27" t="n">
        <f aca="false">MIN(K77*(1+K$8),MAX(W78,$B$11-SUM(X78:AF78)))</f>
        <v>0</v>
      </c>
      <c r="AI78" s="27" t="n">
        <f aca="false">ROUND(MAX(0,AI77*(1+B$8)-BE78),2)</f>
        <v>0</v>
      </c>
      <c r="AJ78" s="27" t="n">
        <f aca="false">ROUND(MAX(0,AJ77*(1+C$8)-BF78),2)</f>
        <v>0</v>
      </c>
      <c r="AK78" s="27" t="n">
        <f aca="false">ROUND(MAX(0,AK77*(1+D$8)-BG78),2)</f>
        <v>0</v>
      </c>
      <c r="AL78" s="27" t="n">
        <f aca="false">ROUND(MAX(0,AL77*(1+E$8)-BH78),2)</f>
        <v>0</v>
      </c>
      <c r="AM78" s="27" t="n">
        <f aca="false">ROUND(MAX(0,AM77*(1+F$8)-BI78),2)</f>
        <v>0</v>
      </c>
      <c r="AN78" s="27" t="n">
        <f aca="false">ROUND(MAX(0,AN77*(1+G$8)-BJ78),2)</f>
        <v>0</v>
      </c>
      <c r="AO78" s="27" t="n">
        <f aca="false">ROUND(MAX(0,AO77*(1+H$8)-BK78),2)</f>
        <v>0</v>
      </c>
      <c r="AP78" s="27" t="n">
        <f aca="false">ROUND(MAX(0,AP77*(1+I$8)-BL78),2)</f>
        <v>0</v>
      </c>
      <c r="AQ78" s="27" t="n">
        <f aca="false">ROUND(MAX(0,AQ77*(1+J$8)-BM78),2)</f>
        <v>0</v>
      </c>
      <c r="AR78" s="27" t="n">
        <f aca="false">ROUND(MAX(0,AR77*(1+K$8)-BN78),2)</f>
        <v>0</v>
      </c>
      <c r="AS78" s="27" t="n">
        <f aca="false">SUM(AI78:AR78)</f>
        <v>0</v>
      </c>
      <c r="AT78" s="27" t="n">
        <f aca="false">SUMPRODUCT(AI77:AR77,$B$8:$K$8)</f>
        <v>0</v>
      </c>
      <c r="AU78" s="27" t="n">
        <f aca="false">MIN(AI77*(1+B$8),B$9)</f>
        <v>0</v>
      </c>
      <c r="AV78" s="27" t="n">
        <f aca="false">MIN(AJ77*(1+C$8),C$9)</f>
        <v>0</v>
      </c>
      <c r="AW78" s="27" t="n">
        <f aca="false">MIN(AK77*(1+D$8),D$9)</f>
        <v>0</v>
      </c>
      <c r="AX78" s="27" t="n">
        <f aca="false">MIN(AL77*(1+E$8),E$9)</f>
        <v>0</v>
      </c>
      <c r="AY78" s="27" t="n">
        <f aca="false">MIN(AM77*(1+F$8),F$9)</f>
        <v>0</v>
      </c>
      <c r="AZ78" s="27" t="n">
        <f aca="false">MIN(AN77*(1+G$8),G$9)</f>
        <v>0</v>
      </c>
      <c r="BA78" s="27" t="n">
        <f aca="false">MIN(AO77*(1+H$8),H$9)</f>
        <v>0</v>
      </c>
      <c r="BB78" s="27" t="n">
        <f aca="false">MIN(AP77*(1+I$8),I$9)</f>
        <v>0</v>
      </c>
      <c r="BC78" s="27" t="n">
        <f aca="false">MIN(AQ77*(1+J$8),J$9)</f>
        <v>0</v>
      </c>
      <c r="BD78" s="27" t="n">
        <f aca="false">MIN(AR77*(1+K$8),K$9)</f>
        <v>0</v>
      </c>
      <c r="BE78" s="27" t="n">
        <f aca="false">MIN(AI77*(1+B$8),MAX(AU78,$B$12-SUM(AV78:BD78)))</f>
        <v>0</v>
      </c>
      <c r="BF78" s="27" t="n">
        <f aca="false">MIN(AJ77*(1+C$8),MAX(AV78,$B$12-SUM(BE78:BE78)-SUM(AW78:BD78)))</f>
        <v>0</v>
      </c>
      <c r="BG78" s="27" t="n">
        <f aca="false">MIN(AK77*(1+D$8),MAX(AW78,$B$12-SUM(BE78:BF78)-SUM(AX78:BD78)))</f>
        <v>0</v>
      </c>
      <c r="BH78" s="27" t="n">
        <f aca="false">MIN(AL77*(1+E$8),MAX(AX78,$B$12-SUM(BE78:BG78)-SUM(AY78:BD78)))</f>
        <v>0</v>
      </c>
      <c r="BI78" s="27" t="n">
        <f aca="false">MIN(AM77*(1+F$8),MAX(AY78,$B$12-SUM(BE78:BH78)-SUM(AZ78:BD78)))</f>
        <v>0</v>
      </c>
      <c r="BJ78" s="27" t="n">
        <f aca="false">MIN(AN77*(1+G$8),MAX(AZ78,$B$12-SUM(BE78:BI78)-SUM(BA78:BD78)))</f>
        <v>0</v>
      </c>
      <c r="BK78" s="27" t="n">
        <f aca="false">MIN(AO77*(1+H$8),MAX(BA78,$B$12-SUM(BE78:BJ78)-SUM(BB78:BD78)))</f>
        <v>0</v>
      </c>
      <c r="BL78" s="27" t="n">
        <f aca="false">MIN(AP77*(1+I$8),MAX(BB78,$B$12-SUM(BE78:BK78)-SUM(BC78:BD78)))</f>
        <v>0</v>
      </c>
      <c r="BM78" s="27" t="n">
        <f aca="false">MIN(AQ77*(1+J$8),MAX(BC78,$B$12-SUM(BE78:BL78)-SUM(BD78:BD78)))</f>
        <v>0</v>
      </c>
      <c r="BN78" s="27" t="n">
        <f aca="false">MIN(AR77*(1+K$8),MAX(BD78,$B$12-SUM(BE78:BM78)))</f>
        <v>0</v>
      </c>
    </row>
    <row r="79" customFormat="false" ht="15" hidden="false" customHeight="false" outlineLevel="0" collapsed="false">
      <c r="A79" s="0" t="n">
        <v>65</v>
      </c>
      <c r="B79" s="27" t="n">
        <f aca="false">ROUND(MAX(0,B78*(1+B$8)-X79),2)</f>
        <v>0</v>
      </c>
      <c r="C79" s="27" t="n">
        <f aca="false">ROUND(MAX(0,C78*(1+C$8)-Y79),2)</f>
        <v>0</v>
      </c>
      <c r="D79" s="27" t="n">
        <f aca="false">ROUND(MAX(0,D78*(1+D$8)-Z79),2)</f>
        <v>0</v>
      </c>
      <c r="E79" s="27" t="n">
        <f aca="false">ROUND(MAX(0,E78*(1+E$8)-AA79),2)</f>
        <v>0</v>
      </c>
      <c r="F79" s="27" t="n">
        <f aca="false">ROUND(MAX(0,F78*(1+F$8)-AB79),2)</f>
        <v>0</v>
      </c>
      <c r="G79" s="27" t="n">
        <f aca="false">ROUND(MAX(0,G78*(1+G$8)-AC79),2)</f>
        <v>0</v>
      </c>
      <c r="H79" s="27" t="n">
        <f aca="false">ROUND(MAX(0,H78*(1+H$8)-AD79),2)</f>
        <v>0</v>
      </c>
      <c r="I79" s="27" t="n">
        <f aca="false">ROUND(MAX(0,I78*(1+I$8)-AE79),2)</f>
        <v>0</v>
      </c>
      <c r="J79" s="27" t="n">
        <f aca="false">ROUND(MAX(0,J78*(1+J$8)-AF79),2)</f>
        <v>0</v>
      </c>
      <c r="K79" s="27" t="n">
        <f aca="false">ROUND(MAX(0,K78*(1+K$8)-AG79),2)</f>
        <v>0</v>
      </c>
      <c r="L79" s="30" t="n">
        <f aca="false">SUM(B79:K79)</f>
        <v>0</v>
      </c>
      <c r="M79" s="27" t="n">
        <f aca="false">SUMPRODUCT(B78:K78,$B$8:$K$8)</f>
        <v>0</v>
      </c>
      <c r="N79" s="27" t="n">
        <f aca="false">MIN(B78*(1+B$8),B$9)</f>
        <v>0</v>
      </c>
      <c r="O79" s="27" t="n">
        <f aca="false">MIN(C78*(1+C$8),C$9)</f>
        <v>0</v>
      </c>
      <c r="P79" s="27" t="n">
        <f aca="false">MIN(D78*(1+D$8),D$9)</f>
        <v>0</v>
      </c>
      <c r="Q79" s="27" t="n">
        <f aca="false">MIN(E78*(1+E$8),E$9)</f>
        <v>0</v>
      </c>
      <c r="R79" s="27" t="n">
        <f aca="false">MIN(F78*(1+F$8),F$9)</f>
        <v>0</v>
      </c>
      <c r="S79" s="27" t="n">
        <f aca="false">MIN(G78*(1+G$8),G$9)</f>
        <v>0</v>
      </c>
      <c r="T79" s="27" t="n">
        <f aca="false">MIN(H78*(1+H$8),H$9)</f>
        <v>0</v>
      </c>
      <c r="U79" s="27" t="n">
        <f aca="false">MIN(I78*(1+I$8),I$9)</f>
        <v>0</v>
      </c>
      <c r="V79" s="27" t="n">
        <f aca="false">MIN(J78*(1+J$8),J$9)</f>
        <v>0</v>
      </c>
      <c r="W79" s="27" t="n">
        <f aca="false">MIN(K78*(1+K$8),K$9)</f>
        <v>0</v>
      </c>
      <c r="X79" s="27" t="n">
        <f aca="false">MIN(B78*(1+B$8),MAX(N79,$B$11-SUM(O79:W79)))</f>
        <v>0</v>
      </c>
      <c r="Y79" s="27" t="n">
        <f aca="false">MIN(C78*(1+C$8),MAX(O79,$B$11-SUM(X79:X79)-SUM(P79:W79)))</f>
        <v>0</v>
      </c>
      <c r="Z79" s="27" t="n">
        <f aca="false">MIN(D78*(1+D$8),MAX(P79,$B$11-SUM(X79:Y79)-SUM(Q79:W79)))</f>
        <v>0</v>
      </c>
      <c r="AA79" s="27" t="n">
        <f aca="false">MIN(E78*(1+E$8),MAX(Q79,$B$11-SUM(X79:Z79)-SUM(R79:W79)))</f>
        <v>0</v>
      </c>
      <c r="AB79" s="27" t="n">
        <f aca="false">MIN(F78*(1+F$8),MAX(R79,$B$11-SUM(X79:AA79)-SUM(S79:W79)))</f>
        <v>0</v>
      </c>
      <c r="AC79" s="27" t="n">
        <f aca="false">MIN(G78*(1+G$8),MAX(S79,$B$11-SUM(X79:AB79)-SUM(T79:W79)))</f>
        <v>0</v>
      </c>
      <c r="AD79" s="27" t="n">
        <f aca="false">MIN(H78*(1+H$8),MAX(T79,$B$11-SUM(X79:AC79)-SUM(U79:W79)))</f>
        <v>0</v>
      </c>
      <c r="AE79" s="27" t="n">
        <f aca="false">MIN(I78*(1+I$8),MAX(U79,$B$11-SUM(X79:AD79)-SUM(V79:W79)))</f>
        <v>0</v>
      </c>
      <c r="AF79" s="27" t="n">
        <f aca="false">MIN(J78*(1+J$8),MAX(V79,$B$11-SUM(X79:AE79)-SUM(W79:W79)))</f>
        <v>0</v>
      </c>
      <c r="AG79" s="27" t="n">
        <f aca="false">MIN(K78*(1+K$8),MAX(W79,$B$11-SUM(X79:AF79)))</f>
        <v>0</v>
      </c>
      <c r="AI79" s="27" t="n">
        <f aca="false">ROUND(MAX(0,AI78*(1+B$8)-BE79),2)</f>
        <v>0</v>
      </c>
      <c r="AJ79" s="27" t="n">
        <f aca="false">ROUND(MAX(0,AJ78*(1+C$8)-BF79),2)</f>
        <v>0</v>
      </c>
      <c r="AK79" s="27" t="n">
        <f aca="false">ROUND(MAX(0,AK78*(1+D$8)-BG79),2)</f>
        <v>0</v>
      </c>
      <c r="AL79" s="27" t="n">
        <f aca="false">ROUND(MAX(0,AL78*(1+E$8)-BH79),2)</f>
        <v>0</v>
      </c>
      <c r="AM79" s="27" t="n">
        <f aca="false">ROUND(MAX(0,AM78*(1+F$8)-BI79),2)</f>
        <v>0</v>
      </c>
      <c r="AN79" s="27" t="n">
        <f aca="false">ROUND(MAX(0,AN78*(1+G$8)-BJ79),2)</f>
        <v>0</v>
      </c>
      <c r="AO79" s="27" t="n">
        <f aca="false">ROUND(MAX(0,AO78*(1+H$8)-BK79),2)</f>
        <v>0</v>
      </c>
      <c r="AP79" s="27" t="n">
        <f aca="false">ROUND(MAX(0,AP78*(1+I$8)-BL79),2)</f>
        <v>0</v>
      </c>
      <c r="AQ79" s="27" t="n">
        <f aca="false">ROUND(MAX(0,AQ78*(1+J$8)-BM79),2)</f>
        <v>0</v>
      </c>
      <c r="AR79" s="27" t="n">
        <f aca="false">ROUND(MAX(0,AR78*(1+K$8)-BN79),2)</f>
        <v>0</v>
      </c>
      <c r="AS79" s="27" t="n">
        <f aca="false">SUM(AI79:AR79)</f>
        <v>0</v>
      </c>
      <c r="AT79" s="27" t="n">
        <f aca="false">SUMPRODUCT(AI78:AR78,$B$8:$K$8)</f>
        <v>0</v>
      </c>
      <c r="AU79" s="27" t="n">
        <f aca="false">MIN(AI78*(1+B$8),B$9)</f>
        <v>0</v>
      </c>
      <c r="AV79" s="27" t="n">
        <f aca="false">MIN(AJ78*(1+C$8),C$9)</f>
        <v>0</v>
      </c>
      <c r="AW79" s="27" t="n">
        <f aca="false">MIN(AK78*(1+D$8),D$9)</f>
        <v>0</v>
      </c>
      <c r="AX79" s="27" t="n">
        <f aca="false">MIN(AL78*(1+E$8),E$9)</f>
        <v>0</v>
      </c>
      <c r="AY79" s="27" t="n">
        <f aca="false">MIN(AM78*(1+F$8),F$9)</f>
        <v>0</v>
      </c>
      <c r="AZ79" s="27" t="n">
        <f aca="false">MIN(AN78*(1+G$8),G$9)</f>
        <v>0</v>
      </c>
      <c r="BA79" s="27" t="n">
        <f aca="false">MIN(AO78*(1+H$8),H$9)</f>
        <v>0</v>
      </c>
      <c r="BB79" s="27" t="n">
        <f aca="false">MIN(AP78*(1+I$8),I$9)</f>
        <v>0</v>
      </c>
      <c r="BC79" s="27" t="n">
        <f aca="false">MIN(AQ78*(1+J$8),J$9)</f>
        <v>0</v>
      </c>
      <c r="BD79" s="27" t="n">
        <f aca="false">MIN(AR78*(1+K$8),K$9)</f>
        <v>0</v>
      </c>
      <c r="BE79" s="27" t="n">
        <f aca="false">MIN(AI78*(1+B$8),MAX(AU79,$B$12-SUM(AV79:BD79)))</f>
        <v>0</v>
      </c>
      <c r="BF79" s="27" t="n">
        <f aca="false">MIN(AJ78*(1+C$8),MAX(AV79,$B$12-SUM(BE79:BE79)-SUM(AW79:BD79)))</f>
        <v>0</v>
      </c>
      <c r="BG79" s="27" t="n">
        <f aca="false">MIN(AK78*(1+D$8),MAX(AW79,$B$12-SUM(BE79:BF79)-SUM(AX79:BD79)))</f>
        <v>0</v>
      </c>
      <c r="BH79" s="27" t="n">
        <f aca="false">MIN(AL78*(1+E$8),MAX(AX79,$B$12-SUM(BE79:BG79)-SUM(AY79:BD79)))</f>
        <v>0</v>
      </c>
      <c r="BI79" s="27" t="n">
        <f aca="false">MIN(AM78*(1+F$8),MAX(AY79,$B$12-SUM(BE79:BH79)-SUM(AZ79:BD79)))</f>
        <v>0</v>
      </c>
      <c r="BJ79" s="27" t="n">
        <f aca="false">MIN(AN78*(1+G$8),MAX(AZ79,$B$12-SUM(BE79:BI79)-SUM(BA79:BD79)))</f>
        <v>0</v>
      </c>
      <c r="BK79" s="27" t="n">
        <f aca="false">MIN(AO78*(1+H$8),MAX(BA79,$B$12-SUM(BE79:BJ79)-SUM(BB79:BD79)))</f>
        <v>0</v>
      </c>
      <c r="BL79" s="27" t="n">
        <f aca="false">MIN(AP78*(1+I$8),MAX(BB79,$B$12-SUM(BE79:BK79)-SUM(BC79:BD79)))</f>
        <v>0</v>
      </c>
      <c r="BM79" s="27" t="n">
        <f aca="false">MIN(AQ78*(1+J$8),MAX(BC79,$B$12-SUM(BE79:BL79)-SUM(BD79:BD79)))</f>
        <v>0</v>
      </c>
      <c r="BN79" s="27" t="n">
        <f aca="false">MIN(AR78*(1+K$8),MAX(BD79,$B$12-SUM(BE79:BM79)))</f>
        <v>0</v>
      </c>
    </row>
    <row r="80" customFormat="false" ht="15" hidden="false" customHeight="false" outlineLevel="0" collapsed="false">
      <c r="A80" s="0" t="n">
        <v>66</v>
      </c>
      <c r="B80" s="27" t="n">
        <f aca="false">ROUND(MAX(0,B79*(1+B$8)-X80),2)</f>
        <v>0</v>
      </c>
      <c r="C80" s="27" t="n">
        <f aca="false">ROUND(MAX(0,C79*(1+C$8)-Y80),2)</f>
        <v>0</v>
      </c>
      <c r="D80" s="27" t="n">
        <f aca="false">ROUND(MAX(0,D79*(1+D$8)-Z80),2)</f>
        <v>0</v>
      </c>
      <c r="E80" s="27" t="n">
        <f aca="false">ROUND(MAX(0,E79*(1+E$8)-AA80),2)</f>
        <v>0</v>
      </c>
      <c r="F80" s="27" t="n">
        <f aca="false">ROUND(MAX(0,F79*(1+F$8)-AB80),2)</f>
        <v>0</v>
      </c>
      <c r="G80" s="27" t="n">
        <f aca="false">ROUND(MAX(0,G79*(1+G$8)-AC80),2)</f>
        <v>0</v>
      </c>
      <c r="H80" s="27" t="n">
        <f aca="false">ROUND(MAX(0,H79*(1+H$8)-AD80),2)</f>
        <v>0</v>
      </c>
      <c r="I80" s="27" t="n">
        <f aca="false">ROUND(MAX(0,I79*(1+I$8)-AE80),2)</f>
        <v>0</v>
      </c>
      <c r="J80" s="27" t="n">
        <f aca="false">ROUND(MAX(0,J79*(1+J$8)-AF80),2)</f>
        <v>0</v>
      </c>
      <c r="K80" s="27" t="n">
        <f aca="false">ROUND(MAX(0,K79*(1+K$8)-AG80),2)</f>
        <v>0</v>
      </c>
      <c r="L80" s="30" t="n">
        <f aca="false">SUM(B80:K80)</f>
        <v>0</v>
      </c>
      <c r="M80" s="27" t="n">
        <f aca="false">SUMPRODUCT(B79:K79,$B$8:$K$8)</f>
        <v>0</v>
      </c>
      <c r="N80" s="27" t="n">
        <f aca="false">MIN(B79*(1+B$8),B$9)</f>
        <v>0</v>
      </c>
      <c r="O80" s="27" t="n">
        <f aca="false">MIN(C79*(1+C$8),C$9)</f>
        <v>0</v>
      </c>
      <c r="P80" s="27" t="n">
        <f aca="false">MIN(D79*(1+D$8),D$9)</f>
        <v>0</v>
      </c>
      <c r="Q80" s="27" t="n">
        <f aca="false">MIN(E79*(1+E$8),E$9)</f>
        <v>0</v>
      </c>
      <c r="R80" s="27" t="n">
        <f aca="false">MIN(F79*(1+F$8),F$9)</f>
        <v>0</v>
      </c>
      <c r="S80" s="27" t="n">
        <f aca="false">MIN(G79*(1+G$8),G$9)</f>
        <v>0</v>
      </c>
      <c r="T80" s="27" t="n">
        <f aca="false">MIN(H79*(1+H$8),H$9)</f>
        <v>0</v>
      </c>
      <c r="U80" s="27" t="n">
        <f aca="false">MIN(I79*(1+I$8),I$9)</f>
        <v>0</v>
      </c>
      <c r="V80" s="27" t="n">
        <f aca="false">MIN(J79*(1+J$8),J$9)</f>
        <v>0</v>
      </c>
      <c r="W80" s="27" t="n">
        <f aca="false">MIN(K79*(1+K$8),K$9)</f>
        <v>0</v>
      </c>
      <c r="X80" s="27" t="n">
        <f aca="false">MIN(B79*(1+B$8),MAX(N80,$B$11-SUM(O80:W80)))</f>
        <v>0</v>
      </c>
      <c r="Y80" s="27" t="n">
        <f aca="false">MIN(C79*(1+C$8),MAX(O80,$B$11-SUM(X80:X80)-SUM(P80:W80)))</f>
        <v>0</v>
      </c>
      <c r="Z80" s="27" t="n">
        <f aca="false">MIN(D79*(1+D$8),MAX(P80,$B$11-SUM(X80:Y80)-SUM(Q80:W80)))</f>
        <v>0</v>
      </c>
      <c r="AA80" s="27" t="n">
        <f aca="false">MIN(E79*(1+E$8),MAX(Q80,$B$11-SUM(X80:Z80)-SUM(R80:W80)))</f>
        <v>0</v>
      </c>
      <c r="AB80" s="27" t="n">
        <f aca="false">MIN(F79*(1+F$8),MAX(R80,$B$11-SUM(X80:AA80)-SUM(S80:W80)))</f>
        <v>0</v>
      </c>
      <c r="AC80" s="27" t="n">
        <f aca="false">MIN(G79*(1+G$8),MAX(S80,$B$11-SUM(X80:AB80)-SUM(T80:W80)))</f>
        <v>0</v>
      </c>
      <c r="AD80" s="27" t="n">
        <f aca="false">MIN(H79*(1+H$8),MAX(T80,$B$11-SUM(X80:AC80)-SUM(U80:W80)))</f>
        <v>0</v>
      </c>
      <c r="AE80" s="27" t="n">
        <f aca="false">MIN(I79*(1+I$8),MAX(U80,$B$11-SUM(X80:AD80)-SUM(V80:W80)))</f>
        <v>0</v>
      </c>
      <c r="AF80" s="27" t="n">
        <f aca="false">MIN(J79*(1+J$8),MAX(V80,$B$11-SUM(X80:AE80)-SUM(W80:W80)))</f>
        <v>0</v>
      </c>
      <c r="AG80" s="27" t="n">
        <f aca="false">MIN(K79*(1+K$8),MAX(W80,$B$11-SUM(X80:AF80)))</f>
        <v>0</v>
      </c>
      <c r="AI80" s="27" t="n">
        <f aca="false">ROUND(MAX(0,AI79*(1+B$8)-BE80),2)</f>
        <v>0</v>
      </c>
      <c r="AJ80" s="27" t="n">
        <f aca="false">ROUND(MAX(0,AJ79*(1+C$8)-BF80),2)</f>
        <v>0</v>
      </c>
      <c r="AK80" s="27" t="n">
        <f aca="false">ROUND(MAX(0,AK79*(1+D$8)-BG80),2)</f>
        <v>0</v>
      </c>
      <c r="AL80" s="27" t="n">
        <f aca="false">ROUND(MAX(0,AL79*(1+E$8)-BH80),2)</f>
        <v>0</v>
      </c>
      <c r="AM80" s="27" t="n">
        <f aca="false">ROUND(MAX(0,AM79*(1+F$8)-BI80),2)</f>
        <v>0</v>
      </c>
      <c r="AN80" s="27" t="n">
        <f aca="false">ROUND(MAX(0,AN79*(1+G$8)-BJ80),2)</f>
        <v>0</v>
      </c>
      <c r="AO80" s="27" t="n">
        <f aca="false">ROUND(MAX(0,AO79*(1+H$8)-BK80),2)</f>
        <v>0</v>
      </c>
      <c r="AP80" s="27" t="n">
        <f aca="false">ROUND(MAX(0,AP79*(1+I$8)-BL80),2)</f>
        <v>0</v>
      </c>
      <c r="AQ80" s="27" t="n">
        <f aca="false">ROUND(MAX(0,AQ79*(1+J$8)-BM80),2)</f>
        <v>0</v>
      </c>
      <c r="AR80" s="27" t="n">
        <f aca="false">ROUND(MAX(0,AR79*(1+K$8)-BN80),2)</f>
        <v>0</v>
      </c>
      <c r="AS80" s="27" t="n">
        <f aca="false">SUM(AI80:AR80)</f>
        <v>0</v>
      </c>
      <c r="AT80" s="27" t="n">
        <f aca="false">SUMPRODUCT(AI79:AR79,$B$8:$K$8)</f>
        <v>0</v>
      </c>
      <c r="AU80" s="27" t="n">
        <f aca="false">MIN(AI79*(1+B$8),B$9)</f>
        <v>0</v>
      </c>
      <c r="AV80" s="27" t="n">
        <f aca="false">MIN(AJ79*(1+C$8),C$9)</f>
        <v>0</v>
      </c>
      <c r="AW80" s="27" t="n">
        <f aca="false">MIN(AK79*(1+D$8),D$9)</f>
        <v>0</v>
      </c>
      <c r="AX80" s="27" t="n">
        <f aca="false">MIN(AL79*(1+E$8),E$9)</f>
        <v>0</v>
      </c>
      <c r="AY80" s="27" t="n">
        <f aca="false">MIN(AM79*(1+F$8),F$9)</f>
        <v>0</v>
      </c>
      <c r="AZ80" s="27" t="n">
        <f aca="false">MIN(AN79*(1+G$8),G$9)</f>
        <v>0</v>
      </c>
      <c r="BA80" s="27" t="n">
        <f aca="false">MIN(AO79*(1+H$8),H$9)</f>
        <v>0</v>
      </c>
      <c r="BB80" s="27" t="n">
        <f aca="false">MIN(AP79*(1+I$8),I$9)</f>
        <v>0</v>
      </c>
      <c r="BC80" s="27" t="n">
        <f aca="false">MIN(AQ79*(1+J$8),J$9)</f>
        <v>0</v>
      </c>
      <c r="BD80" s="27" t="n">
        <f aca="false">MIN(AR79*(1+K$8),K$9)</f>
        <v>0</v>
      </c>
      <c r="BE80" s="27" t="n">
        <f aca="false">MIN(AI79*(1+B$8),MAX(AU80,$B$12-SUM(AV80:BD80)))</f>
        <v>0</v>
      </c>
      <c r="BF80" s="27" t="n">
        <f aca="false">MIN(AJ79*(1+C$8),MAX(AV80,$B$12-SUM(BE80:BE80)-SUM(AW80:BD80)))</f>
        <v>0</v>
      </c>
      <c r="BG80" s="27" t="n">
        <f aca="false">MIN(AK79*(1+D$8),MAX(AW80,$B$12-SUM(BE80:BF80)-SUM(AX80:BD80)))</f>
        <v>0</v>
      </c>
      <c r="BH80" s="27" t="n">
        <f aca="false">MIN(AL79*(1+E$8),MAX(AX80,$B$12-SUM(BE80:BG80)-SUM(AY80:BD80)))</f>
        <v>0</v>
      </c>
      <c r="BI80" s="27" t="n">
        <f aca="false">MIN(AM79*(1+F$8),MAX(AY80,$B$12-SUM(BE80:BH80)-SUM(AZ80:BD80)))</f>
        <v>0</v>
      </c>
      <c r="BJ80" s="27" t="n">
        <f aca="false">MIN(AN79*(1+G$8),MAX(AZ80,$B$12-SUM(BE80:BI80)-SUM(BA80:BD80)))</f>
        <v>0</v>
      </c>
      <c r="BK80" s="27" t="n">
        <f aca="false">MIN(AO79*(1+H$8),MAX(BA80,$B$12-SUM(BE80:BJ80)-SUM(BB80:BD80)))</f>
        <v>0</v>
      </c>
      <c r="BL80" s="27" t="n">
        <f aca="false">MIN(AP79*(1+I$8),MAX(BB80,$B$12-SUM(BE80:BK80)-SUM(BC80:BD80)))</f>
        <v>0</v>
      </c>
      <c r="BM80" s="27" t="n">
        <f aca="false">MIN(AQ79*(1+J$8),MAX(BC80,$B$12-SUM(BE80:BL80)-SUM(BD80:BD80)))</f>
        <v>0</v>
      </c>
      <c r="BN80" s="27" t="n">
        <f aca="false">MIN(AR79*(1+K$8),MAX(BD80,$B$12-SUM(BE80:BM80)))</f>
        <v>0</v>
      </c>
    </row>
    <row r="81" customFormat="false" ht="15" hidden="false" customHeight="false" outlineLevel="0" collapsed="false">
      <c r="A81" s="0" t="n">
        <v>67</v>
      </c>
      <c r="B81" s="27" t="n">
        <f aca="false">ROUND(MAX(0,B80*(1+B$8)-X81),2)</f>
        <v>0</v>
      </c>
      <c r="C81" s="27" t="n">
        <f aca="false">ROUND(MAX(0,C80*(1+C$8)-Y81),2)</f>
        <v>0</v>
      </c>
      <c r="D81" s="27" t="n">
        <f aca="false">ROUND(MAX(0,D80*(1+D$8)-Z81),2)</f>
        <v>0</v>
      </c>
      <c r="E81" s="27" t="n">
        <f aca="false">ROUND(MAX(0,E80*(1+E$8)-AA81),2)</f>
        <v>0</v>
      </c>
      <c r="F81" s="27" t="n">
        <f aca="false">ROUND(MAX(0,F80*(1+F$8)-AB81),2)</f>
        <v>0</v>
      </c>
      <c r="G81" s="27" t="n">
        <f aca="false">ROUND(MAX(0,G80*(1+G$8)-AC81),2)</f>
        <v>0</v>
      </c>
      <c r="H81" s="27" t="n">
        <f aca="false">ROUND(MAX(0,H80*(1+H$8)-AD81),2)</f>
        <v>0</v>
      </c>
      <c r="I81" s="27" t="n">
        <f aca="false">ROUND(MAX(0,I80*(1+I$8)-AE81),2)</f>
        <v>0</v>
      </c>
      <c r="J81" s="27" t="n">
        <f aca="false">ROUND(MAX(0,J80*(1+J$8)-AF81),2)</f>
        <v>0</v>
      </c>
      <c r="K81" s="27" t="n">
        <f aca="false">ROUND(MAX(0,K80*(1+K$8)-AG81),2)</f>
        <v>0</v>
      </c>
      <c r="L81" s="30" t="n">
        <f aca="false">SUM(B81:K81)</f>
        <v>0</v>
      </c>
      <c r="M81" s="27" t="n">
        <f aca="false">SUMPRODUCT(B80:K80,$B$8:$K$8)</f>
        <v>0</v>
      </c>
      <c r="N81" s="27" t="n">
        <f aca="false">MIN(B80*(1+B$8),B$9)</f>
        <v>0</v>
      </c>
      <c r="O81" s="27" t="n">
        <f aca="false">MIN(C80*(1+C$8),C$9)</f>
        <v>0</v>
      </c>
      <c r="P81" s="27" t="n">
        <f aca="false">MIN(D80*(1+D$8),D$9)</f>
        <v>0</v>
      </c>
      <c r="Q81" s="27" t="n">
        <f aca="false">MIN(E80*(1+E$8),E$9)</f>
        <v>0</v>
      </c>
      <c r="R81" s="27" t="n">
        <f aca="false">MIN(F80*(1+F$8),F$9)</f>
        <v>0</v>
      </c>
      <c r="S81" s="27" t="n">
        <f aca="false">MIN(G80*(1+G$8),G$9)</f>
        <v>0</v>
      </c>
      <c r="T81" s="27" t="n">
        <f aca="false">MIN(H80*(1+H$8),H$9)</f>
        <v>0</v>
      </c>
      <c r="U81" s="27" t="n">
        <f aca="false">MIN(I80*(1+I$8),I$9)</f>
        <v>0</v>
      </c>
      <c r="V81" s="27" t="n">
        <f aca="false">MIN(J80*(1+J$8),J$9)</f>
        <v>0</v>
      </c>
      <c r="W81" s="27" t="n">
        <f aca="false">MIN(K80*(1+K$8),K$9)</f>
        <v>0</v>
      </c>
      <c r="X81" s="27" t="n">
        <f aca="false">MIN(B80*(1+B$8),MAX(N81,$B$11-SUM(O81:W81)))</f>
        <v>0</v>
      </c>
      <c r="Y81" s="27" t="n">
        <f aca="false">MIN(C80*(1+C$8),MAX(O81,$B$11-SUM(X81:X81)-SUM(P81:W81)))</f>
        <v>0</v>
      </c>
      <c r="Z81" s="27" t="n">
        <f aca="false">MIN(D80*(1+D$8),MAX(P81,$B$11-SUM(X81:Y81)-SUM(Q81:W81)))</f>
        <v>0</v>
      </c>
      <c r="AA81" s="27" t="n">
        <f aca="false">MIN(E80*(1+E$8),MAX(Q81,$B$11-SUM(X81:Z81)-SUM(R81:W81)))</f>
        <v>0</v>
      </c>
      <c r="AB81" s="27" t="n">
        <f aca="false">MIN(F80*(1+F$8),MAX(R81,$B$11-SUM(X81:AA81)-SUM(S81:W81)))</f>
        <v>0</v>
      </c>
      <c r="AC81" s="27" t="n">
        <f aca="false">MIN(G80*(1+G$8),MAX(S81,$B$11-SUM(X81:AB81)-SUM(T81:W81)))</f>
        <v>0</v>
      </c>
      <c r="AD81" s="27" t="n">
        <f aca="false">MIN(H80*(1+H$8),MAX(T81,$B$11-SUM(X81:AC81)-SUM(U81:W81)))</f>
        <v>0</v>
      </c>
      <c r="AE81" s="27" t="n">
        <f aca="false">MIN(I80*(1+I$8),MAX(U81,$B$11-SUM(X81:AD81)-SUM(V81:W81)))</f>
        <v>0</v>
      </c>
      <c r="AF81" s="27" t="n">
        <f aca="false">MIN(J80*(1+J$8),MAX(V81,$B$11-SUM(X81:AE81)-SUM(W81:W81)))</f>
        <v>0</v>
      </c>
      <c r="AG81" s="27" t="n">
        <f aca="false">MIN(K80*(1+K$8),MAX(W81,$B$11-SUM(X81:AF81)))</f>
        <v>0</v>
      </c>
      <c r="AI81" s="27" t="n">
        <f aca="false">ROUND(MAX(0,AI80*(1+B$8)-BE81),2)</f>
        <v>0</v>
      </c>
      <c r="AJ81" s="27" t="n">
        <f aca="false">ROUND(MAX(0,AJ80*(1+C$8)-BF81),2)</f>
        <v>0</v>
      </c>
      <c r="AK81" s="27" t="n">
        <f aca="false">ROUND(MAX(0,AK80*(1+D$8)-BG81),2)</f>
        <v>0</v>
      </c>
      <c r="AL81" s="27" t="n">
        <f aca="false">ROUND(MAX(0,AL80*(1+E$8)-BH81),2)</f>
        <v>0</v>
      </c>
      <c r="AM81" s="27" t="n">
        <f aca="false">ROUND(MAX(0,AM80*(1+F$8)-BI81),2)</f>
        <v>0</v>
      </c>
      <c r="AN81" s="27" t="n">
        <f aca="false">ROUND(MAX(0,AN80*(1+G$8)-BJ81),2)</f>
        <v>0</v>
      </c>
      <c r="AO81" s="27" t="n">
        <f aca="false">ROUND(MAX(0,AO80*(1+H$8)-BK81),2)</f>
        <v>0</v>
      </c>
      <c r="AP81" s="27" t="n">
        <f aca="false">ROUND(MAX(0,AP80*(1+I$8)-BL81),2)</f>
        <v>0</v>
      </c>
      <c r="AQ81" s="27" t="n">
        <f aca="false">ROUND(MAX(0,AQ80*(1+J$8)-BM81),2)</f>
        <v>0</v>
      </c>
      <c r="AR81" s="27" t="n">
        <f aca="false">ROUND(MAX(0,AR80*(1+K$8)-BN81),2)</f>
        <v>0</v>
      </c>
      <c r="AS81" s="27" t="n">
        <f aca="false">SUM(AI81:AR81)</f>
        <v>0</v>
      </c>
      <c r="AT81" s="27" t="n">
        <f aca="false">SUMPRODUCT(AI80:AR80,$B$8:$K$8)</f>
        <v>0</v>
      </c>
      <c r="AU81" s="27" t="n">
        <f aca="false">MIN(AI80*(1+B$8),B$9)</f>
        <v>0</v>
      </c>
      <c r="AV81" s="27" t="n">
        <f aca="false">MIN(AJ80*(1+C$8),C$9)</f>
        <v>0</v>
      </c>
      <c r="AW81" s="27" t="n">
        <f aca="false">MIN(AK80*(1+D$8),D$9)</f>
        <v>0</v>
      </c>
      <c r="AX81" s="27" t="n">
        <f aca="false">MIN(AL80*(1+E$8),E$9)</f>
        <v>0</v>
      </c>
      <c r="AY81" s="27" t="n">
        <f aca="false">MIN(AM80*(1+F$8),F$9)</f>
        <v>0</v>
      </c>
      <c r="AZ81" s="27" t="n">
        <f aca="false">MIN(AN80*(1+G$8),G$9)</f>
        <v>0</v>
      </c>
      <c r="BA81" s="27" t="n">
        <f aca="false">MIN(AO80*(1+H$8),H$9)</f>
        <v>0</v>
      </c>
      <c r="BB81" s="27" t="n">
        <f aca="false">MIN(AP80*(1+I$8),I$9)</f>
        <v>0</v>
      </c>
      <c r="BC81" s="27" t="n">
        <f aca="false">MIN(AQ80*(1+J$8),J$9)</f>
        <v>0</v>
      </c>
      <c r="BD81" s="27" t="n">
        <f aca="false">MIN(AR80*(1+K$8),K$9)</f>
        <v>0</v>
      </c>
      <c r="BE81" s="27" t="n">
        <f aca="false">MIN(AI80*(1+B$8),MAX(AU81,$B$12-SUM(AV81:BD81)))</f>
        <v>0</v>
      </c>
      <c r="BF81" s="27" t="n">
        <f aca="false">MIN(AJ80*(1+C$8),MAX(AV81,$B$12-SUM(BE81:BE81)-SUM(AW81:BD81)))</f>
        <v>0</v>
      </c>
      <c r="BG81" s="27" t="n">
        <f aca="false">MIN(AK80*(1+D$8),MAX(AW81,$B$12-SUM(BE81:BF81)-SUM(AX81:BD81)))</f>
        <v>0</v>
      </c>
      <c r="BH81" s="27" t="n">
        <f aca="false">MIN(AL80*(1+E$8),MAX(AX81,$B$12-SUM(BE81:BG81)-SUM(AY81:BD81)))</f>
        <v>0</v>
      </c>
      <c r="BI81" s="27" t="n">
        <f aca="false">MIN(AM80*(1+F$8),MAX(AY81,$B$12-SUM(BE81:BH81)-SUM(AZ81:BD81)))</f>
        <v>0</v>
      </c>
      <c r="BJ81" s="27" t="n">
        <f aca="false">MIN(AN80*(1+G$8),MAX(AZ81,$B$12-SUM(BE81:BI81)-SUM(BA81:BD81)))</f>
        <v>0</v>
      </c>
      <c r="BK81" s="27" t="n">
        <f aca="false">MIN(AO80*(1+H$8),MAX(BA81,$B$12-SUM(BE81:BJ81)-SUM(BB81:BD81)))</f>
        <v>0</v>
      </c>
      <c r="BL81" s="27" t="n">
        <f aca="false">MIN(AP80*(1+I$8),MAX(BB81,$B$12-SUM(BE81:BK81)-SUM(BC81:BD81)))</f>
        <v>0</v>
      </c>
      <c r="BM81" s="27" t="n">
        <f aca="false">MIN(AQ80*(1+J$8),MAX(BC81,$B$12-SUM(BE81:BL81)-SUM(BD81:BD81)))</f>
        <v>0</v>
      </c>
      <c r="BN81" s="27" t="n">
        <f aca="false">MIN(AR80*(1+K$8),MAX(BD81,$B$12-SUM(BE81:BM81)))</f>
        <v>0</v>
      </c>
    </row>
    <row r="82" customFormat="false" ht="15" hidden="false" customHeight="false" outlineLevel="0" collapsed="false">
      <c r="A82" s="0" t="n">
        <v>68</v>
      </c>
      <c r="B82" s="27" t="n">
        <f aca="false">ROUND(MAX(0,B81*(1+B$8)-X82),2)</f>
        <v>0</v>
      </c>
      <c r="C82" s="27" t="n">
        <f aca="false">ROUND(MAX(0,C81*(1+C$8)-Y82),2)</f>
        <v>0</v>
      </c>
      <c r="D82" s="27" t="n">
        <f aca="false">ROUND(MAX(0,D81*(1+D$8)-Z82),2)</f>
        <v>0</v>
      </c>
      <c r="E82" s="27" t="n">
        <f aca="false">ROUND(MAX(0,E81*(1+E$8)-AA82),2)</f>
        <v>0</v>
      </c>
      <c r="F82" s="27" t="n">
        <f aca="false">ROUND(MAX(0,F81*(1+F$8)-AB82),2)</f>
        <v>0</v>
      </c>
      <c r="G82" s="27" t="n">
        <f aca="false">ROUND(MAX(0,G81*(1+G$8)-AC82),2)</f>
        <v>0</v>
      </c>
      <c r="H82" s="27" t="n">
        <f aca="false">ROUND(MAX(0,H81*(1+H$8)-AD82),2)</f>
        <v>0</v>
      </c>
      <c r="I82" s="27" t="n">
        <f aca="false">ROUND(MAX(0,I81*(1+I$8)-AE82),2)</f>
        <v>0</v>
      </c>
      <c r="J82" s="27" t="n">
        <f aca="false">ROUND(MAX(0,J81*(1+J$8)-AF82),2)</f>
        <v>0</v>
      </c>
      <c r="K82" s="27" t="n">
        <f aca="false">ROUND(MAX(0,K81*(1+K$8)-AG82),2)</f>
        <v>0</v>
      </c>
      <c r="L82" s="30" t="n">
        <f aca="false">SUM(B82:K82)</f>
        <v>0</v>
      </c>
      <c r="M82" s="27" t="n">
        <f aca="false">SUMPRODUCT(B81:K81,$B$8:$K$8)</f>
        <v>0</v>
      </c>
      <c r="N82" s="27" t="n">
        <f aca="false">MIN(B81*(1+B$8),B$9)</f>
        <v>0</v>
      </c>
      <c r="O82" s="27" t="n">
        <f aca="false">MIN(C81*(1+C$8),C$9)</f>
        <v>0</v>
      </c>
      <c r="P82" s="27" t="n">
        <f aca="false">MIN(D81*(1+D$8),D$9)</f>
        <v>0</v>
      </c>
      <c r="Q82" s="27" t="n">
        <f aca="false">MIN(E81*(1+E$8),E$9)</f>
        <v>0</v>
      </c>
      <c r="R82" s="27" t="n">
        <f aca="false">MIN(F81*(1+F$8),F$9)</f>
        <v>0</v>
      </c>
      <c r="S82" s="27" t="n">
        <f aca="false">MIN(G81*(1+G$8),G$9)</f>
        <v>0</v>
      </c>
      <c r="T82" s="27" t="n">
        <f aca="false">MIN(H81*(1+H$8),H$9)</f>
        <v>0</v>
      </c>
      <c r="U82" s="27" t="n">
        <f aca="false">MIN(I81*(1+I$8),I$9)</f>
        <v>0</v>
      </c>
      <c r="V82" s="27" t="n">
        <f aca="false">MIN(J81*(1+J$8),J$9)</f>
        <v>0</v>
      </c>
      <c r="W82" s="27" t="n">
        <f aca="false">MIN(K81*(1+K$8),K$9)</f>
        <v>0</v>
      </c>
      <c r="X82" s="27" t="n">
        <f aca="false">MIN(B81*(1+B$8),MAX(N82,$B$11-SUM(O82:W82)))</f>
        <v>0</v>
      </c>
      <c r="Y82" s="27" t="n">
        <f aca="false">MIN(C81*(1+C$8),MAX(O82,$B$11-SUM(X82:X82)-SUM(P82:W82)))</f>
        <v>0</v>
      </c>
      <c r="Z82" s="27" t="n">
        <f aca="false">MIN(D81*(1+D$8),MAX(P82,$B$11-SUM(X82:Y82)-SUM(Q82:W82)))</f>
        <v>0</v>
      </c>
      <c r="AA82" s="27" t="n">
        <f aca="false">MIN(E81*(1+E$8),MAX(Q82,$B$11-SUM(X82:Z82)-SUM(R82:W82)))</f>
        <v>0</v>
      </c>
      <c r="AB82" s="27" t="n">
        <f aca="false">MIN(F81*(1+F$8),MAX(R82,$B$11-SUM(X82:AA82)-SUM(S82:W82)))</f>
        <v>0</v>
      </c>
      <c r="AC82" s="27" t="n">
        <f aca="false">MIN(G81*(1+G$8),MAX(S82,$B$11-SUM(X82:AB82)-SUM(T82:W82)))</f>
        <v>0</v>
      </c>
      <c r="AD82" s="27" t="n">
        <f aca="false">MIN(H81*(1+H$8),MAX(T82,$B$11-SUM(X82:AC82)-SUM(U82:W82)))</f>
        <v>0</v>
      </c>
      <c r="AE82" s="27" t="n">
        <f aca="false">MIN(I81*(1+I$8),MAX(U82,$B$11-SUM(X82:AD82)-SUM(V82:W82)))</f>
        <v>0</v>
      </c>
      <c r="AF82" s="27" t="n">
        <f aca="false">MIN(J81*(1+J$8),MAX(V82,$B$11-SUM(X82:AE82)-SUM(W82:W82)))</f>
        <v>0</v>
      </c>
      <c r="AG82" s="27" t="n">
        <f aca="false">MIN(K81*(1+K$8),MAX(W82,$B$11-SUM(X82:AF82)))</f>
        <v>0</v>
      </c>
      <c r="AI82" s="27" t="n">
        <f aca="false">ROUND(MAX(0,AI81*(1+B$8)-BE82),2)</f>
        <v>0</v>
      </c>
      <c r="AJ82" s="27" t="n">
        <f aca="false">ROUND(MAX(0,AJ81*(1+C$8)-BF82),2)</f>
        <v>0</v>
      </c>
      <c r="AK82" s="27" t="n">
        <f aca="false">ROUND(MAX(0,AK81*(1+D$8)-BG82),2)</f>
        <v>0</v>
      </c>
      <c r="AL82" s="27" t="n">
        <f aca="false">ROUND(MAX(0,AL81*(1+E$8)-BH82),2)</f>
        <v>0</v>
      </c>
      <c r="AM82" s="27" t="n">
        <f aca="false">ROUND(MAX(0,AM81*(1+F$8)-BI82),2)</f>
        <v>0</v>
      </c>
      <c r="AN82" s="27" t="n">
        <f aca="false">ROUND(MAX(0,AN81*(1+G$8)-BJ82),2)</f>
        <v>0</v>
      </c>
      <c r="AO82" s="27" t="n">
        <f aca="false">ROUND(MAX(0,AO81*(1+H$8)-BK82),2)</f>
        <v>0</v>
      </c>
      <c r="AP82" s="27" t="n">
        <f aca="false">ROUND(MAX(0,AP81*(1+I$8)-BL82),2)</f>
        <v>0</v>
      </c>
      <c r="AQ82" s="27" t="n">
        <f aca="false">ROUND(MAX(0,AQ81*(1+J$8)-BM82),2)</f>
        <v>0</v>
      </c>
      <c r="AR82" s="27" t="n">
        <f aca="false">ROUND(MAX(0,AR81*(1+K$8)-BN82),2)</f>
        <v>0</v>
      </c>
      <c r="AS82" s="27" t="n">
        <f aca="false">SUM(AI82:AR82)</f>
        <v>0</v>
      </c>
      <c r="AT82" s="27" t="n">
        <f aca="false">SUMPRODUCT(AI81:AR81,$B$8:$K$8)</f>
        <v>0</v>
      </c>
      <c r="AU82" s="27" t="n">
        <f aca="false">MIN(AI81*(1+B$8),B$9)</f>
        <v>0</v>
      </c>
      <c r="AV82" s="27" t="n">
        <f aca="false">MIN(AJ81*(1+C$8),C$9)</f>
        <v>0</v>
      </c>
      <c r="AW82" s="27" t="n">
        <f aca="false">MIN(AK81*(1+D$8),D$9)</f>
        <v>0</v>
      </c>
      <c r="AX82" s="27" t="n">
        <f aca="false">MIN(AL81*(1+E$8),E$9)</f>
        <v>0</v>
      </c>
      <c r="AY82" s="27" t="n">
        <f aca="false">MIN(AM81*(1+F$8),F$9)</f>
        <v>0</v>
      </c>
      <c r="AZ82" s="27" t="n">
        <f aca="false">MIN(AN81*(1+G$8),G$9)</f>
        <v>0</v>
      </c>
      <c r="BA82" s="27" t="n">
        <f aca="false">MIN(AO81*(1+H$8),H$9)</f>
        <v>0</v>
      </c>
      <c r="BB82" s="27" t="n">
        <f aca="false">MIN(AP81*(1+I$8),I$9)</f>
        <v>0</v>
      </c>
      <c r="BC82" s="27" t="n">
        <f aca="false">MIN(AQ81*(1+J$8),J$9)</f>
        <v>0</v>
      </c>
      <c r="BD82" s="27" t="n">
        <f aca="false">MIN(AR81*(1+K$8),K$9)</f>
        <v>0</v>
      </c>
      <c r="BE82" s="27" t="n">
        <f aca="false">MIN(AI81*(1+B$8),MAX(AU82,$B$12-SUM(AV82:BD82)))</f>
        <v>0</v>
      </c>
      <c r="BF82" s="27" t="n">
        <f aca="false">MIN(AJ81*(1+C$8),MAX(AV82,$B$12-SUM(BE82:BE82)-SUM(AW82:BD82)))</f>
        <v>0</v>
      </c>
      <c r="BG82" s="27" t="n">
        <f aca="false">MIN(AK81*(1+D$8),MAX(AW82,$B$12-SUM(BE82:BF82)-SUM(AX82:BD82)))</f>
        <v>0</v>
      </c>
      <c r="BH82" s="27" t="n">
        <f aca="false">MIN(AL81*(1+E$8),MAX(AX82,$B$12-SUM(BE82:BG82)-SUM(AY82:BD82)))</f>
        <v>0</v>
      </c>
      <c r="BI82" s="27" t="n">
        <f aca="false">MIN(AM81*(1+F$8),MAX(AY82,$B$12-SUM(BE82:BH82)-SUM(AZ82:BD82)))</f>
        <v>0</v>
      </c>
      <c r="BJ82" s="27" t="n">
        <f aca="false">MIN(AN81*(1+G$8),MAX(AZ82,$B$12-SUM(BE82:BI82)-SUM(BA82:BD82)))</f>
        <v>0</v>
      </c>
      <c r="BK82" s="27" t="n">
        <f aca="false">MIN(AO81*(1+H$8),MAX(BA82,$B$12-SUM(BE82:BJ82)-SUM(BB82:BD82)))</f>
        <v>0</v>
      </c>
      <c r="BL82" s="27" t="n">
        <f aca="false">MIN(AP81*(1+I$8),MAX(BB82,$B$12-SUM(BE82:BK82)-SUM(BC82:BD82)))</f>
        <v>0</v>
      </c>
      <c r="BM82" s="27" t="n">
        <f aca="false">MIN(AQ81*(1+J$8),MAX(BC82,$B$12-SUM(BE82:BL82)-SUM(BD82:BD82)))</f>
        <v>0</v>
      </c>
      <c r="BN82" s="27" t="n">
        <f aca="false">MIN(AR81*(1+K$8),MAX(BD82,$B$12-SUM(BE82:BM82)))</f>
        <v>0</v>
      </c>
    </row>
    <row r="83" customFormat="false" ht="15" hidden="false" customHeight="false" outlineLevel="0" collapsed="false">
      <c r="A83" s="0" t="n">
        <v>69</v>
      </c>
      <c r="B83" s="27" t="n">
        <f aca="false">ROUND(MAX(0,B82*(1+B$8)-X83),2)</f>
        <v>0</v>
      </c>
      <c r="C83" s="27" t="n">
        <f aca="false">ROUND(MAX(0,C82*(1+C$8)-Y83),2)</f>
        <v>0</v>
      </c>
      <c r="D83" s="27" t="n">
        <f aca="false">ROUND(MAX(0,D82*(1+D$8)-Z83),2)</f>
        <v>0</v>
      </c>
      <c r="E83" s="27" t="n">
        <f aca="false">ROUND(MAX(0,E82*(1+E$8)-AA83),2)</f>
        <v>0</v>
      </c>
      <c r="F83" s="27" t="n">
        <f aca="false">ROUND(MAX(0,F82*(1+F$8)-AB83),2)</f>
        <v>0</v>
      </c>
      <c r="G83" s="27" t="n">
        <f aca="false">ROUND(MAX(0,G82*(1+G$8)-AC83),2)</f>
        <v>0</v>
      </c>
      <c r="H83" s="27" t="n">
        <f aca="false">ROUND(MAX(0,H82*(1+H$8)-AD83),2)</f>
        <v>0</v>
      </c>
      <c r="I83" s="27" t="n">
        <f aca="false">ROUND(MAX(0,I82*(1+I$8)-AE83),2)</f>
        <v>0</v>
      </c>
      <c r="J83" s="27" t="n">
        <f aca="false">ROUND(MAX(0,J82*(1+J$8)-AF83),2)</f>
        <v>0</v>
      </c>
      <c r="K83" s="27" t="n">
        <f aca="false">ROUND(MAX(0,K82*(1+K$8)-AG83),2)</f>
        <v>0</v>
      </c>
      <c r="L83" s="30" t="n">
        <f aca="false">SUM(B83:K83)</f>
        <v>0</v>
      </c>
      <c r="M83" s="27" t="n">
        <f aca="false">SUMPRODUCT(B82:K82,$B$8:$K$8)</f>
        <v>0</v>
      </c>
      <c r="N83" s="27" t="n">
        <f aca="false">MIN(B82*(1+B$8),B$9)</f>
        <v>0</v>
      </c>
      <c r="O83" s="27" t="n">
        <f aca="false">MIN(C82*(1+C$8),C$9)</f>
        <v>0</v>
      </c>
      <c r="P83" s="27" t="n">
        <f aca="false">MIN(D82*(1+D$8),D$9)</f>
        <v>0</v>
      </c>
      <c r="Q83" s="27" t="n">
        <f aca="false">MIN(E82*(1+E$8),E$9)</f>
        <v>0</v>
      </c>
      <c r="R83" s="27" t="n">
        <f aca="false">MIN(F82*(1+F$8),F$9)</f>
        <v>0</v>
      </c>
      <c r="S83" s="27" t="n">
        <f aca="false">MIN(G82*(1+G$8),G$9)</f>
        <v>0</v>
      </c>
      <c r="T83" s="27" t="n">
        <f aca="false">MIN(H82*(1+H$8),H$9)</f>
        <v>0</v>
      </c>
      <c r="U83" s="27" t="n">
        <f aca="false">MIN(I82*(1+I$8),I$9)</f>
        <v>0</v>
      </c>
      <c r="V83" s="27" t="n">
        <f aca="false">MIN(J82*(1+J$8),J$9)</f>
        <v>0</v>
      </c>
      <c r="W83" s="27" t="n">
        <f aca="false">MIN(K82*(1+K$8),K$9)</f>
        <v>0</v>
      </c>
      <c r="X83" s="27" t="n">
        <f aca="false">MIN(B82*(1+B$8),MAX(N83,$B$11-SUM(O83:W83)))</f>
        <v>0</v>
      </c>
      <c r="Y83" s="27" t="n">
        <f aca="false">MIN(C82*(1+C$8),MAX(O83,$B$11-SUM(X83:X83)-SUM(P83:W83)))</f>
        <v>0</v>
      </c>
      <c r="Z83" s="27" t="n">
        <f aca="false">MIN(D82*(1+D$8),MAX(P83,$B$11-SUM(X83:Y83)-SUM(Q83:W83)))</f>
        <v>0</v>
      </c>
      <c r="AA83" s="27" t="n">
        <f aca="false">MIN(E82*(1+E$8),MAX(Q83,$B$11-SUM(X83:Z83)-SUM(R83:W83)))</f>
        <v>0</v>
      </c>
      <c r="AB83" s="27" t="n">
        <f aca="false">MIN(F82*(1+F$8),MAX(R83,$B$11-SUM(X83:AA83)-SUM(S83:W83)))</f>
        <v>0</v>
      </c>
      <c r="AC83" s="27" t="n">
        <f aca="false">MIN(G82*(1+G$8),MAX(S83,$B$11-SUM(X83:AB83)-SUM(T83:W83)))</f>
        <v>0</v>
      </c>
      <c r="AD83" s="27" t="n">
        <f aca="false">MIN(H82*(1+H$8),MAX(T83,$B$11-SUM(X83:AC83)-SUM(U83:W83)))</f>
        <v>0</v>
      </c>
      <c r="AE83" s="27" t="n">
        <f aca="false">MIN(I82*(1+I$8),MAX(U83,$B$11-SUM(X83:AD83)-SUM(V83:W83)))</f>
        <v>0</v>
      </c>
      <c r="AF83" s="27" t="n">
        <f aca="false">MIN(J82*(1+J$8),MAX(V83,$B$11-SUM(X83:AE83)-SUM(W83:W83)))</f>
        <v>0</v>
      </c>
      <c r="AG83" s="27" t="n">
        <f aca="false">MIN(K82*(1+K$8),MAX(W83,$B$11-SUM(X83:AF83)))</f>
        <v>0</v>
      </c>
      <c r="AI83" s="27" t="n">
        <f aca="false">ROUND(MAX(0,AI82*(1+B$8)-BE83),2)</f>
        <v>0</v>
      </c>
      <c r="AJ83" s="27" t="n">
        <f aca="false">ROUND(MAX(0,AJ82*(1+C$8)-BF83),2)</f>
        <v>0</v>
      </c>
      <c r="AK83" s="27" t="n">
        <f aca="false">ROUND(MAX(0,AK82*(1+D$8)-BG83),2)</f>
        <v>0</v>
      </c>
      <c r="AL83" s="27" t="n">
        <f aca="false">ROUND(MAX(0,AL82*(1+E$8)-BH83),2)</f>
        <v>0</v>
      </c>
      <c r="AM83" s="27" t="n">
        <f aca="false">ROUND(MAX(0,AM82*(1+F$8)-BI83),2)</f>
        <v>0</v>
      </c>
      <c r="AN83" s="27" t="n">
        <f aca="false">ROUND(MAX(0,AN82*(1+G$8)-BJ83),2)</f>
        <v>0</v>
      </c>
      <c r="AO83" s="27" t="n">
        <f aca="false">ROUND(MAX(0,AO82*(1+H$8)-BK83),2)</f>
        <v>0</v>
      </c>
      <c r="AP83" s="27" t="n">
        <f aca="false">ROUND(MAX(0,AP82*(1+I$8)-BL83),2)</f>
        <v>0</v>
      </c>
      <c r="AQ83" s="27" t="n">
        <f aca="false">ROUND(MAX(0,AQ82*(1+J$8)-BM83),2)</f>
        <v>0</v>
      </c>
      <c r="AR83" s="27" t="n">
        <f aca="false">ROUND(MAX(0,AR82*(1+K$8)-BN83),2)</f>
        <v>0</v>
      </c>
      <c r="AS83" s="27" t="n">
        <f aca="false">SUM(AI83:AR83)</f>
        <v>0</v>
      </c>
      <c r="AT83" s="27" t="n">
        <f aca="false">SUMPRODUCT(AI82:AR82,$B$8:$K$8)</f>
        <v>0</v>
      </c>
      <c r="AU83" s="27" t="n">
        <f aca="false">MIN(AI82*(1+B$8),B$9)</f>
        <v>0</v>
      </c>
      <c r="AV83" s="27" t="n">
        <f aca="false">MIN(AJ82*(1+C$8),C$9)</f>
        <v>0</v>
      </c>
      <c r="AW83" s="27" t="n">
        <f aca="false">MIN(AK82*(1+D$8),D$9)</f>
        <v>0</v>
      </c>
      <c r="AX83" s="27" t="n">
        <f aca="false">MIN(AL82*(1+E$8),E$9)</f>
        <v>0</v>
      </c>
      <c r="AY83" s="27" t="n">
        <f aca="false">MIN(AM82*(1+F$8),F$9)</f>
        <v>0</v>
      </c>
      <c r="AZ83" s="27" t="n">
        <f aca="false">MIN(AN82*(1+G$8),G$9)</f>
        <v>0</v>
      </c>
      <c r="BA83" s="27" t="n">
        <f aca="false">MIN(AO82*(1+H$8),H$9)</f>
        <v>0</v>
      </c>
      <c r="BB83" s="27" t="n">
        <f aca="false">MIN(AP82*(1+I$8),I$9)</f>
        <v>0</v>
      </c>
      <c r="BC83" s="27" t="n">
        <f aca="false">MIN(AQ82*(1+J$8),J$9)</f>
        <v>0</v>
      </c>
      <c r="BD83" s="27" t="n">
        <f aca="false">MIN(AR82*(1+K$8),K$9)</f>
        <v>0</v>
      </c>
      <c r="BE83" s="27" t="n">
        <f aca="false">MIN(AI82*(1+B$8),MAX(AU83,$B$12-SUM(AV83:BD83)))</f>
        <v>0</v>
      </c>
      <c r="BF83" s="27" t="n">
        <f aca="false">MIN(AJ82*(1+C$8),MAX(AV83,$B$12-SUM(BE83:BE83)-SUM(AW83:BD83)))</f>
        <v>0</v>
      </c>
      <c r="BG83" s="27" t="n">
        <f aca="false">MIN(AK82*(1+D$8),MAX(AW83,$B$12-SUM(BE83:BF83)-SUM(AX83:BD83)))</f>
        <v>0</v>
      </c>
      <c r="BH83" s="27" t="n">
        <f aca="false">MIN(AL82*(1+E$8),MAX(AX83,$B$12-SUM(BE83:BG83)-SUM(AY83:BD83)))</f>
        <v>0</v>
      </c>
      <c r="BI83" s="27" t="n">
        <f aca="false">MIN(AM82*(1+F$8),MAX(AY83,$B$12-SUM(BE83:BH83)-SUM(AZ83:BD83)))</f>
        <v>0</v>
      </c>
      <c r="BJ83" s="27" t="n">
        <f aca="false">MIN(AN82*(1+G$8),MAX(AZ83,$B$12-SUM(BE83:BI83)-SUM(BA83:BD83)))</f>
        <v>0</v>
      </c>
      <c r="BK83" s="27" t="n">
        <f aca="false">MIN(AO82*(1+H$8),MAX(BA83,$B$12-SUM(BE83:BJ83)-SUM(BB83:BD83)))</f>
        <v>0</v>
      </c>
      <c r="BL83" s="27" t="n">
        <f aca="false">MIN(AP82*(1+I$8),MAX(BB83,$B$12-SUM(BE83:BK83)-SUM(BC83:BD83)))</f>
        <v>0</v>
      </c>
      <c r="BM83" s="27" t="n">
        <f aca="false">MIN(AQ82*(1+J$8),MAX(BC83,$B$12-SUM(BE83:BL83)-SUM(BD83:BD83)))</f>
        <v>0</v>
      </c>
      <c r="BN83" s="27" t="n">
        <f aca="false">MIN(AR82*(1+K$8),MAX(BD83,$B$12-SUM(BE83:BM83)))</f>
        <v>0</v>
      </c>
    </row>
    <row r="84" customFormat="false" ht="15" hidden="false" customHeight="false" outlineLevel="0" collapsed="false">
      <c r="A84" s="0" t="n">
        <v>70</v>
      </c>
      <c r="B84" s="27" t="n">
        <f aca="false">ROUND(MAX(0,B83*(1+B$8)-X84),2)</f>
        <v>0</v>
      </c>
      <c r="C84" s="27" t="n">
        <f aca="false">ROUND(MAX(0,C83*(1+C$8)-Y84),2)</f>
        <v>0</v>
      </c>
      <c r="D84" s="27" t="n">
        <f aca="false">ROUND(MAX(0,D83*(1+D$8)-Z84),2)</f>
        <v>0</v>
      </c>
      <c r="E84" s="27" t="n">
        <f aca="false">ROUND(MAX(0,E83*(1+E$8)-AA84),2)</f>
        <v>0</v>
      </c>
      <c r="F84" s="27" t="n">
        <f aca="false">ROUND(MAX(0,F83*(1+F$8)-AB84),2)</f>
        <v>0</v>
      </c>
      <c r="G84" s="27" t="n">
        <f aca="false">ROUND(MAX(0,G83*(1+G$8)-AC84),2)</f>
        <v>0</v>
      </c>
      <c r="H84" s="27" t="n">
        <f aca="false">ROUND(MAX(0,H83*(1+H$8)-AD84),2)</f>
        <v>0</v>
      </c>
      <c r="I84" s="27" t="n">
        <f aca="false">ROUND(MAX(0,I83*(1+I$8)-AE84),2)</f>
        <v>0</v>
      </c>
      <c r="J84" s="27" t="n">
        <f aca="false">ROUND(MAX(0,J83*(1+J$8)-AF84),2)</f>
        <v>0</v>
      </c>
      <c r="K84" s="27" t="n">
        <f aca="false">ROUND(MAX(0,K83*(1+K$8)-AG84),2)</f>
        <v>0</v>
      </c>
      <c r="L84" s="30" t="n">
        <f aca="false">SUM(B84:K84)</f>
        <v>0</v>
      </c>
      <c r="M84" s="27" t="n">
        <f aca="false">SUMPRODUCT(B83:K83,$B$8:$K$8)</f>
        <v>0</v>
      </c>
      <c r="N84" s="27" t="n">
        <f aca="false">MIN(B83*(1+B$8),B$9)</f>
        <v>0</v>
      </c>
      <c r="O84" s="27" t="n">
        <f aca="false">MIN(C83*(1+C$8),C$9)</f>
        <v>0</v>
      </c>
      <c r="P84" s="27" t="n">
        <f aca="false">MIN(D83*(1+D$8),D$9)</f>
        <v>0</v>
      </c>
      <c r="Q84" s="27" t="n">
        <f aca="false">MIN(E83*(1+E$8),E$9)</f>
        <v>0</v>
      </c>
      <c r="R84" s="27" t="n">
        <f aca="false">MIN(F83*(1+F$8),F$9)</f>
        <v>0</v>
      </c>
      <c r="S84" s="27" t="n">
        <f aca="false">MIN(G83*(1+G$8),G$9)</f>
        <v>0</v>
      </c>
      <c r="T84" s="27" t="n">
        <f aca="false">MIN(H83*(1+H$8),H$9)</f>
        <v>0</v>
      </c>
      <c r="U84" s="27" t="n">
        <f aca="false">MIN(I83*(1+I$8),I$9)</f>
        <v>0</v>
      </c>
      <c r="V84" s="27" t="n">
        <f aca="false">MIN(J83*(1+J$8),J$9)</f>
        <v>0</v>
      </c>
      <c r="W84" s="27" t="n">
        <f aca="false">MIN(K83*(1+K$8),K$9)</f>
        <v>0</v>
      </c>
      <c r="X84" s="27" t="n">
        <f aca="false">MIN(B83*(1+B$8),MAX(N84,$B$11-SUM(O84:W84)))</f>
        <v>0</v>
      </c>
      <c r="Y84" s="27" t="n">
        <f aca="false">MIN(C83*(1+C$8),MAX(O84,$B$11-SUM(X84:X84)-SUM(P84:W84)))</f>
        <v>0</v>
      </c>
      <c r="Z84" s="27" t="n">
        <f aca="false">MIN(D83*(1+D$8),MAX(P84,$B$11-SUM(X84:Y84)-SUM(Q84:W84)))</f>
        <v>0</v>
      </c>
      <c r="AA84" s="27" t="n">
        <f aca="false">MIN(E83*(1+E$8),MAX(Q84,$B$11-SUM(X84:Z84)-SUM(R84:W84)))</f>
        <v>0</v>
      </c>
      <c r="AB84" s="27" t="n">
        <f aca="false">MIN(F83*(1+F$8),MAX(R84,$B$11-SUM(X84:AA84)-SUM(S84:W84)))</f>
        <v>0</v>
      </c>
      <c r="AC84" s="27" t="n">
        <f aca="false">MIN(G83*(1+G$8),MAX(S84,$B$11-SUM(X84:AB84)-SUM(T84:W84)))</f>
        <v>0</v>
      </c>
      <c r="AD84" s="27" t="n">
        <f aca="false">MIN(H83*(1+H$8),MAX(T84,$B$11-SUM(X84:AC84)-SUM(U84:W84)))</f>
        <v>0</v>
      </c>
      <c r="AE84" s="27" t="n">
        <f aca="false">MIN(I83*(1+I$8),MAX(U84,$B$11-SUM(X84:AD84)-SUM(V84:W84)))</f>
        <v>0</v>
      </c>
      <c r="AF84" s="27" t="n">
        <f aca="false">MIN(J83*(1+J$8),MAX(V84,$B$11-SUM(X84:AE84)-SUM(W84:W84)))</f>
        <v>0</v>
      </c>
      <c r="AG84" s="27" t="n">
        <f aca="false">MIN(K83*(1+K$8),MAX(W84,$B$11-SUM(X84:AF84)))</f>
        <v>0</v>
      </c>
      <c r="AI84" s="27" t="n">
        <f aca="false">ROUND(MAX(0,AI83*(1+B$8)-BE84),2)</f>
        <v>0</v>
      </c>
      <c r="AJ84" s="27" t="n">
        <f aca="false">ROUND(MAX(0,AJ83*(1+C$8)-BF84),2)</f>
        <v>0</v>
      </c>
      <c r="AK84" s="27" t="n">
        <f aca="false">ROUND(MAX(0,AK83*(1+D$8)-BG84),2)</f>
        <v>0</v>
      </c>
      <c r="AL84" s="27" t="n">
        <f aca="false">ROUND(MAX(0,AL83*(1+E$8)-BH84),2)</f>
        <v>0</v>
      </c>
      <c r="AM84" s="27" t="n">
        <f aca="false">ROUND(MAX(0,AM83*(1+F$8)-BI84),2)</f>
        <v>0</v>
      </c>
      <c r="AN84" s="27" t="n">
        <f aca="false">ROUND(MAX(0,AN83*(1+G$8)-BJ84),2)</f>
        <v>0</v>
      </c>
      <c r="AO84" s="27" t="n">
        <f aca="false">ROUND(MAX(0,AO83*(1+H$8)-BK84),2)</f>
        <v>0</v>
      </c>
      <c r="AP84" s="27" t="n">
        <f aca="false">ROUND(MAX(0,AP83*(1+I$8)-BL84),2)</f>
        <v>0</v>
      </c>
      <c r="AQ84" s="27" t="n">
        <f aca="false">ROUND(MAX(0,AQ83*(1+J$8)-BM84),2)</f>
        <v>0</v>
      </c>
      <c r="AR84" s="27" t="n">
        <f aca="false">ROUND(MAX(0,AR83*(1+K$8)-BN84),2)</f>
        <v>0</v>
      </c>
      <c r="AS84" s="27" t="n">
        <f aca="false">SUM(AI84:AR84)</f>
        <v>0</v>
      </c>
      <c r="AT84" s="27" t="n">
        <f aca="false">SUMPRODUCT(AI83:AR83,$B$8:$K$8)</f>
        <v>0</v>
      </c>
      <c r="AU84" s="27" t="n">
        <f aca="false">MIN(AI83*(1+B$8),B$9)</f>
        <v>0</v>
      </c>
      <c r="AV84" s="27" t="n">
        <f aca="false">MIN(AJ83*(1+C$8),C$9)</f>
        <v>0</v>
      </c>
      <c r="AW84" s="27" t="n">
        <f aca="false">MIN(AK83*(1+D$8),D$9)</f>
        <v>0</v>
      </c>
      <c r="AX84" s="27" t="n">
        <f aca="false">MIN(AL83*(1+E$8),E$9)</f>
        <v>0</v>
      </c>
      <c r="AY84" s="27" t="n">
        <f aca="false">MIN(AM83*(1+F$8),F$9)</f>
        <v>0</v>
      </c>
      <c r="AZ84" s="27" t="n">
        <f aca="false">MIN(AN83*(1+G$8),G$9)</f>
        <v>0</v>
      </c>
      <c r="BA84" s="27" t="n">
        <f aca="false">MIN(AO83*(1+H$8),H$9)</f>
        <v>0</v>
      </c>
      <c r="BB84" s="27" t="n">
        <f aca="false">MIN(AP83*(1+I$8),I$9)</f>
        <v>0</v>
      </c>
      <c r="BC84" s="27" t="n">
        <f aca="false">MIN(AQ83*(1+J$8),J$9)</f>
        <v>0</v>
      </c>
      <c r="BD84" s="27" t="n">
        <f aca="false">MIN(AR83*(1+K$8),K$9)</f>
        <v>0</v>
      </c>
      <c r="BE84" s="27" t="n">
        <f aca="false">MIN(AI83*(1+B$8),MAX(AU84,$B$12-SUM(AV84:BD84)))</f>
        <v>0</v>
      </c>
      <c r="BF84" s="27" t="n">
        <f aca="false">MIN(AJ83*(1+C$8),MAX(AV84,$B$12-SUM(BE84:BE84)-SUM(AW84:BD84)))</f>
        <v>0</v>
      </c>
      <c r="BG84" s="27" t="n">
        <f aca="false">MIN(AK83*(1+D$8),MAX(AW84,$B$12-SUM(BE84:BF84)-SUM(AX84:BD84)))</f>
        <v>0</v>
      </c>
      <c r="BH84" s="27" t="n">
        <f aca="false">MIN(AL83*(1+E$8),MAX(AX84,$B$12-SUM(BE84:BG84)-SUM(AY84:BD84)))</f>
        <v>0</v>
      </c>
      <c r="BI84" s="27" t="n">
        <f aca="false">MIN(AM83*(1+F$8),MAX(AY84,$B$12-SUM(BE84:BH84)-SUM(AZ84:BD84)))</f>
        <v>0</v>
      </c>
      <c r="BJ84" s="27" t="n">
        <f aca="false">MIN(AN83*(1+G$8),MAX(AZ84,$B$12-SUM(BE84:BI84)-SUM(BA84:BD84)))</f>
        <v>0</v>
      </c>
      <c r="BK84" s="27" t="n">
        <f aca="false">MIN(AO83*(1+H$8),MAX(BA84,$B$12-SUM(BE84:BJ84)-SUM(BB84:BD84)))</f>
        <v>0</v>
      </c>
      <c r="BL84" s="27" t="n">
        <f aca="false">MIN(AP83*(1+I$8),MAX(BB84,$B$12-SUM(BE84:BK84)-SUM(BC84:BD84)))</f>
        <v>0</v>
      </c>
      <c r="BM84" s="27" t="n">
        <f aca="false">MIN(AQ83*(1+J$8),MAX(BC84,$B$12-SUM(BE84:BL84)-SUM(BD84:BD84)))</f>
        <v>0</v>
      </c>
      <c r="BN84" s="27" t="n">
        <f aca="false">MIN(AR83*(1+K$8),MAX(BD84,$B$12-SUM(BE84:BM84)))</f>
        <v>0</v>
      </c>
    </row>
    <row r="85" customFormat="false" ht="15" hidden="false" customHeight="false" outlineLevel="0" collapsed="false">
      <c r="A85" s="0" t="n">
        <v>71</v>
      </c>
      <c r="B85" s="27" t="n">
        <f aca="false">ROUND(MAX(0,B84*(1+B$8)-X85),2)</f>
        <v>0</v>
      </c>
      <c r="C85" s="27" t="n">
        <f aca="false">ROUND(MAX(0,C84*(1+C$8)-Y85),2)</f>
        <v>0</v>
      </c>
      <c r="D85" s="27" t="n">
        <f aca="false">ROUND(MAX(0,D84*(1+D$8)-Z85),2)</f>
        <v>0</v>
      </c>
      <c r="E85" s="27" t="n">
        <f aca="false">ROUND(MAX(0,E84*(1+E$8)-AA85),2)</f>
        <v>0</v>
      </c>
      <c r="F85" s="27" t="n">
        <f aca="false">ROUND(MAX(0,F84*(1+F$8)-AB85),2)</f>
        <v>0</v>
      </c>
      <c r="G85" s="27" t="n">
        <f aca="false">ROUND(MAX(0,G84*(1+G$8)-AC85),2)</f>
        <v>0</v>
      </c>
      <c r="H85" s="27" t="n">
        <f aca="false">ROUND(MAX(0,H84*(1+H$8)-AD85),2)</f>
        <v>0</v>
      </c>
      <c r="I85" s="27" t="n">
        <f aca="false">ROUND(MAX(0,I84*(1+I$8)-AE85),2)</f>
        <v>0</v>
      </c>
      <c r="J85" s="27" t="n">
        <f aca="false">ROUND(MAX(0,J84*(1+J$8)-AF85),2)</f>
        <v>0</v>
      </c>
      <c r="K85" s="27" t="n">
        <f aca="false">ROUND(MAX(0,K84*(1+K$8)-AG85),2)</f>
        <v>0</v>
      </c>
      <c r="L85" s="30" t="n">
        <f aca="false">SUM(B85:K85)</f>
        <v>0</v>
      </c>
      <c r="M85" s="27" t="n">
        <f aca="false">SUMPRODUCT(B84:K84,$B$8:$K$8)</f>
        <v>0</v>
      </c>
      <c r="N85" s="27" t="n">
        <f aca="false">MIN(B84*(1+B$8),B$9)</f>
        <v>0</v>
      </c>
      <c r="O85" s="27" t="n">
        <f aca="false">MIN(C84*(1+C$8),C$9)</f>
        <v>0</v>
      </c>
      <c r="P85" s="27" t="n">
        <f aca="false">MIN(D84*(1+D$8),D$9)</f>
        <v>0</v>
      </c>
      <c r="Q85" s="27" t="n">
        <f aca="false">MIN(E84*(1+E$8),E$9)</f>
        <v>0</v>
      </c>
      <c r="R85" s="27" t="n">
        <f aca="false">MIN(F84*(1+F$8),F$9)</f>
        <v>0</v>
      </c>
      <c r="S85" s="27" t="n">
        <f aca="false">MIN(G84*(1+G$8),G$9)</f>
        <v>0</v>
      </c>
      <c r="T85" s="27" t="n">
        <f aca="false">MIN(H84*(1+H$8),H$9)</f>
        <v>0</v>
      </c>
      <c r="U85" s="27" t="n">
        <f aca="false">MIN(I84*(1+I$8),I$9)</f>
        <v>0</v>
      </c>
      <c r="V85" s="27" t="n">
        <f aca="false">MIN(J84*(1+J$8),J$9)</f>
        <v>0</v>
      </c>
      <c r="W85" s="27" t="n">
        <f aca="false">MIN(K84*(1+K$8),K$9)</f>
        <v>0</v>
      </c>
      <c r="X85" s="27" t="n">
        <f aca="false">MIN(B84*(1+B$8),MAX(N85,$B$11-SUM(O85:W85)))</f>
        <v>0</v>
      </c>
      <c r="Y85" s="27" t="n">
        <f aca="false">MIN(C84*(1+C$8),MAX(O85,$B$11-SUM(X85:X85)-SUM(P85:W85)))</f>
        <v>0</v>
      </c>
      <c r="Z85" s="27" t="n">
        <f aca="false">MIN(D84*(1+D$8),MAX(P85,$B$11-SUM(X85:Y85)-SUM(Q85:W85)))</f>
        <v>0</v>
      </c>
      <c r="AA85" s="27" t="n">
        <f aca="false">MIN(E84*(1+E$8),MAX(Q85,$B$11-SUM(X85:Z85)-SUM(R85:W85)))</f>
        <v>0</v>
      </c>
      <c r="AB85" s="27" t="n">
        <f aca="false">MIN(F84*(1+F$8),MAX(R85,$B$11-SUM(X85:AA85)-SUM(S85:W85)))</f>
        <v>0</v>
      </c>
      <c r="AC85" s="27" t="n">
        <f aca="false">MIN(G84*(1+G$8),MAX(S85,$B$11-SUM(X85:AB85)-SUM(T85:W85)))</f>
        <v>0</v>
      </c>
      <c r="AD85" s="27" t="n">
        <f aca="false">MIN(H84*(1+H$8),MAX(T85,$B$11-SUM(X85:AC85)-SUM(U85:W85)))</f>
        <v>0</v>
      </c>
      <c r="AE85" s="27" t="n">
        <f aca="false">MIN(I84*(1+I$8),MAX(U85,$B$11-SUM(X85:AD85)-SUM(V85:W85)))</f>
        <v>0</v>
      </c>
      <c r="AF85" s="27" t="n">
        <f aca="false">MIN(J84*(1+J$8),MAX(V85,$B$11-SUM(X85:AE85)-SUM(W85:W85)))</f>
        <v>0</v>
      </c>
      <c r="AG85" s="27" t="n">
        <f aca="false">MIN(K84*(1+K$8),MAX(W85,$B$11-SUM(X85:AF85)))</f>
        <v>0</v>
      </c>
      <c r="AI85" s="27" t="n">
        <f aca="false">ROUND(MAX(0,AI84*(1+B$8)-BE85),2)</f>
        <v>0</v>
      </c>
      <c r="AJ85" s="27" t="n">
        <f aca="false">ROUND(MAX(0,AJ84*(1+C$8)-BF85),2)</f>
        <v>0</v>
      </c>
      <c r="AK85" s="27" t="n">
        <f aca="false">ROUND(MAX(0,AK84*(1+D$8)-BG85),2)</f>
        <v>0</v>
      </c>
      <c r="AL85" s="27" t="n">
        <f aca="false">ROUND(MAX(0,AL84*(1+E$8)-BH85),2)</f>
        <v>0</v>
      </c>
      <c r="AM85" s="27" t="n">
        <f aca="false">ROUND(MAX(0,AM84*(1+F$8)-BI85),2)</f>
        <v>0</v>
      </c>
      <c r="AN85" s="27" t="n">
        <f aca="false">ROUND(MAX(0,AN84*(1+G$8)-BJ85),2)</f>
        <v>0</v>
      </c>
      <c r="AO85" s="27" t="n">
        <f aca="false">ROUND(MAX(0,AO84*(1+H$8)-BK85),2)</f>
        <v>0</v>
      </c>
      <c r="AP85" s="27" t="n">
        <f aca="false">ROUND(MAX(0,AP84*(1+I$8)-BL85),2)</f>
        <v>0</v>
      </c>
      <c r="AQ85" s="27" t="n">
        <f aca="false">ROUND(MAX(0,AQ84*(1+J$8)-BM85),2)</f>
        <v>0</v>
      </c>
      <c r="AR85" s="27" t="n">
        <f aca="false">ROUND(MAX(0,AR84*(1+K$8)-BN85),2)</f>
        <v>0</v>
      </c>
      <c r="AS85" s="27" t="n">
        <f aca="false">SUM(AI85:AR85)</f>
        <v>0</v>
      </c>
      <c r="AT85" s="27" t="n">
        <f aca="false">SUMPRODUCT(AI84:AR84,$B$8:$K$8)</f>
        <v>0</v>
      </c>
      <c r="AU85" s="27" t="n">
        <f aca="false">MIN(AI84*(1+B$8),B$9)</f>
        <v>0</v>
      </c>
      <c r="AV85" s="27" t="n">
        <f aca="false">MIN(AJ84*(1+C$8),C$9)</f>
        <v>0</v>
      </c>
      <c r="AW85" s="27" t="n">
        <f aca="false">MIN(AK84*(1+D$8),D$9)</f>
        <v>0</v>
      </c>
      <c r="AX85" s="27" t="n">
        <f aca="false">MIN(AL84*(1+E$8),E$9)</f>
        <v>0</v>
      </c>
      <c r="AY85" s="27" t="n">
        <f aca="false">MIN(AM84*(1+F$8),F$9)</f>
        <v>0</v>
      </c>
      <c r="AZ85" s="27" t="n">
        <f aca="false">MIN(AN84*(1+G$8),G$9)</f>
        <v>0</v>
      </c>
      <c r="BA85" s="27" t="n">
        <f aca="false">MIN(AO84*(1+H$8),H$9)</f>
        <v>0</v>
      </c>
      <c r="BB85" s="27" t="n">
        <f aca="false">MIN(AP84*(1+I$8),I$9)</f>
        <v>0</v>
      </c>
      <c r="BC85" s="27" t="n">
        <f aca="false">MIN(AQ84*(1+J$8),J$9)</f>
        <v>0</v>
      </c>
      <c r="BD85" s="27" t="n">
        <f aca="false">MIN(AR84*(1+K$8),K$9)</f>
        <v>0</v>
      </c>
      <c r="BE85" s="27" t="n">
        <f aca="false">MIN(AI84*(1+B$8),MAX(AU85,$B$12-SUM(AV85:BD85)))</f>
        <v>0</v>
      </c>
      <c r="BF85" s="27" t="n">
        <f aca="false">MIN(AJ84*(1+C$8),MAX(AV85,$B$12-SUM(BE85:BE85)-SUM(AW85:BD85)))</f>
        <v>0</v>
      </c>
      <c r="BG85" s="27" t="n">
        <f aca="false">MIN(AK84*(1+D$8),MAX(AW85,$B$12-SUM(BE85:BF85)-SUM(AX85:BD85)))</f>
        <v>0</v>
      </c>
      <c r="BH85" s="27" t="n">
        <f aca="false">MIN(AL84*(1+E$8),MAX(AX85,$B$12-SUM(BE85:BG85)-SUM(AY85:BD85)))</f>
        <v>0</v>
      </c>
      <c r="BI85" s="27" t="n">
        <f aca="false">MIN(AM84*(1+F$8),MAX(AY85,$B$12-SUM(BE85:BH85)-SUM(AZ85:BD85)))</f>
        <v>0</v>
      </c>
      <c r="BJ85" s="27" t="n">
        <f aca="false">MIN(AN84*(1+G$8),MAX(AZ85,$B$12-SUM(BE85:BI85)-SUM(BA85:BD85)))</f>
        <v>0</v>
      </c>
      <c r="BK85" s="27" t="n">
        <f aca="false">MIN(AO84*(1+H$8),MAX(BA85,$B$12-SUM(BE85:BJ85)-SUM(BB85:BD85)))</f>
        <v>0</v>
      </c>
      <c r="BL85" s="27" t="n">
        <f aca="false">MIN(AP84*(1+I$8),MAX(BB85,$B$12-SUM(BE85:BK85)-SUM(BC85:BD85)))</f>
        <v>0</v>
      </c>
      <c r="BM85" s="27" t="n">
        <f aca="false">MIN(AQ84*(1+J$8),MAX(BC85,$B$12-SUM(BE85:BL85)-SUM(BD85:BD85)))</f>
        <v>0</v>
      </c>
      <c r="BN85" s="27" t="n">
        <f aca="false">MIN(AR84*(1+K$8),MAX(BD85,$B$12-SUM(BE85:BM85)))</f>
        <v>0</v>
      </c>
    </row>
    <row r="86" customFormat="false" ht="15" hidden="false" customHeight="false" outlineLevel="0" collapsed="false">
      <c r="A86" s="0" t="n">
        <v>72</v>
      </c>
      <c r="B86" s="27" t="n">
        <f aca="false">ROUND(MAX(0,B85*(1+B$8)-X86),2)</f>
        <v>0</v>
      </c>
      <c r="C86" s="27" t="n">
        <f aca="false">ROUND(MAX(0,C85*(1+C$8)-Y86),2)</f>
        <v>0</v>
      </c>
      <c r="D86" s="27" t="n">
        <f aca="false">ROUND(MAX(0,D85*(1+D$8)-Z86),2)</f>
        <v>0</v>
      </c>
      <c r="E86" s="27" t="n">
        <f aca="false">ROUND(MAX(0,E85*(1+E$8)-AA86),2)</f>
        <v>0</v>
      </c>
      <c r="F86" s="27" t="n">
        <f aca="false">ROUND(MAX(0,F85*(1+F$8)-AB86),2)</f>
        <v>0</v>
      </c>
      <c r="G86" s="27" t="n">
        <f aca="false">ROUND(MAX(0,G85*(1+G$8)-AC86),2)</f>
        <v>0</v>
      </c>
      <c r="H86" s="27" t="n">
        <f aca="false">ROUND(MAX(0,H85*(1+H$8)-AD86),2)</f>
        <v>0</v>
      </c>
      <c r="I86" s="27" t="n">
        <f aca="false">ROUND(MAX(0,I85*(1+I$8)-AE86),2)</f>
        <v>0</v>
      </c>
      <c r="J86" s="27" t="n">
        <f aca="false">ROUND(MAX(0,J85*(1+J$8)-AF86),2)</f>
        <v>0</v>
      </c>
      <c r="K86" s="27" t="n">
        <f aca="false">ROUND(MAX(0,K85*(1+K$8)-AG86),2)</f>
        <v>0</v>
      </c>
      <c r="L86" s="30" t="n">
        <f aca="false">SUM(B86:K86)</f>
        <v>0</v>
      </c>
      <c r="M86" s="27" t="n">
        <f aca="false">SUMPRODUCT(B85:K85,$B$8:$K$8)</f>
        <v>0</v>
      </c>
      <c r="N86" s="27" t="n">
        <f aca="false">MIN(B85*(1+B$8),B$9)</f>
        <v>0</v>
      </c>
      <c r="O86" s="27" t="n">
        <f aca="false">MIN(C85*(1+C$8),C$9)</f>
        <v>0</v>
      </c>
      <c r="P86" s="27" t="n">
        <f aca="false">MIN(D85*(1+D$8),D$9)</f>
        <v>0</v>
      </c>
      <c r="Q86" s="27" t="n">
        <f aca="false">MIN(E85*(1+E$8),E$9)</f>
        <v>0</v>
      </c>
      <c r="R86" s="27" t="n">
        <f aca="false">MIN(F85*(1+F$8),F$9)</f>
        <v>0</v>
      </c>
      <c r="S86" s="27" t="n">
        <f aca="false">MIN(G85*(1+G$8),G$9)</f>
        <v>0</v>
      </c>
      <c r="T86" s="27" t="n">
        <f aca="false">MIN(H85*(1+H$8),H$9)</f>
        <v>0</v>
      </c>
      <c r="U86" s="27" t="n">
        <f aca="false">MIN(I85*(1+I$8),I$9)</f>
        <v>0</v>
      </c>
      <c r="V86" s="27" t="n">
        <f aca="false">MIN(J85*(1+J$8),J$9)</f>
        <v>0</v>
      </c>
      <c r="W86" s="27" t="n">
        <f aca="false">MIN(K85*(1+K$8),K$9)</f>
        <v>0</v>
      </c>
      <c r="X86" s="27" t="n">
        <f aca="false">MIN(B85*(1+B$8),MAX(N86,$B$11-SUM(O86:W86)))</f>
        <v>0</v>
      </c>
      <c r="Y86" s="27" t="n">
        <f aca="false">MIN(C85*(1+C$8),MAX(O86,$B$11-SUM(X86:X86)-SUM(P86:W86)))</f>
        <v>0</v>
      </c>
      <c r="Z86" s="27" t="n">
        <f aca="false">MIN(D85*(1+D$8),MAX(P86,$B$11-SUM(X86:Y86)-SUM(Q86:W86)))</f>
        <v>0</v>
      </c>
      <c r="AA86" s="27" t="n">
        <f aca="false">MIN(E85*(1+E$8),MAX(Q86,$B$11-SUM(X86:Z86)-SUM(R86:W86)))</f>
        <v>0</v>
      </c>
      <c r="AB86" s="27" t="n">
        <f aca="false">MIN(F85*(1+F$8),MAX(R86,$B$11-SUM(X86:AA86)-SUM(S86:W86)))</f>
        <v>0</v>
      </c>
      <c r="AC86" s="27" t="n">
        <f aca="false">MIN(G85*(1+G$8),MAX(S86,$B$11-SUM(X86:AB86)-SUM(T86:W86)))</f>
        <v>0</v>
      </c>
      <c r="AD86" s="27" t="n">
        <f aca="false">MIN(H85*(1+H$8),MAX(T86,$B$11-SUM(X86:AC86)-SUM(U86:W86)))</f>
        <v>0</v>
      </c>
      <c r="AE86" s="27" t="n">
        <f aca="false">MIN(I85*(1+I$8),MAX(U86,$B$11-SUM(X86:AD86)-SUM(V86:W86)))</f>
        <v>0</v>
      </c>
      <c r="AF86" s="27" t="n">
        <f aca="false">MIN(J85*(1+J$8),MAX(V86,$B$11-SUM(X86:AE86)-SUM(W86:W86)))</f>
        <v>0</v>
      </c>
      <c r="AG86" s="27" t="n">
        <f aca="false">MIN(K85*(1+K$8),MAX(W86,$B$11-SUM(X86:AF86)))</f>
        <v>0</v>
      </c>
      <c r="AI86" s="27" t="n">
        <f aca="false">ROUND(MAX(0,AI85*(1+B$8)-BE86),2)</f>
        <v>0</v>
      </c>
      <c r="AJ86" s="27" t="n">
        <f aca="false">ROUND(MAX(0,AJ85*(1+C$8)-BF86),2)</f>
        <v>0</v>
      </c>
      <c r="AK86" s="27" t="n">
        <f aca="false">ROUND(MAX(0,AK85*(1+D$8)-BG86),2)</f>
        <v>0</v>
      </c>
      <c r="AL86" s="27" t="n">
        <f aca="false">ROUND(MAX(0,AL85*(1+E$8)-BH86),2)</f>
        <v>0</v>
      </c>
      <c r="AM86" s="27" t="n">
        <f aca="false">ROUND(MAX(0,AM85*(1+F$8)-BI86),2)</f>
        <v>0</v>
      </c>
      <c r="AN86" s="27" t="n">
        <f aca="false">ROUND(MAX(0,AN85*(1+G$8)-BJ86),2)</f>
        <v>0</v>
      </c>
      <c r="AO86" s="27" t="n">
        <f aca="false">ROUND(MAX(0,AO85*(1+H$8)-BK86),2)</f>
        <v>0</v>
      </c>
      <c r="AP86" s="27" t="n">
        <f aca="false">ROUND(MAX(0,AP85*(1+I$8)-BL86),2)</f>
        <v>0</v>
      </c>
      <c r="AQ86" s="27" t="n">
        <f aca="false">ROUND(MAX(0,AQ85*(1+J$8)-BM86),2)</f>
        <v>0</v>
      </c>
      <c r="AR86" s="27" t="n">
        <f aca="false">ROUND(MAX(0,AR85*(1+K$8)-BN86),2)</f>
        <v>0</v>
      </c>
      <c r="AS86" s="27" t="n">
        <f aca="false">SUM(AI86:AR86)</f>
        <v>0</v>
      </c>
      <c r="AT86" s="27" t="n">
        <f aca="false">SUMPRODUCT(AI85:AR85,$B$8:$K$8)</f>
        <v>0</v>
      </c>
      <c r="AU86" s="27" t="n">
        <f aca="false">MIN(AI85*(1+B$8),B$9)</f>
        <v>0</v>
      </c>
      <c r="AV86" s="27" t="n">
        <f aca="false">MIN(AJ85*(1+C$8),C$9)</f>
        <v>0</v>
      </c>
      <c r="AW86" s="27" t="n">
        <f aca="false">MIN(AK85*(1+D$8),D$9)</f>
        <v>0</v>
      </c>
      <c r="AX86" s="27" t="n">
        <f aca="false">MIN(AL85*(1+E$8),E$9)</f>
        <v>0</v>
      </c>
      <c r="AY86" s="27" t="n">
        <f aca="false">MIN(AM85*(1+F$8),F$9)</f>
        <v>0</v>
      </c>
      <c r="AZ86" s="27" t="n">
        <f aca="false">MIN(AN85*(1+G$8),G$9)</f>
        <v>0</v>
      </c>
      <c r="BA86" s="27" t="n">
        <f aca="false">MIN(AO85*(1+H$8),H$9)</f>
        <v>0</v>
      </c>
      <c r="BB86" s="27" t="n">
        <f aca="false">MIN(AP85*(1+I$8),I$9)</f>
        <v>0</v>
      </c>
      <c r="BC86" s="27" t="n">
        <f aca="false">MIN(AQ85*(1+J$8),J$9)</f>
        <v>0</v>
      </c>
      <c r="BD86" s="27" t="n">
        <f aca="false">MIN(AR85*(1+K$8),K$9)</f>
        <v>0</v>
      </c>
      <c r="BE86" s="27" t="n">
        <f aca="false">MIN(AI85*(1+B$8),MAX(AU86,$B$12-SUM(AV86:BD86)))</f>
        <v>0</v>
      </c>
      <c r="BF86" s="27" t="n">
        <f aca="false">MIN(AJ85*(1+C$8),MAX(AV86,$B$12-SUM(BE86:BE86)-SUM(AW86:BD86)))</f>
        <v>0</v>
      </c>
      <c r="BG86" s="27" t="n">
        <f aca="false">MIN(AK85*(1+D$8),MAX(AW86,$B$12-SUM(BE86:BF86)-SUM(AX86:BD86)))</f>
        <v>0</v>
      </c>
      <c r="BH86" s="27" t="n">
        <f aca="false">MIN(AL85*(1+E$8),MAX(AX86,$B$12-SUM(BE86:BG86)-SUM(AY86:BD86)))</f>
        <v>0</v>
      </c>
      <c r="BI86" s="27" t="n">
        <f aca="false">MIN(AM85*(1+F$8),MAX(AY86,$B$12-SUM(BE86:BH86)-SUM(AZ86:BD86)))</f>
        <v>0</v>
      </c>
      <c r="BJ86" s="27" t="n">
        <f aca="false">MIN(AN85*(1+G$8),MAX(AZ86,$B$12-SUM(BE86:BI86)-SUM(BA86:BD86)))</f>
        <v>0</v>
      </c>
      <c r="BK86" s="27" t="n">
        <f aca="false">MIN(AO85*(1+H$8),MAX(BA86,$B$12-SUM(BE86:BJ86)-SUM(BB86:BD86)))</f>
        <v>0</v>
      </c>
      <c r="BL86" s="27" t="n">
        <f aca="false">MIN(AP85*(1+I$8),MAX(BB86,$B$12-SUM(BE86:BK86)-SUM(BC86:BD86)))</f>
        <v>0</v>
      </c>
      <c r="BM86" s="27" t="n">
        <f aca="false">MIN(AQ85*(1+J$8),MAX(BC86,$B$12-SUM(BE86:BL86)-SUM(BD86:BD86)))</f>
        <v>0</v>
      </c>
      <c r="BN86" s="27" t="n">
        <f aca="false">MIN(AR85*(1+K$8),MAX(BD86,$B$12-SUM(BE86:BM86)))</f>
        <v>0</v>
      </c>
    </row>
    <row r="87" customFormat="false" ht="15" hidden="false" customHeight="false" outlineLevel="0" collapsed="false">
      <c r="A87" s="0" t="n">
        <v>73</v>
      </c>
      <c r="B87" s="27" t="n">
        <f aca="false">ROUND(MAX(0,B86*(1+B$8)-X87),2)</f>
        <v>0</v>
      </c>
      <c r="C87" s="27" t="n">
        <f aca="false">ROUND(MAX(0,C86*(1+C$8)-Y87),2)</f>
        <v>0</v>
      </c>
      <c r="D87" s="27" t="n">
        <f aca="false">ROUND(MAX(0,D86*(1+D$8)-Z87),2)</f>
        <v>0</v>
      </c>
      <c r="E87" s="27" t="n">
        <f aca="false">ROUND(MAX(0,E86*(1+E$8)-AA87),2)</f>
        <v>0</v>
      </c>
      <c r="F87" s="27" t="n">
        <f aca="false">ROUND(MAX(0,F86*(1+F$8)-AB87),2)</f>
        <v>0</v>
      </c>
      <c r="G87" s="27" t="n">
        <f aca="false">ROUND(MAX(0,G86*(1+G$8)-AC87),2)</f>
        <v>0</v>
      </c>
      <c r="H87" s="27" t="n">
        <f aca="false">ROUND(MAX(0,H86*(1+H$8)-AD87),2)</f>
        <v>0</v>
      </c>
      <c r="I87" s="27" t="n">
        <f aca="false">ROUND(MAX(0,I86*(1+I$8)-AE87),2)</f>
        <v>0</v>
      </c>
      <c r="J87" s="27" t="n">
        <f aca="false">ROUND(MAX(0,J86*(1+J$8)-AF87),2)</f>
        <v>0</v>
      </c>
      <c r="K87" s="27" t="n">
        <f aca="false">ROUND(MAX(0,K86*(1+K$8)-AG87),2)</f>
        <v>0</v>
      </c>
      <c r="L87" s="30" t="n">
        <f aca="false">SUM(B87:K87)</f>
        <v>0</v>
      </c>
      <c r="M87" s="27" t="n">
        <f aca="false">SUMPRODUCT(B86:K86,$B$8:$K$8)</f>
        <v>0</v>
      </c>
      <c r="N87" s="27" t="n">
        <f aca="false">MIN(B86*(1+B$8),B$9)</f>
        <v>0</v>
      </c>
      <c r="O87" s="27" t="n">
        <f aca="false">MIN(C86*(1+C$8),C$9)</f>
        <v>0</v>
      </c>
      <c r="P87" s="27" t="n">
        <f aca="false">MIN(D86*(1+D$8),D$9)</f>
        <v>0</v>
      </c>
      <c r="Q87" s="27" t="n">
        <f aca="false">MIN(E86*(1+E$8),E$9)</f>
        <v>0</v>
      </c>
      <c r="R87" s="27" t="n">
        <f aca="false">MIN(F86*(1+F$8),F$9)</f>
        <v>0</v>
      </c>
      <c r="S87" s="27" t="n">
        <f aca="false">MIN(G86*(1+G$8),G$9)</f>
        <v>0</v>
      </c>
      <c r="T87" s="27" t="n">
        <f aca="false">MIN(H86*(1+H$8),H$9)</f>
        <v>0</v>
      </c>
      <c r="U87" s="27" t="n">
        <f aca="false">MIN(I86*(1+I$8),I$9)</f>
        <v>0</v>
      </c>
      <c r="V87" s="27" t="n">
        <f aca="false">MIN(J86*(1+J$8),J$9)</f>
        <v>0</v>
      </c>
      <c r="W87" s="27" t="n">
        <f aca="false">MIN(K86*(1+K$8),K$9)</f>
        <v>0</v>
      </c>
      <c r="X87" s="27" t="n">
        <f aca="false">MIN(B86*(1+B$8),MAX(N87,$B$11-SUM(O87:W87)))</f>
        <v>0</v>
      </c>
      <c r="Y87" s="27" t="n">
        <f aca="false">MIN(C86*(1+C$8),MAX(O87,$B$11-SUM(X87:X87)-SUM(P87:W87)))</f>
        <v>0</v>
      </c>
      <c r="Z87" s="27" t="n">
        <f aca="false">MIN(D86*(1+D$8),MAX(P87,$B$11-SUM(X87:Y87)-SUM(Q87:W87)))</f>
        <v>0</v>
      </c>
      <c r="AA87" s="27" t="n">
        <f aca="false">MIN(E86*(1+E$8),MAX(Q87,$B$11-SUM(X87:Z87)-SUM(R87:W87)))</f>
        <v>0</v>
      </c>
      <c r="AB87" s="27" t="n">
        <f aca="false">MIN(F86*(1+F$8),MAX(R87,$B$11-SUM(X87:AA87)-SUM(S87:W87)))</f>
        <v>0</v>
      </c>
      <c r="AC87" s="27" t="n">
        <f aca="false">MIN(G86*(1+G$8),MAX(S87,$B$11-SUM(X87:AB87)-SUM(T87:W87)))</f>
        <v>0</v>
      </c>
      <c r="AD87" s="27" t="n">
        <f aca="false">MIN(H86*(1+H$8),MAX(T87,$B$11-SUM(X87:AC87)-SUM(U87:W87)))</f>
        <v>0</v>
      </c>
      <c r="AE87" s="27" t="n">
        <f aca="false">MIN(I86*(1+I$8),MAX(U87,$B$11-SUM(X87:AD87)-SUM(V87:W87)))</f>
        <v>0</v>
      </c>
      <c r="AF87" s="27" t="n">
        <f aca="false">MIN(J86*(1+J$8),MAX(V87,$B$11-SUM(X87:AE87)-SUM(W87:W87)))</f>
        <v>0</v>
      </c>
      <c r="AG87" s="27" t="n">
        <f aca="false">MIN(K86*(1+K$8),MAX(W87,$B$11-SUM(X87:AF87)))</f>
        <v>0</v>
      </c>
      <c r="AI87" s="27" t="n">
        <f aca="false">ROUND(MAX(0,AI86*(1+B$8)-BE87),2)</f>
        <v>0</v>
      </c>
      <c r="AJ87" s="27" t="n">
        <f aca="false">ROUND(MAX(0,AJ86*(1+C$8)-BF87),2)</f>
        <v>0</v>
      </c>
      <c r="AK87" s="27" t="n">
        <f aca="false">ROUND(MAX(0,AK86*(1+D$8)-BG87),2)</f>
        <v>0</v>
      </c>
      <c r="AL87" s="27" t="n">
        <f aca="false">ROUND(MAX(0,AL86*(1+E$8)-BH87),2)</f>
        <v>0</v>
      </c>
      <c r="AM87" s="27" t="n">
        <f aca="false">ROUND(MAX(0,AM86*(1+F$8)-BI87),2)</f>
        <v>0</v>
      </c>
      <c r="AN87" s="27" t="n">
        <f aca="false">ROUND(MAX(0,AN86*(1+G$8)-BJ87),2)</f>
        <v>0</v>
      </c>
      <c r="AO87" s="27" t="n">
        <f aca="false">ROUND(MAX(0,AO86*(1+H$8)-BK87),2)</f>
        <v>0</v>
      </c>
      <c r="AP87" s="27" t="n">
        <f aca="false">ROUND(MAX(0,AP86*(1+I$8)-BL87),2)</f>
        <v>0</v>
      </c>
      <c r="AQ87" s="27" t="n">
        <f aca="false">ROUND(MAX(0,AQ86*(1+J$8)-BM87),2)</f>
        <v>0</v>
      </c>
      <c r="AR87" s="27" t="n">
        <f aca="false">ROUND(MAX(0,AR86*(1+K$8)-BN87),2)</f>
        <v>0</v>
      </c>
      <c r="AS87" s="27" t="n">
        <f aca="false">SUM(AI87:AR87)</f>
        <v>0</v>
      </c>
      <c r="AT87" s="27" t="n">
        <f aca="false">SUMPRODUCT(AI86:AR86,$B$8:$K$8)</f>
        <v>0</v>
      </c>
      <c r="AU87" s="27" t="n">
        <f aca="false">MIN(AI86*(1+B$8),B$9)</f>
        <v>0</v>
      </c>
      <c r="AV87" s="27" t="n">
        <f aca="false">MIN(AJ86*(1+C$8),C$9)</f>
        <v>0</v>
      </c>
      <c r="AW87" s="27" t="n">
        <f aca="false">MIN(AK86*(1+D$8),D$9)</f>
        <v>0</v>
      </c>
      <c r="AX87" s="27" t="n">
        <f aca="false">MIN(AL86*(1+E$8),E$9)</f>
        <v>0</v>
      </c>
      <c r="AY87" s="27" t="n">
        <f aca="false">MIN(AM86*(1+F$8),F$9)</f>
        <v>0</v>
      </c>
      <c r="AZ87" s="27" t="n">
        <f aca="false">MIN(AN86*(1+G$8),G$9)</f>
        <v>0</v>
      </c>
      <c r="BA87" s="27" t="n">
        <f aca="false">MIN(AO86*(1+H$8),H$9)</f>
        <v>0</v>
      </c>
      <c r="BB87" s="27" t="n">
        <f aca="false">MIN(AP86*(1+I$8),I$9)</f>
        <v>0</v>
      </c>
      <c r="BC87" s="27" t="n">
        <f aca="false">MIN(AQ86*(1+J$8),J$9)</f>
        <v>0</v>
      </c>
      <c r="BD87" s="27" t="n">
        <f aca="false">MIN(AR86*(1+K$8),K$9)</f>
        <v>0</v>
      </c>
      <c r="BE87" s="27" t="n">
        <f aca="false">MIN(AI86*(1+B$8),MAX(AU87,$B$12-SUM(AV87:BD87)))</f>
        <v>0</v>
      </c>
      <c r="BF87" s="27" t="n">
        <f aca="false">MIN(AJ86*(1+C$8),MAX(AV87,$B$12-SUM(BE87:BE87)-SUM(AW87:BD87)))</f>
        <v>0</v>
      </c>
      <c r="BG87" s="27" t="n">
        <f aca="false">MIN(AK86*(1+D$8),MAX(AW87,$B$12-SUM(BE87:BF87)-SUM(AX87:BD87)))</f>
        <v>0</v>
      </c>
      <c r="BH87" s="27" t="n">
        <f aca="false">MIN(AL86*(1+E$8),MAX(AX87,$B$12-SUM(BE87:BG87)-SUM(AY87:BD87)))</f>
        <v>0</v>
      </c>
      <c r="BI87" s="27" t="n">
        <f aca="false">MIN(AM86*(1+F$8),MAX(AY87,$B$12-SUM(BE87:BH87)-SUM(AZ87:BD87)))</f>
        <v>0</v>
      </c>
      <c r="BJ87" s="27" t="n">
        <f aca="false">MIN(AN86*(1+G$8),MAX(AZ87,$B$12-SUM(BE87:BI87)-SUM(BA87:BD87)))</f>
        <v>0</v>
      </c>
      <c r="BK87" s="27" t="n">
        <f aca="false">MIN(AO86*(1+H$8),MAX(BA87,$B$12-SUM(BE87:BJ87)-SUM(BB87:BD87)))</f>
        <v>0</v>
      </c>
      <c r="BL87" s="27" t="n">
        <f aca="false">MIN(AP86*(1+I$8),MAX(BB87,$B$12-SUM(BE87:BK87)-SUM(BC87:BD87)))</f>
        <v>0</v>
      </c>
      <c r="BM87" s="27" t="n">
        <f aca="false">MIN(AQ86*(1+J$8),MAX(BC87,$B$12-SUM(BE87:BL87)-SUM(BD87:BD87)))</f>
        <v>0</v>
      </c>
      <c r="BN87" s="27" t="n">
        <f aca="false">MIN(AR86*(1+K$8),MAX(BD87,$B$12-SUM(BE87:BM87)))</f>
        <v>0</v>
      </c>
    </row>
    <row r="88" customFormat="false" ht="15" hidden="false" customHeight="false" outlineLevel="0" collapsed="false">
      <c r="A88" s="0" t="n">
        <v>74</v>
      </c>
      <c r="B88" s="27" t="n">
        <f aca="false">ROUND(MAX(0,B87*(1+B$8)-X88),2)</f>
        <v>0</v>
      </c>
      <c r="C88" s="27" t="n">
        <f aca="false">ROUND(MAX(0,C87*(1+C$8)-Y88),2)</f>
        <v>0</v>
      </c>
      <c r="D88" s="27" t="n">
        <f aca="false">ROUND(MAX(0,D87*(1+D$8)-Z88),2)</f>
        <v>0</v>
      </c>
      <c r="E88" s="27" t="n">
        <f aca="false">ROUND(MAX(0,E87*(1+E$8)-AA88),2)</f>
        <v>0</v>
      </c>
      <c r="F88" s="27" t="n">
        <f aca="false">ROUND(MAX(0,F87*(1+F$8)-AB88),2)</f>
        <v>0</v>
      </c>
      <c r="G88" s="27" t="n">
        <f aca="false">ROUND(MAX(0,G87*(1+G$8)-AC88),2)</f>
        <v>0</v>
      </c>
      <c r="H88" s="27" t="n">
        <f aca="false">ROUND(MAX(0,H87*(1+H$8)-AD88),2)</f>
        <v>0</v>
      </c>
      <c r="I88" s="27" t="n">
        <f aca="false">ROUND(MAX(0,I87*(1+I$8)-AE88),2)</f>
        <v>0</v>
      </c>
      <c r="J88" s="27" t="n">
        <f aca="false">ROUND(MAX(0,J87*(1+J$8)-AF88),2)</f>
        <v>0</v>
      </c>
      <c r="K88" s="27" t="n">
        <f aca="false">ROUND(MAX(0,K87*(1+K$8)-AG88),2)</f>
        <v>0</v>
      </c>
      <c r="L88" s="30" t="n">
        <f aca="false">SUM(B88:K88)</f>
        <v>0</v>
      </c>
      <c r="M88" s="27" t="n">
        <f aca="false">SUMPRODUCT(B87:K87,$B$8:$K$8)</f>
        <v>0</v>
      </c>
      <c r="N88" s="27" t="n">
        <f aca="false">MIN(B87*(1+B$8),B$9)</f>
        <v>0</v>
      </c>
      <c r="O88" s="27" t="n">
        <f aca="false">MIN(C87*(1+C$8),C$9)</f>
        <v>0</v>
      </c>
      <c r="P88" s="27" t="n">
        <f aca="false">MIN(D87*(1+D$8),D$9)</f>
        <v>0</v>
      </c>
      <c r="Q88" s="27" t="n">
        <f aca="false">MIN(E87*(1+E$8),E$9)</f>
        <v>0</v>
      </c>
      <c r="R88" s="27" t="n">
        <f aca="false">MIN(F87*(1+F$8),F$9)</f>
        <v>0</v>
      </c>
      <c r="S88" s="27" t="n">
        <f aca="false">MIN(G87*(1+G$8),G$9)</f>
        <v>0</v>
      </c>
      <c r="T88" s="27" t="n">
        <f aca="false">MIN(H87*(1+H$8),H$9)</f>
        <v>0</v>
      </c>
      <c r="U88" s="27" t="n">
        <f aca="false">MIN(I87*(1+I$8),I$9)</f>
        <v>0</v>
      </c>
      <c r="V88" s="27" t="n">
        <f aca="false">MIN(J87*(1+J$8),J$9)</f>
        <v>0</v>
      </c>
      <c r="W88" s="27" t="n">
        <f aca="false">MIN(K87*(1+K$8),K$9)</f>
        <v>0</v>
      </c>
      <c r="X88" s="27" t="n">
        <f aca="false">MIN(B87*(1+B$8),MAX(N88,$B$11-SUM(O88:W88)))</f>
        <v>0</v>
      </c>
      <c r="Y88" s="27" t="n">
        <f aca="false">MIN(C87*(1+C$8),MAX(O88,$B$11-SUM(X88:X88)-SUM(P88:W88)))</f>
        <v>0</v>
      </c>
      <c r="Z88" s="27" t="n">
        <f aca="false">MIN(D87*(1+D$8),MAX(P88,$B$11-SUM(X88:Y88)-SUM(Q88:W88)))</f>
        <v>0</v>
      </c>
      <c r="AA88" s="27" t="n">
        <f aca="false">MIN(E87*(1+E$8),MAX(Q88,$B$11-SUM(X88:Z88)-SUM(R88:W88)))</f>
        <v>0</v>
      </c>
      <c r="AB88" s="27" t="n">
        <f aca="false">MIN(F87*(1+F$8),MAX(R88,$B$11-SUM(X88:AA88)-SUM(S88:W88)))</f>
        <v>0</v>
      </c>
      <c r="AC88" s="27" t="n">
        <f aca="false">MIN(G87*(1+G$8),MAX(S88,$B$11-SUM(X88:AB88)-SUM(T88:W88)))</f>
        <v>0</v>
      </c>
      <c r="AD88" s="27" t="n">
        <f aca="false">MIN(H87*(1+H$8),MAX(T88,$B$11-SUM(X88:AC88)-SUM(U88:W88)))</f>
        <v>0</v>
      </c>
      <c r="AE88" s="27" t="n">
        <f aca="false">MIN(I87*(1+I$8),MAX(U88,$B$11-SUM(X88:AD88)-SUM(V88:W88)))</f>
        <v>0</v>
      </c>
      <c r="AF88" s="27" t="n">
        <f aca="false">MIN(J87*(1+J$8),MAX(V88,$B$11-SUM(X88:AE88)-SUM(W88:W88)))</f>
        <v>0</v>
      </c>
      <c r="AG88" s="27" t="n">
        <f aca="false">MIN(K87*(1+K$8),MAX(W88,$B$11-SUM(X88:AF88)))</f>
        <v>0</v>
      </c>
      <c r="AI88" s="27" t="n">
        <f aca="false">ROUND(MAX(0,AI87*(1+B$8)-BE88),2)</f>
        <v>0</v>
      </c>
      <c r="AJ88" s="27" t="n">
        <f aca="false">ROUND(MAX(0,AJ87*(1+C$8)-BF88),2)</f>
        <v>0</v>
      </c>
      <c r="AK88" s="27" t="n">
        <f aca="false">ROUND(MAX(0,AK87*(1+D$8)-BG88),2)</f>
        <v>0</v>
      </c>
      <c r="AL88" s="27" t="n">
        <f aca="false">ROUND(MAX(0,AL87*(1+E$8)-BH88),2)</f>
        <v>0</v>
      </c>
      <c r="AM88" s="27" t="n">
        <f aca="false">ROUND(MAX(0,AM87*(1+F$8)-BI88),2)</f>
        <v>0</v>
      </c>
      <c r="AN88" s="27" t="n">
        <f aca="false">ROUND(MAX(0,AN87*(1+G$8)-BJ88),2)</f>
        <v>0</v>
      </c>
      <c r="AO88" s="27" t="n">
        <f aca="false">ROUND(MAX(0,AO87*(1+H$8)-BK88),2)</f>
        <v>0</v>
      </c>
      <c r="AP88" s="27" t="n">
        <f aca="false">ROUND(MAX(0,AP87*(1+I$8)-BL88),2)</f>
        <v>0</v>
      </c>
      <c r="AQ88" s="27" t="n">
        <f aca="false">ROUND(MAX(0,AQ87*(1+J$8)-BM88),2)</f>
        <v>0</v>
      </c>
      <c r="AR88" s="27" t="n">
        <f aca="false">ROUND(MAX(0,AR87*(1+K$8)-BN88),2)</f>
        <v>0</v>
      </c>
      <c r="AS88" s="27" t="n">
        <f aca="false">SUM(AI88:AR88)</f>
        <v>0</v>
      </c>
      <c r="AT88" s="27" t="n">
        <f aca="false">SUMPRODUCT(AI87:AR87,$B$8:$K$8)</f>
        <v>0</v>
      </c>
      <c r="AU88" s="27" t="n">
        <f aca="false">MIN(AI87*(1+B$8),B$9)</f>
        <v>0</v>
      </c>
      <c r="AV88" s="27" t="n">
        <f aca="false">MIN(AJ87*(1+C$8),C$9)</f>
        <v>0</v>
      </c>
      <c r="AW88" s="27" t="n">
        <f aca="false">MIN(AK87*(1+D$8),D$9)</f>
        <v>0</v>
      </c>
      <c r="AX88" s="27" t="n">
        <f aca="false">MIN(AL87*(1+E$8),E$9)</f>
        <v>0</v>
      </c>
      <c r="AY88" s="27" t="n">
        <f aca="false">MIN(AM87*(1+F$8),F$9)</f>
        <v>0</v>
      </c>
      <c r="AZ88" s="27" t="n">
        <f aca="false">MIN(AN87*(1+G$8),G$9)</f>
        <v>0</v>
      </c>
      <c r="BA88" s="27" t="n">
        <f aca="false">MIN(AO87*(1+H$8),H$9)</f>
        <v>0</v>
      </c>
      <c r="BB88" s="27" t="n">
        <f aca="false">MIN(AP87*(1+I$8),I$9)</f>
        <v>0</v>
      </c>
      <c r="BC88" s="27" t="n">
        <f aca="false">MIN(AQ87*(1+J$8),J$9)</f>
        <v>0</v>
      </c>
      <c r="BD88" s="27" t="n">
        <f aca="false">MIN(AR87*(1+K$8),K$9)</f>
        <v>0</v>
      </c>
      <c r="BE88" s="27" t="n">
        <f aca="false">MIN(AI87*(1+B$8),MAX(AU88,$B$12-SUM(AV88:BD88)))</f>
        <v>0</v>
      </c>
      <c r="BF88" s="27" t="n">
        <f aca="false">MIN(AJ87*(1+C$8),MAX(AV88,$B$12-SUM(BE88:BE88)-SUM(AW88:BD88)))</f>
        <v>0</v>
      </c>
      <c r="BG88" s="27" t="n">
        <f aca="false">MIN(AK87*(1+D$8),MAX(AW88,$B$12-SUM(BE88:BF88)-SUM(AX88:BD88)))</f>
        <v>0</v>
      </c>
      <c r="BH88" s="27" t="n">
        <f aca="false">MIN(AL87*(1+E$8),MAX(AX88,$B$12-SUM(BE88:BG88)-SUM(AY88:BD88)))</f>
        <v>0</v>
      </c>
      <c r="BI88" s="27" t="n">
        <f aca="false">MIN(AM87*(1+F$8),MAX(AY88,$B$12-SUM(BE88:BH88)-SUM(AZ88:BD88)))</f>
        <v>0</v>
      </c>
      <c r="BJ88" s="27" t="n">
        <f aca="false">MIN(AN87*(1+G$8),MAX(AZ88,$B$12-SUM(BE88:BI88)-SUM(BA88:BD88)))</f>
        <v>0</v>
      </c>
      <c r="BK88" s="27" t="n">
        <f aca="false">MIN(AO87*(1+H$8),MAX(BA88,$B$12-SUM(BE88:BJ88)-SUM(BB88:BD88)))</f>
        <v>0</v>
      </c>
      <c r="BL88" s="27" t="n">
        <f aca="false">MIN(AP87*(1+I$8),MAX(BB88,$B$12-SUM(BE88:BK88)-SUM(BC88:BD88)))</f>
        <v>0</v>
      </c>
      <c r="BM88" s="27" t="n">
        <f aca="false">MIN(AQ87*(1+J$8),MAX(BC88,$B$12-SUM(BE88:BL88)-SUM(BD88:BD88)))</f>
        <v>0</v>
      </c>
      <c r="BN88" s="27" t="n">
        <f aca="false">MIN(AR87*(1+K$8),MAX(BD88,$B$12-SUM(BE88:BM88)))</f>
        <v>0</v>
      </c>
    </row>
    <row r="89" customFormat="false" ht="15" hidden="false" customHeight="false" outlineLevel="0" collapsed="false">
      <c r="A89" s="0" t="n">
        <v>75</v>
      </c>
      <c r="B89" s="27" t="n">
        <f aca="false">ROUND(MAX(0,B88*(1+B$8)-X89),2)</f>
        <v>0</v>
      </c>
      <c r="C89" s="27" t="n">
        <f aca="false">ROUND(MAX(0,C88*(1+C$8)-Y89),2)</f>
        <v>0</v>
      </c>
      <c r="D89" s="27" t="n">
        <f aca="false">ROUND(MAX(0,D88*(1+D$8)-Z89),2)</f>
        <v>0</v>
      </c>
      <c r="E89" s="27" t="n">
        <f aca="false">ROUND(MAX(0,E88*(1+E$8)-AA89),2)</f>
        <v>0</v>
      </c>
      <c r="F89" s="27" t="n">
        <f aca="false">ROUND(MAX(0,F88*(1+F$8)-AB89),2)</f>
        <v>0</v>
      </c>
      <c r="G89" s="27" t="n">
        <f aca="false">ROUND(MAX(0,G88*(1+G$8)-AC89),2)</f>
        <v>0</v>
      </c>
      <c r="H89" s="27" t="n">
        <f aca="false">ROUND(MAX(0,H88*(1+H$8)-AD89),2)</f>
        <v>0</v>
      </c>
      <c r="I89" s="27" t="n">
        <f aca="false">ROUND(MAX(0,I88*(1+I$8)-AE89),2)</f>
        <v>0</v>
      </c>
      <c r="J89" s="27" t="n">
        <f aca="false">ROUND(MAX(0,J88*(1+J$8)-AF89),2)</f>
        <v>0</v>
      </c>
      <c r="K89" s="27" t="n">
        <f aca="false">ROUND(MAX(0,K88*(1+K$8)-AG89),2)</f>
        <v>0</v>
      </c>
      <c r="L89" s="30" t="n">
        <f aca="false">SUM(B89:K89)</f>
        <v>0</v>
      </c>
      <c r="M89" s="27" t="n">
        <f aca="false">SUMPRODUCT(B88:K88,$B$8:$K$8)</f>
        <v>0</v>
      </c>
      <c r="N89" s="27" t="n">
        <f aca="false">MIN(B88*(1+B$8),B$9)</f>
        <v>0</v>
      </c>
      <c r="O89" s="27" t="n">
        <f aca="false">MIN(C88*(1+C$8),C$9)</f>
        <v>0</v>
      </c>
      <c r="P89" s="27" t="n">
        <f aca="false">MIN(D88*(1+D$8),D$9)</f>
        <v>0</v>
      </c>
      <c r="Q89" s="27" t="n">
        <f aca="false">MIN(E88*(1+E$8),E$9)</f>
        <v>0</v>
      </c>
      <c r="R89" s="27" t="n">
        <f aca="false">MIN(F88*(1+F$8),F$9)</f>
        <v>0</v>
      </c>
      <c r="S89" s="27" t="n">
        <f aca="false">MIN(G88*(1+G$8),G$9)</f>
        <v>0</v>
      </c>
      <c r="T89" s="27" t="n">
        <f aca="false">MIN(H88*(1+H$8),H$9)</f>
        <v>0</v>
      </c>
      <c r="U89" s="27" t="n">
        <f aca="false">MIN(I88*(1+I$8),I$9)</f>
        <v>0</v>
      </c>
      <c r="V89" s="27" t="n">
        <f aca="false">MIN(J88*(1+J$8),J$9)</f>
        <v>0</v>
      </c>
      <c r="W89" s="27" t="n">
        <f aca="false">MIN(K88*(1+K$8),K$9)</f>
        <v>0</v>
      </c>
      <c r="X89" s="27" t="n">
        <f aca="false">MIN(B88*(1+B$8),MAX(N89,$B$11-SUM(O89:W89)))</f>
        <v>0</v>
      </c>
      <c r="Y89" s="27" t="n">
        <f aca="false">MIN(C88*(1+C$8),MAX(O89,$B$11-SUM(X89:X89)-SUM(P89:W89)))</f>
        <v>0</v>
      </c>
      <c r="Z89" s="27" t="n">
        <f aca="false">MIN(D88*(1+D$8),MAX(P89,$B$11-SUM(X89:Y89)-SUM(Q89:W89)))</f>
        <v>0</v>
      </c>
      <c r="AA89" s="27" t="n">
        <f aca="false">MIN(E88*(1+E$8),MAX(Q89,$B$11-SUM(X89:Z89)-SUM(R89:W89)))</f>
        <v>0</v>
      </c>
      <c r="AB89" s="27" t="n">
        <f aca="false">MIN(F88*(1+F$8),MAX(R89,$B$11-SUM(X89:AA89)-SUM(S89:W89)))</f>
        <v>0</v>
      </c>
      <c r="AC89" s="27" t="n">
        <f aca="false">MIN(G88*(1+G$8),MAX(S89,$B$11-SUM(X89:AB89)-SUM(T89:W89)))</f>
        <v>0</v>
      </c>
      <c r="AD89" s="27" t="n">
        <f aca="false">MIN(H88*(1+H$8),MAX(T89,$B$11-SUM(X89:AC89)-SUM(U89:W89)))</f>
        <v>0</v>
      </c>
      <c r="AE89" s="27" t="n">
        <f aca="false">MIN(I88*(1+I$8),MAX(U89,$B$11-SUM(X89:AD89)-SUM(V89:W89)))</f>
        <v>0</v>
      </c>
      <c r="AF89" s="27" t="n">
        <f aca="false">MIN(J88*(1+J$8),MAX(V89,$B$11-SUM(X89:AE89)-SUM(W89:W89)))</f>
        <v>0</v>
      </c>
      <c r="AG89" s="27" t="n">
        <f aca="false">MIN(K88*(1+K$8),MAX(W89,$B$11-SUM(X89:AF89)))</f>
        <v>0</v>
      </c>
      <c r="AI89" s="27" t="n">
        <f aca="false">ROUND(MAX(0,AI88*(1+B$8)-BE89),2)</f>
        <v>0</v>
      </c>
      <c r="AJ89" s="27" t="n">
        <f aca="false">ROUND(MAX(0,AJ88*(1+C$8)-BF89),2)</f>
        <v>0</v>
      </c>
      <c r="AK89" s="27" t="n">
        <f aca="false">ROUND(MAX(0,AK88*(1+D$8)-BG89),2)</f>
        <v>0</v>
      </c>
      <c r="AL89" s="27" t="n">
        <f aca="false">ROUND(MAX(0,AL88*(1+E$8)-BH89),2)</f>
        <v>0</v>
      </c>
      <c r="AM89" s="27" t="n">
        <f aca="false">ROUND(MAX(0,AM88*(1+F$8)-BI89),2)</f>
        <v>0</v>
      </c>
      <c r="AN89" s="27" t="n">
        <f aca="false">ROUND(MAX(0,AN88*(1+G$8)-BJ89),2)</f>
        <v>0</v>
      </c>
      <c r="AO89" s="27" t="n">
        <f aca="false">ROUND(MAX(0,AO88*(1+H$8)-BK89),2)</f>
        <v>0</v>
      </c>
      <c r="AP89" s="27" t="n">
        <f aca="false">ROUND(MAX(0,AP88*(1+I$8)-BL89),2)</f>
        <v>0</v>
      </c>
      <c r="AQ89" s="27" t="n">
        <f aca="false">ROUND(MAX(0,AQ88*(1+J$8)-BM89),2)</f>
        <v>0</v>
      </c>
      <c r="AR89" s="27" t="n">
        <f aca="false">ROUND(MAX(0,AR88*(1+K$8)-BN89),2)</f>
        <v>0</v>
      </c>
      <c r="AS89" s="27" t="n">
        <f aca="false">SUM(AI89:AR89)</f>
        <v>0</v>
      </c>
      <c r="AT89" s="27" t="n">
        <f aca="false">SUMPRODUCT(AI88:AR88,$B$8:$K$8)</f>
        <v>0</v>
      </c>
      <c r="AU89" s="27" t="n">
        <f aca="false">MIN(AI88*(1+B$8),B$9)</f>
        <v>0</v>
      </c>
      <c r="AV89" s="27" t="n">
        <f aca="false">MIN(AJ88*(1+C$8),C$9)</f>
        <v>0</v>
      </c>
      <c r="AW89" s="27" t="n">
        <f aca="false">MIN(AK88*(1+D$8),D$9)</f>
        <v>0</v>
      </c>
      <c r="AX89" s="27" t="n">
        <f aca="false">MIN(AL88*(1+E$8),E$9)</f>
        <v>0</v>
      </c>
      <c r="AY89" s="27" t="n">
        <f aca="false">MIN(AM88*(1+F$8),F$9)</f>
        <v>0</v>
      </c>
      <c r="AZ89" s="27" t="n">
        <f aca="false">MIN(AN88*(1+G$8),G$9)</f>
        <v>0</v>
      </c>
      <c r="BA89" s="27" t="n">
        <f aca="false">MIN(AO88*(1+H$8),H$9)</f>
        <v>0</v>
      </c>
      <c r="BB89" s="27" t="n">
        <f aca="false">MIN(AP88*(1+I$8),I$9)</f>
        <v>0</v>
      </c>
      <c r="BC89" s="27" t="n">
        <f aca="false">MIN(AQ88*(1+J$8),J$9)</f>
        <v>0</v>
      </c>
      <c r="BD89" s="27" t="n">
        <f aca="false">MIN(AR88*(1+K$8),K$9)</f>
        <v>0</v>
      </c>
      <c r="BE89" s="27" t="n">
        <f aca="false">MIN(AI88*(1+B$8),MAX(AU89,$B$12-SUM(AV89:BD89)))</f>
        <v>0</v>
      </c>
      <c r="BF89" s="27" t="n">
        <f aca="false">MIN(AJ88*(1+C$8),MAX(AV89,$B$12-SUM(BE89:BE89)-SUM(AW89:BD89)))</f>
        <v>0</v>
      </c>
      <c r="BG89" s="27" t="n">
        <f aca="false">MIN(AK88*(1+D$8),MAX(AW89,$B$12-SUM(BE89:BF89)-SUM(AX89:BD89)))</f>
        <v>0</v>
      </c>
      <c r="BH89" s="27" t="n">
        <f aca="false">MIN(AL88*(1+E$8),MAX(AX89,$B$12-SUM(BE89:BG89)-SUM(AY89:BD89)))</f>
        <v>0</v>
      </c>
      <c r="BI89" s="27" t="n">
        <f aca="false">MIN(AM88*(1+F$8),MAX(AY89,$B$12-SUM(BE89:BH89)-SUM(AZ89:BD89)))</f>
        <v>0</v>
      </c>
      <c r="BJ89" s="27" t="n">
        <f aca="false">MIN(AN88*(1+G$8),MAX(AZ89,$B$12-SUM(BE89:BI89)-SUM(BA89:BD89)))</f>
        <v>0</v>
      </c>
      <c r="BK89" s="27" t="n">
        <f aca="false">MIN(AO88*(1+H$8),MAX(BA89,$B$12-SUM(BE89:BJ89)-SUM(BB89:BD89)))</f>
        <v>0</v>
      </c>
      <c r="BL89" s="27" t="n">
        <f aca="false">MIN(AP88*(1+I$8),MAX(BB89,$B$12-SUM(BE89:BK89)-SUM(BC89:BD89)))</f>
        <v>0</v>
      </c>
      <c r="BM89" s="27" t="n">
        <f aca="false">MIN(AQ88*(1+J$8),MAX(BC89,$B$12-SUM(BE89:BL89)-SUM(BD89:BD89)))</f>
        <v>0</v>
      </c>
      <c r="BN89" s="27" t="n">
        <f aca="false">MIN(AR88*(1+K$8),MAX(BD89,$B$12-SUM(BE89:BM89)))</f>
        <v>0</v>
      </c>
    </row>
    <row r="90" customFormat="false" ht="15" hidden="false" customHeight="false" outlineLevel="0" collapsed="false">
      <c r="A90" s="0" t="n">
        <v>76</v>
      </c>
      <c r="B90" s="27" t="n">
        <f aca="false">ROUND(MAX(0,B89*(1+B$8)-X90),2)</f>
        <v>0</v>
      </c>
      <c r="C90" s="27" t="n">
        <f aca="false">ROUND(MAX(0,C89*(1+C$8)-Y90),2)</f>
        <v>0</v>
      </c>
      <c r="D90" s="27" t="n">
        <f aca="false">ROUND(MAX(0,D89*(1+D$8)-Z90),2)</f>
        <v>0</v>
      </c>
      <c r="E90" s="27" t="n">
        <f aca="false">ROUND(MAX(0,E89*(1+E$8)-AA90),2)</f>
        <v>0</v>
      </c>
      <c r="F90" s="27" t="n">
        <f aca="false">ROUND(MAX(0,F89*(1+F$8)-AB90),2)</f>
        <v>0</v>
      </c>
      <c r="G90" s="27" t="n">
        <f aca="false">ROUND(MAX(0,G89*(1+G$8)-AC90),2)</f>
        <v>0</v>
      </c>
      <c r="H90" s="27" t="n">
        <f aca="false">ROUND(MAX(0,H89*(1+H$8)-AD90),2)</f>
        <v>0</v>
      </c>
      <c r="I90" s="27" t="n">
        <f aca="false">ROUND(MAX(0,I89*(1+I$8)-AE90),2)</f>
        <v>0</v>
      </c>
      <c r="J90" s="27" t="n">
        <f aca="false">ROUND(MAX(0,J89*(1+J$8)-AF90),2)</f>
        <v>0</v>
      </c>
      <c r="K90" s="27" t="n">
        <f aca="false">ROUND(MAX(0,K89*(1+K$8)-AG90),2)</f>
        <v>0</v>
      </c>
      <c r="L90" s="30" t="n">
        <f aca="false">SUM(B90:K90)</f>
        <v>0</v>
      </c>
      <c r="M90" s="27" t="n">
        <f aca="false">SUMPRODUCT(B89:K89,$B$8:$K$8)</f>
        <v>0</v>
      </c>
      <c r="N90" s="27" t="n">
        <f aca="false">MIN(B89*(1+B$8),B$9)</f>
        <v>0</v>
      </c>
      <c r="O90" s="27" t="n">
        <f aca="false">MIN(C89*(1+C$8),C$9)</f>
        <v>0</v>
      </c>
      <c r="P90" s="27" t="n">
        <f aca="false">MIN(D89*(1+D$8),D$9)</f>
        <v>0</v>
      </c>
      <c r="Q90" s="27" t="n">
        <f aca="false">MIN(E89*(1+E$8),E$9)</f>
        <v>0</v>
      </c>
      <c r="R90" s="27" t="n">
        <f aca="false">MIN(F89*(1+F$8),F$9)</f>
        <v>0</v>
      </c>
      <c r="S90" s="27" t="n">
        <f aca="false">MIN(G89*(1+G$8),G$9)</f>
        <v>0</v>
      </c>
      <c r="T90" s="27" t="n">
        <f aca="false">MIN(H89*(1+H$8),H$9)</f>
        <v>0</v>
      </c>
      <c r="U90" s="27" t="n">
        <f aca="false">MIN(I89*(1+I$8),I$9)</f>
        <v>0</v>
      </c>
      <c r="V90" s="27" t="n">
        <f aca="false">MIN(J89*(1+J$8),J$9)</f>
        <v>0</v>
      </c>
      <c r="W90" s="27" t="n">
        <f aca="false">MIN(K89*(1+K$8),K$9)</f>
        <v>0</v>
      </c>
      <c r="X90" s="27" t="n">
        <f aca="false">MIN(B89*(1+B$8),MAX(N90,$B$11-SUM(O90:W90)))</f>
        <v>0</v>
      </c>
      <c r="Y90" s="27" t="n">
        <f aca="false">MIN(C89*(1+C$8),MAX(O90,$B$11-SUM(X90:X90)-SUM(P90:W90)))</f>
        <v>0</v>
      </c>
      <c r="Z90" s="27" t="n">
        <f aca="false">MIN(D89*(1+D$8),MAX(P90,$B$11-SUM(X90:Y90)-SUM(Q90:W90)))</f>
        <v>0</v>
      </c>
      <c r="AA90" s="27" t="n">
        <f aca="false">MIN(E89*(1+E$8),MAX(Q90,$B$11-SUM(X90:Z90)-SUM(R90:W90)))</f>
        <v>0</v>
      </c>
      <c r="AB90" s="27" t="n">
        <f aca="false">MIN(F89*(1+F$8),MAX(R90,$B$11-SUM(X90:AA90)-SUM(S90:W90)))</f>
        <v>0</v>
      </c>
      <c r="AC90" s="27" t="n">
        <f aca="false">MIN(G89*(1+G$8),MAX(S90,$B$11-SUM(X90:AB90)-SUM(T90:W90)))</f>
        <v>0</v>
      </c>
      <c r="AD90" s="27" t="n">
        <f aca="false">MIN(H89*(1+H$8),MAX(T90,$B$11-SUM(X90:AC90)-SUM(U90:W90)))</f>
        <v>0</v>
      </c>
      <c r="AE90" s="27" t="n">
        <f aca="false">MIN(I89*(1+I$8),MAX(U90,$B$11-SUM(X90:AD90)-SUM(V90:W90)))</f>
        <v>0</v>
      </c>
      <c r="AF90" s="27" t="n">
        <f aca="false">MIN(J89*(1+J$8),MAX(V90,$B$11-SUM(X90:AE90)-SUM(W90:W90)))</f>
        <v>0</v>
      </c>
      <c r="AG90" s="27" t="n">
        <f aca="false">MIN(K89*(1+K$8),MAX(W90,$B$11-SUM(X90:AF90)))</f>
        <v>0</v>
      </c>
      <c r="AI90" s="27" t="n">
        <f aca="false">ROUND(MAX(0,AI89*(1+B$8)-BE90),2)</f>
        <v>0</v>
      </c>
      <c r="AJ90" s="27" t="n">
        <f aca="false">ROUND(MAX(0,AJ89*(1+C$8)-BF90),2)</f>
        <v>0</v>
      </c>
      <c r="AK90" s="27" t="n">
        <f aca="false">ROUND(MAX(0,AK89*(1+D$8)-BG90),2)</f>
        <v>0</v>
      </c>
      <c r="AL90" s="27" t="n">
        <f aca="false">ROUND(MAX(0,AL89*(1+E$8)-BH90),2)</f>
        <v>0</v>
      </c>
      <c r="AM90" s="27" t="n">
        <f aca="false">ROUND(MAX(0,AM89*(1+F$8)-BI90),2)</f>
        <v>0</v>
      </c>
      <c r="AN90" s="27" t="n">
        <f aca="false">ROUND(MAX(0,AN89*(1+G$8)-BJ90),2)</f>
        <v>0</v>
      </c>
      <c r="AO90" s="27" t="n">
        <f aca="false">ROUND(MAX(0,AO89*(1+H$8)-BK90),2)</f>
        <v>0</v>
      </c>
      <c r="AP90" s="27" t="n">
        <f aca="false">ROUND(MAX(0,AP89*(1+I$8)-BL90),2)</f>
        <v>0</v>
      </c>
      <c r="AQ90" s="27" t="n">
        <f aca="false">ROUND(MAX(0,AQ89*(1+J$8)-BM90),2)</f>
        <v>0</v>
      </c>
      <c r="AR90" s="27" t="n">
        <f aca="false">ROUND(MAX(0,AR89*(1+K$8)-BN90),2)</f>
        <v>0</v>
      </c>
      <c r="AS90" s="27" t="n">
        <f aca="false">SUM(AI90:AR90)</f>
        <v>0</v>
      </c>
      <c r="AT90" s="27" t="n">
        <f aca="false">SUMPRODUCT(AI89:AR89,$B$8:$K$8)</f>
        <v>0</v>
      </c>
      <c r="AU90" s="27" t="n">
        <f aca="false">MIN(AI89*(1+B$8),B$9)</f>
        <v>0</v>
      </c>
      <c r="AV90" s="27" t="n">
        <f aca="false">MIN(AJ89*(1+C$8),C$9)</f>
        <v>0</v>
      </c>
      <c r="AW90" s="27" t="n">
        <f aca="false">MIN(AK89*(1+D$8),D$9)</f>
        <v>0</v>
      </c>
      <c r="AX90" s="27" t="n">
        <f aca="false">MIN(AL89*(1+E$8),E$9)</f>
        <v>0</v>
      </c>
      <c r="AY90" s="27" t="n">
        <f aca="false">MIN(AM89*(1+F$8),F$9)</f>
        <v>0</v>
      </c>
      <c r="AZ90" s="27" t="n">
        <f aca="false">MIN(AN89*(1+G$8),G$9)</f>
        <v>0</v>
      </c>
      <c r="BA90" s="27" t="n">
        <f aca="false">MIN(AO89*(1+H$8),H$9)</f>
        <v>0</v>
      </c>
      <c r="BB90" s="27" t="n">
        <f aca="false">MIN(AP89*(1+I$8),I$9)</f>
        <v>0</v>
      </c>
      <c r="BC90" s="27" t="n">
        <f aca="false">MIN(AQ89*(1+J$8),J$9)</f>
        <v>0</v>
      </c>
      <c r="BD90" s="27" t="n">
        <f aca="false">MIN(AR89*(1+K$8),K$9)</f>
        <v>0</v>
      </c>
      <c r="BE90" s="27" t="n">
        <f aca="false">MIN(AI89*(1+B$8),MAX(AU90,$B$12-SUM(AV90:BD90)))</f>
        <v>0</v>
      </c>
      <c r="BF90" s="27" t="n">
        <f aca="false">MIN(AJ89*(1+C$8),MAX(AV90,$B$12-SUM(BE90:BE90)-SUM(AW90:BD90)))</f>
        <v>0</v>
      </c>
      <c r="BG90" s="27" t="n">
        <f aca="false">MIN(AK89*(1+D$8),MAX(AW90,$B$12-SUM(BE90:BF90)-SUM(AX90:BD90)))</f>
        <v>0</v>
      </c>
      <c r="BH90" s="27" t="n">
        <f aca="false">MIN(AL89*(1+E$8),MAX(AX90,$B$12-SUM(BE90:BG90)-SUM(AY90:BD90)))</f>
        <v>0</v>
      </c>
      <c r="BI90" s="27" t="n">
        <f aca="false">MIN(AM89*(1+F$8),MAX(AY90,$B$12-SUM(BE90:BH90)-SUM(AZ90:BD90)))</f>
        <v>0</v>
      </c>
      <c r="BJ90" s="27" t="n">
        <f aca="false">MIN(AN89*(1+G$8),MAX(AZ90,$B$12-SUM(BE90:BI90)-SUM(BA90:BD90)))</f>
        <v>0</v>
      </c>
      <c r="BK90" s="27" t="n">
        <f aca="false">MIN(AO89*(1+H$8),MAX(BA90,$B$12-SUM(BE90:BJ90)-SUM(BB90:BD90)))</f>
        <v>0</v>
      </c>
      <c r="BL90" s="27" t="n">
        <f aca="false">MIN(AP89*(1+I$8),MAX(BB90,$B$12-SUM(BE90:BK90)-SUM(BC90:BD90)))</f>
        <v>0</v>
      </c>
      <c r="BM90" s="27" t="n">
        <f aca="false">MIN(AQ89*(1+J$8),MAX(BC90,$B$12-SUM(BE90:BL90)-SUM(BD90:BD90)))</f>
        <v>0</v>
      </c>
      <c r="BN90" s="27" t="n">
        <f aca="false">MIN(AR89*(1+K$8),MAX(BD90,$B$12-SUM(BE90:BM90)))</f>
        <v>0</v>
      </c>
    </row>
    <row r="91" customFormat="false" ht="15" hidden="false" customHeight="false" outlineLevel="0" collapsed="false">
      <c r="A91" s="0" t="n">
        <v>77</v>
      </c>
      <c r="B91" s="27" t="n">
        <f aca="false">ROUND(MAX(0,B90*(1+B$8)-X91),2)</f>
        <v>0</v>
      </c>
      <c r="C91" s="27" t="n">
        <f aca="false">ROUND(MAX(0,C90*(1+C$8)-Y91),2)</f>
        <v>0</v>
      </c>
      <c r="D91" s="27" t="n">
        <f aca="false">ROUND(MAX(0,D90*(1+D$8)-Z91),2)</f>
        <v>0</v>
      </c>
      <c r="E91" s="27" t="n">
        <f aca="false">ROUND(MAX(0,E90*(1+E$8)-AA91),2)</f>
        <v>0</v>
      </c>
      <c r="F91" s="27" t="n">
        <f aca="false">ROUND(MAX(0,F90*(1+F$8)-AB91),2)</f>
        <v>0</v>
      </c>
      <c r="G91" s="27" t="n">
        <f aca="false">ROUND(MAX(0,G90*(1+G$8)-AC91),2)</f>
        <v>0</v>
      </c>
      <c r="H91" s="27" t="n">
        <f aca="false">ROUND(MAX(0,H90*(1+H$8)-AD91),2)</f>
        <v>0</v>
      </c>
      <c r="I91" s="27" t="n">
        <f aca="false">ROUND(MAX(0,I90*(1+I$8)-AE91),2)</f>
        <v>0</v>
      </c>
      <c r="J91" s="27" t="n">
        <f aca="false">ROUND(MAX(0,J90*(1+J$8)-AF91),2)</f>
        <v>0</v>
      </c>
      <c r="K91" s="27" t="n">
        <f aca="false">ROUND(MAX(0,K90*(1+K$8)-AG91),2)</f>
        <v>0</v>
      </c>
      <c r="L91" s="30" t="n">
        <f aca="false">SUM(B91:K91)</f>
        <v>0</v>
      </c>
      <c r="M91" s="27" t="n">
        <f aca="false">SUMPRODUCT(B90:K90,$B$8:$K$8)</f>
        <v>0</v>
      </c>
      <c r="N91" s="27" t="n">
        <f aca="false">MIN(B90*(1+B$8),B$9)</f>
        <v>0</v>
      </c>
      <c r="O91" s="27" t="n">
        <f aca="false">MIN(C90*(1+C$8),C$9)</f>
        <v>0</v>
      </c>
      <c r="P91" s="27" t="n">
        <f aca="false">MIN(D90*(1+D$8),D$9)</f>
        <v>0</v>
      </c>
      <c r="Q91" s="27" t="n">
        <f aca="false">MIN(E90*(1+E$8),E$9)</f>
        <v>0</v>
      </c>
      <c r="R91" s="27" t="n">
        <f aca="false">MIN(F90*(1+F$8),F$9)</f>
        <v>0</v>
      </c>
      <c r="S91" s="27" t="n">
        <f aca="false">MIN(G90*(1+G$8),G$9)</f>
        <v>0</v>
      </c>
      <c r="T91" s="27" t="n">
        <f aca="false">MIN(H90*(1+H$8),H$9)</f>
        <v>0</v>
      </c>
      <c r="U91" s="27" t="n">
        <f aca="false">MIN(I90*(1+I$8),I$9)</f>
        <v>0</v>
      </c>
      <c r="V91" s="27" t="n">
        <f aca="false">MIN(J90*(1+J$8),J$9)</f>
        <v>0</v>
      </c>
      <c r="W91" s="27" t="n">
        <f aca="false">MIN(K90*(1+K$8),K$9)</f>
        <v>0</v>
      </c>
      <c r="X91" s="27" t="n">
        <f aca="false">MIN(B90*(1+B$8),MAX(N91,$B$11-SUM(O91:W91)))</f>
        <v>0</v>
      </c>
      <c r="Y91" s="27" t="n">
        <f aca="false">MIN(C90*(1+C$8),MAX(O91,$B$11-SUM(X91:X91)-SUM(P91:W91)))</f>
        <v>0</v>
      </c>
      <c r="Z91" s="27" t="n">
        <f aca="false">MIN(D90*(1+D$8),MAX(P91,$B$11-SUM(X91:Y91)-SUM(Q91:W91)))</f>
        <v>0</v>
      </c>
      <c r="AA91" s="27" t="n">
        <f aca="false">MIN(E90*(1+E$8),MAX(Q91,$B$11-SUM(X91:Z91)-SUM(R91:W91)))</f>
        <v>0</v>
      </c>
      <c r="AB91" s="27" t="n">
        <f aca="false">MIN(F90*(1+F$8),MAX(R91,$B$11-SUM(X91:AA91)-SUM(S91:W91)))</f>
        <v>0</v>
      </c>
      <c r="AC91" s="27" t="n">
        <f aca="false">MIN(G90*(1+G$8),MAX(S91,$B$11-SUM(X91:AB91)-SUM(T91:W91)))</f>
        <v>0</v>
      </c>
      <c r="AD91" s="27" t="n">
        <f aca="false">MIN(H90*(1+H$8),MAX(T91,$B$11-SUM(X91:AC91)-SUM(U91:W91)))</f>
        <v>0</v>
      </c>
      <c r="AE91" s="27" t="n">
        <f aca="false">MIN(I90*(1+I$8),MAX(U91,$B$11-SUM(X91:AD91)-SUM(V91:W91)))</f>
        <v>0</v>
      </c>
      <c r="AF91" s="27" t="n">
        <f aca="false">MIN(J90*(1+J$8),MAX(V91,$B$11-SUM(X91:AE91)-SUM(W91:W91)))</f>
        <v>0</v>
      </c>
      <c r="AG91" s="27" t="n">
        <f aca="false">MIN(K90*(1+K$8),MAX(W91,$B$11-SUM(X91:AF91)))</f>
        <v>0</v>
      </c>
      <c r="AI91" s="27" t="n">
        <f aca="false">ROUND(MAX(0,AI90*(1+B$8)-BE91),2)</f>
        <v>0</v>
      </c>
      <c r="AJ91" s="27" t="n">
        <f aca="false">ROUND(MAX(0,AJ90*(1+C$8)-BF91),2)</f>
        <v>0</v>
      </c>
      <c r="AK91" s="27" t="n">
        <f aca="false">ROUND(MAX(0,AK90*(1+D$8)-BG91),2)</f>
        <v>0</v>
      </c>
      <c r="AL91" s="27" t="n">
        <f aca="false">ROUND(MAX(0,AL90*(1+E$8)-BH91),2)</f>
        <v>0</v>
      </c>
      <c r="AM91" s="27" t="n">
        <f aca="false">ROUND(MAX(0,AM90*(1+F$8)-BI91),2)</f>
        <v>0</v>
      </c>
      <c r="AN91" s="27" t="n">
        <f aca="false">ROUND(MAX(0,AN90*(1+G$8)-BJ91),2)</f>
        <v>0</v>
      </c>
      <c r="AO91" s="27" t="n">
        <f aca="false">ROUND(MAX(0,AO90*(1+H$8)-BK91),2)</f>
        <v>0</v>
      </c>
      <c r="AP91" s="27" t="n">
        <f aca="false">ROUND(MAX(0,AP90*(1+I$8)-BL91),2)</f>
        <v>0</v>
      </c>
      <c r="AQ91" s="27" t="n">
        <f aca="false">ROUND(MAX(0,AQ90*(1+J$8)-BM91),2)</f>
        <v>0</v>
      </c>
      <c r="AR91" s="27" t="n">
        <f aca="false">ROUND(MAX(0,AR90*(1+K$8)-BN91),2)</f>
        <v>0</v>
      </c>
      <c r="AS91" s="27" t="n">
        <f aca="false">SUM(AI91:AR91)</f>
        <v>0</v>
      </c>
      <c r="AT91" s="27" t="n">
        <f aca="false">SUMPRODUCT(AI90:AR90,$B$8:$K$8)</f>
        <v>0</v>
      </c>
      <c r="AU91" s="27" t="n">
        <f aca="false">MIN(AI90*(1+B$8),B$9)</f>
        <v>0</v>
      </c>
      <c r="AV91" s="27" t="n">
        <f aca="false">MIN(AJ90*(1+C$8),C$9)</f>
        <v>0</v>
      </c>
      <c r="AW91" s="27" t="n">
        <f aca="false">MIN(AK90*(1+D$8),D$9)</f>
        <v>0</v>
      </c>
      <c r="AX91" s="27" t="n">
        <f aca="false">MIN(AL90*(1+E$8),E$9)</f>
        <v>0</v>
      </c>
      <c r="AY91" s="27" t="n">
        <f aca="false">MIN(AM90*(1+F$8),F$9)</f>
        <v>0</v>
      </c>
      <c r="AZ91" s="27" t="n">
        <f aca="false">MIN(AN90*(1+G$8),G$9)</f>
        <v>0</v>
      </c>
      <c r="BA91" s="27" t="n">
        <f aca="false">MIN(AO90*(1+H$8),H$9)</f>
        <v>0</v>
      </c>
      <c r="BB91" s="27" t="n">
        <f aca="false">MIN(AP90*(1+I$8),I$9)</f>
        <v>0</v>
      </c>
      <c r="BC91" s="27" t="n">
        <f aca="false">MIN(AQ90*(1+J$8),J$9)</f>
        <v>0</v>
      </c>
      <c r="BD91" s="27" t="n">
        <f aca="false">MIN(AR90*(1+K$8),K$9)</f>
        <v>0</v>
      </c>
      <c r="BE91" s="27" t="n">
        <f aca="false">MIN(AI90*(1+B$8),MAX(AU91,$B$12-SUM(AV91:BD91)))</f>
        <v>0</v>
      </c>
      <c r="BF91" s="27" t="n">
        <f aca="false">MIN(AJ90*(1+C$8),MAX(AV91,$B$12-SUM(BE91:BE91)-SUM(AW91:BD91)))</f>
        <v>0</v>
      </c>
      <c r="BG91" s="27" t="n">
        <f aca="false">MIN(AK90*(1+D$8),MAX(AW91,$B$12-SUM(BE91:BF91)-SUM(AX91:BD91)))</f>
        <v>0</v>
      </c>
      <c r="BH91" s="27" t="n">
        <f aca="false">MIN(AL90*(1+E$8),MAX(AX91,$B$12-SUM(BE91:BG91)-SUM(AY91:BD91)))</f>
        <v>0</v>
      </c>
      <c r="BI91" s="27" t="n">
        <f aca="false">MIN(AM90*(1+F$8),MAX(AY91,$B$12-SUM(BE91:BH91)-SUM(AZ91:BD91)))</f>
        <v>0</v>
      </c>
      <c r="BJ91" s="27" t="n">
        <f aca="false">MIN(AN90*(1+G$8),MAX(AZ91,$B$12-SUM(BE91:BI91)-SUM(BA91:BD91)))</f>
        <v>0</v>
      </c>
      <c r="BK91" s="27" t="n">
        <f aca="false">MIN(AO90*(1+H$8),MAX(BA91,$B$12-SUM(BE91:BJ91)-SUM(BB91:BD91)))</f>
        <v>0</v>
      </c>
      <c r="BL91" s="27" t="n">
        <f aca="false">MIN(AP90*(1+I$8),MAX(BB91,$B$12-SUM(BE91:BK91)-SUM(BC91:BD91)))</f>
        <v>0</v>
      </c>
      <c r="BM91" s="27" t="n">
        <f aca="false">MIN(AQ90*(1+J$8),MAX(BC91,$B$12-SUM(BE91:BL91)-SUM(BD91:BD91)))</f>
        <v>0</v>
      </c>
      <c r="BN91" s="27" t="n">
        <f aca="false">MIN(AR90*(1+K$8),MAX(BD91,$B$12-SUM(BE91:BM91)))</f>
        <v>0</v>
      </c>
    </row>
    <row r="92" customFormat="false" ht="15" hidden="false" customHeight="false" outlineLevel="0" collapsed="false">
      <c r="A92" s="0" t="n">
        <v>78</v>
      </c>
      <c r="B92" s="27" t="n">
        <f aca="false">ROUND(MAX(0,B91*(1+B$8)-X92),2)</f>
        <v>0</v>
      </c>
      <c r="C92" s="27" t="n">
        <f aca="false">ROUND(MAX(0,C91*(1+C$8)-Y92),2)</f>
        <v>0</v>
      </c>
      <c r="D92" s="27" t="n">
        <f aca="false">ROUND(MAX(0,D91*(1+D$8)-Z92),2)</f>
        <v>0</v>
      </c>
      <c r="E92" s="27" t="n">
        <f aca="false">ROUND(MAX(0,E91*(1+E$8)-AA92),2)</f>
        <v>0</v>
      </c>
      <c r="F92" s="27" t="n">
        <f aca="false">ROUND(MAX(0,F91*(1+F$8)-AB92),2)</f>
        <v>0</v>
      </c>
      <c r="G92" s="27" t="n">
        <f aca="false">ROUND(MAX(0,G91*(1+G$8)-AC92),2)</f>
        <v>0</v>
      </c>
      <c r="H92" s="27" t="n">
        <f aca="false">ROUND(MAX(0,H91*(1+H$8)-AD92),2)</f>
        <v>0</v>
      </c>
      <c r="I92" s="27" t="n">
        <f aca="false">ROUND(MAX(0,I91*(1+I$8)-AE92),2)</f>
        <v>0</v>
      </c>
      <c r="J92" s="27" t="n">
        <f aca="false">ROUND(MAX(0,J91*(1+J$8)-AF92),2)</f>
        <v>0</v>
      </c>
      <c r="K92" s="27" t="n">
        <f aca="false">ROUND(MAX(0,K91*(1+K$8)-AG92),2)</f>
        <v>0</v>
      </c>
      <c r="L92" s="30" t="n">
        <f aca="false">SUM(B92:K92)</f>
        <v>0</v>
      </c>
      <c r="M92" s="27" t="n">
        <f aca="false">SUMPRODUCT(B91:K91,$B$8:$K$8)</f>
        <v>0</v>
      </c>
      <c r="N92" s="27" t="n">
        <f aca="false">MIN(B91*(1+B$8),B$9)</f>
        <v>0</v>
      </c>
      <c r="O92" s="27" t="n">
        <f aca="false">MIN(C91*(1+C$8),C$9)</f>
        <v>0</v>
      </c>
      <c r="P92" s="27" t="n">
        <f aca="false">MIN(D91*(1+D$8),D$9)</f>
        <v>0</v>
      </c>
      <c r="Q92" s="27" t="n">
        <f aca="false">MIN(E91*(1+E$8),E$9)</f>
        <v>0</v>
      </c>
      <c r="R92" s="27" t="n">
        <f aca="false">MIN(F91*(1+F$8),F$9)</f>
        <v>0</v>
      </c>
      <c r="S92" s="27" t="n">
        <f aca="false">MIN(G91*(1+G$8),G$9)</f>
        <v>0</v>
      </c>
      <c r="T92" s="27" t="n">
        <f aca="false">MIN(H91*(1+H$8),H$9)</f>
        <v>0</v>
      </c>
      <c r="U92" s="27" t="n">
        <f aca="false">MIN(I91*(1+I$8),I$9)</f>
        <v>0</v>
      </c>
      <c r="V92" s="27" t="n">
        <f aca="false">MIN(J91*(1+J$8),J$9)</f>
        <v>0</v>
      </c>
      <c r="W92" s="27" t="n">
        <f aca="false">MIN(K91*(1+K$8),K$9)</f>
        <v>0</v>
      </c>
      <c r="X92" s="27" t="n">
        <f aca="false">MIN(B91*(1+B$8),MAX(N92,$B$11-SUM(O92:W92)))</f>
        <v>0</v>
      </c>
      <c r="Y92" s="27" t="n">
        <f aca="false">MIN(C91*(1+C$8),MAX(O92,$B$11-SUM(X92:X92)-SUM(P92:W92)))</f>
        <v>0</v>
      </c>
      <c r="Z92" s="27" t="n">
        <f aca="false">MIN(D91*(1+D$8),MAX(P92,$B$11-SUM(X92:Y92)-SUM(Q92:W92)))</f>
        <v>0</v>
      </c>
      <c r="AA92" s="27" t="n">
        <f aca="false">MIN(E91*(1+E$8),MAX(Q92,$B$11-SUM(X92:Z92)-SUM(R92:W92)))</f>
        <v>0</v>
      </c>
      <c r="AB92" s="27" t="n">
        <f aca="false">MIN(F91*(1+F$8),MAX(R92,$B$11-SUM(X92:AA92)-SUM(S92:W92)))</f>
        <v>0</v>
      </c>
      <c r="AC92" s="27" t="n">
        <f aca="false">MIN(G91*(1+G$8),MAX(S92,$B$11-SUM(X92:AB92)-SUM(T92:W92)))</f>
        <v>0</v>
      </c>
      <c r="AD92" s="27" t="n">
        <f aca="false">MIN(H91*(1+H$8),MAX(T92,$B$11-SUM(X92:AC92)-SUM(U92:W92)))</f>
        <v>0</v>
      </c>
      <c r="AE92" s="27" t="n">
        <f aca="false">MIN(I91*(1+I$8),MAX(U92,$B$11-SUM(X92:AD92)-SUM(V92:W92)))</f>
        <v>0</v>
      </c>
      <c r="AF92" s="27" t="n">
        <f aca="false">MIN(J91*(1+J$8),MAX(V92,$B$11-SUM(X92:AE92)-SUM(W92:W92)))</f>
        <v>0</v>
      </c>
      <c r="AG92" s="27" t="n">
        <f aca="false">MIN(K91*(1+K$8),MAX(W92,$B$11-SUM(X92:AF92)))</f>
        <v>0</v>
      </c>
      <c r="AI92" s="27" t="n">
        <f aca="false">ROUND(MAX(0,AI91*(1+B$8)-BE92),2)</f>
        <v>0</v>
      </c>
      <c r="AJ92" s="27" t="n">
        <f aca="false">ROUND(MAX(0,AJ91*(1+C$8)-BF92),2)</f>
        <v>0</v>
      </c>
      <c r="AK92" s="27" t="n">
        <f aca="false">ROUND(MAX(0,AK91*(1+D$8)-BG92),2)</f>
        <v>0</v>
      </c>
      <c r="AL92" s="27" t="n">
        <f aca="false">ROUND(MAX(0,AL91*(1+E$8)-BH92),2)</f>
        <v>0</v>
      </c>
      <c r="AM92" s="27" t="n">
        <f aca="false">ROUND(MAX(0,AM91*(1+F$8)-BI92),2)</f>
        <v>0</v>
      </c>
      <c r="AN92" s="27" t="n">
        <f aca="false">ROUND(MAX(0,AN91*(1+G$8)-BJ92),2)</f>
        <v>0</v>
      </c>
      <c r="AO92" s="27" t="n">
        <f aca="false">ROUND(MAX(0,AO91*(1+H$8)-BK92),2)</f>
        <v>0</v>
      </c>
      <c r="AP92" s="27" t="n">
        <f aca="false">ROUND(MAX(0,AP91*(1+I$8)-BL92),2)</f>
        <v>0</v>
      </c>
      <c r="AQ92" s="27" t="n">
        <f aca="false">ROUND(MAX(0,AQ91*(1+J$8)-BM92),2)</f>
        <v>0</v>
      </c>
      <c r="AR92" s="27" t="n">
        <f aca="false">ROUND(MAX(0,AR91*(1+K$8)-BN92),2)</f>
        <v>0</v>
      </c>
      <c r="AS92" s="27" t="n">
        <f aca="false">SUM(AI92:AR92)</f>
        <v>0</v>
      </c>
      <c r="AT92" s="27" t="n">
        <f aca="false">SUMPRODUCT(AI91:AR91,$B$8:$K$8)</f>
        <v>0</v>
      </c>
      <c r="AU92" s="27" t="n">
        <f aca="false">MIN(AI91*(1+B$8),B$9)</f>
        <v>0</v>
      </c>
      <c r="AV92" s="27" t="n">
        <f aca="false">MIN(AJ91*(1+C$8),C$9)</f>
        <v>0</v>
      </c>
      <c r="AW92" s="27" t="n">
        <f aca="false">MIN(AK91*(1+D$8),D$9)</f>
        <v>0</v>
      </c>
      <c r="AX92" s="27" t="n">
        <f aca="false">MIN(AL91*(1+E$8),E$9)</f>
        <v>0</v>
      </c>
      <c r="AY92" s="27" t="n">
        <f aca="false">MIN(AM91*(1+F$8),F$9)</f>
        <v>0</v>
      </c>
      <c r="AZ92" s="27" t="n">
        <f aca="false">MIN(AN91*(1+G$8),G$9)</f>
        <v>0</v>
      </c>
      <c r="BA92" s="27" t="n">
        <f aca="false">MIN(AO91*(1+H$8),H$9)</f>
        <v>0</v>
      </c>
      <c r="BB92" s="27" t="n">
        <f aca="false">MIN(AP91*(1+I$8),I$9)</f>
        <v>0</v>
      </c>
      <c r="BC92" s="27" t="n">
        <f aca="false">MIN(AQ91*(1+J$8),J$9)</f>
        <v>0</v>
      </c>
      <c r="BD92" s="27" t="n">
        <f aca="false">MIN(AR91*(1+K$8),K$9)</f>
        <v>0</v>
      </c>
      <c r="BE92" s="27" t="n">
        <f aca="false">MIN(AI91*(1+B$8),MAX(AU92,$B$12-SUM(AV92:BD92)))</f>
        <v>0</v>
      </c>
      <c r="BF92" s="27" t="n">
        <f aca="false">MIN(AJ91*(1+C$8),MAX(AV92,$B$12-SUM(BE92:BE92)-SUM(AW92:BD92)))</f>
        <v>0</v>
      </c>
      <c r="BG92" s="27" t="n">
        <f aca="false">MIN(AK91*(1+D$8),MAX(AW92,$B$12-SUM(BE92:BF92)-SUM(AX92:BD92)))</f>
        <v>0</v>
      </c>
      <c r="BH92" s="27" t="n">
        <f aca="false">MIN(AL91*(1+E$8),MAX(AX92,$B$12-SUM(BE92:BG92)-SUM(AY92:BD92)))</f>
        <v>0</v>
      </c>
      <c r="BI92" s="27" t="n">
        <f aca="false">MIN(AM91*(1+F$8),MAX(AY92,$B$12-SUM(BE92:BH92)-SUM(AZ92:BD92)))</f>
        <v>0</v>
      </c>
      <c r="BJ92" s="27" t="n">
        <f aca="false">MIN(AN91*(1+G$8),MAX(AZ92,$B$12-SUM(BE92:BI92)-SUM(BA92:BD92)))</f>
        <v>0</v>
      </c>
      <c r="BK92" s="27" t="n">
        <f aca="false">MIN(AO91*(1+H$8),MAX(BA92,$B$12-SUM(BE92:BJ92)-SUM(BB92:BD92)))</f>
        <v>0</v>
      </c>
      <c r="BL92" s="27" t="n">
        <f aca="false">MIN(AP91*(1+I$8),MAX(BB92,$B$12-SUM(BE92:BK92)-SUM(BC92:BD92)))</f>
        <v>0</v>
      </c>
      <c r="BM92" s="27" t="n">
        <f aca="false">MIN(AQ91*(1+J$8),MAX(BC92,$B$12-SUM(BE92:BL92)-SUM(BD92:BD92)))</f>
        <v>0</v>
      </c>
      <c r="BN92" s="27" t="n">
        <f aca="false">MIN(AR91*(1+K$8),MAX(BD92,$B$12-SUM(BE92:BM92)))</f>
        <v>0</v>
      </c>
    </row>
    <row r="93" customFormat="false" ht="15" hidden="false" customHeight="false" outlineLevel="0" collapsed="false">
      <c r="A93" s="0" t="n">
        <v>79</v>
      </c>
      <c r="B93" s="27" t="n">
        <f aca="false">ROUND(MAX(0,B92*(1+B$8)-X93),2)</f>
        <v>0</v>
      </c>
      <c r="C93" s="27" t="n">
        <f aca="false">ROUND(MAX(0,C92*(1+C$8)-Y93),2)</f>
        <v>0</v>
      </c>
      <c r="D93" s="27" t="n">
        <f aca="false">ROUND(MAX(0,D92*(1+D$8)-Z93),2)</f>
        <v>0</v>
      </c>
      <c r="E93" s="27" t="n">
        <f aca="false">ROUND(MAX(0,E92*(1+E$8)-AA93),2)</f>
        <v>0</v>
      </c>
      <c r="F93" s="27" t="n">
        <f aca="false">ROUND(MAX(0,F92*(1+F$8)-AB93),2)</f>
        <v>0</v>
      </c>
      <c r="G93" s="27" t="n">
        <f aca="false">ROUND(MAX(0,G92*(1+G$8)-AC93),2)</f>
        <v>0</v>
      </c>
      <c r="H93" s="27" t="n">
        <f aca="false">ROUND(MAX(0,H92*(1+H$8)-AD93),2)</f>
        <v>0</v>
      </c>
      <c r="I93" s="27" t="n">
        <f aca="false">ROUND(MAX(0,I92*(1+I$8)-AE93),2)</f>
        <v>0</v>
      </c>
      <c r="J93" s="27" t="n">
        <f aca="false">ROUND(MAX(0,J92*(1+J$8)-AF93),2)</f>
        <v>0</v>
      </c>
      <c r="K93" s="27" t="n">
        <f aca="false">ROUND(MAX(0,K92*(1+K$8)-AG93),2)</f>
        <v>0</v>
      </c>
      <c r="L93" s="30" t="n">
        <f aca="false">SUM(B93:K93)</f>
        <v>0</v>
      </c>
      <c r="M93" s="27" t="n">
        <f aca="false">SUMPRODUCT(B92:K92,$B$8:$K$8)</f>
        <v>0</v>
      </c>
      <c r="N93" s="27" t="n">
        <f aca="false">MIN(B92*(1+B$8),B$9)</f>
        <v>0</v>
      </c>
      <c r="O93" s="27" t="n">
        <f aca="false">MIN(C92*(1+C$8),C$9)</f>
        <v>0</v>
      </c>
      <c r="P93" s="27" t="n">
        <f aca="false">MIN(D92*(1+D$8),D$9)</f>
        <v>0</v>
      </c>
      <c r="Q93" s="27" t="n">
        <f aca="false">MIN(E92*(1+E$8),E$9)</f>
        <v>0</v>
      </c>
      <c r="R93" s="27" t="n">
        <f aca="false">MIN(F92*(1+F$8),F$9)</f>
        <v>0</v>
      </c>
      <c r="S93" s="27" t="n">
        <f aca="false">MIN(G92*(1+G$8),G$9)</f>
        <v>0</v>
      </c>
      <c r="T93" s="27" t="n">
        <f aca="false">MIN(H92*(1+H$8),H$9)</f>
        <v>0</v>
      </c>
      <c r="U93" s="27" t="n">
        <f aca="false">MIN(I92*(1+I$8),I$9)</f>
        <v>0</v>
      </c>
      <c r="V93" s="27" t="n">
        <f aca="false">MIN(J92*(1+J$8),J$9)</f>
        <v>0</v>
      </c>
      <c r="W93" s="27" t="n">
        <f aca="false">MIN(K92*(1+K$8),K$9)</f>
        <v>0</v>
      </c>
      <c r="X93" s="27" t="n">
        <f aca="false">MIN(B92*(1+B$8),MAX(N93,$B$11-SUM(O93:W93)))</f>
        <v>0</v>
      </c>
      <c r="Y93" s="27" t="n">
        <f aca="false">MIN(C92*(1+C$8),MAX(O93,$B$11-SUM(X93:X93)-SUM(P93:W93)))</f>
        <v>0</v>
      </c>
      <c r="Z93" s="27" t="n">
        <f aca="false">MIN(D92*(1+D$8),MAX(P93,$B$11-SUM(X93:Y93)-SUM(Q93:W93)))</f>
        <v>0</v>
      </c>
      <c r="AA93" s="27" t="n">
        <f aca="false">MIN(E92*(1+E$8),MAX(Q93,$B$11-SUM(X93:Z93)-SUM(R93:W93)))</f>
        <v>0</v>
      </c>
      <c r="AB93" s="27" t="n">
        <f aca="false">MIN(F92*(1+F$8),MAX(R93,$B$11-SUM(X93:AA93)-SUM(S93:W93)))</f>
        <v>0</v>
      </c>
      <c r="AC93" s="27" t="n">
        <f aca="false">MIN(G92*(1+G$8),MAX(S93,$B$11-SUM(X93:AB93)-SUM(T93:W93)))</f>
        <v>0</v>
      </c>
      <c r="AD93" s="27" t="n">
        <f aca="false">MIN(H92*(1+H$8),MAX(T93,$B$11-SUM(X93:AC93)-SUM(U93:W93)))</f>
        <v>0</v>
      </c>
      <c r="AE93" s="27" t="n">
        <f aca="false">MIN(I92*(1+I$8),MAX(U93,$B$11-SUM(X93:AD93)-SUM(V93:W93)))</f>
        <v>0</v>
      </c>
      <c r="AF93" s="27" t="n">
        <f aca="false">MIN(J92*(1+J$8),MAX(V93,$B$11-SUM(X93:AE93)-SUM(W93:W93)))</f>
        <v>0</v>
      </c>
      <c r="AG93" s="27" t="n">
        <f aca="false">MIN(K92*(1+K$8),MAX(W93,$B$11-SUM(X93:AF93)))</f>
        <v>0</v>
      </c>
      <c r="AI93" s="27" t="n">
        <f aca="false">ROUND(MAX(0,AI92*(1+B$8)-BE93),2)</f>
        <v>0</v>
      </c>
      <c r="AJ93" s="27" t="n">
        <f aca="false">ROUND(MAX(0,AJ92*(1+C$8)-BF93),2)</f>
        <v>0</v>
      </c>
      <c r="AK93" s="27" t="n">
        <f aca="false">ROUND(MAX(0,AK92*(1+D$8)-BG93),2)</f>
        <v>0</v>
      </c>
      <c r="AL93" s="27" t="n">
        <f aca="false">ROUND(MAX(0,AL92*(1+E$8)-BH93),2)</f>
        <v>0</v>
      </c>
      <c r="AM93" s="27" t="n">
        <f aca="false">ROUND(MAX(0,AM92*(1+F$8)-BI93),2)</f>
        <v>0</v>
      </c>
      <c r="AN93" s="27" t="n">
        <f aca="false">ROUND(MAX(0,AN92*(1+G$8)-BJ93),2)</f>
        <v>0</v>
      </c>
      <c r="AO93" s="27" t="n">
        <f aca="false">ROUND(MAX(0,AO92*(1+H$8)-BK93),2)</f>
        <v>0</v>
      </c>
      <c r="AP93" s="27" t="n">
        <f aca="false">ROUND(MAX(0,AP92*(1+I$8)-BL93),2)</f>
        <v>0</v>
      </c>
      <c r="AQ93" s="27" t="n">
        <f aca="false">ROUND(MAX(0,AQ92*(1+J$8)-BM93),2)</f>
        <v>0</v>
      </c>
      <c r="AR93" s="27" t="n">
        <f aca="false">ROUND(MAX(0,AR92*(1+K$8)-BN93),2)</f>
        <v>0</v>
      </c>
      <c r="AS93" s="27" t="n">
        <f aca="false">SUM(AI93:AR93)</f>
        <v>0</v>
      </c>
      <c r="AT93" s="27" t="n">
        <f aca="false">SUMPRODUCT(AI92:AR92,$B$8:$K$8)</f>
        <v>0</v>
      </c>
      <c r="AU93" s="27" t="n">
        <f aca="false">MIN(AI92*(1+B$8),B$9)</f>
        <v>0</v>
      </c>
      <c r="AV93" s="27" t="n">
        <f aca="false">MIN(AJ92*(1+C$8),C$9)</f>
        <v>0</v>
      </c>
      <c r="AW93" s="27" t="n">
        <f aca="false">MIN(AK92*(1+D$8),D$9)</f>
        <v>0</v>
      </c>
      <c r="AX93" s="27" t="n">
        <f aca="false">MIN(AL92*(1+E$8),E$9)</f>
        <v>0</v>
      </c>
      <c r="AY93" s="27" t="n">
        <f aca="false">MIN(AM92*(1+F$8),F$9)</f>
        <v>0</v>
      </c>
      <c r="AZ93" s="27" t="n">
        <f aca="false">MIN(AN92*(1+G$8),G$9)</f>
        <v>0</v>
      </c>
      <c r="BA93" s="27" t="n">
        <f aca="false">MIN(AO92*(1+H$8),H$9)</f>
        <v>0</v>
      </c>
      <c r="BB93" s="27" t="n">
        <f aca="false">MIN(AP92*(1+I$8),I$9)</f>
        <v>0</v>
      </c>
      <c r="BC93" s="27" t="n">
        <f aca="false">MIN(AQ92*(1+J$8),J$9)</f>
        <v>0</v>
      </c>
      <c r="BD93" s="27" t="n">
        <f aca="false">MIN(AR92*(1+K$8),K$9)</f>
        <v>0</v>
      </c>
      <c r="BE93" s="27" t="n">
        <f aca="false">MIN(AI92*(1+B$8),MAX(AU93,$B$12-SUM(AV93:BD93)))</f>
        <v>0</v>
      </c>
      <c r="BF93" s="27" t="n">
        <f aca="false">MIN(AJ92*(1+C$8),MAX(AV93,$B$12-SUM(BE93:BE93)-SUM(AW93:BD93)))</f>
        <v>0</v>
      </c>
      <c r="BG93" s="27" t="n">
        <f aca="false">MIN(AK92*(1+D$8),MAX(AW93,$B$12-SUM(BE93:BF93)-SUM(AX93:BD93)))</f>
        <v>0</v>
      </c>
      <c r="BH93" s="27" t="n">
        <f aca="false">MIN(AL92*(1+E$8),MAX(AX93,$B$12-SUM(BE93:BG93)-SUM(AY93:BD93)))</f>
        <v>0</v>
      </c>
      <c r="BI93" s="27" t="n">
        <f aca="false">MIN(AM92*(1+F$8),MAX(AY93,$B$12-SUM(BE93:BH93)-SUM(AZ93:BD93)))</f>
        <v>0</v>
      </c>
      <c r="BJ93" s="27" t="n">
        <f aca="false">MIN(AN92*(1+G$8),MAX(AZ93,$B$12-SUM(BE93:BI93)-SUM(BA93:BD93)))</f>
        <v>0</v>
      </c>
      <c r="BK93" s="27" t="n">
        <f aca="false">MIN(AO92*(1+H$8),MAX(BA93,$B$12-SUM(BE93:BJ93)-SUM(BB93:BD93)))</f>
        <v>0</v>
      </c>
      <c r="BL93" s="27" t="n">
        <f aca="false">MIN(AP92*(1+I$8),MAX(BB93,$B$12-SUM(BE93:BK93)-SUM(BC93:BD93)))</f>
        <v>0</v>
      </c>
      <c r="BM93" s="27" t="n">
        <f aca="false">MIN(AQ92*(1+J$8),MAX(BC93,$B$12-SUM(BE93:BL93)-SUM(BD93:BD93)))</f>
        <v>0</v>
      </c>
      <c r="BN93" s="27" t="n">
        <f aca="false">MIN(AR92*(1+K$8),MAX(BD93,$B$12-SUM(BE93:BM93)))</f>
        <v>0</v>
      </c>
    </row>
    <row r="94" customFormat="false" ht="15" hidden="false" customHeight="false" outlineLevel="0" collapsed="false">
      <c r="A94" s="0" t="n">
        <v>80</v>
      </c>
      <c r="B94" s="27" t="n">
        <f aca="false">ROUND(MAX(0,B93*(1+B$8)-X94),2)</f>
        <v>0</v>
      </c>
      <c r="C94" s="27" t="n">
        <f aca="false">ROUND(MAX(0,C93*(1+C$8)-Y94),2)</f>
        <v>0</v>
      </c>
      <c r="D94" s="27" t="n">
        <f aca="false">ROUND(MAX(0,D93*(1+D$8)-Z94),2)</f>
        <v>0</v>
      </c>
      <c r="E94" s="27" t="n">
        <f aca="false">ROUND(MAX(0,E93*(1+E$8)-AA94),2)</f>
        <v>0</v>
      </c>
      <c r="F94" s="27" t="n">
        <f aca="false">ROUND(MAX(0,F93*(1+F$8)-AB94),2)</f>
        <v>0</v>
      </c>
      <c r="G94" s="27" t="n">
        <f aca="false">ROUND(MAX(0,G93*(1+G$8)-AC94),2)</f>
        <v>0</v>
      </c>
      <c r="H94" s="27" t="n">
        <f aca="false">ROUND(MAX(0,H93*(1+H$8)-AD94),2)</f>
        <v>0</v>
      </c>
      <c r="I94" s="27" t="n">
        <f aca="false">ROUND(MAX(0,I93*(1+I$8)-AE94),2)</f>
        <v>0</v>
      </c>
      <c r="J94" s="27" t="n">
        <f aca="false">ROUND(MAX(0,J93*(1+J$8)-AF94),2)</f>
        <v>0</v>
      </c>
      <c r="K94" s="27" t="n">
        <f aca="false">ROUND(MAX(0,K93*(1+K$8)-AG94),2)</f>
        <v>0</v>
      </c>
      <c r="L94" s="30" t="n">
        <f aca="false">SUM(B94:K94)</f>
        <v>0</v>
      </c>
      <c r="M94" s="27" t="n">
        <f aca="false">SUMPRODUCT(B93:K93,$B$8:$K$8)</f>
        <v>0</v>
      </c>
      <c r="N94" s="27" t="n">
        <f aca="false">MIN(B93*(1+B$8),B$9)</f>
        <v>0</v>
      </c>
      <c r="O94" s="27" t="n">
        <f aca="false">MIN(C93*(1+C$8),C$9)</f>
        <v>0</v>
      </c>
      <c r="P94" s="27" t="n">
        <f aca="false">MIN(D93*(1+D$8),D$9)</f>
        <v>0</v>
      </c>
      <c r="Q94" s="27" t="n">
        <f aca="false">MIN(E93*(1+E$8),E$9)</f>
        <v>0</v>
      </c>
      <c r="R94" s="27" t="n">
        <f aca="false">MIN(F93*(1+F$8),F$9)</f>
        <v>0</v>
      </c>
      <c r="S94" s="27" t="n">
        <f aca="false">MIN(G93*(1+G$8),G$9)</f>
        <v>0</v>
      </c>
      <c r="T94" s="27" t="n">
        <f aca="false">MIN(H93*(1+H$8),H$9)</f>
        <v>0</v>
      </c>
      <c r="U94" s="27" t="n">
        <f aca="false">MIN(I93*(1+I$8),I$9)</f>
        <v>0</v>
      </c>
      <c r="V94" s="27" t="n">
        <f aca="false">MIN(J93*(1+J$8),J$9)</f>
        <v>0</v>
      </c>
      <c r="W94" s="27" t="n">
        <f aca="false">MIN(K93*(1+K$8),K$9)</f>
        <v>0</v>
      </c>
      <c r="X94" s="27" t="n">
        <f aca="false">MIN(B93*(1+B$8),MAX(N94,$B$11-SUM(O94:W94)))</f>
        <v>0</v>
      </c>
      <c r="Y94" s="27" t="n">
        <f aca="false">MIN(C93*(1+C$8),MAX(O94,$B$11-SUM(X94:X94)-SUM(P94:W94)))</f>
        <v>0</v>
      </c>
      <c r="Z94" s="27" t="n">
        <f aca="false">MIN(D93*(1+D$8),MAX(P94,$B$11-SUM(X94:Y94)-SUM(Q94:W94)))</f>
        <v>0</v>
      </c>
      <c r="AA94" s="27" t="n">
        <f aca="false">MIN(E93*(1+E$8),MAX(Q94,$B$11-SUM(X94:Z94)-SUM(R94:W94)))</f>
        <v>0</v>
      </c>
      <c r="AB94" s="27" t="n">
        <f aca="false">MIN(F93*(1+F$8),MAX(R94,$B$11-SUM(X94:AA94)-SUM(S94:W94)))</f>
        <v>0</v>
      </c>
      <c r="AC94" s="27" t="n">
        <f aca="false">MIN(G93*(1+G$8),MAX(S94,$B$11-SUM(X94:AB94)-SUM(T94:W94)))</f>
        <v>0</v>
      </c>
      <c r="AD94" s="27" t="n">
        <f aca="false">MIN(H93*(1+H$8),MAX(T94,$B$11-SUM(X94:AC94)-SUM(U94:W94)))</f>
        <v>0</v>
      </c>
      <c r="AE94" s="27" t="n">
        <f aca="false">MIN(I93*(1+I$8),MAX(U94,$B$11-SUM(X94:AD94)-SUM(V94:W94)))</f>
        <v>0</v>
      </c>
      <c r="AF94" s="27" t="n">
        <f aca="false">MIN(J93*(1+J$8),MAX(V94,$B$11-SUM(X94:AE94)-SUM(W94:W94)))</f>
        <v>0</v>
      </c>
      <c r="AG94" s="27" t="n">
        <f aca="false">MIN(K93*(1+K$8),MAX(W94,$B$11-SUM(X94:AF94)))</f>
        <v>0</v>
      </c>
      <c r="AI94" s="27" t="n">
        <f aca="false">ROUND(MAX(0,AI93*(1+B$8)-BE94),2)</f>
        <v>0</v>
      </c>
      <c r="AJ94" s="27" t="n">
        <f aca="false">ROUND(MAX(0,AJ93*(1+C$8)-BF94),2)</f>
        <v>0</v>
      </c>
      <c r="AK94" s="27" t="n">
        <f aca="false">ROUND(MAX(0,AK93*(1+D$8)-BG94),2)</f>
        <v>0</v>
      </c>
      <c r="AL94" s="27" t="n">
        <f aca="false">ROUND(MAX(0,AL93*(1+E$8)-BH94),2)</f>
        <v>0</v>
      </c>
      <c r="AM94" s="27" t="n">
        <f aca="false">ROUND(MAX(0,AM93*(1+F$8)-BI94),2)</f>
        <v>0</v>
      </c>
      <c r="AN94" s="27" t="n">
        <f aca="false">ROUND(MAX(0,AN93*(1+G$8)-BJ94),2)</f>
        <v>0</v>
      </c>
      <c r="AO94" s="27" t="n">
        <f aca="false">ROUND(MAX(0,AO93*(1+H$8)-BK94),2)</f>
        <v>0</v>
      </c>
      <c r="AP94" s="27" t="n">
        <f aca="false">ROUND(MAX(0,AP93*(1+I$8)-BL94),2)</f>
        <v>0</v>
      </c>
      <c r="AQ94" s="27" t="n">
        <f aca="false">ROUND(MAX(0,AQ93*(1+J$8)-BM94),2)</f>
        <v>0</v>
      </c>
      <c r="AR94" s="27" t="n">
        <f aca="false">ROUND(MAX(0,AR93*(1+K$8)-BN94),2)</f>
        <v>0</v>
      </c>
      <c r="AS94" s="27" t="n">
        <f aca="false">SUM(AI94:AR94)</f>
        <v>0</v>
      </c>
      <c r="AT94" s="27" t="n">
        <f aca="false">SUMPRODUCT(AI93:AR93,$B$8:$K$8)</f>
        <v>0</v>
      </c>
      <c r="AU94" s="27" t="n">
        <f aca="false">MIN(AI93*(1+B$8),B$9)</f>
        <v>0</v>
      </c>
      <c r="AV94" s="27" t="n">
        <f aca="false">MIN(AJ93*(1+C$8),C$9)</f>
        <v>0</v>
      </c>
      <c r="AW94" s="27" t="n">
        <f aca="false">MIN(AK93*(1+D$8),D$9)</f>
        <v>0</v>
      </c>
      <c r="AX94" s="27" t="n">
        <f aca="false">MIN(AL93*(1+E$8),E$9)</f>
        <v>0</v>
      </c>
      <c r="AY94" s="27" t="n">
        <f aca="false">MIN(AM93*(1+F$8),F$9)</f>
        <v>0</v>
      </c>
      <c r="AZ94" s="27" t="n">
        <f aca="false">MIN(AN93*(1+G$8),G$9)</f>
        <v>0</v>
      </c>
      <c r="BA94" s="27" t="n">
        <f aca="false">MIN(AO93*(1+H$8),H$9)</f>
        <v>0</v>
      </c>
      <c r="BB94" s="27" t="n">
        <f aca="false">MIN(AP93*(1+I$8),I$9)</f>
        <v>0</v>
      </c>
      <c r="BC94" s="27" t="n">
        <f aca="false">MIN(AQ93*(1+J$8),J$9)</f>
        <v>0</v>
      </c>
      <c r="BD94" s="27" t="n">
        <f aca="false">MIN(AR93*(1+K$8),K$9)</f>
        <v>0</v>
      </c>
      <c r="BE94" s="27" t="n">
        <f aca="false">MIN(AI93*(1+B$8),MAX(AU94,$B$12-SUM(AV94:BD94)))</f>
        <v>0</v>
      </c>
      <c r="BF94" s="27" t="n">
        <f aca="false">MIN(AJ93*(1+C$8),MAX(AV94,$B$12-SUM(BE94:BE94)-SUM(AW94:BD94)))</f>
        <v>0</v>
      </c>
      <c r="BG94" s="27" t="n">
        <f aca="false">MIN(AK93*(1+D$8),MAX(AW94,$B$12-SUM(BE94:BF94)-SUM(AX94:BD94)))</f>
        <v>0</v>
      </c>
      <c r="BH94" s="27" t="n">
        <f aca="false">MIN(AL93*(1+E$8),MAX(AX94,$B$12-SUM(BE94:BG94)-SUM(AY94:BD94)))</f>
        <v>0</v>
      </c>
      <c r="BI94" s="27" t="n">
        <f aca="false">MIN(AM93*(1+F$8),MAX(AY94,$B$12-SUM(BE94:BH94)-SUM(AZ94:BD94)))</f>
        <v>0</v>
      </c>
      <c r="BJ94" s="27" t="n">
        <f aca="false">MIN(AN93*(1+G$8),MAX(AZ94,$B$12-SUM(BE94:BI94)-SUM(BA94:BD94)))</f>
        <v>0</v>
      </c>
      <c r="BK94" s="27" t="n">
        <f aca="false">MIN(AO93*(1+H$8),MAX(BA94,$B$12-SUM(BE94:BJ94)-SUM(BB94:BD94)))</f>
        <v>0</v>
      </c>
      <c r="BL94" s="27" t="n">
        <f aca="false">MIN(AP93*(1+I$8),MAX(BB94,$B$12-SUM(BE94:BK94)-SUM(BC94:BD94)))</f>
        <v>0</v>
      </c>
      <c r="BM94" s="27" t="n">
        <f aca="false">MIN(AQ93*(1+J$8),MAX(BC94,$B$12-SUM(BE94:BL94)-SUM(BD94:BD94)))</f>
        <v>0</v>
      </c>
      <c r="BN94" s="27" t="n">
        <f aca="false">MIN(AR93*(1+K$8),MAX(BD94,$B$12-SUM(BE94:BM94)))</f>
        <v>0</v>
      </c>
    </row>
    <row r="95" customFormat="false" ht="15" hidden="false" customHeight="false" outlineLevel="0" collapsed="false">
      <c r="A95" s="0" t="n">
        <v>81</v>
      </c>
      <c r="B95" s="27" t="n">
        <f aca="false">ROUND(MAX(0,B94*(1+B$8)-X95),2)</f>
        <v>0</v>
      </c>
      <c r="C95" s="27" t="n">
        <f aca="false">ROUND(MAX(0,C94*(1+C$8)-Y95),2)</f>
        <v>0</v>
      </c>
      <c r="D95" s="27" t="n">
        <f aca="false">ROUND(MAX(0,D94*(1+D$8)-Z95),2)</f>
        <v>0</v>
      </c>
      <c r="E95" s="27" t="n">
        <f aca="false">ROUND(MAX(0,E94*(1+E$8)-AA95),2)</f>
        <v>0</v>
      </c>
      <c r="F95" s="27" t="n">
        <f aca="false">ROUND(MAX(0,F94*(1+F$8)-AB95),2)</f>
        <v>0</v>
      </c>
      <c r="G95" s="27" t="n">
        <f aca="false">ROUND(MAX(0,G94*(1+G$8)-AC95),2)</f>
        <v>0</v>
      </c>
      <c r="H95" s="27" t="n">
        <f aca="false">ROUND(MAX(0,H94*(1+H$8)-AD95),2)</f>
        <v>0</v>
      </c>
      <c r="I95" s="27" t="n">
        <f aca="false">ROUND(MAX(0,I94*(1+I$8)-AE95),2)</f>
        <v>0</v>
      </c>
      <c r="J95" s="27" t="n">
        <f aca="false">ROUND(MAX(0,J94*(1+J$8)-AF95),2)</f>
        <v>0</v>
      </c>
      <c r="K95" s="27" t="n">
        <f aca="false">ROUND(MAX(0,K94*(1+K$8)-AG95),2)</f>
        <v>0</v>
      </c>
      <c r="L95" s="30" t="n">
        <f aca="false">SUM(B95:K95)</f>
        <v>0</v>
      </c>
      <c r="M95" s="27" t="n">
        <f aca="false">SUMPRODUCT(B94:K94,$B$8:$K$8)</f>
        <v>0</v>
      </c>
      <c r="N95" s="27" t="n">
        <f aca="false">MIN(B94*(1+B$8),B$9)</f>
        <v>0</v>
      </c>
      <c r="O95" s="27" t="n">
        <f aca="false">MIN(C94*(1+C$8),C$9)</f>
        <v>0</v>
      </c>
      <c r="P95" s="27" t="n">
        <f aca="false">MIN(D94*(1+D$8),D$9)</f>
        <v>0</v>
      </c>
      <c r="Q95" s="27" t="n">
        <f aca="false">MIN(E94*(1+E$8),E$9)</f>
        <v>0</v>
      </c>
      <c r="R95" s="27" t="n">
        <f aca="false">MIN(F94*(1+F$8),F$9)</f>
        <v>0</v>
      </c>
      <c r="S95" s="27" t="n">
        <f aca="false">MIN(G94*(1+G$8),G$9)</f>
        <v>0</v>
      </c>
      <c r="T95" s="27" t="n">
        <f aca="false">MIN(H94*(1+H$8),H$9)</f>
        <v>0</v>
      </c>
      <c r="U95" s="27" t="n">
        <f aca="false">MIN(I94*(1+I$8),I$9)</f>
        <v>0</v>
      </c>
      <c r="V95" s="27" t="n">
        <f aca="false">MIN(J94*(1+J$8),J$9)</f>
        <v>0</v>
      </c>
      <c r="W95" s="27" t="n">
        <f aca="false">MIN(K94*(1+K$8),K$9)</f>
        <v>0</v>
      </c>
      <c r="X95" s="27" t="n">
        <f aca="false">MIN(B94*(1+B$8),MAX(N95,$B$11-SUM(O95:W95)))</f>
        <v>0</v>
      </c>
      <c r="Y95" s="27" t="n">
        <f aca="false">MIN(C94*(1+C$8),MAX(O95,$B$11-SUM(X95:X95)-SUM(P95:W95)))</f>
        <v>0</v>
      </c>
      <c r="Z95" s="27" t="n">
        <f aca="false">MIN(D94*(1+D$8),MAX(P95,$B$11-SUM(X95:Y95)-SUM(Q95:W95)))</f>
        <v>0</v>
      </c>
      <c r="AA95" s="27" t="n">
        <f aca="false">MIN(E94*(1+E$8),MAX(Q95,$B$11-SUM(X95:Z95)-SUM(R95:W95)))</f>
        <v>0</v>
      </c>
      <c r="AB95" s="27" t="n">
        <f aca="false">MIN(F94*(1+F$8),MAX(R95,$B$11-SUM(X95:AA95)-SUM(S95:W95)))</f>
        <v>0</v>
      </c>
      <c r="AC95" s="27" t="n">
        <f aca="false">MIN(G94*(1+G$8),MAX(S95,$B$11-SUM(X95:AB95)-SUM(T95:W95)))</f>
        <v>0</v>
      </c>
      <c r="AD95" s="27" t="n">
        <f aca="false">MIN(H94*(1+H$8),MAX(T95,$B$11-SUM(X95:AC95)-SUM(U95:W95)))</f>
        <v>0</v>
      </c>
      <c r="AE95" s="27" t="n">
        <f aca="false">MIN(I94*(1+I$8),MAX(U95,$B$11-SUM(X95:AD95)-SUM(V95:W95)))</f>
        <v>0</v>
      </c>
      <c r="AF95" s="27" t="n">
        <f aca="false">MIN(J94*(1+J$8),MAX(V95,$B$11-SUM(X95:AE95)-SUM(W95:W95)))</f>
        <v>0</v>
      </c>
      <c r="AG95" s="27" t="n">
        <f aca="false">MIN(K94*(1+K$8),MAX(W95,$B$11-SUM(X95:AF95)))</f>
        <v>0</v>
      </c>
      <c r="AI95" s="27" t="n">
        <f aca="false">ROUND(MAX(0,AI94*(1+B$8)-BE95),2)</f>
        <v>0</v>
      </c>
      <c r="AJ95" s="27" t="n">
        <f aca="false">ROUND(MAX(0,AJ94*(1+C$8)-BF95),2)</f>
        <v>0</v>
      </c>
      <c r="AK95" s="27" t="n">
        <f aca="false">ROUND(MAX(0,AK94*(1+D$8)-BG95),2)</f>
        <v>0</v>
      </c>
      <c r="AL95" s="27" t="n">
        <f aca="false">ROUND(MAX(0,AL94*(1+E$8)-BH95),2)</f>
        <v>0</v>
      </c>
      <c r="AM95" s="27" t="n">
        <f aca="false">ROUND(MAX(0,AM94*(1+F$8)-BI95),2)</f>
        <v>0</v>
      </c>
      <c r="AN95" s="27" t="n">
        <f aca="false">ROUND(MAX(0,AN94*(1+G$8)-BJ95),2)</f>
        <v>0</v>
      </c>
      <c r="AO95" s="27" t="n">
        <f aca="false">ROUND(MAX(0,AO94*(1+H$8)-BK95),2)</f>
        <v>0</v>
      </c>
      <c r="AP95" s="27" t="n">
        <f aca="false">ROUND(MAX(0,AP94*(1+I$8)-BL95),2)</f>
        <v>0</v>
      </c>
      <c r="AQ95" s="27" t="n">
        <f aca="false">ROUND(MAX(0,AQ94*(1+J$8)-BM95),2)</f>
        <v>0</v>
      </c>
      <c r="AR95" s="27" t="n">
        <f aca="false">ROUND(MAX(0,AR94*(1+K$8)-BN95),2)</f>
        <v>0</v>
      </c>
      <c r="AS95" s="27" t="n">
        <f aca="false">SUM(AI95:AR95)</f>
        <v>0</v>
      </c>
      <c r="AT95" s="27" t="n">
        <f aca="false">SUMPRODUCT(AI94:AR94,$B$8:$K$8)</f>
        <v>0</v>
      </c>
      <c r="AU95" s="27" t="n">
        <f aca="false">MIN(AI94*(1+B$8),B$9)</f>
        <v>0</v>
      </c>
      <c r="AV95" s="27" t="n">
        <f aca="false">MIN(AJ94*(1+C$8),C$9)</f>
        <v>0</v>
      </c>
      <c r="AW95" s="27" t="n">
        <f aca="false">MIN(AK94*(1+D$8),D$9)</f>
        <v>0</v>
      </c>
      <c r="AX95" s="27" t="n">
        <f aca="false">MIN(AL94*(1+E$8),E$9)</f>
        <v>0</v>
      </c>
      <c r="AY95" s="27" t="n">
        <f aca="false">MIN(AM94*(1+F$8),F$9)</f>
        <v>0</v>
      </c>
      <c r="AZ95" s="27" t="n">
        <f aca="false">MIN(AN94*(1+G$8),G$9)</f>
        <v>0</v>
      </c>
      <c r="BA95" s="27" t="n">
        <f aca="false">MIN(AO94*(1+H$8),H$9)</f>
        <v>0</v>
      </c>
      <c r="BB95" s="27" t="n">
        <f aca="false">MIN(AP94*(1+I$8),I$9)</f>
        <v>0</v>
      </c>
      <c r="BC95" s="27" t="n">
        <f aca="false">MIN(AQ94*(1+J$8),J$9)</f>
        <v>0</v>
      </c>
      <c r="BD95" s="27" t="n">
        <f aca="false">MIN(AR94*(1+K$8),K$9)</f>
        <v>0</v>
      </c>
      <c r="BE95" s="27" t="n">
        <f aca="false">MIN(AI94*(1+B$8),MAX(AU95,$B$12-SUM(AV95:BD95)))</f>
        <v>0</v>
      </c>
      <c r="BF95" s="27" t="n">
        <f aca="false">MIN(AJ94*(1+C$8),MAX(AV95,$B$12-SUM(BE95:BE95)-SUM(AW95:BD95)))</f>
        <v>0</v>
      </c>
      <c r="BG95" s="27" t="n">
        <f aca="false">MIN(AK94*(1+D$8),MAX(AW95,$B$12-SUM(BE95:BF95)-SUM(AX95:BD95)))</f>
        <v>0</v>
      </c>
      <c r="BH95" s="27" t="n">
        <f aca="false">MIN(AL94*(1+E$8),MAX(AX95,$B$12-SUM(BE95:BG95)-SUM(AY95:BD95)))</f>
        <v>0</v>
      </c>
      <c r="BI95" s="27" t="n">
        <f aca="false">MIN(AM94*(1+F$8),MAX(AY95,$B$12-SUM(BE95:BH95)-SUM(AZ95:BD95)))</f>
        <v>0</v>
      </c>
      <c r="BJ95" s="27" t="n">
        <f aca="false">MIN(AN94*(1+G$8),MAX(AZ95,$B$12-SUM(BE95:BI95)-SUM(BA95:BD95)))</f>
        <v>0</v>
      </c>
      <c r="BK95" s="27" t="n">
        <f aca="false">MIN(AO94*(1+H$8),MAX(BA95,$B$12-SUM(BE95:BJ95)-SUM(BB95:BD95)))</f>
        <v>0</v>
      </c>
      <c r="BL95" s="27" t="n">
        <f aca="false">MIN(AP94*(1+I$8),MAX(BB95,$B$12-SUM(BE95:BK95)-SUM(BC95:BD95)))</f>
        <v>0</v>
      </c>
      <c r="BM95" s="27" t="n">
        <f aca="false">MIN(AQ94*(1+J$8),MAX(BC95,$B$12-SUM(BE95:BL95)-SUM(BD95:BD95)))</f>
        <v>0</v>
      </c>
      <c r="BN95" s="27" t="n">
        <f aca="false">MIN(AR94*(1+K$8),MAX(BD95,$B$12-SUM(BE95:BM95)))</f>
        <v>0</v>
      </c>
    </row>
    <row r="96" customFormat="false" ht="15" hidden="false" customHeight="false" outlineLevel="0" collapsed="false">
      <c r="A96" s="0" t="n">
        <v>82</v>
      </c>
      <c r="B96" s="27" t="n">
        <f aca="false">ROUND(MAX(0,B95*(1+B$8)-X96),2)</f>
        <v>0</v>
      </c>
      <c r="C96" s="27" t="n">
        <f aca="false">ROUND(MAX(0,C95*(1+C$8)-Y96),2)</f>
        <v>0</v>
      </c>
      <c r="D96" s="27" t="n">
        <f aca="false">ROUND(MAX(0,D95*(1+D$8)-Z96),2)</f>
        <v>0</v>
      </c>
      <c r="E96" s="27" t="n">
        <f aca="false">ROUND(MAX(0,E95*(1+E$8)-AA96),2)</f>
        <v>0</v>
      </c>
      <c r="F96" s="27" t="n">
        <f aca="false">ROUND(MAX(0,F95*(1+F$8)-AB96),2)</f>
        <v>0</v>
      </c>
      <c r="G96" s="27" t="n">
        <f aca="false">ROUND(MAX(0,G95*(1+G$8)-AC96),2)</f>
        <v>0</v>
      </c>
      <c r="H96" s="27" t="n">
        <f aca="false">ROUND(MAX(0,H95*(1+H$8)-AD96),2)</f>
        <v>0</v>
      </c>
      <c r="I96" s="27" t="n">
        <f aca="false">ROUND(MAX(0,I95*(1+I$8)-AE96),2)</f>
        <v>0</v>
      </c>
      <c r="J96" s="27" t="n">
        <f aca="false">ROUND(MAX(0,J95*(1+J$8)-AF96),2)</f>
        <v>0</v>
      </c>
      <c r="K96" s="27" t="n">
        <f aca="false">ROUND(MAX(0,K95*(1+K$8)-AG96),2)</f>
        <v>0</v>
      </c>
      <c r="L96" s="30" t="n">
        <f aca="false">SUM(B96:K96)</f>
        <v>0</v>
      </c>
      <c r="M96" s="27" t="n">
        <f aca="false">SUMPRODUCT(B95:K95,$B$8:$K$8)</f>
        <v>0</v>
      </c>
      <c r="N96" s="27" t="n">
        <f aca="false">MIN(B95*(1+B$8),B$9)</f>
        <v>0</v>
      </c>
      <c r="O96" s="27" t="n">
        <f aca="false">MIN(C95*(1+C$8),C$9)</f>
        <v>0</v>
      </c>
      <c r="P96" s="27" t="n">
        <f aca="false">MIN(D95*(1+D$8),D$9)</f>
        <v>0</v>
      </c>
      <c r="Q96" s="27" t="n">
        <f aca="false">MIN(E95*(1+E$8),E$9)</f>
        <v>0</v>
      </c>
      <c r="R96" s="27" t="n">
        <f aca="false">MIN(F95*(1+F$8),F$9)</f>
        <v>0</v>
      </c>
      <c r="S96" s="27" t="n">
        <f aca="false">MIN(G95*(1+G$8),G$9)</f>
        <v>0</v>
      </c>
      <c r="T96" s="27" t="n">
        <f aca="false">MIN(H95*(1+H$8),H$9)</f>
        <v>0</v>
      </c>
      <c r="U96" s="27" t="n">
        <f aca="false">MIN(I95*(1+I$8),I$9)</f>
        <v>0</v>
      </c>
      <c r="V96" s="27" t="n">
        <f aca="false">MIN(J95*(1+J$8),J$9)</f>
        <v>0</v>
      </c>
      <c r="W96" s="27" t="n">
        <f aca="false">MIN(K95*(1+K$8),K$9)</f>
        <v>0</v>
      </c>
      <c r="X96" s="27" t="n">
        <f aca="false">MIN(B95*(1+B$8),MAX(N96,$B$11-SUM(O96:W96)))</f>
        <v>0</v>
      </c>
      <c r="Y96" s="27" t="n">
        <f aca="false">MIN(C95*(1+C$8),MAX(O96,$B$11-SUM(X96:X96)-SUM(P96:W96)))</f>
        <v>0</v>
      </c>
      <c r="Z96" s="27" t="n">
        <f aca="false">MIN(D95*(1+D$8),MAX(P96,$B$11-SUM(X96:Y96)-SUM(Q96:W96)))</f>
        <v>0</v>
      </c>
      <c r="AA96" s="27" t="n">
        <f aca="false">MIN(E95*(1+E$8),MAX(Q96,$B$11-SUM(X96:Z96)-SUM(R96:W96)))</f>
        <v>0</v>
      </c>
      <c r="AB96" s="27" t="n">
        <f aca="false">MIN(F95*(1+F$8),MAX(R96,$B$11-SUM(X96:AA96)-SUM(S96:W96)))</f>
        <v>0</v>
      </c>
      <c r="AC96" s="27" t="n">
        <f aca="false">MIN(G95*(1+G$8),MAX(S96,$B$11-SUM(X96:AB96)-SUM(T96:W96)))</f>
        <v>0</v>
      </c>
      <c r="AD96" s="27" t="n">
        <f aca="false">MIN(H95*(1+H$8),MAX(T96,$B$11-SUM(X96:AC96)-SUM(U96:W96)))</f>
        <v>0</v>
      </c>
      <c r="AE96" s="27" t="n">
        <f aca="false">MIN(I95*(1+I$8),MAX(U96,$B$11-SUM(X96:AD96)-SUM(V96:W96)))</f>
        <v>0</v>
      </c>
      <c r="AF96" s="27" t="n">
        <f aca="false">MIN(J95*(1+J$8),MAX(V96,$B$11-SUM(X96:AE96)-SUM(W96:W96)))</f>
        <v>0</v>
      </c>
      <c r="AG96" s="27" t="n">
        <f aca="false">MIN(K95*(1+K$8),MAX(W96,$B$11-SUM(X96:AF96)))</f>
        <v>0</v>
      </c>
      <c r="AI96" s="27" t="n">
        <f aca="false">ROUND(MAX(0,AI95*(1+B$8)-BE96),2)</f>
        <v>0</v>
      </c>
      <c r="AJ96" s="27" t="n">
        <f aca="false">ROUND(MAX(0,AJ95*(1+C$8)-BF96),2)</f>
        <v>0</v>
      </c>
      <c r="AK96" s="27" t="n">
        <f aca="false">ROUND(MAX(0,AK95*(1+D$8)-BG96),2)</f>
        <v>0</v>
      </c>
      <c r="AL96" s="27" t="n">
        <f aca="false">ROUND(MAX(0,AL95*(1+E$8)-BH96),2)</f>
        <v>0</v>
      </c>
      <c r="AM96" s="27" t="n">
        <f aca="false">ROUND(MAX(0,AM95*(1+F$8)-BI96),2)</f>
        <v>0</v>
      </c>
      <c r="AN96" s="27" t="n">
        <f aca="false">ROUND(MAX(0,AN95*(1+G$8)-BJ96),2)</f>
        <v>0</v>
      </c>
      <c r="AO96" s="27" t="n">
        <f aca="false">ROUND(MAX(0,AO95*(1+H$8)-BK96),2)</f>
        <v>0</v>
      </c>
      <c r="AP96" s="27" t="n">
        <f aca="false">ROUND(MAX(0,AP95*(1+I$8)-BL96),2)</f>
        <v>0</v>
      </c>
      <c r="AQ96" s="27" t="n">
        <f aca="false">ROUND(MAX(0,AQ95*(1+J$8)-BM96),2)</f>
        <v>0</v>
      </c>
      <c r="AR96" s="27" t="n">
        <f aca="false">ROUND(MAX(0,AR95*(1+K$8)-BN96),2)</f>
        <v>0</v>
      </c>
      <c r="AS96" s="27" t="n">
        <f aca="false">SUM(AI96:AR96)</f>
        <v>0</v>
      </c>
      <c r="AT96" s="27" t="n">
        <f aca="false">SUMPRODUCT(AI95:AR95,$B$8:$K$8)</f>
        <v>0</v>
      </c>
      <c r="AU96" s="27" t="n">
        <f aca="false">MIN(AI95*(1+B$8),B$9)</f>
        <v>0</v>
      </c>
      <c r="AV96" s="27" t="n">
        <f aca="false">MIN(AJ95*(1+C$8),C$9)</f>
        <v>0</v>
      </c>
      <c r="AW96" s="27" t="n">
        <f aca="false">MIN(AK95*(1+D$8),D$9)</f>
        <v>0</v>
      </c>
      <c r="AX96" s="27" t="n">
        <f aca="false">MIN(AL95*(1+E$8),E$9)</f>
        <v>0</v>
      </c>
      <c r="AY96" s="27" t="n">
        <f aca="false">MIN(AM95*(1+F$8),F$9)</f>
        <v>0</v>
      </c>
      <c r="AZ96" s="27" t="n">
        <f aca="false">MIN(AN95*(1+G$8),G$9)</f>
        <v>0</v>
      </c>
      <c r="BA96" s="27" t="n">
        <f aca="false">MIN(AO95*(1+H$8),H$9)</f>
        <v>0</v>
      </c>
      <c r="BB96" s="27" t="n">
        <f aca="false">MIN(AP95*(1+I$8),I$9)</f>
        <v>0</v>
      </c>
      <c r="BC96" s="27" t="n">
        <f aca="false">MIN(AQ95*(1+J$8),J$9)</f>
        <v>0</v>
      </c>
      <c r="BD96" s="27" t="n">
        <f aca="false">MIN(AR95*(1+K$8),K$9)</f>
        <v>0</v>
      </c>
      <c r="BE96" s="27" t="n">
        <f aca="false">MIN(AI95*(1+B$8),MAX(AU96,$B$12-SUM(AV96:BD96)))</f>
        <v>0</v>
      </c>
      <c r="BF96" s="27" t="n">
        <f aca="false">MIN(AJ95*(1+C$8),MAX(AV96,$B$12-SUM(BE96:BE96)-SUM(AW96:BD96)))</f>
        <v>0</v>
      </c>
      <c r="BG96" s="27" t="n">
        <f aca="false">MIN(AK95*(1+D$8),MAX(AW96,$B$12-SUM(BE96:BF96)-SUM(AX96:BD96)))</f>
        <v>0</v>
      </c>
      <c r="BH96" s="27" t="n">
        <f aca="false">MIN(AL95*(1+E$8),MAX(AX96,$B$12-SUM(BE96:BG96)-SUM(AY96:BD96)))</f>
        <v>0</v>
      </c>
      <c r="BI96" s="27" t="n">
        <f aca="false">MIN(AM95*(1+F$8),MAX(AY96,$B$12-SUM(BE96:BH96)-SUM(AZ96:BD96)))</f>
        <v>0</v>
      </c>
      <c r="BJ96" s="27" t="n">
        <f aca="false">MIN(AN95*(1+G$8),MAX(AZ96,$B$12-SUM(BE96:BI96)-SUM(BA96:BD96)))</f>
        <v>0</v>
      </c>
      <c r="BK96" s="27" t="n">
        <f aca="false">MIN(AO95*(1+H$8),MAX(BA96,$B$12-SUM(BE96:BJ96)-SUM(BB96:BD96)))</f>
        <v>0</v>
      </c>
      <c r="BL96" s="27" t="n">
        <f aca="false">MIN(AP95*(1+I$8),MAX(BB96,$B$12-SUM(BE96:BK96)-SUM(BC96:BD96)))</f>
        <v>0</v>
      </c>
      <c r="BM96" s="27" t="n">
        <f aca="false">MIN(AQ95*(1+J$8),MAX(BC96,$B$12-SUM(BE96:BL96)-SUM(BD96:BD96)))</f>
        <v>0</v>
      </c>
      <c r="BN96" s="27" t="n">
        <f aca="false">MIN(AR95*(1+K$8),MAX(BD96,$B$12-SUM(BE96:BM96)))</f>
        <v>0</v>
      </c>
    </row>
    <row r="97" customFormat="false" ht="15" hidden="false" customHeight="false" outlineLevel="0" collapsed="false">
      <c r="A97" s="0" t="n">
        <v>83</v>
      </c>
      <c r="B97" s="27" t="n">
        <f aca="false">ROUND(MAX(0,B96*(1+B$8)-X97),2)</f>
        <v>0</v>
      </c>
      <c r="C97" s="27" t="n">
        <f aca="false">ROUND(MAX(0,C96*(1+C$8)-Y97),2)</f>
        <v>0</v>
      </c>
      <c r="D97" s="27" t="n">
        <f aca="false">ROUND(MAX(0,D96*(1+D$8)-Z97),2)</f>
        <v>0</v>
      </c>
      <c r="E97" s="27" t="n">
        <f aca="false">ROUND(MAX(0,E96*(1+E$8)-AA97),2)</f>
        <v>0</v>
      </c>
      <c r="F97" s="27" t="n">
        <f aca="false">ROUND(MAX(0,F96*(1+F$8)-AB97),2)</f>
        <v>0</v>
      </c>
      <c r="G97" s="27" t="n">
        <f aca="false">ROUND(MAX(0,G96*(1+G$8)-AC97),2)</f>
        <v>0</v>
      </c>
      <c r="H97" s="27" t="n">
        <f aca="false">ROUND(MAX(0,H96*(1+H$8)-AD97),2)</f>
        <v>0</v>
      </c>
      <c r="I97" s="27" t="n">
        <f aca="false">ROUND(MAX(0,I96*(1+I$8)-AE97),2)</f>
        <v>0</v>
      </c>
      <c r="J97" s="27" t="n">
        <f aca="false">ROUND(MAX(0,J96*(1+J$8)-AF97),2)</f>
        <v>0</v>
      </c>
      <c r="K97" s="27" t="n">
        <f aca="false">ROUND(MAX(0,K96*(1+K$8)-AG97),2)</f>
        <v>0</v>
      </c>
      <c r="L97" s="30" t="n">
        <f aca="false">SUM(B97:K97)</f>
        <v>0</v>
      </c>
      <c r="M97" s="27" t="n">
        <f aca="false">SUMPRODUCT(B96:K96,$B$8:$K$8)</f>
        <v>0</v>
      </c>
      <c r="N97" s="27" t="n">
        <f aca="false">MIN(B96*(1+B$8),B$9)</f>
        <v>0</v>
      </c>
      <c r="O97" s="27" t="n">
        <f aca="false">MIN(C96*(1+C$8),C$9)</f>
        <v>0</v>
      </c>
      <c r="P97" s="27" t="n">
        <f aca="false">MIN(D96*(1+D$8),D$9)</f>
        <v>0</v>
      </c>
      <c r="Q97" s="27" t="n">
        <f aca="false">MIN(E96*(1+E$8),E$9)</f>
        <v>0</v>
      </c>
      <c r="R97" s="27" t="n">
        <f aca="false">MIN(F96*(1+F$8),F$9)</f>
        <v>0</v>
      </c>
      <c r="S97" s="27" t="n">
        <f aca="false">MIN(G96*(1+G$8),G$9)</f>
        <v>0</v>
      </c>
      <c r="T97" s="27" t="n">
        <f aca="false">MIN(H96*(1+H$8),H$9)</f>
        <v>0</v>
      </c>
      <c r="U97" s="27" t="n">
        <f aca="false">MIN(I96*(1+I$8),I$9)</f>
        <v>0</v>
      </c>
      <c r="V97" s="27" t="n">
        <f aca="false">MIN(J96*(1+J$8),J$9)</f>
        <v>0</v>
      </c>
      <c r="W97" s="27" t="n">
        <f aca="false">MIN(K96*(1+K$8),K$9)</f>
        <v>0</v>
      </c>
      <c r="X97" s="27" t="n">
        <f aca="false">MIN(B96*(1+B$8),MAX(N97,$B$11-SUM(O97:W97)))</f>
        <v>0</v>
      </c>
      <c r="Y97" s="27" t="n">
        <f aca="false">MIN(C96*(1+C$8),MAX(O97,$B$11-SUM(X97:X97)-SUM(P97:W97)))</f>
        <v>0</v>
      </c>
      <c r="Z97" s="27" t="n">
        <f aca="false">MIN(D96*(1+D$8),MAX(P97,$B$11-SUM(X97:Y97)-SUM(Q97:W97)))</f>
        <v>0</v>
      </c>
      <c r="AA97" s="27" t="n">
        <f aca="false">MIN(E96*(1+E$8),MAX(Q97,$B$11-SUM(X97:Z97)-SUM(R97:W97)))</f>
        <v>0</v>
      </c>
      <c r="AB97" s="27" t="n">
        <f aca="false">MIN(F96*(1+F$8),MAX(R97,$B$11-SUM(X97:AA97)-SUM(S97:W97)))</f>
        <v>0</v>
      </c>
      <c r="AC97" s="27" t="n">
        <f aca="false">MIN(G96*(1+G$8),MAX(S97,$B$11-SUM(X97:AB97)-SUM(T97:W97)))</f>
        <v>0</v>
      </c>
      <c r="AD97" s="27" t="n">
        <f aca="false">MIN(H96*(1+H$8),MAX(T97,$B$11-SUM(X97:AC97)-SUM(U97:W97)))</f>
        <v>0</v>
      </c>
      <c r="AE97" s="27" t="n">
        <f aca="false">MIN(I96*(1+I$8),MAX(U97,$B$11-SUM(X97:AD97)-SUM(V97:W97)))</f>
        <v>0</v>
      </c>
      <c r="AF97" s="27" t="n">
        <f aca="false">MIN(J96*(1+J$8),MAX(V97,$B$11-SUM(X97:AE97)-SUM(W97:W97)))</f>
        <v>0</v>
      </c>
      <c r="AG97" s="27" t="n">
        <f aca="false">MIN(K96*(1+K$8),MAX(W97,$B$11-SUM(X97:AF97)))</f>
        <v>0</v>
      </c>
      <c r="AI97" s="27" t="n">
        <f aca="false">ROUND(MAX(0,AI96*(1+B$8)-BE97),2)</f>
        <v>0</v>
      </c>
      <c r="AJ97" s="27" t="n">
        <f aca="false">ROUND(MAX(0,AJ96*(1+C$8)-BF97),2)</f>
        <v>0</v>
      </c>
      <c r="AK97" s="27" t="n">
        <f aca="false">ROUND(MAX(0,AK96*(1+D$8)-BG97),2)</f>
        <v>0</v>
      </c>
      <c r="AL97" s="27" t="n">
        <f aca="false">ROUND(MAX(0,AL96*(1+E$8)-BH97),2)</f>
        <v>0</v>
      </c>
      <c r="AM97" s="27" t="n">
        <f aca="false">ROUND(MAX(0,AM96*(1+F$8)-BI97),2)</f>
        <v>0</v>
      </c>
      <c r="AN97" s="27" t="n">
        <f aca="false">ROUND(MAX(0,AN96*(1+G$8)-BJ97),2)</f>
        <v>0</v>
      </c>
      <c r="AO97" s="27" t="n">
        <f aca="false">ROUND(MAX(0,AO96*(1+H$8)-BK97),2)</f>
        <v>0</v>
      </c>
      <c r="AP97" s="27" t="n">
        <f aca="false">ROUND(MAX(0,AP96*(1+I$8)-BL97),2)</f>
        <v>0</v>
      </c>
      <c r="AQ97" s="27" t="n">
        <f aca="false">ROUND(MAX(0,AQ96*(1+J$8)-BM97),2)</f>
        <v>0</v>
      </c>
      <c r="AR97" s="27" t="n">
        <f aca="false">ROUND(MAX(0,AR96*(1+K$8)-BN97),2)</f>
        <v>0</v>
      </c>
      <c r="AS97" s="27" t="n">
        <f aca="false">SUM(AI97:AR97)</f>
        <v>0</v>
      </c>
      <c r="AT97" s="27" t="n">
        <f aca="false">SUMPRODUCT(AI96:AR96,$B$8:$K$8)</f>
        <v>0</v>
      </c>
      <c r="AU97" s="27" t="n">
        <f aca="false">MIN(AI96*(1+B$8),B$9)</f>
        <v>0</v>
      </c>
      <c r="AV97" s="27" t="n">
        <f aca="false">MIN(AJ96*(1+C$8),C$9)</f>
        <v>0</v>
      </c>
      <c r="AW97" s="27" t="n">
        <f aca="false">MIN(AK96*(1+D$8),D$9)</f>
        <v>0</v>
      </c>
      <c r="AX97" s="27" t="n">
        <f aca="false">MIN(AL96*(1+E$8),E$9)</f>
        <v>0</v>
      </c>
      <c r="AY97" s="27" t="n">
        <f aca="false">MIN(AM96*(1+F$8),F$9)</f>
        <v>0</v>
      </c>
      <c r="AZ97" s="27" t="n">
        <f aca="false">MIN(AN96*(1+G$8),G$9)</f>
        <v>0</v>
      </c>
      <c r="BA97" s="27" t="n">
        <f aca="false">MIN(AO96*(1+H$8),H$9)</f>
        <v>0</v>
      </c>
      <c r="BB97" s="27" t="n">
        <f aca="false">MIN(AP96*(1+I$8),I$9)</f>
        <v>0</v>
      </c>
      <c r="BC97" s="27" t="n">
        <f aca="false">MIN(AQ96*(1+J$8),J$9)</f>
        <v>0</v>
      </c>
      <c r="BD97" s="27" t="n">
        <f aca="false">MIN(AR96*(1+K$8),K$9)</f>
        <v>0</v>
      </c>
      <c r="BE97" s="27" t="n">
        <f aca="false">MIN(AI96*(1+B$8),MAX(AU97,$B$12-SUM(AV97:BD97)))</f>
        <v>0</v>
      </c>
      <c r="BF97" s="27" t="n">
        <f aca="false">MIN(AJ96*(1+C$8),MAX(AV97,$B$12-SUM(BE97:BE97)-SUM(AW97:BD97)))</f>
        <v>0</v>
      </c>
      <c r="BG97" s="27" t="n">
        <f aca="false">MIN(AK96*(1+D$8),MAX(AW97,$B$12-SUM(BE97:BF97)-SUM(AX97:BD97)))</f>
        <v>0</v>
      </c>
      <c r="BH97" s="27" t="n">
        <f aca="false">MIN(AL96*(1+E$8),MAX(AX97,$B$12-SUM(BE97:BG97)-SUM(AY97:BD97)))</f>
        <v>0</v>
      </c>
      <c r="BI97" s="27" t="n">
        <f aca="false">MIN(AM96*(1+F$8),MAX(AY97,$B$12-SUM(BE97:BH97)-SUM(AZ97:BD97)))</f>
        <v>0</v>
      </c>
      <c r="BJ97" s="27" t="n">
        <f aca="false">MIN(AN96*(1+G$8),MAX(AZ97,$B$12-SUM(BE97:BI97)-SUM(BA97:BD97)))</f>
        <v>0</v>
      </c>
      <c r="BK97" s="27" t="n">
        <f aca="false">MIN(AO96*(1+H$8),MAX(BA97,$B$12-SUM(BE97:BJ97)-SUM(BB97:BD97)))</f>
        <v>0</v>
      </c>
      <c r="BL97" s="27" t="n">
        <f aca="false">MIN(AP96*(1+I$8),MAX(BB97,$B$12-SUM(BE97:BK97)-SUM(BC97:BD97)))</f>
        <v>0</v>
      </c>
      <c r="BM97" s="27" t="n">
        <f aca="false">MIN(AQ96*(1+J$8),MAX(BC97,$B$12-SUM(BE97:BL97)-SUM(BD97:BD97)))</f>
        <v>0</v>
      </c>
      <c r="BN97" s="27" t="n">
        <f aca="false">MIN(AR96*(1+K$8),MAX(BD97,$B$12-SUM(BE97:BM97)))</f>
        <v>0</v>
      </c>
    </row>
    <row r="98" customFormat="false" ht="15" hidden="false" customHeight="false" outlineLevel="0" collapsed="false">
      <c r="A98" s="0" t="n">
        <v>84</v>
      </c>
      <c r="B98" s="27" t="n">
        <f aca="false">ROUND(MAX(0,B97*(1+B$8)-X98),2)</f>
        <v>0</v>
      </c>
      <c r="C98" s="27" t="n">
        <f aca="false">ROUND(MAX(0,C97*(1+C$8)-Y98),2)</f>
        <v>0</v>
      </c>
      <c r="D98" s="27" t="n">
        <f aca="false">ROUND(MAX(0,D97*(1+D$8)-Z98),2)</f>
        <v>0</v>
      </c>
      <c r="E98" s="27" t="n">
        <f aca="false">ROUND(MAX(0,E97*(1+E$8)-AA98),2)</f>
        <v>0</v>
      </c>
      <c r="F98" s="27" t="n">
        <f aca="false">ROUND(MAX(0,F97*(1+F$8)-AB98),2)</f>
        <v>0</v>
      </c>
      <c r="G98" s="27" t="n">
        <f aca="false">ROUND(MAX(0,G97*(1+G$8)-AC98),2)</f>
        <v>0</v>
      </c>
      <c r="H98" s="27" t="n">
        <f aca="false">ROUND(MAX(0,H97*(1+H$8)-AD98),2)</f>
        <v>0</v>
      </c>
      <c r="I98" s="27" t="n">
        <f aca="false">ROUND(MAX(0,I97*(1+I$8)-AE98),2)</f>
        <v>0</v>
      </c>
      <c r="J98" s="27" t="n">
        <f aca="false">ROUND(MAX(0,J97*(1+J$8)-AF98),2)</f>
        <v>0</v>
      </c>
      <c r="K98" s="27" t="n">
        <f aca="false">ROUND(MAX(0,K97*(1+K$8)-AG98),2)</f>
        <v>0</v>
      </c>
      <c r="L98" s="30" t="n">
        <f aca="false">SUM(B98:K98)</f>
        <v>0</v>
      </c>
      <c r="M98" s="27" t="n">
        <f aca="false">SUMPRODUCT(B97:K97,$B$8:$K$8)</f>
        <v>0</v>
      </c>
      <c r="N98" s="27" t="n">
        <f aca="false">MIN(B97*(1+B$8),B$9)</f>
        <v>0</v>
      </c>
      <c r="O98" s="27" t="n">
        <f aca="false">MIN(C97*(1+C$8),C$9)</f>
        <v>0</v>
      </c>
      <c r="P98" s="27" t="n">
        <f aca="false">MIN(D97*(1+D$8),D$9)</f>
        <v>0</v>
      </c>
      <c r="Q98" s="27" t="n">
        <f aca="false">MIN(E97*(1+E$8),E$9)</f>
        <v>0</v>
      </c>
      <c r="R98" s="27" t="n">
        <f aca="false">MIN(F97*(1+F$8),F$9)</f>
        <v>0</v>
      </c>
      <c r="S98" s="27" t="n">
        <f aca="false">MIN(G97*(1+G$8),G$9)</f>
        <v>0</v>
      </c>
      <c r="T98" s="27" t="n">
        <f aca="false">MIN(H97*(1+H$8),H$9)</f>
        <v>0</v>
      </c>
      <c r="U98" s="27" t="n">
        <f aca="false">MIN(I97*(1+I$8),I$9)</f>
        <v>0</v>
      </c>
      <c r="V98" s="27" t="n">
        <f aca="false">MIN(J97*(1+J$8),J$9)</f>
        <v>0</v>
      </c>
      <c r="W98" s="27" t="n">
        <f aca="false">MIN(K97*(1+K$8),K$9)</f>
        <v>0</v>
      </c>
      <c r="X98" s="27" t="n">
        <f aca="false">MIN(B97*(1+B$8),MAX(N98,$B$11-SUM(O98:W98)))</f>
        <v>0</v>
      </c>
      <c r="Y98" s="27" t="n">
        <f aca="false">MIN(C97*(1+C$8),MAX(O98,$B$11-SUM(X98:X98)-SUM(P98:W98)))</f>
        <v>0</v>
      </c>
      <c r="Z98" s="27" t="n">
        <f aca="false">MIN(D97*(1+D$8),MAX(P98,$B$11-SUM(X98:Y98)-SUM(Q98:W98)))</f>
        <v>0</v>
      </c>
      <c r="AA98" s="27" t="n">
        <f aca="false">MIN(E97*(1+E$8),MAX(Q98,$B$11-SUM(X98:Z98)-SUM(R98:W98)))</f>
        <v>0</v>
      </c>
      <c r="AB98" s="27" t="n">
        <f aca="false">MIN(F97*(1+F$8),MAX(R98,$B$11-SUM(X98:AA98)-SUM(S98:W98)))</f>
        <v>0</v>
      </c>
      <c r="AC98" s="27" t="n">
        <f aca="false">MIN(G97*(1+G$8),MAX(S98,$B$11-SUM(X98:AB98)-SUM(T98:W98)))</f>
        <v>0</v>
      </c>
      <c r="AD98" s="27" t="n">
        <f aca="false">MIN(H97*(1+H$8),MAX(T98,$B$11-SUM(X98:AC98)-SUM(U98:W98)))</f>
        <v>0</v>
      </c>
      <c r="AE98" s="27" t="n">
        <f aca="false">MIN(I97*(1+I$8),MAX(U98,$B$11-SUM(X98:AD98)-SUM(V98:W98)))</f>
        <v>0</v>
      </c>
      <c r="AF98" s="27" t="n">
        <f aca="false">MIN(J97*(1+J$8),MAX(V98,$B$11-SUM(X98:AE98)-SUM(W98:W98)))</f>
        <v>0</v>
      </c>
      <c r="AG98" s="27" t="n">
        <f aca="false">MIN(K97*(1+K$8),MAX(W98,$B$11-SUM(X98:AF98)))</f>
        <v>0</v>
      </c>
      <c r="AI98" s="27" t="n">
        <f aca="false">ROUND(MAX(0,AI97*(1+B$8)-BE98),2)</f>
        <v>0</v>
      </c>
      <c r="AJ98" s="27" t="n">
        <f aca="false">ROUND(MAX(0,AJ97*(1+C$8)-BF98),2)</f>
        <v>0</v>
      </c>
      <c r="AK98" s="27" t="n">
        <f aca="false">ROUND(MAX(0,AK97*(1+D$8)-BG98),2)</f>
        <v>0</v>
      </c>
      <c r="AL98" s="27" t="n">
        <f aca="false">ROUND(MAX(0,AL97*(1+E$8)-BH98),2)</f>
        <v>0</v>
      </c>
      <c r="AM98" s="27" t="n">
        <f aca="false">ROUND(MAX(0,AM97*(1+F$8)-BI98),2)</f>
        <v>0</v>
      </c>
      <c r="AN98" s="27" t="n">
        <f aca="false">ROUND(MAX(0,AN97*(1+G$8)-BJ98),2)</f>
        <v>0</v>
      </c>
      <c r="AO98" s="27" t="n">
        <f aca="false">ROUND(MAX(0,AO97*(1+H$8)-BK98),2)</f>
        <v>0</v>
      </c>
      <c r="AP98" s="27" t="n">
        <f aca="false">ROUND(MAX(0,AP97*(1+I$8)-BL98),2)</f>
        <v>0</v>
      </c>
      <c r="AQ98" s="27" t="n">
        <f aca="false">ROUND(MAX(0,AQ97*(1+J$8)-BM98),2)</f>
        <v>0</v>
      </c>
      <c r="AR98" s="27" t="n">
        <f aca="false">ROUND(MAX(0,AR97*(1+K$8)-BN98),2)</f>
        <v>0</v>
      </c>
      <c r="AS98" s="27" t="n">
        <f aca="false">SUM(AI98:AR98)</f>
        <v>0</v>
      </c>
      <c r="AT98" s="27" t="n">
        <f aca="false">SUMPRODUCT(AI97:AR97,$B$8:$K$8)</f>
        <v>0</v>
      </c>
      <c r="AU98" s="27" t="n">
        <f aca="false">MIN(AI97*(1+B$8),B$9)</f>
        <v>0</v>
      </c>
      <c r="AV98" s="27" t="n">
        <f aca="false">MIN(AJ97*(1+C$8),C$9)</f>
        <v>0</v>
      </c>
      <c r="AW98" s="27" t="n">
        <f aca="false">MIN(AK97*(1+D$8),D$9)</f>
        <v>0</v>
      </c>
      <c r="AX98" s="27" t="n">
        <f aca="false">MIN(AL97*(1+E$8),E$9)</f>
        <v>0</v>
      </c>
      <c r="AY98" s="27" t="n">
        <f aca="false">MIN(AM97*(1+F$8),F$9)</f>
        <v>0</v>
      </c>
      <c r="AZ98" s="27" t="n">
        <f aca="false">MIN(AN97*(1+G$8),G$9)</f>
        <v>0</v>
      </c>
      <c r="BA98" s="27" t="n">
        <f aca="false">MIN(AO97*(1+H$8),H$9)</f>
        <v>0</v>
      </c>
      <c r="BB98" s="27" t="n">
        <f aca="false">MIN(AP97*(1+I$8),I$9)</f>
        <v>0</v>
      </c>
      <c r="BC98" s="27" t="n">
        <f aca="false">MIN(AQ97*(1+J$8),J$9)</f>
        <v>0</v>
      </c>
      <c r="BD98" s="27" t="n">
        <f aca="false">MIN(AR97*(1+K$8),K$9)</f>
        <v>0</v>
      </c>
      <c r="BE98" s="27" t="n">
        <f aca="false">MIN(AI97*(1+B$8),MAX(AU98,$B$12-SUM(AV98:BD98)))</f>
        <v>0</v>
      </c>
      <c r="BF98" s="27" t="n">
        <f aca="false">MIN(AJ97*(1+C$8),MAX(AV98,$B$12-SUM(BE98:BE98)-SUM(AW98:BD98)))</f>
        <v>0</v>
      </c>
      <c r="BG98" s="27" t="n">
        <f aca="false">MIN(AK97*(1+D$8),MAX(AW98,$B$12-SUM(BE98:BF98)-SUM(AX98:BD98)))</f>
        <v>0</v>
      </c>
      <c r="BH98" s="27" t="n">
        <f aca="false">MIN(AL97*(1+E$8),MAX(AX98,$B$12-SUM(BE98:BG98)-SUM(AY98:BD98)))</f>
        <v>0</v>
      </c>
      <c r="BI98" s="27" t="n">
        <f aca="false">MIN(AM97*(1+F$8),MAX(AY98,$B$12-SUM(BE98:BH98)-SUM(AZ98:BD98)))</f>
        <v>0</v>
      </c>
      <c r="BJ98" s="27" t="n">
        <f aca="false">MIN(AN97*(1+G$8),MAX(AZ98,$B$12-SUM(BE98:BI98)-SUM(BA98:BD98)))</f>
        <v>0</v>
      </c>
      <c r="BK98" s="27" t="n">
        <f aca="false">MIN(AO97*(1+H$8),MAX(BA98,$B$12-SUM(BE98:BJ98)-SUM(BB98:BD98)))</f>
        <v>0</v>
      </c>
      <c r="BL98" s="27" t="n">
        <f aca="false">MIN(AP97*(1+I$8),MAX(BB98,$B$12-SUM(BE98:BK98)-SUM(BC98:BD98)))</f>
        <v>0</v>
      </c>
      <c r="BM98" s="27" t="n">
        <f aca="false">MIN(AQ97*(1+J$8),MAX(BC98,$B$12-SUM(BE98:BL98)-SUM(BD98:BD98)))</f>
        <v>0</v>
      </c>
      <c r="BN98" s="27" t="n">
        <f aca="false">MIN(AR97*(1+K$8),MAX(BD98,$B$12-SUM(BE98:BM98)))</f>
        <v>0</v>
      </c>
    </row>
    <row r="99" customFormat="false" ht="15" hidden="false" customHeight="false" outlineLevel="0" collapsed="false">
      <c r="A99" s="0" t="n">
        <v>85</v>
      </c>
      <c r="B99" s="27" t="n">
        <f aca="false">ROUND(MAX(0,B98*(1+B$8)-X99),2)</f>
        <v>0</v>
      </c>
      <c r="C99" s="27" t="n">
        <f aca="false">ROUND(MAX(0,C98*(1+C$8)-Y99),2)</f>
        <v>0</v>
      </c>
      <c r="D99" s="27" t="n">
        <f aca="false">ROUND(MAX(0,D98*(1+D$8)-Z99),2)</f>
        <v>0</v>
      </c>
      <c r="E99" s="27" t="n">
        <f aca="false">ROUND(MAX(0,E98*(1+E$8)-AA99),2)</f>
        <v>0</v>
      </c>
      <c r="F99" s="27" t="n">
        <f aca="false">ROUND(MAX(0,F98*(1+F$8)-AB99),2)</f>
        <v>0</v>
      </c>
      <c r="G99" s="27" t="n">
        <f aca="false">ROUND(MAX(0,G98*(1+G$8)-AC99),2)</f>
        <v>0</v>
      </c>
      <c r="H99" s="27" t="n">
        <f aca="false">ROUND(MAX(0,H98*(1+H$8)-AD99),2)</f>
        <v>0</v>
      </c>
      <c r="I99" s="27" t="n">
        <f aca="false">ROUND(MAX(0,I98*(1+I$8)-AE99),2)</f>
        <v>0</v>
      </c>
      <c r="J99" s="27" t="n">
        <f aca="false">ROUND(MAX(0,J98*(1+J$8)-AF99),2)</f>
        <v>0</v>
      </c>
      <c r="K99" s="27" t="n">
        <f aca="false">ROUND(MAX(0,K98*(1+K$8)-AG99),2)</f>
        <v>0</v>
      </c>
      <c r="L99" s="30" t="n">
        <f aca="false">SUM(B99:K99)</f>
        <v>0</v>
      </c>
      <c r="M99" s="27" t="n">
        <f aca="false">SUMPRODUCT(B98:K98,$B$8:$K$8)</f>
        <v>0</v>
      </c>
      <c r="N99" s="27" t="n">
        <f aca="false">MIN(B98*(1+B$8),B$9)</f>
        <v>0</v>
      </c>
      <c r="O99" s="27" t="n">
        <f aca="false">MIN(C98*(1+C$8),C$9)</f>
        <v>0</v>
      </c>
      <c r="P99" s="27" t="n">
        <f aca="false">MIN(D98*(1+D$8),D$9)</f>
        <v>0</v>
      </c>
      <c r="Q99" s="27" t="n">
        <f aca="false">MIN(E98*(1+E$8),E$9)</f>
        <v>0</v>
      </c>
      <c r="R99" s="27" t="n">
        <f aca="false">MIN(F98*(1+F$8),F$9)</f>
        <v>0</v>
      </c>
      <c r="S99" s="27" t="n">
        <f aca="false">MIN(G98*(1+G$8),G$9)</f>
        <v>0</v>
      </c>
      <c r="T99" s="27" t="n">
        <f aca="false">MIN(H98*(1+H$8),H$9)</f>
        <v>0</v>
      </c>
      <c r="U99" s="27" t="n">
        <f aca="false">MIN(I98*(1+I$8),I$9)</f>
        <v>0</v>
      </c>
      <c r="V99" s="27" t="n">
        <f aca="false">MIN(J98*(1+J$8),J$9)</f>
        <v>0</v>
      </c>
      <c r="W99" s="27" t="n">
        <f aca="false">MIN(K98*(1+K$8),K$9)</f>
        <v>0</v>
      </c>
      <c r="X99" s="27" t="n">
        <f aca="false">MIN(B98*(1+B$8),MAX(N99,$B$11-SUM(O99:W99)))</f>
        <v>0</v>
      </c>
      <c r="Y99" s="27" t="n">
        <f aca="false">MIN(C98*(1+C$8),MAX(O99,$B$11-SUM(X99:X99)-SUM(P99:W99)))</f>
        <v>0</v>
      </c>
      <c r="Z99" s="27" t="n">
        <f aca="false">MIN(D98*(1+D$8),MAX(P99,$B$11-SUM(X99:Y99)-SUM(Q99:W99)))</f>
        <v>0</v>
      </c>
      <c r="AA99" s="27" t="n">
        <f aca="false">MIN(E98*(1+E$8),MAX(Q99,$B$11-SUM(X99:Z99)-SUM(R99:W99)))</f>
        <v>0</v>
      </c>
      <c r="AB99" s="27" t="n">
        <f aca="false">MIN(F98*(1+F$8),MAX(R99,$B$11-SUM(X99:AA99)-SUM(S99:W99)))</f>
        <v>0</v>
      </c>
      <c r="AC99" s="27" t="n">
        <f aca="false">MIN(G98*(1+G$8),MAX(S99,$B$11-SUM(X99:AB99)-SUM(T99:W99)))</f>
        <v>0</v>
      </c>
      <c r="AD99" s="27" t="n">
        <f aca="false">MIN(H98*(1+H$8),MAX(T99,$B$11-SUM(X99:AC99)-SUM(U99:W99)))</f>
        <v>0</v>
      </c>
      <c r="AE99" s="27" t="n">
        <f aca="false">MIN(I98*(1+I$8),MAX(U99,$B$11-SUM(X99:AD99)-SUM(V99:W99)))</f>
        <v>0</v>
      </c>
      <c r="AF99" s="27" t="n">
        <f aca="false">MIN(J98*(1+J$8),MAX(V99,$B$11-SUM(X99:AE99)-SUM(W99:W99)))</f>
        <v>0</v>
      </c>
      <c r="AG99" s="27" t="n">
        <f aca="false">MIN(K98*(1+K$8),MAX(W99,$B$11-SUM(X99:AF99)))</f>
        <v>0</v>
      </c>
      <c r="AI99" s="27" t="n">
        <f aca="false">ROUND(MAX(0,AI98*(1+B$8)-BE99),2)</f>
        <v>0</v>
      </c>
      <c r="AJ99" s="27" t="n">
        <f aca="false">ROUND(MAX(0,AJ98*(1+C$8)-BF99),2)</f>
        <v>0</v>
      </c>
      <c r="AK99" s="27" t="n">
        <f aca="false">ROUND(MAX(0,AK98*(1+D$8)-BG99),2)</f>
        <v>0</v>
      </c>
      <c r="AL99" s="27" t="n">
        <f aca="false">ROUND(MAX(0,AL98*(1+E$8)-BH99),2)</f>
        <v>0</v>
      </c>
      <c r="AM99" s="27" t="n">
        <f aca="false">ROUND(MAX(0,AM98*(1+F$8)-BI99),2)</f>
        <v>0</v>
      </c>
      <c r="AN99" s="27" t="n">
        <f aca="false">ROUND(MAX(0,AN98*(1+G$8)-BJ99),2)</f>
        <v>0</v>
      </c>
      <c r="AO99" s="27" t="n">
        <f aca="false">ROUND(MAX(0,AO98*(1+H$8)-BK99),2)</f>
        <v>0</v>
      </c>
      <c r="AP99" s="27" t="n">
        <f aca="false">ROUND(MAX(0,AP98*(1+I$8)-BL99),2)</f>
        <v>0</v>
      </c>
      <c r="AQ99" s="27" t="n">
        <f aca="false">ROUND(MAX(0,AQ98*(1+J$8)-BM99),2)</f>
        <v>0</v>
      </c>
      <c r="AR99" s="27" t="n">
        <f aca="false">ROUND(MAX(0,AR98*(1+K$8)-BN99),2)</f>
        <v>0</v>
      </c>
      <c r="AS99" s="27" t="n">
        <f aca="false">SUM(AI99:AR99)</f>
        <v>0</v>
      </c>
      <c r="AT99" s="27" t="n">
        <f aca="false">SUMPRODUCT(AI98:AR98,$B$8:$K$8)</f>
        <v>0</v>
      </c>
      <c r="AU99" s="27" t="n">
        <f aca="false">MIN(AI98*(1+B$8),B$9)</f>
        <v>0</v>
      </c>
      <c r="AV99" s="27" t="n">
        <f aca="false">MIN(AJ98*(1+C$8),C$9)</f>
        <v>0</v>
      </c>
      <c r="AW99" s="27" t="n">
        <f aca="false">MIN(AK98*(1+D$8),D$9)</f>
        <v>0</v>
      </c>
      <c r="AX99" s="27" t="n">
        <f aca="false">MIN(AL98*(1+E$8),E$9)</f>
        <v>0</v>
      </c>
      <c r="AY99" s="27" t="n">
        <f aca="false">MIN(AM98*(1+F$8),F$9)</f>
        <v>0</v>
      </c>
      <c r="AZ99" s="27" t="n">
        <f aca="false">MIN(AN98*(1+G$8),G$9)</f>
        <v>0</v>
      </c>
      <c r="BA99" s="27" t="n">
        <f aca="false">MIN(AO98*(1+H$8),H$9)</f>
        <v>0</v>
      </c>
      <c r="BB99" s="27" t="n">
        <f aca="false">MIN(AP98*(1+I$8),I$9)</f>
        <v>0</v>
      </c>
      <c r="BC99" s="27" t="n">
        <f aca="false">MIN(AQ98*(1+J$8),J$9)</f>
        <v>0</v>
      </c>
      <c r="BD99" s="27" t="n">
        <f aca="false">MIN(AR98*(1+K$8),K$9)</f>
        <v>0</v>
      </c>
      <c r="BE99" s="27" t="n">
        <f aca="false">MIN(AI98*(1+B$8),MAX(AU99,$B$12-SUM(AV99:BD99)))</f>
        <v>0</v>
      </c>
      <c r="BF99" s="27" t="n">
        <f aca="false">MIN(AJ98*(1+C$8),MAX(AV99,$B$12-SUM(BE99:BE99)-SUM(AW99:BD99)))</f>
        <v>0</v>
      </c>
      <c r="BG99" s="27" t="n">
        <f aca="false">MIN(AK98*(1+D$8),MAX(AW99,$B$12-SUM(BE99:BF99)-SUM(AX99:BD99)))</f>
        <v>0</v>
      </c>
      <c r="BH99" s="27" t="n">
        <f aca="false">MIN(AL98*(1+E$8),MAX(AX99,$B$12-SUM(BE99:BG99)-SUM(AY99:BD99)))</f>
        <v>0</v>
      </c>
      <c r="BI99" s="27" t="n">
        <f aca="false">MIN(AM98*(1+F$8),MAX(AY99,$B$12-SUM(BE99:BH99)-SUM(AZ99:BD99)))</f>
        <v>0</v>
      </c>
      <c r="BJ99" s="27" t="n">
        <f aca="false">MIN(AN98*(1+G$8),MAX(AZ99,$B$12-SUM(BE99:BI99)-SUM(BA99:BD99)))</f>
        <v>0</v>
      </c>
      <c r="BK99" s="27" t="n">
        <f aca="false">MIN(AO98*(1+H$8),MAX(BA99,$B$12-SUM(BE99:BJ99)-SUM(BB99:BD99)))</f>
        <v>0</v>
      </c>
      <c r="BL99" s="27" t="n">
        <f aca="false">MIN(AP98*(1+I$8),MAX(BB99,$B$12-SUM(BE99:BK99)-SUM(BC99:BD99)))</f>
        <v>0</v>
      </c>
      <c r="BM99" s="27" t="n">
        <f aca="false">MIN(AQ98*(1+J$8),MAX(BC99,$B$12-SUM(BE99:BL99)-SUM(BD99:BD99)))</f>
        <v>0</v>
      </c>
      <c r="BN99" s="27" t="n">
        <f aca="false">MIN(AR98*(1+K$8),MAX(BD99,$B$12-SUM(BE99:BM99)))</f>
        <v>0</v>
      </c>
    </row>
    <row r="100" customFormat="false" ht="15" hidden="false" customHeight="false" outlineLevel="0" collapsed="false">
      <c r="A100" s="0" t="n">
        <v>86</v>
      </c>
      <c r="B100" s="27" t="n">
        <f aca="false">ROUND(MAX(0,B99*(1+B$8)-X100),2)</f>
        <v>0</v>
      </c>
      <c r="C100" s="27" t="n">
        <f aca="false">ROUND(MAX(0,C99*(1+C$8)-Y100),2)</f>
        <v>0</v>
      </c>
      <c r="D100" s="27" t="n">
        <f aca="false">ROUND(MAX(0,D99*(1+D$8)-Z100),2)</f>
        <v>0</v>
      </c>
      <c r="E100" s="27" t="n">
        <f aca="false">ROUND(MAX(0,E99*(1+E$8)-AA100),2)</f>
        <v>0</v>
      </c>
      <c r="F100" s="27" t="n">
        <f aca="false">ROUND(MAX(0,F99*(1+F$8)-AB100),2)</f>
        <v>0</v>
      </c>
      <c r="G100" s="27" t="n">
        <f aca="false">ROUND(MAX(0,G99*(1+G$8)-AC100),2)</f>
        <v>0</v>
      </c>
      <c r="H100" s="27" t="n">
        <f aca="false">ROUND(MAX(0,H99*(1+H$8)-AD100),2)</f>
        <v>0</v>
      </c>
      <c r="I100" s="27" t="n">
        <f aca="false">ROUND(MAX(0,I99*(1+I$8)-AE100),2)</f>
        <v>0</v>
      </c>
      <c r="J100" s="27" t="n">
        <f aca="false">ROUND(MAX(0,J99*(1+J$8)-AF100),2)</f>
        <v>0</v>
      </c>
      <c r="K100" s="27" t="n">
        <f aca="false">ROUND(MAX(0,K99*(1+K$8)-AG100),2)</f>
        <v>0</v>
      </c>
      <c r="L100" s="30" t="n">
        <f aca="false">SUM(B100:K100)</f>
        <v>0</v>
      </c>
      <c r="M100" s="27" t="n">
        <f aca="false">SUMPRODUCT(B99:K99,$B$8:$K$8)</f>
        <v>0</v>
      </c>
      <c r="N100" s="27" t="n">
        <f aca="false">MIN(B99*(1+B$8),B$9)</f>
        <v>0</v>
      </c>
      <c r="O100" s="27" t="n">
        <f aca="false">MIN(C99*(1+C$8),C$9)</f>
        <v>0</v>
      </c>
      <c r="P100" s="27" t="n">
        <f aca="false">MIN(D99*(1+D$8),D$9)</f>
        <v>0</v>
      </c>
      <c r="Q100" s="27" t="n">
        <f aca="false">MIN(E99*(1+E$8),E$9)</f>
        <v>0</v>
      </c>
      <c r="R100" s="27" t="n">
        <f aca="false">MIN(F99*(1+F$8),F$9)</f>
        <v>0</v>
      </c>
      <c r="S100" s="27" t="n">
        <f aca="false">MIN(G99*(1+G$8),G$9)</f>
        <v>0</v>
      </c>
      <c r="T100" s="27" t="n">
        <f aca="false">MIN(H99*(1+H$8),H$9)</f>
        <v>0</v>
      </c>
      <c r="U100" s="27" t="n">
        <f aca="false">MIN(I99*(1+I$8),I$9)</f>
        <v>0</v>
      </c>
      <c r="V100" s="27" t="n">
        <f aca="false">MIN(J99*(1+J$8),J$9)</f>
        <v>0</v>
      </c>
      <c r="W100" s="27" t="n">
        <f aca="false">MIN(K99*(1+K$8),K$9)</f>
        <v>0</v>
      </c>
      <c r="X100" s="27" t="n">
        <f aca="false">MIN(B99*(1+B$8),MAX(N100,$B$11-SUM(O100:W100)))</f>
        <v>0</v>
      </c>
      <c r="Y100" s="27" t="n">
        <f aca="false">MIN(C99*(1+C$8),MAX(O100,$B$11-SUM(X100:X100)-SUM(P100:W100)))</f>
        <v>0</v>
      </c>
      <c r="Z100" s="27" t="n">
        <f aca="false">MIN(D99*(1+D$8),MAX(P100,$B$11-SUM(X100:Y100)-SUM(Q100:W100)))</f>
        <v>0</v>
      </c>
      <c r="AA100" s="27" t="n">
        <f aca="false">MIN(E99*(1+E$8),MAX(Q100,$B$11-SUM(X100:Z100)-SUM(R100:W100)))</f>
        <v>0</v>
      </c>
      <c r="AB100" s="27" t="n">
        <f aca="false">MIN(F99*(1+F$8),MAX(R100,$B$11-SUM(X100:AA100)-SUM(S100:W100)))</f>
        <v>0</v>
      </c>
      <c r="AC100" s="27" t="n">
        <f aca="false">MIN(G99*(1+G$8),MAX(S100,$B$11-SUM(X100:AB100)-SUM(T100:W100)))</f>
        <v>0</v>
      </c>
      <c r="AD100" s="27" t="n">
        <f aca="false">MIN(H99*(1+H$8),MAX(T100,$B$11-SUM(X100:AC100)-SUM(U100:W100)))</f>
        <v>0</v>
      </c>
      <c r="AE100" s="27" t="n">
        <f aca="false">MIN(I99*(1+I$8),MAX(U100,$B$11-SUM(X100:AD100)-SUM(V100:W100)))</f>
        <v>0</v>
      </c>
      <c r="AF100" s="27" t="n">
        <f aca="false">MIN(J99*(1+J$8),MAX(V100,$B$11-SUM(X100:AE100)-SUM(W100:W100)))</f>
        <v>0</v>
      </c>
      <c r="AG100" s="27" t="n">
        <f aca="false">MIN(K99*(1+K$8),MAX(W100,$B$11-SUM(X100:AF100)))</f>
        <v>0</v>
      </c>
      <c r="AI100" s="27" t="n">
        <f aca="false">ROUND(MAX(0,AI99*(1+B$8)-BE100),2)</f>
        <v>0</v>
      </c>
      <c r="AJ100" s="27" t="n">
        <f aca="false">ROUND(MAX(0,AJ99*(1+C$8)-BF100),2)</f>
        <v>0</v>
      </c>
      <c r="AK100" s="27" t="n">
        <f aca="false">ROUND(MAX(0,AK99*(1+D$8)-BG100),2)</f>
        <v>0</v>
      </c>
      <c r="AL100" s="27" t="n">
        <f aca="false">ROUND(MAX(0,AL99*(1+E$8)-BH100),2)</f>
        <v>0</v>
      </c>
      <c r="AM100" s="27" t="n">
        <f aca="false">ROUND(MAX(0,AM99*(1+F$8)-BI100),2)</f>
        <v>0</v>
      </c>
      <c r="AN100" s="27" t="n">
        <f aca="false">ROUND(MAX(0,AN99*(1+G$8)-BJ100),2)</f>
        <v>0</v>
      </c>
      <c r="AO100" s="27" t="n">
        <f aca="false">ROUND(MAX(0,AO99*(1+H$8)-BK100),2)</f>
        <v>0</v>
      </c>
      <c r="AP100" s="27" t="n">
        <f aca="false">ROUND(MAX(0,AP99*(1+I$8)-BL100),2)</f>
        <v>0</v>
      </c>
      <c r="AQ100" s="27" t="n">
        <f aca="false">ROUND(MAX(0,AQ99*(1+J$8)-BM100),2)</f>
        <v>0</v>
      </c>
      <c r="AR100" s="27" t="n">
        <f aca="false">ROUND(MAX(0,AR99*(1+K$8)-BN100),2)</f>
        <v>0</v>
      </c>
      <c r="AS100" s="27" t="n">
        <f aca="false">SUM(AI100:AR100)</f>
        <v>0</v>
      </c>
      <c r="AT100" s="27" t="n">
        <f aca="false">SUMPRODUCT(AI99:AR99,$B$8:$K$8)</f>
        <v>0</v>
      </c>
      <c r="AU100" s="27" t="n">
        <f aca="false">MIN(AI99*(1+B$8),B$9)</f>
        <v>0</v>
      </c>
      <c r="AV100" s="27" t="n">
        <f aca="false">MIN(AJ99*(1+C$8),C$9)</f>
        <v>0</v>
      </c>
      <c r="AW100" s="27" t="n">
        <f aca="false">MIN(AK99*(1+D$8),D$9)</f>
        <v>0</v>
      </c>
      <c r="AX100" s="27" t="n">
        <f aca="false">MIN(AL99*(1+E$8),E$9)</f>
        <v>0</v>
      </c>
      <c r="AY100" s="27" t="n">
        <f aca="false">MIN(AM99*(1+F$8),F$9)</f>
        <v>0</v>
      </c>
      <c r="AZ100" s="27" t="n">
        <f aca="false">MIN(AN99*(1+G$8),G$9)</f>
        <v>0</v>
      </c>
      <c r="BA100" s="27" t="n">
        <f aca="false">MIN(AO99*(1+H$8),H$9)</f>
        <v>0</v>
      </c>
      <c r="BB100" s="27" t="n">
        <f aca="false">MIN(AP99*(1+I$8),I$9)</f>
        <v>0</v>
      </c>
      <c r="BC100" s="27" t="n">
        <f aca="false">MIN(AQ99*(1+J$8),J$9)</f>
        <v>0</v>
      </c>
      <c r="BD100" s="27" t="n">
        <f aca="false">MIN(AR99*(1+K$8),K$9)</f>
        <v>0</v>
      </c>
      <c r="BE100" s="27" t="n">
        <f aca="false">MIN(AI99*(1+B$8),MAX(AU100,$B$12-SUM(AV100:BD100)))</f>
        <v>0</v>
      </c>
      <c r="BF100" s="27" t="n">
        <f aca="false">MIN(AJ99*(1+C$8),MAX(AV100,$B$12-SUM(BE100:BE100)-SUM(AW100:BD100)))</f>
        <v>0</v>
      </c>
      <c r="BG100" s="27" t="n">
        <f aca="false">MIN(AK99*(1+D$8),MAX(AW100,$B$12-SUM(BE100:BF100)-SUM(AX100:BD100)))</f>
        <v>0</v>
      </c>
      <c r="BH100" s="27" t="n">
        <f aca="false">MIN(AL99*(1+E$8),MAX(AX100,$B$12-SUM(BE100:BG100)-SUM(AY100:BD100)))</f>
        <v>0</v>
      </c>
      <c r="BI100" s="27" t="n">
        <f aca="false">MIN(AM99*(1+F$8),MAX(AY100,$B$12-SUM(BE100:BH100)-SUM(AZ100:BD100)))</f>
        <v>0</v>
      </c>
      <c r="BJ100" s="27" t="n">
        <f aca="false">MIN(AN99*(1+G$8),MAX(AZ100,$B$12-SUM(BE100:BI100)-SUM(BA100:BD100)))</f>
        <v>0</v>
      </c>
      <c r="BK100" s="27" t="n">
        <f aca="false">MIN(AO99*(1+H$8),MAX(BA100,$B$12-SUM(BE100:BJ100)-SUM(BB100:BD100)))</f>
        <v>0</v>
      </c>
      <c r="BL100" s="27" t="n">
        <f aca="false">MIN(AP99*(1+I$8),MAX(BB100,$B$12-SUM(BE100:BK100)-SUM(BC100:BD100)))</f>
        <v>0</v>
      </c>
      <c r="BM100" s="27" t="n">
        <f aca="false">MIN(AQ99*(1+J$8),MAX(BC100,$B$12-SUM(BE100:BL100)-SUM(BD100:BD100)))</f>
        <v>0</v>
      </c>
      <c r="BN100" s="27" t="n">
        <f aca="false">MIN(AR99*(1+K$8),MAX(BD100,$B$12-SUM(BE100:BM100)))</f>
        <v>0</v>
      </c>
    </row>
    <row r="101" customFormat="false" ht="15" hidden="false" customHeight="false" outlineLevel="0" collapsed="false">
      <c r="A101" s="0" t="n">
        <v>87</v>
      </c>
      <c r="B101" s="27" t="n">
        <f aca="false">ROUND(MAX(0,B100*(1+B$8)-X101),2)</f>
        <v>0</v>
      </c>
      <c r="C101" s="27" t="n">
        <f aca="false">ROUND(MAX(0,C100*(1+C$8)-Y101),2)</f>
        <v>0</v>
      </c>
      <c r="D101" s="27" t="n">
        <f aca="false">ROUND(MAX(0,D100*(1+D$8)-Z101),2)</f>
        <v>0</v>
      </c>
      <c r="E101" s="27" t="n">
        <f aca="false">ROUND(MAX(0,E100*(1+E$8)-AA101),2)</f>
        <v>0</v>
      </c>
      <c r="F101" s="27" t="n">
        <f aca="false">ROUND(MAX(0,F100*(1+F$8)-AB101),2)</f>
        <v>0</v>
      </c>
      <c r="G101" s="27" t="n">
        <f aca="false">ROUND(MAX(0,G100*(1+G$8)-AC101),2)</f>
        <v>0</v>
      </c>
      <c r="H101" s="27" t="n">
        <f aca="false">ROUND(MAX(0,H100*(1+H$8)-AD101),2)</f>
        <v>0</v>
      </c>
      <c r="I101" s="27" t="n">
        <f aca="false">ROUND(MAX(0,I100*(1+I$8)-AE101),2)</f>
        <v>0</v>
      </c>
      <c r="J101" s="27" t="n">
        <f aca="false">ROUND(MAX(0,J100*(1+J$8)-AF101),2)</f>
        <v>0</v>
      </c>
      <c r="K101" s="27" t="n">
        <f aca="false">ROUND(MAX(0,K100*(1+K$8)-AG101),2)</f>
        <v>0</v>
      </c>
      <c r="L101" s="30" t="n">
        <f aca="false">SUM(B101:K101)</f>
        <v>0</v>
      </c>
      <c r="M101" s="27" t="n">
        <f aca="false">SUMPRODUCT(B100:K100,$B$8:$K$8)</f>
        <v>0</v>
      </c>
      <c r="N101" s="27" t="n">
        <f aca="false">MIN(B100*(1+B$8),B$9)</f>
        <v>0</v>
      </c>
      <c r="O101" s="27" t="n">
        <f aca="false">MIN(C100*(1+C$8),C$9)</f>
        <v>0</v>
      </c>
      <c r="P101" s="27" t="n">
        <f aca="false">MIN(D100*(1+D$8),D$9)</f>
        <v>0</v>
      </c>
      <c r="Q101" s="27" t="n">
        <f aca="false">MIN(E100*(1+E$8),E$9)</f>
        <v>0</v>
      </c>
      <c r="R101" s="27" t="n">
        <f aca="false">MIN(F100*(1+F$8),F$9)</f>
        <v>0</v>
      </c>
      <c r="S101" s="27" t="n">
        <f aca="false">MIN(G100*(1+G$8),G$9)</f>
        <v>0</v>
      </c>
      <c r="T101" s="27" t="n">
        <f aca="false">MIN(H100*(1+H$8),H$9)</f>
        <v>0</v>
      </c>
      <c r="U101" s="27" t="n">
        <f aca="false">MIN(I100*(1+I$8),I$9)</f>
        <v>0</v>
      </c>
      <c r="V101" s="27" t="n">
        <f aca="false">MIN(J100*(1+J$8),J$9)</f>
        <v>0</v>
      </c>
      <c r="W101" s="27" t="n">
        <f aca="false">MIN(K100*(1+K$8),K$9)</f>
        <v>0</v>
      </c>
      <c r="X101" s="27" t="n">
        <f aca="false">MIN(B100*(1+B$8),MAX(N101,$B$11-SUM(O101:W101)))</f>
        <v>0</v>
      </c>
      <c r="Y101" s="27" t="n">
        <f aca="false">MIN(C100*(1+C$8),MAX(O101,$B$11-SUM(X101:X101)-SUM(P101:W101)))</f>
        <v>0</v>
      </c>
      <c r="Z101" s="27" t="n">
        <f aca="false">MIN(D100*(1+D$8),MAX(P101,$B$11-SUM(X101:Y101)-SUM(Q101:W101)))</f>
        <v>0</v>
      </c>
      <c r="AA101" s="27" t="n">
        <f aca="false">MIN(E100*(1+E$8),MAX(Q101,$B$11-SUM(X101:Z101)-SUM(R101:W101)))</f>
        <v>0</v>
      </c>
      <c r="AB101" s="27" t="n">
        <f aca="false">MIN(F100*(1+F$8),MAX(R101,$B$11-SUM(X101:AA101)-SUM(S101:W101)))</f>
        <v>0</v>
      </c>
      <c r="AC101" s="27" t="n">
        <f aca="false">MIN(G100*(1+G$8),MAX(S101,$B$11-SUM(X101:AB101)-SUM(T101:W101)))</f>
        <v>0</v>
      </c>
      <c r="AD101" s="27" t="n">
        <f aca="false">MIN(H100*(1+H$8),MAX(T101,$B$11-SUM(X101:AC101)-SUM(U101:W101)))</f>
        <v>0</v>
      </c>
      <c r="AE101" s="27" t="n">
        <f aca="false">MIN(I100*(1+I$8),MAX(U101,$B$11-SUM(X101:AD101)-SUM(V101:W101)))</f>
        <v>0</v>
      </c>
      <c r="AF101" s="27" t="n">
        <f aca="false">MIN(J100*(1+J$8),MAX(V101,$B$11-SUM(X101:AE101)-SUM(W101:W101)))</f>
        <v>0</v>
      </c>
      <c r="AG101" s="27" t="n">
        <f aca="false">MIN(K100*(1+K$8),MAX(W101,$B$11-SUM(X101:AF101)))</f>
        <v>0</v>
      </c>
      <c r="AI101" s="27" t="n">
        <f aca="false">ROUND(MAX(0,AI100*(1+B$8)-BE101),2)</f>
        <v>0</v>
      </c>
      <c r="AJ101" s="27" t="n">
        <f aca="false">ROUND(MAX(0,AJ100*(1+C$8)-BF101),2)</f>
        <v>0</v>
      </c>
      <c r="AK101" s="27" t="n">
        <f aca="false">ROUND(MAX(0,AK100*(1+D$8)-BG101),2)</f>
        <v>0</v>
      </c>
      <c r="AL101" s="27" t="n">
        <f aca="false">ROUND(MAX(0,AL100*(1+E$8)-BH101),2)</f>
        <v>0</v>
      </c>
      <c r="AM101" s="27" t="n">
        <f aca="false">ROUND(MAX(0,AM100*(1+F$8)-BI101),2)</f>
        <v>0</v>
      </c>
      <c r="AN101" s="27" t="n">
        <f aca="false">ROUND(MAX(0,AN100*(1+G$8)-BJ101),2)</f>
        <v>0</v>
      </c>
      <c r="AO101" s="27" t="n">
        <f aca="false">ROUND(MAX(0,AO100*(1+H$8)-BK101),2)</f>
        <v>0</v>
      </c>
      <c r="AP101" s="27" t="n">
        <f aca="false">ROUND(MAX(0,AP100*(1+I$8)-BL101),2)</f>
        <v>0</v>
      </c>
      <c r="AQ101" s="27" t="n">
        <f aca="false">ROUND(MAX(0,AQ100*(1+J$8)-BM101),2)</f>
        <v>0</v>
      </c>
      <c r="AR101" s="27" t="n">
        <f aca="false">ROUND(MAX(0,AR100*(1+K$8)-BN101),2)</f>
        <v>0</v>
      </c>
      <c r="AS101" s="27" t="n">
        <f aca="false">SUM(AI101:AR101)</f>
        <v>0</v>
      </c>
      <c r="AT101" s="27" t="n">
        <f aca="false">SUMPRODUCT(AI100:AR100,$B$8:$K$8)</f>
        <v>0</v>
      </c>
      <c r="AU101" s="27" t="n">
        <f aca="false">MIN(AI100*(1+B$8),B$9)</f>
        <v>0</v>
      </c>
      <c r="AV101" s="27" t="n">
        <f aca="false">MIN(AJ100*(1+C$8),C$9)</f>
        <v>0</v>
      </c>
      <c r="AW101" s="27" t="n">
        <f aca="false">MIN(AK100*(1+D$8),D$9)</f>
        <v>0</v>
      </c>
      <c r="AX101" s="27" t="n">
        <f aca="false">MIN(AL100*(1+E$8),E$9)</f>
        <v>0</v>
      </c>
      <c r="AY101" s="27" t="n">
        <f aca="false">MIN(AM100*(1+F$8),F$9)</f>
        <v>0</v>
      </c>
      <c r="AZ101" s="27" t="n">
        <f aca="false">MIN(AN100*(1+G$8),G$9)</f>
        <v>0</v>
      </c>
      <c r="BA101" s="27" t="n">
        <f aca="false">MIN(AO100*(1+H$8),H$9)</f>
        <v>0</v>
      </c>
      <c r="BB101" s="27" t="n">
        <f aca="false">MIN(AP100*(1+I$8),I$9)</f>
        <v>0</v>
      </c>
      <c r="BC101" s="27" t="n">
        <f aca="false">MIN(AQ100*(1+J$8),J$9)</f>
        <v>0</v>
      </c>
      <c r="BD101" s="27" t="n">
        <f aca="false">MIN(AR100*(1+K$8),K$9)</f>
        <v>0</v>
      </c>
      <c r="BE101" s="27" t="n">
        <f aca="false">MIN(AI100*(1+B$8),MAX(AU101,$B$12-SUM(AV101:BD101)))</f>
        <v>0</v>
      </c>
      <c r="BF101" s="27" t="n">
        <f aca="false">MIN(AJ100*(1+C$8),MAX(AV101,$B$12-SUM(BE101:BE101)-SUM(AW101:BD101)))</f>
        <v>0</v>
      </c>
      <c r="BG101" s="27" t="n">
        <f aca="false">MIN(AK100*(1+D$8),MAX(AW101,$B$12-SUM(BE101:BF101)-SUM(AX101:BD101)))</f>
        <v>0</v>
      </c>
      <c r="BH101" s="27" t="n">
        <f aca="false">MIN(AL100*(1+E$8),MAX(AX101,$B$12-SUM(BE101:BG101)-SUM(AY101:BD101)))</f>
        <v>0</v>
      </c>
      <c r="BI101" s="27" t="n">
        <f aca="false">MIN(AM100*(1+F$8),MAX(AY101,$B$12-SUM(BE101:BH101)-SUM(AZ101:BD101)))</f>
        <v>0</v>
      </c>
      <c r="BJ101" s="27" t="n">
        <f aca="false">MIN(AN100*(1+G$8),MAX(AZ101,$B$12-SUM(BE101:BI101)-SUM(BA101:BD101)))</f>
        <v>0</v>
      </c>
      <c r="BK101" s="27" t="n">
        <f aca="false">MIN(AO100*(1+H$8),MAX(BA101,$B$12-SUM(BE101:BJ101)-SUM(BB101:BD101)))</f>
        <v>0</v>
      </c>
      <c r="BL101" s="27" t="n">
        <f aca="false">MIN(AP100*(1+I$8),MAX(BB101,$B$12-SUM(BE101:BK101)-SUM(BC101:BD101)))</f>
        <v>0</v>
      </c>
      <c r="BM101" s="27" t="n">
        <f aca="false">MIN(AQ100*(1+J$8),MAX(BC101,$B$12-SUM(BE101:BL101)-SUM(BD101:BD101)))</f>
        <v>0</v>
      </c>
      <c r="BN101" s="27" t="n">
        <f aca="false">MIN(AR100*(1+K$8),MAX(BD101,$B$12-SUM(BE101:BM101)))</f>
        <v>0</v>
      </c>
    </row>
    <row r="102" customFormat="false" ht="15" hidden="false" customHeight="false" outlineLevel="0" collapsed="false">
      <c r="A102" s="0" t="n">
        <v>88</v>
      </c>
      <c r="B102" s="27" t="n">
        <f aca="false">ROUND(MAX(0,B101*(1+B$8)-X102),2)</f>
        <v>0</v>
      </c>
      <c r="C102" s="27" t="n">
        <f aca="false">ROUND(MAX(0,C101*(1+C$8)-Y102),2)</f>
        <v>0</v>
      </c>
      <c r="D102" s="27" t="n">
        <f aca="false">ROUND(MAX(0,D101*(1+D$8)-Z102),2)</f>
        <v>0</v>
      </c>
      <c r="E102" s="27" t="n">
        <f aca="false">ROUND(MAX(0,E101*(1+E$8)-AA102),2)</f>
        <v>0</v>
      </c>
      <c r="F102" s="27" t="n">
        <f aca="false">ROUND(MAX(0,F101*(1+F$8)-AB102),2)</f>
        <v>0</v>
      </c>
      <c r="G102" s="27" t="n">
        <f aca="false">ROUND(MAX(0,G101*(1+G$8)-AC102),2)</f>
        <v>0</v>
      </c>
      <c r="H102" s="27" t="n">
        <f aca="false">ROUND(MAX(0,H101*(1+H$8)-AD102),2)</f>
        <v>0</v>
      </c>
      <c r="I102" s="27" t="n">
        <f aca="false">ROUND(MAX(0,I101*(1+I$8)-AE102),2)</f>
        <v>0</v>
      </c>
      <c r="J102" s="27" t="n">
        <f aca="false">ROUND(MAX(0,J101*(1+J$8)-AF102),2)</f>
        <v>0</v>
      </c>
      <c r="K102" s="27" t="n">
        <f aca="false">ROUND(MAX(0,K101*(1+K$8)-AG102),2)</f>
        <v>0</v>
      </c>
      <c r="L102" s="30" t="n">
        <f aca="false">SUM(B102:K102)</f>
        <v>0</v>
      </c>
      <c r="M102" s="27" t="n">
        <f aca="false">SUMPRODUCT(B101:K101,$B$8:$K$8)</f>
        <v>0</v>
      </c>
      <c r="N102" s="27" t="n">
        <f aca="false">MIN(B101*(1+B$8),B$9)</f>
        <v>0</v>
      </c>
      <c r="O102" s="27" t="n">
        <f aca="false">MIN(C101*(1+C$8),C$9)</f>
        <v>0</v>
      </c>
      <c r="P102" s="27" t="n">
        <f aca="false">MIN(D101*(1+D$8),D$9)</f>
        <v>0</v>
      </c>
      <c r="Q102" s="27" t="n">
        <f aca="false">MIN(E101*(1+E$8),E$9)</f>
        <v>0</v>
      </c>
      <c r="R102" s="27" t="n">
        <f aca="false">MIN(F101*(1+F$8),F$9)</f>
        <v>0</v>
      </c>
      <c r="S102" s="27" t="n">
        <f aca="false">MIN(G101*(1+G$8),G$9)</f>
        <v>0</v>
      </c>
      <c r="T102" s="27" t="n">
        <f aca="false">MIN(H101*(1+H$8),H$9)</f>
        <v>0</v>
      </c>
      <c r="U102" s="27" t="n">
        <f aca="false">MIN(I101*(1+I$8),I$9)</f>
        <v>0</v>
      </c>
      <c r="V102" s="27" t="n">
        <f aca="false">MIN(J101*(1+J$8),J$9)</f>
        <v>0</v>
      </c>
      <c r="W102" s="27" t="n">
        <f aca="false">MIN(K101*(1+K$8),K$9)</f>
        <v>0</v>
      </c>
      <c r="X102" s="27" t="n">
        <f aca="false">MIN(B101*(1+B$8),MAX(N102,$B$11-SUM(O102:W102)))</f>
        <v>0</v>
      </c>
      <c r="Y102" s="27" t="n">
        <f aca="false">MIN(C101*(1+C$8),MAX(O102,$B$11-SUM(X102:X102)-SUM(P102:W102)))</f>
        <v>0</v>
      </c>
      <c r="Z102" s="27" t="n">
        <f aca="false">MIN(D101*(1+D$8),MAX(P102,$B$11-SUM(X102:Y102)-SUM(Q102:W102)))</f>
        <v>0</v>
      </c>
      <c r="AA102" s="27" t="n">
        <f aca="false">MIN(E101*(1+E$8),MAX(Q102,$B$11-SUM(X102:Z102)-SUM(R102:W102)))</f>
        <v>0</v>
      </c>
      <c r="AB102" s="27" t="n">
        <f aca="false">MIN(F101*(1+F$8),MAX(R102,$B$11-SUM(X102:AA102)-SUM(S102:W102)))</f>
        <v>0</v>
      </c>
      <c r="AC102" s="27" t="n">
        <f aca="false">MIN(G101*(1+G$8),MAX(S102,$B$11-SUM(X102:AB102)-SUM(T102:W102)))</f>
        <v>0</v>
      </c>
      <c r="AD102" s="27" t="n">
        <f aca="false">MIN(H101*(1+H$8),MAX(T102,$B$11-SUM(X102:AC102)-SUM(U102:W102)))</f>
        <v>0</v>
      </c>
      <c r="AE102" s="27" t="n">
        <f aca="false">MIN(I101*(1+I$8),MAX(U102,$B$11-SUM(X102:AD102)-SUM(V102:W102)))</f>
        <v>0</v>
      </c>
      <c r="AF102" s="27" t="n">
        <f aca="false">MIN(J101*(1+J$8),MAX(V102,$B$11-SUM(X102:AE102)-SUM(W102:W102)))</f>
        <v>0</v>
      </c>
      <c r="AG102" s="27" t="n">
        <f aca="false">MIN(K101*(1+K$8),MAX(W102,$B$11-SUM(X102:AF102)))</f>
        <v>0</v>
      </c>
      <c r="AI102" s="27" t="n">
        <f aca="false">ROUND(MAX(0,AI101*(1+B$8)-BE102),2)</f>
        <v>0</v>
      </c>
      <c r="AJ102" s="27" t="n">
        <f aca="false">ROUND(MAX(0,AJ101*(1+C$8)-BF102),2)</f>
        <v>0</v>
      </c>
      <c r="AK102" s="27" t="n">
        <f aca="false">ROUND(MAX(0,AK101*(1+D$8)-BG102),2)</f>
        <v>0</v>
      </c>
      <c r="AL102" s="27" t="n">
        <f aca="false">ROUND(MAX(0,AL101*(1+E$8)-BH102),2)</f>
        <v>0</v>
      </c>
      <c r="AM102" s="27" t="n">
        <f aca="false">ROUND(MAX(0,AM101*(1+F$8)-BI102),2)</f>
        <v>0</v>
      </c>
      <c r="AN102" s="27" t="n">
        <f aca="false">ROUND(MAX(0,AN101*(1+G$8)-BJ102),2)</f>
        <v>0</v>
      </c>
      <c r="AO102" s="27" t="n">
        <f aca="false">ROUND(MAX(0,AO101*(1+H$8)-BK102),2)</f>
        <v>0</v>
      </c>
      <c r="AP102" s="27" t="n">
        <f aca="false">ROUND(MAX(0,AP101*(1+I$8)-BL102),2)</f>
        <v>0</v>
      </c>
      <c r="AQ102" s="27" t="n">
        <f aca="false">ROUND(MAX(0,AQ101*(1+J$8)-BM102),2)</f>
        <v>0</v>
      </c>
      <c r="AR102" s="27" t="n">
        <f aca="false">ROUND(MAX(0,AR101*(1+K$8)-BN102),2)</f>
        <v>0</v>
      </c>
      <c r="AS102" s="27" t="n">
        <f aca="false">SUM(AI102:AR102)</f>
        <v>0</v>
      </c>
      <c r="AT102" s="27" t="n">
        <f aca="false">SUMPRODUCT(AI101:AR101,$B$8:$K$8)</f>
        <v>0</v>
      </c>
      <c r="AU102" s="27" t="n">
        <f aca="false">MIN(AI101*(1+B$8),B$9)</f>
        <v>0</v>
      </c>
      <c r="AV102" s="27" t="n">
        <f aca="false">MIN(AJ101*(1+C$8),C$9)</f>
        <v>0</v>
      </c>
      <c r="AW102" s="27" t="n">
        <f aca="false">MIN(AK101*(1+D$8),D$9)</f>
        <v>0</v>
      </c>
      <c r="AX102" s="27" t="n">
        <f aca="false">MIN(AL101*(1+E$8),E$9)</f>
        <v>0</v>
      </c>
      <c r="AY102" s="27" t="n">
        <f aca="false">MIN(AM101*(1+F$8),F$9)</f>
        <v>0</v>
      </c>
      <c r="AZ102" s="27" t="n">
        <f aca="false">MIN(AN101*(1+G$8),G$9)</f>
        <v>0</v>
      </c>
      <c r="BA102" s="27" t="n">
        <f aca="false">MIN(AO101*(1+H$8),H$9)</f>
        <v>0</v>
      </c>
      <c r="BB102" s="27" t="n">
        <f aca="false">MIN(AP101*(1+I$8),I$9)</f>
        <v>0</v>
      </c>
      <c r="BC102" s="27" t="n">
        <f aca="false">MIN(AQ101*(1+J$8),J$9)</f>
        <v>0</v>
      </c>
      <c r="BD102" s="27" t="n">
        <f aca="false">MIN(AR101*(1+K$8),K$9)</f>
        <v>0</v>
      </c>
      <c r="BE102" s="27" t="n">
        <f aca="false">MIN(AI101*(1+B$8),MAX(AU102,$B$12-SUM(AV102:BD102)))</f>
        <v>0</v>
      </c>
      <c r="BF102" s="27" t="n">
        <f aca="false">MIN(AJ101*(1+C$8),MAX(AV102,$B$12-SUM(BE102:BE102)-SUM(AW102:BD102)))</f>
        <v>0</v>
      </c>
      <c r="BG102" s="27" t="n">
        <f aca="false">MIN(AK101*(1+D$8),MAX(AW102,$B$12-SUM(BE102:BF102)-SUM(AX102:BD102)))</f>
        <v>0</v>
      </c>
      <c r="BH102" s="27" t="n">
        <f aca="false">MIN(AL101*(1+E$8),MAX(AX102,$B$12-SUM(BE102:BG102)-SUM(AY102:BD102)))</f>
        <v>0</v>
      </c>
      <c r="BI102" s="27" t="n">
        <f aca="false">MIN(AM101*(1+F$8),MAX(AY102,$B$12-SUM(BE102:BH102)-SUM(AZ102:BD102)))</f>
        <v>0</v>
      </c>
      <c r="BJ102" s="27" t="n">
        <f aca="false">MIN(AN101*(1+G$8),MAX(AZ102,$B$12-SUM(BE102:BI102)-SUM(BA102:BD102)))</f>
        <v>0</v>
      </c>
      <c r="BK102" s="27" t="n">
        <f aca="false">MIN(AO101*(1+H$8),MAX(BA102,$B$12-SUM(BE102:BJ102)-SUM(BB102:BD102)))</f>
        <v>0</v>
      </c>
      <c r="BL102" s="27" t="n">
        <f aca="false">MIN(AP101*(1+I$8),MAX(BB102,$B$12-SUM(BE102:BK102)-SUM(BC102:BD102)))</f>
        <v>0</v>
      </c>
      <c r="BM102" s="27" t="n">
        <f aca="false">MIN(AQ101*(1+J$8),MAX(BC102,$B$12-SUM(BE102:BL102)-SUM(BD102:BD102)))</f>
        <v>0</v>
      </c>
      <c r="BN102" s="27" t="n">
        <f aca="false">MIN(AR101*(1+K$8),MAX(BD102,$B$12-SUM(BE102:BM102)))</f>
        <v>0</v>
      </c>
    </row>
    <row r="103" customFormat="false" ht="15" hidden="false" customHeight="false" outlineLevel="0" collapsed="false">
      <c r="A103" s="0" t="n">
        <v>89</v>
      </c>
      <c r="B103" s="27" t="n">
        <f aca="false">ROUND(MAX(0,B102*(1+B$8)-X103),2)</f>
        <v>0</v>
      </c>
      <c r="C103" s="27" t="n">
        <f aca="false">ROUND(MAX(0,C102*(1+C$8)-Y103),2)</f>
        <v>0</v>
      </c>
      <c r="D103" s="27" t="n">
        <f aca="false">ROUND(MAX(0,D102*(1+D$8)-Z103),2)</f>
        <v>0</v>
      </c>
      <c r="E103" s="27" t="n">
        <f aca="false">ROUND(MAX(0,E102*(1+E$8)-AA103),2)</f>
        <v>0</v>
      </c>
      <c r="F103" s="27" t="n">
        <f aca="false">ROUND(MAX(0,F102*(1+F$8)-AB103),2)</f>
        <v>0</v>
      </c>
      <c r="G103" s="27" t="n">
        <f aca="false">ROUND(MAX(0,G102*(1+G$8)-AC103),2)</f>
        <v>0</v>
      </c>
      <c r="H103" s="27" t="n">
        <f aca="false">ROUND(MAX(0,H102*(1+H$8)-AD103),2)</f>
        <v>0</v>
      </c>
      <c r="I103" s="27" t="n">
        <f aca="false">ROUND(MAX(0,I102*(1+I$8)-AE103),2)</f>
        <v>0</v>
      </c>
      <c r="J103" s="27" t="n">
        <f aca="false">ROUND(MAX(0,J102*(1+J$8)-AF103),2)</f>
        <v>0</v>
      </c>
      <c r="K103" s="27" t="n">
        <f aca="false">ROUND(MAX(0,K102*(1+K$8)-AG103),2)</f>
        <v>0</v>
      </c>
      <c r="L103" s="30" t="n">
        <f aca="false">SUM(B103:K103)</f>
        <v>0</v>
      </c>
      <c r="M103" s="27" t="n">
        <f aca="false">SUMPRODUCT(B102:K102,$B$8:$K$8)</f>
        <v>0</v>
      </c>
      <c r="N103" s="27" t="n">
        <f aca="false">MIN(B102*(1+B$8),B$9)</f>
        <v>0</v>
      </c>
      <c r="O103" s="27" t="n">
        <f aca="false">MIN(C102*(1+C$8),C$9)</f>
        <v>0</v>
      </c>
      <c r="P103" s="27" t="n">
        <f aca="false">MIN(D102*(1+D$8),D$9)</f>
        <v>0</v>
      </c>
      <c r="Q103" s="27" t="n">
        <f aca="false">MIN(E102*(1+E$8),E$9)</f>
        <v>0</v>
      </c>
      <c r="R103" s="27" t="n">
        <f aca="false">MIN(F102*(1+F$8),F$9)</f>
        <v>0</v>
      </c>
      <c r="S103" s="27" t="n">
        <f aca="false">MIN(G102*(1+G$8),G$9)</f>
        <v>0</v>
      </c>
      <c r="T103" s="27" t="n">
        <f aca="false">MIN(H102*(1+H$8),H$9)</f>
        <v>0</v>
      </c>
      <c r="U103" s="27" t="n">
        <f aca="false">MIN(I102*(1+I$8),I$9)</f>
        <v>0</v>
      </c>
      <c r="V103" s="27" t="n">
        <f aca="false">MIN(J102*(1+J$8),J$9)</f>
        <v>0</v>
      </c>
      <c r="W103" s="27" t="n">
        <f aca="false">MIN(K102*(1+K$8),K$9)</f>
        <v>0</v>
      </c>
      <c r="X103" s="27" t="n">
        <f aca="false">MIN(B102*(1+B$8),MAX(N103,$B$11-SUM(O103:W103)))</f>
        <v>0</v>
      </c>
      <c r="Y103" s="27" t="n">
        <f aca="false">MIN(C102*(1+C$8),MAX(O103,$B$11-SUM(X103:X103)-SUM(P103:W103)))</f>
        <v>0</v>
      </c>
      <c r="Z103" s="27" t="n">
        <f aca="false">MIN(D102*(1+D$8),MAX(P103,$B$11-SUM(X103:Y103)-SUM(Q103:W103)))</f>
        <v>0</v>
      </c>
      <c r="AA103" s="27" t="n">
        <f aca="false">MIN(E102*(1+E$8),MAX(Q103,$B$11-SUM(X103:Z103)-SUM(R103:W103)))</f>
        <v>0</v>
      </c>
      <c r="AB103" s="27" t="n">
        <f aca="false">MIN(F102*(1+F$8),MAX(R103,$B$11-SUM(X103:AA103)-SUM(S103:W103)))</f>
        <v>0</v>
      </c>
      <c r="AC103" s="27" t="n">
        <f aca="false">MIN(G102*(1+G$8),MAX(S103,$B$11-SUM(X103:AB103)-SUM(T103:W103)))</f>
        <v>0</v>
      </c>
      <c r="AD103" s="27" t="n">
        <f aca="false">MIN(H102*(1+H$8),MAX(T103,$B$11-SUM(X103:AC103)-SUM(U103:W103)))</f>
        <v>0</v>
      </c>
      <c r="AE103" s="27" t="n">
        <f aca="false">MIN(I102*(1+I$8),MAX(U103,$B$11-SUM(X103:AD103)-SUM(V103:W103)))</f>
        <v>0</v>
      </c>
      <c r="AF103" s="27" t="n">
        <f aca="false">MIN(J102*(1+J$8),MAX(V103,$B$11-SUM(X103:AE103)-SUM(W103:W103)))</f>
        <v>0</v>
      </c>
      <c r="AG103" s="27" t="n">
        <f aca="false">MIN(K102*(1+K$8),MAX(W103,$B$11-SUM(X103:AF103)))</f>
        <v>0</v>
      </c>
      <c r="AI103" s="27" t="n">
        <f aca="false">ROUND(MAX(0,AI102*(1+B$8)-BE103),2)</f>
        <v>0</v>
      </c>
      <c r="AJ103" s="27" t="n">
        <f aca="false">ROUND(MAX(0,AJ102*(1+C$8)-BF103),2)</f>
        <v>0</v>
      </c>
      <c r="AK103" s="27" t="n">
        <f aca="false">ROUND(MAX(0,AK102*(1+D$8)-BG103),2)</f>
        <v>0</v>
      </c>
      <c r="AL103" s="27" t="n">
        <f aca="false">ROUND(MAX(0,AL102*(1+E$8)-BH103),2)</f>
        <v>0</v>
      </c>
      <c r="AM103" s="27" t="n">
        <f aca="false">ROUND(MAX(0,AM102*(1+F$8)-BI103),2)</f>
        <v>0</v>
      </c>
      <c r="AN103" s="27" t="n">
        <f aca="false">ROUND(MAX(0,AN102*(1+G$8)-BJ103),2)</f>
        <v>0</v>
      </c>
      <c r="AO103" s="27" t="n">
        <f aca="false">ROUND(MAX(0,AO102*(1+H$8)-BK103),2)</f>
        <v>0</v>
      </c>
      <c r="AP103" s="27" t="n">
        <f aca="false">ROUND(MAX(0,AP102*(1+I$8)-BL103),2)</f>
        <v>0</v>
      </c>
      <c r="AQ103" s="27" t="n">
        <f aca="false">ROUND(MAX(0,AQ102*(1+J$8)-BM103),2)</f>
        <v>0</v>
      </c>
      <c r="AR103" s="27" t="n">
        <f aca="false">ROUND(MAX(0,AR102*(1+K$8)-BN103),2)</f>
        <v>0</v>
      </c>
      <c r="AS103" s="27" t="n">
        <f aca="false">SUM(AI103:AR103)</f>
        <v>0</v>
      </c>
      <c r="AT103" s="27" t="n">
        <f aca="false">SUMPRODUCT(AI102:AR102,$B$8:$K$8)</f>
        <v>0</v>
      </c>
      <c r="AU103" s="27" t="n">
        <f aca="false">MIN(AI102*(1+B$8),B$9)</f>
        <v>0</v>
      </c>
      <c r="AV103" s="27" t="n">
        <f aca="false">MIN(AJ102*(1+C$8),C$9)</f>
        <v>0</v>
      </c>
      <c r="AW103" s="27" t="n">
        <f aca="false">MIN(AK102*(1+D$8),D$9)</f>
        <v>0</v>
      </c>
      <c r="AX103" s="27" t="n">
        <f aca="false">MIN(AL102*(1+E$8),E$9)</f>
        <v>0</v>
      </c>
      <c r="AY103" s="27" t="n">
        <f aca="false">MIN(AM102*(1+F$8),F$9)</f>
        <v>0</v>
      </c>
      <c r="AZ103" s="27" t="n">
        <f aca="false">MIN(AN102*(1+G$8),G$9)</f>
        <v>0</v>
      </c>
      <c r="BA103" s="27" t="n">
        <f aca="false">MIN(AO102*(1+H$8),H$9)</f>
        <v>0</v>
      </c>
      <c r="BB103" s="27" t="n">
        <f aca="false">MIN(AP102*(1+I$8),I$9)</f>
        <v>0</v>
      </c>
      <c r="BC103" s="27" t="n">
        <f aca="false">MIN(AQ102*(1+J$8),J$9)</f>
        <v>0</v>
      </c>
      <c r="BD103" s="27" t="n">
        <f aca="false">MIN(AR102*(1+K$8),K$9)</f>
        <v>0</v>
      </c>
      <c r="BE103" s="27" t="n">
        <f aca="false">MIN(AI102*(1+B$8),MAX(AU103,$B$12-SUM(AV103:BD103)))</f>
        <v>0</v>
      </c>
      <c r="BF103" s="27" t="n">
        <f aca="false">MIN(AJ102*(1+C$8),MAX(AV103,$B$12-SUM(BE103:BE103)-SUM(AW103:BD103)))</f>
        <v>0</v>
      </c>
      <c r="BG103" s="27" t="n">
        <f aca="false">MIN(AK102*(1+D$8),MAX(AW103,$B$12-SUM(BE103:BF103)-SUM(AX103:BD103)))</f>
        <v>0</v>
      </c>
      <c r="BH103" s="27" t="n">
        <f aca="false">MIN(AL102*(1+E$8),MAX(AX103,$B$12-SUM(BE103:BG103)-SUM(AY103:BD103)))</f>
        <v>0</v>
      </c>
      <c r="BI103" s="27" t="n">
        <f aca="false">MIN(AM102*(1+F$8),MAX(AY103,$B$12-SUM(BE103:BH103)-SUM(AZ103:BD103)))</f>
        <v>0</v>
      </c>
      <c r="BJ103" s="27" t="n">
        <f aca="false">MIN(AN102*(1+G$8),MAX(AZ103,$B$12-SUM(BE103:BI103)-SUM(BA103:BD103)))</f>
        <v>0</v>
      </c>
      <c r="BK103" s="27" t="n">
        <f aca="false">MIN(AO102*(1+H$8),MAX(BA103,$B$12-SUM(BE103:BJ103)-SUM(BB103:BD103)))</f>
        <v>0</v>
      </c>
      <c r="BL103" s="27" t="n">
        <f aca="false">MIN(AP102*(1+I$8),MAX(BB103,$B$12-SUM(BE103:BK103)-SUM(BC103:BD103)))</f>
        <v>0</v>
      </c>
      <c r="BM103" s="27" t="n">
        <f aca="false">MIN(AQ102*(1+J$8),MAX(BC103,$B$12-SUM(BE103:BL103)-SUM(BD103:BD103)))</f>
        <v>0</v>
      </c>
      <c r="BN103" s="27" t="n">
        <f aca="false">MIN(AR102*(1+K$8),MAX(BD103,$B$12-SUM(BE103:BM103)))</f>
        <v>0</v>
      </c>
    </row>
    <row r="104" customFormat="false" ht="15" hidden="false" customHeight="false" outlineLevel="0" collapsed="false">
      <c r="A104" s="0" t="n">
        <v>90</v>
      </c>
      <c r="B104" s="27" t="n">
        <f aca="false">ROUND(MAX(0,B103*(1+B$8)-X104),2)</f>
        <v>0</v>
      </c>
      <c r="C104" s="27" t="n">
        <f aca="false">ROUND(MAX(0,C103*(1+C$8)-Y104),2)</f>
        <v>0</v>
      </c>
      <c r="D104" s="27" t="n">
        <f aca="false">ROUND(MAX(0,D103*(1+D$8)-Z104),2)</f>
        <v>0</v>
      </c>
      <c r="E104" s="27" t="n">
        <f aca="false">ROUND(MAX(0,E103*(1+E$8)-AA104),2)</f>
        <v>0</v>
      </c>
      <c r="F104" s="27" t="n">
        <f aca="false">ROUND(MAX(0,F103*(1+F$8)-AB104),2)</f>
        <v>0</v>
      </c>
      <c r="G104" s="27" t="n">
        <f aca="false">ROUND(MAX(0,G103*(1+G$8)-AC104),2)</f>
        <v>0</v>
      </c>
      <c r="H104" s="27" t="n">
        <f aca="false">ROUND(MAX(0,H103*(1+H$8)-AD104),2)</f>
        <v>0</v>
      </c>
      <c r="I104" s="27" t="n">
        <f aca="false">ROUND(MAX(0,I103*(1+I$8)-AE104),2)</f>
        <v>0</v>
      </c>
      <c r="J104" s="27" t="n">
        <f aca="false">ROUND(MAX(0,J103*(1+J$8)-AF104),2)</f>
        <v>0</v>
      </c>
      <c r="K104" s="27" t="n">
        <f aca="false">ROUND(MAX(0,K103*(1+K$8)-AG104),2)</f>
        <v>0</v>
      </c>
      <c r="L104" s="30" t="n">
        <f aca="false">SUM(B104:K104)</f>
        <v>0</v>
      </c>
      <c r="M104" s="27" t="n">
        <f aca="false">SUMPRODUCT(B103:K103,$B$8:$K$8)</f>
        <v>0</v>
      </c>
      <c r="N104" s="27" t="n">
        <f aca="false">MIN(B103*(1+B$8),B$9)</f>
        <v>0</v>
      </c>
      <c r="O104" s="27" t="n">
        <f aca="false">MIN(C103*(1+C$8),C$9)</f>
        <v>0</v>
      </c>
      <c r="P104" s="27" t="n">
        <f aca="false">MIN(D103*(1+D$8),D$9)</f>
        <v>0</v>
      </c>
      <c r="Q104" s="27" t="n">
        <f aca="false">MIN(E103*(1+E$8),E$9)</f>
        <v>0</v>
      </c>
      <c r="R104" s="27" t="n">
        <f aca="false">MIN(F103*(1+F$8),F$9)</f>
        <v>0</v>
      </c>
      <c r="S104" s="27" t="n">
        <f aca="false">MIN(G103*(1+G$8),G$9)</f>
        <v>0</v>
      </c>
      <c r="T104" s="27" t="n">
        <f aca="false">MIN(H103*(1+H$8),H$9)</f>
        <v>0</v>
      </c>
      <c r="U104" s="27" t="n">
        <f aca="false">MIN(I103*(1+I$8),I$9)</f>
        <v>0</v>
      </c>
      <c r="V104" s="27" t="n">
        <f aca="false">MIN(J103*(1+J$8),J$9)</f>
        <v>0</v>
      </c>
      <c r="W104" s="27" t="n">
        <f aca="false">MIN(K103*(1+K$8),K$9)</f>
        <v>0</v>
      </c>
      <c r="X104" s="27" t="n">
        <f aca="false">MIN(B103*(1+B$8),MAX(N104,$B$11-SUM(O104:W104)))</f>
        <v>0</v>
      </c>
      <c r="Y104" s="27" t="n">
        <f aca="false">MIN(C103*(1+C$8),MAX(O104,$B$11-SUM(X104:X104)-SUM(P104:W104)))</f>
        <v>0</v>
      </c>
      <c r="Z104" s="27" t="n">
        <f aca="false">MIN(D103*(1+D$8),MAX(P104,$B$11-SUM(X104:Y104)-SUM(Q104:W104)))</f>
        <v>0</v>
      </c>
      <c r="AA104" s="27" t="n">
        <f aca="false">MIN(E103*(1+E$8),MAX(Q104,$B$11-SUM(X104:Z104)-SUM(R104:W104)))</f>
        <v>0</v>
      </c>
      <c r="AB104" s="27" t="n">
        <f aca="false">MIN(F103*(1+F$8),MAX(R104,$B$11-SUM(X104:AA104)-SUM(S104:W104)))</f>
        <v>0</v>
      </c>
      <c r="AC104" s="27" t="n">
        <f aca="false">MIN(G103*(1+G$8),MAX(S104,$B$11-SUM(X104:AB104)-SUM(T104:W104)))</f>
        <v>0</v>
      </c>
      <c r="AD104" s="27" t="n">
        <f aca="false">MIN(H103*(1+H$8),MAX(T104,$B$11-SUM(X104:AC104)-SUM(U104:W104)))</f>
        <v>0</v>
      </c>
      <c r="AE104" s="27" t="n">
        <f aca="false">MIN(I103*(1+I$8),MAX(U104,$B$11-SUM(X104:AD104)-SUM(V104:W104)))</f>
        <v>0</v>
      </c>
      <c r="AF104" s="27" t="n">
        <f aca="false">MIN(J103*(1+J$8),MAX(V104,$B$11-SUM(X104:AE104)-SUM(W104:W104)))</f>
        <v>0</v>
      </c>
      <c r="AG104" s="27" t="n">
        <f aca="false">MIN(K103*(1+K$8),MAX(W104,$B$11-SUM(X104:AF104)))</f>
        <v>0</v>
      </c>
      <c r="AI104" s="27" t="n">
        <f aca="false">ROUND(MAX(0,AI103*(1+B$8)-BE104),2)</f>
        <v>0</v>
      </c>
      <c r="AJ104" s="27" t="n">
        <f aca="false">ROUND(MAX(0,AJ103*(1+C$8)-BF104),2)</f>
        <v>0</v>
      </c>
      <c r="AK104" s="27" t="n">
        <f aca="false">ROUND(MAX(0,AK103*(1+D$8)-BG104),2)</f>
        <v>0</v>
      </c>
      <c r="AL104" s="27" t="n">
        <f aca="false">ROUND(MAX(0,AL103*(1+E$8)-BH104),2)</f>
        <v>0</v>
      </c>
      <c r="AM104" s="27" t="n">
        <f aca="false">ROUND(MAX(0,AM103*(1+F$8)-BI104),2)</f>
        <v>0</v>
      </c>
      <c r="AN104" s="27" t="n">
        <f aca="false">ROUND(MAX(0,AN103*(1+G$8)-BJ104),2)</f>
        <v>0</v>
      </c>
      <c r="AO104" s="27" t="n">
        <f aca="false">ROUND(MAX(0,AO103*(1+H$8)-BK104),2)</f>
        <v>0</v>
      </c>
      <c r="AP104" s="27" t="n">
        <f aca="false">ROUND(MAX(0,AP103*(1+I$8)-BL104),2)</f>
        <v>0</v>
      </c>
      <c r="AQ104" s="27" t="n">
        <f aca="false">ROUND(MAX(0,AQ103*(1+J$8)-BM104),2)</f>
        <v>0</v>
      </c>
      <c r="AR104" s="27" t="n">
        <f aca="false">ROUND(MAX(0,AR103*(1+K$8)-BN104),2)</f>
        <v>0</v>
      </c>
      <c r="AS104" s="27" t="n">
        <f aca="false">SUM(AI104:AR104)</f>
        <v>0</v>
      </c>
      <c r="AT104" s="27" t="n">
        <f aca="false">SUMPRODUCT(AI103:AR103,$B$8:$K$8)</f>
        <v>0</v>
      </c>
      <c r="AU104" s="27" t="n">
        <f aca="false">MIN(AI103*(1+B$8),B$9)</f>
        <v>0</v>
      </c>
      <c r="AV104" s="27" t="n">
        <f aca="false">MIN(AJ103*(1+C$8),C$9)</f>
        <v>0</v>
      </c>
      <c r="AW104" s="27" t="n">
        <f aca="false">MIN(AK103*(1+D$8),D$9)</f>
        <v>0</v>
      </c>
      <c r="AX104" s="27" t="n">
        <f aca="false">MIN(AL103*(1+E$8),E$9)</f>
        <v>0</v>
      </c>
      <c r="AY104" s="27" t="n">
        <f aca="false">MIN(AM103*(1+F$8),F$9)</f>
        <v>0</v>
      </c>
      <c r="AZ104" s="27" t="n">
        <f aca="false">MIN(AN103*(1+G$8),G$9)</f>
        <v>0</v>
      </c>
      <c r="BA104" s="27" t="n">
        <f aca="false">MIN(AO103*(1+H$8),H$9)</f>
        <v>0</v>
      </c>
      <c r="BB104" s="27" t="n">
        <f aca="false">MIN(AP103*(1+I$8),I$9)</f>
        <v>0</v>
      </c>
      <c r="BC104" s="27" t="n">
        <f aca="false">MIN(AQ103*(1+J$8),J$9)</f>
        <v>0</v>
      </c>
      <c r="BD104" s="27" t="n">
        <f aca="false">MIN(AR103*(1+K$8),K$9)</f>
        <v>0</v>
      </c>
      <c r="BE104" s="27" t="n">
        <f aca="false">MIN(AI103*(1+B$8),MAX(AU104,$B$12-SUM(AV104:BD104)))</f>
        <v>0</v>
      </c>
      <c r="BF104" s="27" t="n">
        <f aca="false">MIN(AJ103*(1+C$8),MAX(AV104,$B$12-SUM(BE104:BE104)-SUM(AW104:BD104)))</f>
        <v>0</v>
      </c>
      <c r="BG104" s="27" t="n">
        <f aca="false">MIN(AK103*(1+D$8),MAX(AW104,$B$12-SUM(BE104:BF104)-SUM(AX104:BD104)))</f>
        <v>0</v>
      </c>
      <c r="BH104" s="27" t="n">
        <f aca="false">MIN(AL103*(1+E$8),MAX(AX104,$B$12-SUM(BE104:BG104)-SUM(AY104:BD104)))</f>
        <v>0</v>
      </c>
      <c r="BI104" s="27" t="n">
        <f aca="false">MIN(AM103*(1+F$8),MAX(AY104,$B$12-SUM(BE104:BH104)-SUM(AZ104:BD104)))</f>
        <v>0</v>
      </c>
      <c r="BJ104" s="27" t="n">
        <f aca="false">MIN(AN103*(1+G$8),MAX(AZ104,$B$12-SUM(BE104:BI104)-SUM(BA104:BD104)))</f>
        <v>0</v>
      </c>
      <c r="BK104" s="27" t="n">
        <f aca="false">MIN(AO103*(1+H$8),MAX(BA104,$B$12-SUM(BE104:BJ104)-SUM(BB104:BD104)))</f>
        <v>0</v>
      </c>
      <c r="BL104" s="27" t="n">
        <f aca="false">MIN(AP103*(1+I$8),MAX(BB104,$B$12-SUM(BE104:BK104)-SUM(BC104:BD104)))</f>
        <v>0</v>
      </c>
      <c r="BM104" s="27" t="n">
        <f aca="false">MIN(AQ103*(1+J$8),MAX(BC104,$B$12-SUM(BE104:BL104)-SUM(BD104:BD104)))</f>
        <v>0</v>
      </c>
      <c r="BN104" s="27" t="n">
        <f aca="false">MIN(AR103*(1+K$8),MAX(BD104,$B$12-SUM(BE104:BM104)))</f>
        <v>0</v>
      </c>
    </row>
    <row r="105" customFormat="false" ht="15" hidden="false" customHeight="false" outlineLevel="0" collapsed="false">
      <c r="A105" s="0" t="n">
        <v>91</v>
      </c>
      <c r="B105" s="27" t="n">
        <f aca="false">ROUND(MAX(0,B104*(1+B$8)-X105),2)</f>
        <v>0</v>
      </c>
      <c r="C105" s="27" t="n">
        <f aca="false">ROUND(MAX(0,C104*(1+C$8)-Y105),2)</f>
        <v>0</v>
      </c>
      <c r="D105" s="27" t="n">
        <f aca="false">ROUND(MAX(0,D104*(1+D$8)-Z105),2)</f>
        <v>0</v>
      </c>
      <c r="E105" s="27" t="n">
        <f aca="false">ROUND(MAX(0,E104*(1+E$8)-AA105),2)</f>
        <v>0</v>
      </c>
      <c r="F105" s="27" t="n">
        <f aca="false">ROUND(MAX(0,F104*(1+F$8)-AB105),2)</f>
        <v>0</v>
      </c>
      <c r="G105" s="27" t="n">
        <f aca="false">ROUND(MAX(0,G104*(1+G$8)-AC105),2)</f>
        <v>0</v>
      </c>
      <c r="H105" s="27" t="n">
        <f aca="false">ROUND(MAX(0,H104*(1+H$8)-AD105),2)</f>
        <v>0</v>
      </c>
      <c r="I105" s="27" t="n">
        <f aca="false">ROUND(MAX(0,I104*(1+I$8)-AE105),2)</f>
        <v>0</v>
      </c>
      <c r="J105" s="27" t="n">
        <f aca="false">ROUND(MAX(0,J104*(1+J$8)-AF105),2)</f>
        <v>0</v>
      </c>
      <c r="K105" s="27" t="n">
        <f aca="false">ROUND(MAX(0,K104*(1+K$8)-AG105),2)</f>
        <v>0</v>
      </c>
      <c r="L105" s="30" t="n">
        <f aca="false">SUM(B105:K105)</f>
        <v>0</v>
      </c>
      <c r="M105" s="27" t="n">
        <f aca="false">SUMPRODUCT(B104:K104,$B$8:$K$8)</f>
        <v>0</v>
      </c>
      <c r="N105" s="27" t="n">
        <f aca="false">MIN(B104*(1+B$8),B$9)</f>
        <v>0</v>
      </c>
      <c r="O105" s="27" t="n">
        <f aca="false">MIN(C104*(1+C$8),C$9)</f>
        <v>0</v>
      </c>
      <c r="P105" s="27" t="n">
        <f aca="false">MIN(D104*(1+D$8),D$9)</f>
        <v>0</v>
      </c>
      <c r="Q105" s="27" t="n">
        <f aca="false">MIN(E104*(1+E$8),E$9)</f>
        <v>0</v>
      </c>
      <c r="R105" s="27" t="n">
        <f aca="false">MIN(F104*(1+F$8),F$9)</f>
        <v>0</v>
      </c>
      <c r="S105" s="27" t="n">
        <f aca="false">MIN(G104*(1+G$8),G$9)</f>
        <v>0</v>
      </c>
      <c r="T105" s="27" t="n">
        <f aca="false">MIN(H104*(1+H$8),H$9)</f>
        <v>0</v>
      </c>
      <c r="U105" s="27" t="n">
        <f aca="false">MIN(I104*(1+I$8),I$9)</f>
        <v>0</v>
      </c>
      <c r="V105" s="27" t="n">
        <f aca="false">MIN(J104*(1+J$8),J$9)</f>
        <v>0</v>
      </c>
      <c r="W105" s="27" t="n">
        <f aca="false">MIN(K104*(1+K$8),K$9)</f>
        <v>0</v>
      </c>
      <c r="X105" s="27" t="n">
        <f aca="false">MIN(B104*(1+B$8),MAX(N105,$B$11-SUM(O105:W105)))</f>
        <v>0</v>
      </c>
      <c r="Y105" s="27" t="n">
        <f aca="false">MIN(C104*(1+C$8),MAX(O105,$B$11-SUM(X105:X105)-SUM(P105:W105)))</f>
        <v>0</v>
      </c>
      <c r="Z105" s="27" t="n">
        <f aca="false">MIN(D104*(1+D$8),MAX(P105,$B$11-SUM(X105:Y105)-SUM(Q105:W105)))</f>
        <v>0</v>
      </c>
      <c r="AA105" s="27" t="n">
        <f aca="false">MIN(E104*(1+E$8),MAX(Q105,$B$11-SUM(X105:Z105)-SUM(R105:W105)))</f>
        <v>0</v>
      </c>
      <c r="AB105" s="27" t="n">
        <f aca="false">MIN(F104*(1+F$8),MAX(R105,$B$11-SUM(X105:AA105)-SUM(S105:W105)))</f>
        <v>0</v>
      </c>
      <c r="AC105" s="27" t="n">
        <f aca="false">MIN(G104*(1+G$8),MAX(S105,$B$11-SUM(X105:AB105)-SUM(T105:W105)))</f>
        <v>0</v>
      </c>
      <c r="AD105" s="27" t="n">
        <f aca="false">MIN(H104*(1+H$8),MAX(T105,$B$11-SUM(X105:AC105)-SUM(U105:W105)))</f>
        <v>0</v>
      </c>
      <c r="AE105" s="27" t="n">
        <f aca="false">MIN(I104*(1+I$8),MAX(U105,$B$11-SUM(X105:AD105)-SUM(V105:W105)))</f>
        <v>0</v>
      </c>
      <c r="AF105" s="27" t="n">
        <f aca="false">MIN(J104*(1+J$8),MAX(V105,$B$11-SUM(X105:AE105)-SUM(W105:W105)))</f>
        <v>0</v>
      </c>
      <c r="AG105" s="27" t="n">
        <f aca="false">MIN(K104*(1+K$8),MAX(W105,$B$11-SUM(X105:AF105)))</f>
        <v>0</v>
      </c>
      <c r="AI105" s="27" t="n">
        <f aca="false">ROUND(MAX(0,AI104*(1+B$8)-BE105),2)</f>
        <v>0</v>
      </c>
      <c r="AJ105" s="27" t="n">
        <f aca="false">ROUND(MAX(0,AJ104*(1+C$8)-BF105),2)</f>
        <v>0</v>
      </c>
      <c r="AK105" s="27" t="n">
        <f aca="false">ROUND(MAX(0,AK104*(1+D$8)-BG105),2)</f>
        <v>0</v>
      </c>
      <c r="AL105" s="27" t="n">
        <f aca="false">ROUND(MAX(0,AL104*(1+E$8)-BH105),2)</f>
        <v>0</v>
      </c>
      <c r="AM105" s="27" t="n">
        <f aca="false">ROUND(MAX(0,AM104*(1+F$8)-BI105),2)</f>
        <v>0</v>
      </c>
      <c r="AN105" s="27" t="n">
        <f aca="false">ROUND(MAX(0,AN104*(1+G$8)-BJ105),2)</f>
        <v>0</v>
      </c>
      <c r="AO105" s="27" t="n">
        <f aca="false">ROUND(MAX(0,AO104*(1+H$8)-BK105),2)</f>
        <v>0</v>
      </c>
      <c r="AP105" s="27" t="n">
        <f aca="false">ROUND(MAX(0,AP104*(1+I$8)-BL105),2)</f>
        <v>0</v>
      </c>
      <c r="AQ105" s="27" t="n">
        <f aca="false">ROUND(MAX(0,AQ104*(1+J$8)-BM105),2)</f>
        <v>0</v>
      </c>
      <c r="AR105" s="27" t="n">
        <f aca="false">ROUND(MAX(0,AR104*(1+K$8)-BN105),2)</f>
        <v>0</v>
      </c>
      <c r="AS105" s="27" t="n">
        <f aca="false">SUM(AI105:AR105)</f>
        <v>0</v>
      </c>
      <c r="AT105" s="27" t="n">
        <f aca="false">SUMPRODUCT(AI104:AR104,$B$8:$K$8)</f>
        <v>0</v>
      </c>
      <c r="AU105" s="27" t="n">
        <f aca="false">MIN(AI104*(1+B$8),B$9)</f>
        <v>0</v>
      </c>
      <c r="AV105" s="27" t="n">
        <f aca="false">MIN(AJ104*(1+C$8),C$9)</f>
        <v>0</v>
      </c>
      <c r="AW105" s="27" t="n">
        <f aca="false">MIN(AK104*(1+D$8),D$9)</f>
        <v>0</v>
      </c>
      <c r="AX105" s="27" t="n">
        <f aca="false">MIN(AL104*(1+E$8),E$9)</f>
        <v>0</v>
      </c>
      <c r="AY105" s="27" t="n">
        <f aca="false">MIN(AM104*(1+F$8),F$9)</f>
        <v>0</v>
      </c>
      <c r="AZ105" s="27" t="n">
        <f aca="false">MIN(AN104*(1+G$8),G$9)</f>
        <v>0</v>
      </c>
      <c r="BA105" s="27" t="n">
        <f aca="false">MIN(AO104*(1+H$8),H$9)</f>
        <v>0</v>
      </c>
      <c r="BB105" s="27" t="n">
        <f aca="false">MIN(AP104*(1+I$8),I$9)</f>
        <v>0</v>
      </c>
      <c r="BC105" s="27" t="n">
        <f aca="false">MIN(AQ104*(1+J$8),J$9)</f>
        <v>0</v>
      </c>
      <c r="BD105" s="27" t="n">
        <f aca="false">MIN(AR104*(1+K$8),K$9)</f>
        <v>0</v>
      </c>
      <c r="BE105" s="27" t="n">
        <f aca="false">MIN(AI104*(1+B$8),MAX(AU105,$B$12-SUM(AV105:BD105)))</f>
        <v>0</v>
      </c>
      <c r="BF105" s="27" t="n">
        <f aca="false">MIN(AJ104*(1+C$8),MAX(AV105,$B$12-SUM(BE105:BE105)-SUM(AW105:BD105)))</f>
        <v>0</v>
      </c>
      <c r="BG105" s="27" t="n">
        <f aca="false">MIN(AK104*(1+D$8),MAX(AW105,$B$12-SUM(BE105:BF105)-SUM(AX105:BD105)))</f>
        <v>0</v>
      </c>
      <c r="BH105" s="27" t="n">
        <f aca="false">MIN(AL104*(1+E$8),MAX(AX105,$B$12-SUM(BE105:BG105)-SUM(AY105:BD105)))</f>
        <v>0</v>
      </c>
      <c r="BI105" s="27" t="n">
        <f aca="false">MIN(AM104*(1+F$8),MAX(AY105,$B$12-SUM(BE105:BH105)-SUM(AZ105:BD105)))</f>
        <v>0</v>
      </c>
      <c r="BJ105" s="27" t="n">
        <f aca="false">MIN(AN104*(1+G$8),MAX(AZ105,$B$12-SUM(BE105:BI105)-SUM(BA105:BD105)))</f>
        <v>0</v>
      </c>
      <c r="BK105" s="27" t="n">
        <f aca="false">MIN(AO104*(1+H$8),MAX(BA105,$B$12-SUM(BE105:BJ105)-SUM(BB105:BD105)))</f>
        <v>0</v>
      </c>
      <c r="BL105" s="27" t="n">
        <f aca="false">MIN(AP104*(1+I$8),MAX(BB105,$B$12-SUM(BE105:BK105)-SUM(BC105:BD105)))</f>
        <v>0</v>
      </c>
      <c r="BM105" s="27" t="n">
        <f aca="false">MIN(AQ104*(1+J$8),MAX(BC105,$B$12-SUM(BE105:BL105)-SUM(BD105:BD105)))</f>
        <v>0</v>
      </c>
      <c r="BN105" s="27" t="n">
        <f aca="false">MIN(AR104*(1+K$8),MAX(BD105,$B$12-SUM(BE105:BM105)))</f>
        <v>0</v>
      </c>
    </row>
    <row r="106" customFormat="false" ht="15" hidden="false" customHeight="false" outlineLevel="0" collapsed="false">
      <c r="A106" s="0" t="n">
        <v>92</v>
      </c>
      <c r="B106" s="27" t="n">
        <f aca="false">ROUND(MAX(0,B105*(1+B$8)-X106),2)</f>
        <v>0</v>
      </c>
      <c r="C106" s="27" t="n">
        <f aca="false">ROUND(MAX(0,C105*(1+C$8)-Y106),2)</f>
        <v>0</v>
      </c>
      <c r="D106" s="27" t="n">
        <f aca="false">ROUND(MAX(0,D105*(1+D$8)-Z106),2)</f>
        <v>0</v>
      </c>
      <c r="E106" s="27" t="n">
        <f aca="false">ROUND(MAX(0,E105*(1+E$8)-AA106),2)</f>
        <v>0</v>
      </c>
      <c r="F106" s="27" t="n">
        <f aca="false">ROUND(MAX(0,F105*(1+F$8)-AB106),2)</f>
        <v>0</v>
      </c>
      <c r="G106" s="27" t="n">
        <f aca="false">ROUND(MAX(0,G105*(1+G$8)-AC106),2)</f>
        <v>0</v>
      </c>
      <c r="H106" s="27" t="n">
        <f aca="false">ROUND(MAX(0,H105*(1+H$8)-AD106),2)</f>
        <v>0</v>
      </c>
      <c r="I106" s="27" t="n">
        <f aca="false">ROUND(MAX(0,I105*(1+I$8)-AE106),2)</f>
        <v>0</v>
      </c>
      <c r="J106" s="27" t="n">
        <f aca="false">ROUND(MAX(0,J105*(1+J$8)-AF106),2)</f>
        <v>0</v>
      </c>
      <c r="K106" s="27" t="n">
        <f aca="false">ROUND(MAX(0,K105*(1+K$8)-AG106),2)</f>
        <v>0</v>
      </c>
      <c r="L106" s="30" t="n">
        <f aca="false">SUM(B106:K106)</f>
        <v>0</v>
      </c>
      <c r="M106" s="27" t="n">
        <f aca="false">SUMPRODUCT(B105:K105,$B$8:$K$8)</f>
        <v>0</v>
      </c>
      <c r="N106" s="27" t="n">
        <f aca="false">MIN(B105*(1+B$8),B$9)</f>
        <v>0</v>
      </c>
      <c r="O106" s="27" t="n">
        <f aca="false">MIN(C105*(1+C$8),C$9)</f>
        <v>0</v>
      </c>
      <c r="P106" s="27" t="n">
        <f aca="false">MIN(D105*(1+D$8),D$9)</f>
        <v>0</v>
      </c>
      <c r="Q106" s="27" t="n">
        <f aca="false">MIN(E105*(1+E$8),E$9)</f>
        <v>0</v>
      </c>
      <c r="R106" s="27" t="n">
        <f aca="false">MIN(F105*(1+F$8),F$9)</f>
        <v>0</v>
      </c>
      <c r="S106" s="27" t="n">
        <f aca="false">MIN(G105*(1+G$8),G$9)</f>
        <v>0</v>
      </c>
      <c r="T106" s="27" t="n">
        <f aca="false">MIN(H105*(1+H$8),H$9)</f>
        <v>0</v>
      </c>
      <c r="U106" s="27" t="n">
        <f aca="false">MIN(I105*(1+I$8),I$9)</f>
        <v>0</v>
      </c>
      <c r="V106" s="27" t="n">
        <f aca="false">MIN(J105*(1+J$8),J$9)</f>
        <v>0</v>
      </c>
      <c r="W106" s="27" t="n">
        <f aca="false">MIN(K105*(1+K$8),K$9)</f>
        <v>0</v>
      </c>
      <c r="X106" s="27" t="n">
        <f aca="false">MIN(B105*(1+B$8),MAX(N106,$B$11-SUM(O106:W106)))</f>
        <v>0</v>
      </c>
      <c r="Y106" s="27" t="n">
        <f aca="false">MIN(C105*(1+C$8),MAX(O106,$B$11-SUM(X106:X106)-SUM(P106:W106)))</f>
        <v>0</v>
      </c>
      <c r="Z106" s="27" t="n">
        <f aca="false">MIN(D105*(1+D$8),MAX(P106,$B$11-SUM(X106:Y106)-SUM(Q106:W106)))</f>
        <v>0</v>
      </c>
      <c r="AA106" s="27" t="n">
        <f aca="false">MIN(E105*(1+E$8),MAX(Q106,$B$11-SUM(X106:Z106)-SUM(R106:W106)))</f>
        <v>0</v>
      </c>
      <c r="AB106" s="27" t="n">
        <f aca="false">MIN(F105*(1+F$8),MAX(R106,$B$11-SUM(X106:AA106)-SUM(S106:W106)))</f>
        <v>0</v>
      </c>
      <c r="AC106" s="27" t="n">
        <f aca="false">MIN(G105*(1+G$8),MAX(S106,$B$11-SUM(X106:AB106)-SUM(T106:W106)))</f>
        <v>0</v>
      </c>
      <c r="AD106" s="27" t="n">
        <f aca="false">MIN(H105*(1+H$8),MAX(T106,$B$11-SUM(X106:AC106)-SUM(U106:W106)))</f>
        <v>0</v>
      </c>
      <c r="AE106" s="27" t="n">
        <f aca="false">MIN(I105*(1+I$8),MAX(U106,$B$11-SUM(X106:AD106)-SUM(V106:W106)))</f>
        <v>0</v>
      </c>
      <c r="AF106" s="27" t="n">
        <f aca="false">MIN(J105*(1+J$8),MAX(V106,$B$11-SUM(X106:AE106)-SUM(W106:W106)))</f>
        <v>0</v>
      </c>
      <c r="AG106" s="27" t="n">
        <f aca="false">MIN(K105*(1+K$8),MAX(W106,$B$11-SUM(X106:AF106)))</f>
        <v>0</v>
      </c>
      <c r="AI106" s="27" t="n">
        <f aca="false">ROUND(MAX(0,AI105*(1+B$8)-BE106),2)</f>
        <v>0</v>
      </c>
      <c r="AJ106" s="27" t="n">
        <f aca="false">ROUND(MAX(0,AJ105*(1+C$8)-BF106),2)</f>
        <v>0</v>
      </c>
      <c r="AK106" s="27" t="n">
        <f aca="false">ROUND(MAX(0,AK105*(1+D$8)-BG106),2)</f>
        <v>0</v>
      </c>
      <c r="AL106" s="27" t="n">
        <f aca="false">ROUND(MAX(0,AL105*(1+E$8)-BH106),2)</f>
        <v>0</v>
      </c>
      <c r="AM106" s="27" t="n">
        <f aca="false">ROUND(MAX(0,AM105*(1+F$8)-BI106),2)</f>
        <v>0</v>
      </c>
      <c r="AN106" s="27" t="n">
        <f aca="false">ROUND(MAX(0,AN105*(1+G$8)-BJ106),2)</f>
        <v>0</v>
      </c>
      <c r="AO106" s="27" t="n">
        <f aca="false">ROUND(MAX(0,AO105*(1+H$8)-BK106),2)</f>
        <v>0</v>
      </c>
      <c r="AP106" s="27" t="n">
        <f aca="false">ROUND(MAX(0,AP105*(1+I$8)-BL106),2)</f>
        <v>0</v>
      </c>
      <c r="AQ106" s="27" t="n">
        <f aca="false">ROUND(MAX(0,AQ105*(1+J$8)-BM106),2)</f>
        <v>0</v>
      </c>
      <c r="AR106" s="27" t="n">
        <f aca="false">ROUND(MAX(0,AR105*(1+K$8)-BN106),2)</f>
        <v>0</v>
      </c>
      <c r="AS106" s="27" t="n">
        <f aca="false">SUM(AI106:AR106)</f>
        <v>0</v>
      </c>
      <c r="AT106" s="27" t="n">
        <f aca="false">SUMPRODUCT(AI105:AR105,$B$8:$K$8)</f>
        <v>0</v>
      </c>
      <c r="AU106" s="27" t="n">
        <f aca="false">MIN(AI105*(1+B$8),B$9)</f>
        <v>0</v>
      </c>
      <c r="AV106" s="27" t="n">
        <f aca="false">MIN(AJ105*(1+C$8),C$9)</f>
        <v>0</v>
      </c>
      <c r="AW106" s="27" t="n">
        <f aca="false">MIN(AK105*(1+D$8),D$9)</f>
        <v>0</v>
      </c>
      <c r="AX106" s="27" t="n">
        <f aca="false">MIN(AL105*(1+E$8),E$9)</f>
        <v>0</v>
      </c>
      <c r="AY106" s="27" t="n">
        <f aca="false">MIN(AM105*(1+F$8),F$9)</f>
        <v>0</v>
      </c>
      <c r="AZ106" s="27" t="n">
        <f aca="false">MIN(AN105*(1+G$8),G$9)</f>
        <v>0</v>
      </c>
      <c r="BA106" s="27" t="n">
        <f aca="false">MIN(AO105*(1+H$8),H$9)</f>
        <v>0</v>
      </c>
      <c r="BB106" s="27" t="n">
        <f aca="false">MIN(AP105*(1+I$8),I$9)</f>
        <v>0</v>
      </c>
      <c r="BC106" s="27" t="n">
        <f aca="false">MIN(AQ105*(1+J$8),J$9)</f>
        <v>0</v>
      </c>
      <c r="BD106" s="27" t="n">
        <f aca="false">MIN(AR105*(1+K$8),K$9)</f>
        <v>0</v>
      </c>
      <c r="BE106" s="27" t="n">
        <f aca="false">MIN(AI105*(1+B$8),MAX(AU106,$B$12-SUM(AV106:BD106)))</f>
        <v>0</v>
      </c>
      <c r="BF106" s="27" t="n">
        <f aca="false">MIN(AJ105*(1+C$8),MAX(AV106,$B$12-SUM(BE106:BE106)-SUM(AW106:BD106)))</f>
        <v>0</v>
      </c>
      <c r="BG106" s="27" t="n">
        <f aca="false">MIN(AK105*(1+D$8),MAX(AW106,$B$12-SUM(BE106:BF106)-SUM(AX106:BD106)))</f>
        <v>0</v>
      </c>
      <c r="BH106" s="27" t="n">
        <f aca="false">MIN(AL105*(1+E$8),MAX(AX106,$B$12-SUM(BE106:BG106)-SUM(AY106:BD106)))</f>
        <v>0</v>
      </c>
      <c r="BI106" s="27" t="n">
        <f aca="false">MIN(AM105*(1+F$8),MAX(AY106,$B$12-SUM(BE106:BH106)-SUM(AZ106:BD106)))</f>
        <v>0</v>
      </c>
      <c r="BJ106" s="27" t="n">
        <f aca="false">MIN(AN105*(1+G$8),MAX(AZ106,$B$12-SUM(BE106:BI106)-SUM(BA106:BD106)))</f>
        <v>0</v>
      </c>
      <c r="BK106" s="27" t="n">
        <f aca="false">MIN(AO105*(1+H$8),MAX(BA106,$B$12-SUM(BE106:BJ106)-SUM(BB106:BD106)))</f>
        <v>0</v>
      </c>
      <c r="BL106" s="27" t="n">
        <f aca="false">MIN(AP105*(1+I$8),MAX(BB106,$B$12-SUM(BE106:BK106)-SUM(BC106:BD106)))</f>
        <v>0</v>
      </c>
      <c r="BM106" s="27" t="n">
        <f aca="false">MIN(AQ105*(1+J$8),MAX(BC106,$B$12-SUM(BE106:BL106)-SUM(BD106:BD106)))</f>
        <v>0</v>
      </c>
      <c r="BN106" s="27" t="n">
        <f aca="false">MIN(AR105*(1+K$8),MAX(BD106,$B$12-SUM(BE106:BM106)))</f>
        <v>0</v>
      </c>
    </row>
    <row r="107" customFormat="false" ht="15" hidden="false" customHeight="false" outlineLevel="0" collapsed="false">
      <c r="A107" s="0" t="n">
        <v>93</v>
      </c>
      <c r="B107" s="27" t="n">
        <f aca="false">ROUND(MAX(0,B106*(1+B$8)-X107),2)</f>
        <v>0</v>
      </c>
      <c r="C107" s="27" t="n">
        <f aca="false">ROUND(MAX(0,C106*(1+C$8)-Y107),2)</f>
        <v>0</v>
      </c>
      <c r="D107" s="27" t="n">
        <f aca="false">ROUND(MAX(0,D106*(1+D$8)-Z107),2)</f>
        <v>0</v>
      </c>
      <c r="E107" s="27" t="n">
        <f aca="false">ROUND(MAX(0,E106*(1+E$8)-AA107),2)</f>
        <v>0</v>
      </c>
      <c r="F107" s="27" t="n">
        <f aca="false">ROUND(MAX(0,F106*(1+F$8)-AB107),2)</f>
        <v>0</v>
      </c>
      <c r="G107" s="27" t="n">
        <f aca="false">ROUND(MAX(0,G106*(1+G$8)-AC107),2)</f>
        <v>0</v>
      </c>
      <c r="H107" s="27" t="n">
        <f aca="false">ROUND(MAX(0,H106*(1+H$8)-AD107),2)</f>
        <v>0</v>
      </c>
      <c r="I107" s="27" t="n">
        <f aca="false">ROUND(MAX(0,I106*(1+I$8)-AE107),2)</f>
        <v>0</v>
      </c>
      <c r="J107" s="27" t="n">
        <f aca="false">ROUND(MAX(0,J106*(1+J$8)-AF107),2)</f>
        <v>0</v>
      </c>
      <c r="K107" s="27" t="n">
        <f aca="false">ROUND(MAX(0,K106*(1+K$8)-AG107),2)</f>
        <v>0</v>
      </c>
      <c r="L107" s="30" t="n">
        <f aca="false">SUM(B107:K107)</f>
        <v>0</v>
      </c>
      <c r="M107" s="27" t="n">
        <f aca="false">SUMPRODUCT(B106:K106,$B$8:$K$8)</f>
        <v>0</v>
      </c>
      <c r="N107" s="27" t="n">
        <f aca="false">MIN(B106*(1+B$8),B$9)</f>
        <v>0</v>
      </c>
      <c r="O107" s="27" t="n">
        <f aca="false">MIN(C106*(1+C$8),C$9)</f>
        <v>0</v>
      </c>
      <c r="P107" s="27" t="n">
        <f aca="false">MIN(D106*(1+D$8),D$9)</f>
        <v>0</v>
      </c>
      <c r="Q107" s="27" t="n">
        <f aca="false">MIN(E106*(1+E$8),E$9)</f>
        <v>0</v>
      </c>
      <c r="R107" s="27" t="n">
        <f aca="false">MIN(F106*(1+F$8),F$9)</f>
        <v>0</v>
      </c>
      <c r="S107" s="27" t="n">
        <f aca="false">MIN(G106*(1+G$8),G$9)</f>
        <v>0</v>
      </c>
      <c r="T107" s="27" t="n">
        <f aca="false">MIN(H106*(1+H$8),H$9)</f>
        <v>0</v>
      </c>
      <c r="U107" s="27" t="n">
        <f aca="false">MIN(I106*(1+I$8),I$9)</f>
        <v>0</v>
      </c>
      <c r="V107" s="27" t="n">
        <f aca="false">MIN(J106*(1+J$8),J$9)</f>
        <v>0</v>
      </c>
      <c r="W107" s="27" t="n">
        <f aca="false">MIN(K106*(1+K$8),K$9)</f>
        <v>0</v>
      </c>
      <c r="X107" s="27" t="n">
        <f aca="false">MIN(B106*(1+B$8),MAX(N107,$B$11-SUM(O107:W107)))</f>
        <v>0</v>
      </c>
      <c r="Y107" s="27" t="n">
        <f aca="false">MIN(C106*(1+C$8),MAX(O107,$B$11-SUM(X107:X107)-SUM(P107:W107)))</f>
        <v>0</v>
      </c>
      <c r="Z107" s="27" t="n">
        <f aca="false">MIN(D106*(1+D$8),MAX(P107,$B$11-SUM(X107:Y107)-SUM(Q107:W107)))</f>
        <v>0</v>
      </c>
      <c r="AA107" s="27" t="n">
        <f aca="false">MIN(E106*(1+E$8),MAX(Q107,$B$11-SUM(X107:Z107)-SUM(R107:W107)))</f>
        <v>0</v>
      </c>
      <c r="AB107" s="27" t="n">
        <f aca="false">MIN(F106*(1+F$8),MAX(R107,$B$11-SUM(X107:AA107)-SUM(S107:W107)))</f>
        <v>0</v>
      </c>
      <c r="AC107" s="27" t="n">
        <f aca="false">MIN(G106*(1+G$8),MAX(S107,$B$11-SUM(X107:AB107)-SUM(T107:W107)))</f>
        <v>0</v>
      </c>
      <c r="AD107" s="27" t="n">
        <f aca="false">MIN(H106*(1+H$8),MAX(T107,$B$11-SUM(X107:AC107)-SUM(U107:W107)))</f>
        <v>0</v>
      </c>
      <c r="AE107" s="27" t="n">
        <f aca="false">MIN(I106*(1+I$8),MAX(U107,$B$11-SUM(X107:AD107)-SUM(V107:W107)))</f>
        <v>0</v>
      </c>
      <c r="AF107" s="27" t="n">
        <f aca="false">MIN(J106*(1+J$8),MAX(V107,$B$11-SUM(X107:AE107)-SUM(W107:W107)))</f>
        <v>0</v>
      </c>
      <c r="AG107" s="27" t="n">
        <f aca="false">MIN(K106*(1+K$8),MAX(W107,$B$11-SUM(X107:AF107)))</f>
        <v>0</v>
      </c>
      <c r="AI107" s="27" t="n">
        <f aca="false">ROUND(MAX(0,AI106*(1+B$8)-BE107),2)</f>
        <v>0</v>
      </c>
      <c r="AJ107" s="27" t="n">
        <f aca="false">ROUND(MAX(0,AJ106*(1+C$8)-BF107),2)</f>
        <v>0</v>
      </c>
      <c r="AK107" s="27" t="n">
        <f aca="false">ROUND(MAX(0,AK106*(1+D$8)-BG107),2)</f>
        <v>0</v>
      </c>
      <c r="AL107" s="27" t="n">
        <f aca="false">ROUND(MAX(0,AL106*(1+E$8)-BH107),2)</f>
        <v>0</v>
      </c>
      <c r="AM107" s="27" t="n">
        <f aca="false">ROUND(MAX(0,AM106*(1+F$8)-BI107),2)</f>
        <v>0</v>
      </c>
      <c r="AN107" s="27" t="n">
        <f aca="false">ROUND(MAX(0,AN106*(1+G$8)-BJ107),2)</f>
        <v>0</v>
      </c>
      <c r="AO107" s="27" t="n">
        <f aca="false">ROUND(MAX(0,AO106*(1+H$8)-BK107),2)</f>
        <v>0</v>
      </c>
      <c r="AP107" s="27" t="n">
        <f aca="false">ROUND(MAX(0,AP106*(1+I$8)-BL107),2)</f>
        <v>0</v>
      </c>
      <c r="AQ107" s="27" t="n">
        <f aca="false">ROUND(MAX(0,AQ106*(1+J$8)-BM107),2)</f>
        <v>0</v>
      </c>
      <c r="AR107" s="27" t="n">
        <f aca="false">ROUND(MAX(0,AR106*(1+K$8)-BN107),2)</f>
        <v>0</v>
      </c>
      <c r="AS107" s="27" t="n">
        <f aca="false">SUM(AI107:AR107)</f>
        <v>0</v>
      </c>
      <c r="AT107" s="27" t="n">
        <f aca="false">SUMPRODUCT(AI106:AR106,$B$8:$K$8)</f>
        <v>0</v>
      </c>
      <c r="AU107" s="27" t="n">
        <f aca="false">MIN(AI106*(1+B$8),B$9)</f>
        <v>0</v>
      </c>
      <c r="AV107" s="27" t="n">
        <f aca="false">MIN(AJ106*(1+C$8),C$9)</f>
        <v>0</v>
      </c>
      <c r="AW107" s="27" t="n">
        <f aca="false">MIN(AK106*(1+D$8),D$9)</f>
        <v>0</v>
      </c>
      <c r="AX107" s="27" t="n">
        <f aca="false">MIN(AL106*(1+E$8),E$9)</f>
        <v>0</v>
      </c>
      <c r="AY107" s="27" t="n">
        <f aca="false">MIN(AM106*(1+F$8),F$9)</f>
        <v>0</v>
      </c>
      <c r="AZ107" s="27" t="n">
        <f aca="false">MIN(AN106*(1+G$8),G$9)</f>
        <v>0</v>
      </c>
      <c r="BA107" s="27" t="n">
        <f aca="false">MIN(AO106*(1+H$8),H$9)</f>
        <v>0</v>
      </c>
      <c r="BB107" s="27" t="n">
        <f aca="false">MIN(AP106*(1+I$8),I$9)</f>
        <v>0</v>
      </c>
      <c r="BC107" s="27" t="n">
        <f aca="false">MIN(AQ106*(1+J$8),J$9)</f>
        <v>0</v>
      </c>
      <c r="BD107" s="27" t="n">
        <f aca="false">MIN(AR106*(1+K$8),K$9)</f>
        <v>0</v>
      </c>
      <c r="BE107" s="27" t="n">
        <f aca="false">MIN(AI106*(1+B$8),MAX(AU107,$B$12-SUM(AV107:BD107)))</f>
        <v>0</v>
      </c>
      <c r="BF107" s="27" t="n">
        <f aca="false">MIN(AJ106*(1+C$8),MAX(AV107,$B$12-SUM(BE107:BE107)-SUM(AW107:BD107)))</f>
        <v>0</v>
      </c>
      <c r="BG107" s="27" t="n">
        <f aca="false">MIN(AK106*(1+D$8),MAX(AW107,$B$12-SUM(BE107:BF107)-SUM(AX107:BD107)))</f>
        <v>0</v>
      </c>
      <c r="BH107" s="27" t="n">
        <f aca="false">MIN(AL106*(1+E$8),MAX(AX107,$B$12-SUM(BE107:BG107)-SUM(AY107:BD107)))</f>
        <v>0</v>
      </c>
      <c r="BI107" s="27" t="n">
        <f aca="false">MIN(AM106*(1+F$8),MAX(AY107,$B$12-SUM(BE107:BH107)-SUM(AZ107:BD107)))</f>
        <v>0</v>
      </c>
      <c r="BJ107" s="27" t="n">
        <f aca="false">MIN(AN106*(1+G$8),MAX(AZ107,$B$12-SUM(BE107:BI107)-SUM(BA107:BD107)))</f>
        <v>0</v>
      </c>
      <c r="BK107" s="27" t="n">
        <f aca="false">MIN(AO106*(1+H$8),MAX(BA107,$B$12-SUM(BE107:BJ107)-SUM(BB107:BD107)))</f>
        <v>0</v>
      </c>
      <c r="BL107" s="27" t="n">
        <f aca="false">MIN(AP106*(1+I$8),MAX(BB107,$B$12-SUM(BE107:BK107)-SUM(BC107:BD107)))</f>
        <v>0</v>
      </c>
      <c r="BM107" s="27" t="n">
        <f aca="false">MIN(AQ106*(1+J$8),MAX(BC107,$B$12-SUM(BE107:BL107)-SUM(BD107:BD107)))</f>
        <v>0</v>
      </c>
      <c r="BN107" s="27" t="n">
        <f aca="false">MIN(AR106*(1+K$8),MAX(BD107,$B$12-SUM(BE107:BM107)))</f>
        <v>0</v>
      </c>
    </row>
    <row r="108" customFormat="false" ht="15" hidden="false" customHeight="false" outlineLevel="0" collapsed="false">
      <c r="A108" s="0" t="n">
        <v>94</v>
      </c>
      <c r="B108" s="27" t="n">
        <f aca="false">ROUND(MAX(0,B107*(1+B$8)-X108),2)</f>
        <v>0</v>
      </c>
      <c r="C108" s="27" t="n">
        <f aca="false">ROUND(MAX(0,C107*(1+C$8)-Y108),2)</f>
        <v>0</v>
      </c>
      <c r="D108" s="27" t="n">
        <f aca="false">ROUND(MAX(0,D107*(1+D$8)-Z108),2)</f>
        <v>0</v>
      </c>
      <c r="E108" s="27" t="n">
        <f aca="false">ROUND(MAX(0,E107*(1+E$8)-AA108),2)</f>
        <v>0</v>
      </c>
      <c r="F108" s="27" t="n">
        <f aca="false">ROUND(MAX(0,F107*(1+F$8)-AB108),2)</f>
        <v>0</v>
      </c>
      <c r="G108" s="27" t="n">
        <f aca="false">ROUND(MAX(0,G107*(1+G$8)-AC108),2)</f>
        <v>0</v>
      </c>
      <c r="H108" s="27" t="n">
        <f aca="false">ROUND(MAX(0,H107*(1+H$8)-AD108),2)</f>
        <v>0</v>
      </c>
      <c r="I108" s="27" t="n">
        <f aca="false">ROUND(MAX(0,I107*(1+I$8)-AE108),2)</f>
        <v>0</v>
      </c>
      <c r="J108" s="27" t="n">
        <f aca="false">ROUND(MAX(0,J107*(1+J$8)-AF108),2)</f>
        <v>0</v>
      </c>
      <c r="K108" s="27" t="n">
        <f aca="false">ROUND(MAX(0,K107*(1+K$8)-AG108),2)</f>
        <v>0</v>
      </c>
      <c r="L108" s="30" t="n">
        <f aca="false">SUM(B108:K108)</f>
        <v>0</v>
      </c>
      <c r="M108" s="27" t="n">
        <f aca="false">SUMPRODUCT(B107:K107,$B$8:$K$8)</f>
        <v>0</v>
      </c>
      <c r="N108" s="27" t="n">
        <f aca="false">MIN(B107*(1+B$8),B$9)</f>
        <v>0</v>
      </c>
      <c r="O108" s="27" t="n">
        <f aca="false">MIN(C107*(1+C$8),C$9)</f>
        <v>0</v>
      </c>
      <c r="P108" s="27" t="n">
        <f aca="false">MIN(D107*(1+D$8),D$9)</f>
        <v>0</v>
      </c>
      <c r="Q108" s="27" t="n">
        <f aca="false">MIN(E107*(1+E$8),E$9)</f>
        <v>0</v>
      </c>
      <c r="R108" s="27" t="n">
        <f aca="false">MIN(F107*(1+F$8),F$9)</f>
        <v>0</v>
      </c>
      <c r="S108" s="27" t="n">
        <f aca="false">MIN(G107*(1+G$8),G$9)</f>
        <v>0</v>
      </c>
      <c r="T108" s="27" t="n">
        <f aca="false">MIN(H107*(1+H$8),H$9)</f>
        <v>0</v>
      </c>
      <c r="U108" s="27" t="n">
        <f aca="false">MIN(I107*(1+I$8),I$9)</f>
        <v>0</v>
      </c>
      <c r="V108" s="27" t="n">
        <f aca="false">MIN(J107*(1+J$8),J$9)</f>
        <v>0</v>
      </c>
      <c r="W108" s="27" t="n">
        <f aca="false">MIN(K107*(1+K$8),K$9)</f>
        <v>0</v>
      </c>
      <c r="X108" s="27" t="n">
        <f aca="false">MIN(B107*(1+B$8),MAX(N108,$B$11-SUM(O108:W108)))</f>
        <v>0</v>
      </c>
      <c r="Y108" s="27" t="n">
        <f aca="false">MIN(C107*(1+C$8),MAX(O108,$B$11-SUM(X108:X108)-SUM(P108:W108)))</f>
        <v>0</v>
      </c>
      <c r="Z108" s="27" t="n">
        <f aca="false">MIN(D107*(1+D$8),MAX(P108,$B$11-SUM(X108:Y108)-SUM(Q108:W108)))</f>
        <v>0</v>
      </c>
      <c r="AA108" s="27" t="n">
        <f aca="false">MIN(E107*(1+E$8),MAX(Q108,$B$11-SUM(X108:Z108)-SUM(R108:W108)))</f>
        <v>0</v>
      </c>
      <c r="AB108" s="27" t="n">
        <f aca="false">MIN(F107*(1+F$8),MAX(R108,$B$11-SUM(X108:AA108)-SUM(S108:W108)))</f>
        <v>0</v>
      </c>
      <c r="AC108" s="27" t="n">
        <f aca="false">MIN(G107*(1+G$8),MAX(S108,$B$11-SUM(X108:AB108)-SUM(T108:W108)))</f>
        <v>0</v>
      </c>
      <c r="AD108" s="27" t="n">
        <f aca="false">MIN(H107*(1+H$8),MAX(T108,$B$11-SUM(X108:AC108)-SUM(U108:W108)))</f>
        <v>0</v>
      </c>
      <c r="AE108" s="27" t="n">
        <f aca="false">MIN(I107*(1+I$8),MAX(U108,$B$11-SUM(X108:AD108)-SUM(V108:W108)))</f>
        <v>0</v>
      </c>
      <c r="AF108" s="27" t="n">
        <f aca="false">MIN(J107*(1+J$8),MAX(V108,$B$11-SUM(X108:AE108)-SUM(W108:W108)))</f>
        <v>0</v>
      </c>
      <c r="AG108" s="27" t="n">
        <f aca="false">MIN(K107*(1+K$8),MAX(W108,$B$11-SUM(X108:AF108)))</f>
        <v>0</v>
      </c>
      <c r="AI108" s="27" t="n">
        <f aca="false">ROUND(MAX(0,AI107*(1+B$8)-BE108),2)</f>
        <v>0</v>
      </c>
      <c r="AJ108" s="27" t="n">
        <f aca="false">ROUND(MAX(0,AJ107*(1+C$8)-BF108),2)</f>
        <v>0</v>
      </c>
      <c r="AK108" s="27" t="n">
        <f aca="false">ROUND(MAX(0,AK107*(1+D$8)-BG108),2)</f>
        <v>0</v>
      </c>
      <c r="AL108" s="27" t="n">
        <f aca="false">ROUND(MAX(0,AL107*(1+E$8)-BH108),2)</f>
        <v>0</v>
      </c>
      <c r="AM108" s="27" t="n">
        <f aca="false">ROUND(MAX(0,AM107*(1+F$8)-BI108),2)</f>
        <v>0</v>
      </c>
      <c r="AN108" s="27" t="n">
        <f aca="false">ROUND(MAX(0,AN107*(1+G$8)-BJ108),2)</f>
        <v>0</v>
      </c>
      <c r="AO108" s="27" t="n">
        <f aca="false">ROUND(MAX(0,AO107*(1+H$8)-BK108),2)</f>
        <v>0</v>
      </c>
      <c r="AP108" s="27" t="n">
        <f aca="false">ROUND(MAX(0,AP107*(1+I$8)-BL108),2)</f>
        <v>0</v>
      </c>
      <c r="AQ108" s="27" t="n">
        <f aca="false">ROUND(MAX(0,AQ107*(1+J$8)-BM108),2)</f>
        <v>0</v>
      </c>
      <c r="AR108" s="27" t="n">
        <f aca="false">ROUND(MAX(0,AR107*(1+K$8)-BN108),2)</f>
        <v>0</v>
      </c>
      <c r="AS108" s="27" t="n">
        <f aca="false">SUM(AI108:AR108)</f>
        <v>0</v>
      </c>
      <c r="AT108" s="27" t="n">
        <f aca="false">SUMPRODUCT(AI107:AR107,$B$8:$K$8)</f>
        <v>0</v>
      </c>
      <c r="AU108" s="27" t="n">
        <f aca="false">MIN(AI107*(1+B$8),B$9)</f>
        <v>0</v>
      </c>
      <c r="AV108" s="27" t="n">
        <f aca="false">MIN(AJ107*(1+C$8),C$9)</f>
        <v>0</v>
      </c>
      <c r="AW108" s="27" t="n">
        <f aca="false">MIN(AK107*(1+D$8),D$9)</f>
        <v>0</v>
      </c>
      <c r="AX108" s="27" t="n">
        <f aca="false">MIN(AL107*(1+E$8),E$9)</f>
        <v>0</v>
      </c>
      <c r="AY108" s="27" t="n">
        <f aca="false">MIN(AM107*(1+F$8),F$9)</f>
        <v>0</v>
      </c>
      <c r="AZ108" s="27" t="n">
        <f aca="false">MIN(AN107*(1+G$8),G$9)</f>
        <v>0</v>
      </c>
      <c r="BA108" s="27" t="n">
        <f aca="false">MIN(AO107*(1+H$8),H$9)</f>
        <v>0</v>
      </c>
      <c r="BB108" s="27" t="n">
        <f aca="false">MIN(AP107*(1+I$8),I$9)</f>
        <v>0</v>
      </c>
      <c r="BC108" s="27" t="n">
        <f aca="false">MIN(AQ107*(1+J$8),J$9)</f>
        <v>0</v>
      </c>
      <c r="BD108" s="27" t="n">
        <f aca="false">MIN(AR107*(1+K$8),K$9)</f>
        <v>0</v>
      </c>
      <c r="BE108" s="27" t="n">
        <f aca="false">MIN(AI107*(1+B$8),MAX(AU108,$B$12-SUM(AV108:BD108)))</f>
        <v>0</v>
      </c>
      <c r="BF108" s="27" t="n">
        <f aca="false">MIN(AJ107*(1+C$8),MAX(AV108,$B$12-SUM(BE108:BE108)-SUM(AW108:BD108)))</f>
        <v>0</v>
      </c>
      <c r="BG108" s="27" t="n">
        <f aca="false">MIN(AK107*(1+D$8),MAX(AW108,$B$12-SUM(BE108:BF108)-SUM(AX108:BD108)))</f>
        <v>0</v>
      </c>
      <c r="BH108" s="27" t="n">
        <f aca="false">MIN(AL107*(1+E$8),MAX(AX108,$B$12-SUM(BE108:BG108)-SUM(AY108:BD108)))</f>
        <v>0</v>
      </c>
      <c r="BI108" s="27" t="n">
        <f aca="false">MIN(AM107*(1+F$8),MAX(AY108,$B$12-SUM(BE108:BH108)-SUM(AZ108:BD108)))</f>
        <v>0</v>
      </c>
      <c r="BJ108" s="27" t="n">
        <f aca="false">MIN(AN107*(1+G$8),MAX(AZ108,$B$12-SUM(BE108:BI108)-SUM(BA108:BD108)))</f>
        <v>0</v>
      </c>
      <c r="BK108" s="27" t="n">
        <f aca="false">MIN(AO107*(1+H$8),MAX(BA108,$B$12-SUM(BE108:BJ108)-SUM(BB108:BD108)))</f>
        <v>0</v>
      </c>
      <c r="BL108" s="27" t="n">
        <f aca="false">MIN(AP107*(1+I$8),MAX(BB108,$B$12-SUM(BE108:BK108)-SUM(BC108:BD108)))</f>
        <v>0</v>
      </c>
      <c r="BM108" s="27" t="n">
        <f aca="false">MIN(AQ107*(1+J$8),MAX(BC108,$B$12-SUM(BE108:BL108)-SUM(BD108:BD108)))</f>
        <v>0</v>
      </c>
      <c r="BN108" s="27" t="n">
        <f aca="false">MIN(AR107*(1+K$8),MAX(BD108,$B$12-SUM(BE108:BM108)))</f>
        <v>0</v>
      </c>
    </row>
    <row r="109" customFormat="false" ht="15" hidden="false" customHeight="false" outlineLevel="0" collapsed="false">
      <c r="A109" s="0" t="n">
        <v>95</v>
      </c>
      <c r="B109" s="27" t="n">
        <f aca="false">ROUND(MAX(0,B108*(1+B$8)-X109),2)</f>
        <v>0</v>
      </c>
      <c r="C109" s="27" t="n">
        <f aca="false">ROUND(MAX(0,C108*(1+C$8)-Y109),2)</f>
        <v>0</v>
      </c>
      <c r="D109" s="27" t="n">
        <f aca="false">ROUND(MAX(0,D108*(1+D$8)-Z109),2)</f>
        <v>0</v>
      </c>
      <c r="E109" s="27" t="n">
        <f aca="false">ROUND(MAX(0,E108*(1+E$8)-AA109),2)</f>
        <v>0</v>
      </c>
      <c r="F109" s="27" t="n">
        <f aca="false">ROUND(MAX(0,F108*(1+F$8)-AB109),2)</f>
        <v>0</v>
      </c>
      <c r="G109" s="27" t="n">
        <f aca="false">ROUND(MAX(0,G108*(1+G$8)-AC109),2)</f>
        <v>0</v>
      </c>
      <c r="H109" s="27" t="n">
        <f aca="false">ROUND(MAX(0,H108*(1+H$8)-AD109),2)</f>
        <v>0</v>
      </c>
      <c r="I109" s="27" t="n">
        <f aca="false">ROUND(MAX(0,I108*(1+I$8)-AE109),2)</f>
        <v>0</v>
      </c>
      <c r="J109" s="27" t="n">
        <f aca="false">ROUND(MAX(0,J108*(1+J$8)-AF109),2)</f>
        <v>0</v>
      </c>
      <c r="K109" s="27" t="n">
        <f aca="false">ROUND(MAX(0,K108*(1+K$8)-AG109),2)</f>
        <v>0</v>
      </c>
      <c r="L109" s="30" t="n">
        <f aca="false">SUM(B109:K109)</f>
        <v>0</v>
      </c>
      <c r="M109" s="27" t="n">
        <f aca="false">SUMPRODUCT(B108:K108,$B$8:$K$8)</f>
        <v>0</v>
      </c>
      <c r="N109" s="27" t="n">
        <f aca="false">MIN(B108*(1+B$8),B$9)</f>
        <v>0</v>
      </c>
      <c r="O109" s="27" t="n">
        <f aca="false">MIN(C108*(1+C$8),C$9)</f>
        <v>0</v>
      </c>
      <c r="P109" s="27" t="n">
        <f aca="false">MIN(D108*(1+D$8),D$9)</f>
        <v>0</v>
      </c>
      <c r="Q109" s="27" t="n">
        <f aca="false">MIN(E108*(1+E$8),E$9)</f>
        <v>0</v>
      </c>
      <c r="R109" s="27" t="n">
        <f aca="false">MIN(F108*(1+F$8),F$9)</f>
        <v>0</v>
      </c>
      <c r="S109" s="27" t="n">
        <f aca="false">MIN(G108*(1+G$8),G$9)</f>
        <v>0</v>
      </c>
      <c r="T109" s="27" t="n">
        <f aca="false">MIN(H108*(1+H$8),H$9)</f>
        <v>0</v>
      </c>
      <c r="U109" s="27" t="n">
        <f aca="false">MIN(I108*(1+I$8),I$9)</f>
        <v>0</v>
      </c>
      <c r="V109" s="27" t="n">
        <f aca="false">MIN(J108*(1+J$8),J$9)</f>
        <v>0</v>
      </c>
      <c r="W109" s="27" t="n">
        <f aca="false">MIN(K108*(1+K$8),K$9)</f>
        <v>0</v>
      </c>
      <c r="X109" s="27" t="n">
        <f aca="false">MIN(B108*(1+B$8),MAX(N109,$B$11-SUM(O109:W109)))</f>
        <v>0</v>
      </c>
      <c r="Y109" s="27" t="n">
        <f aca="false">MIN(C108*(1+C$8),MAX(O109,$B$11-SUM(X109:X109)-SUM(P109:W109)))</f>
        <v>0</v>
      </c>
      <c r="Z109" s="27" t="n">
        <f aca="false">MIN(D108*(1+D$8),MAX(P109,$B$11-SUM(X109:Y109)-SUM(Q109:W109)))</f>
        <v>0</v>
      </c>
      <c r="AA109" s="27" t="n">
        <f aca="false">MIN(E108*(1+E$8),MAX(Q109,$B$11-SUM(X109:Z109)-SUM(R109:W109)))</f>
        <v>0</v>
      </c>
      <c r="AB109" s="27" t="n">
        <f aca="false">MIN(F108*(1+F$8),MAX(R109,$B$11-SUM(X109:AA109)-SUM(S109:W109)))</f>
        <v>0</v>
      </c>
      <c r="AC109" s="27" t="n">
        <f aca="false">MIN(G108*(1+G$8),MAX(S109,$B$11-SUM(X109:AB109)-SUM(T109:W109)))</f>
        <v>0</v>
      </c>
      <c r="AD109" s="27" t="n">
        <f aca="false">MIN(H108*(1+H$8),MAX(T109,$B$11-SUM(X109:AC109)-SUM(U109:W109)))</f>
        <v>0</v>
      </c>
      <c r="AE109" s="27" t="n">
        <f aca="false">MIN(I108*(1+I$8),MAX(U109,$B$11-SUM(X109:AD109)-SUM(V109:W109)))</f>
        <v>0</v>
      </c>
      <c r="AF109" s="27" t="n">
        <f aca="false">MIN(J108*(1+J$8),MAX(V109,$B$11-SUM(X109:AE109)-SUM(W109:W109)))</f>
        <v>0</v>
      </c>
      <c r="AG109" s="27" t="n">
        <f aca="false">MIN(K108*(1+K$8),MAX(W109,$B$11-SUM(X109:AF109)))</f>
        <v>0</v>
      </c>
      <c r="AI109" s="27" t="n">
        <f aca="false">ROUND(MAX(0,AI108*(1+B$8)-BE109),2)</f>
        <v>0</v>
      </c>
      <c r="AJ109" s="27" t="n">
        <f aca="false">ROUND(MAX(0,AJ108*(1+C$8)-BF109),2)</f>
        <v>0</v>
      </c>
      <c r="AK109" s="27" t="n">
        <f aca="false">ROUND(MAX(0,AK108*(1+D$8)-BG109),2)</f>
        <v>0</v>
      </c>
      <c r="AL109" s="27" t="n">
        <f aca="false">ROUND(MAX(0,AL108*(1+E$8)-BH109),2)</f>
        <v>0</v>
      </c>
      <c r="AM109" s="27" t="n">
        <f aca="false">ROUND(MAX(0,AM108*(1+F$8)-BI109),2)</f>
        <v>0</v>
      </c>
      <c r="AN109" s="27" t="n">
        <f aca="false">ROUND(MAX(0,AN108*(1+G$8)-BJ109),2)</f>
        <v>0</v>
      </c>
      <c r="AO109" s="27" t="n">
        <f aca="false">ROUND(MAX(0,AO108*(1+H$8)-BK109),2)</f>
        <v>0</v>
      </c>
      <c r="AP109" s="27" t="n">
        <f aca="false">ROUND(MAX(0,AP108*(1+I$8)-BL109),2)</f>
        <v>0</v>
      </c>
      <c r="AQ109" s="27" t="n">
        <f aca="false">ROUND(MAX(0,AQ108*(1+J$8)-BM109),2)</f>
        <v>0</v>
      </c>
      <c r="AR109" s="27" t="n">
        <f aca="false">ROUND(MAX(0,AR108*(1+K$8)-BN109),2)</f>
        <v>0</v>
      </c>
      <c r="AS109" s="27" t="n">
        <f aca="false">SUM(AI109:AR109)</f>
        <v>0</v>
      </c>
      <c r="AT109" s="27" t="n">
        <f aca="false">SUMPRODUCT(AI108:AR108,$B$8:$K$8)</f>
        <v>0</v>
      </c>
      <c r="AU109" s="27" t="n">
        <f aca="false">MIN(AI108*(1+B$8),B$9)</f>
        <v>0</v>
      </c>
      <c r="AV109" s="27" t="n">
        <f aca="false">MIN(AJ108*(1+C$8),C$9)</f>
        <v>0</v>
      </c>
      <c r="AW109" s="27" t="n">
        <f aca="false">MIN(AK108*(1+D$8),D$9)</f>
        <v>0</v>
      </c>
      <c r="AX109" s="27" t="n">
        <f aca="false">MIN(AL108*(1+E$8),E$9)</f>
        <v>0</v>
      </c>
      <c r="AY109" s="27" t="n">
        <f aca="false">MIN(AM108*(1+F$8),F$9)</f>
        <v>0</v>
      </c>
      <c r="AZ109" s="27" t="n">
        <f aca="false">MIN(AN108*(1+G$8),G$9)</f>
        <v>0</v>
      </c>
      <c r="BA109" s="27" t="n">
        <f aca="false">MIN(AO108*(1+H$8),H$9)</f>
        <v>0</v>
      </c>
      <c r="BB109" s="27" t="n">
        <f aca="false">MIN(AP108*(1+I$8),I$9)</f>
        <v>0</v>
      </c>
      <c r="BC109" s="27" t="n">
        <f aca="false">MIN(AQ108*(1+J$8),J$9)</f>
        <v>0</v>
      </c>
      <c r="BD109" s="27" t="n">
        <f aca="false">MIN(AR108*(1+K$8),K$9)</f>
        <v>0</v>
      </c>
      <c r="BE109" s="27" t="n">
        <f aca="false">MIN(AI108*(1+B$8),MAX(AU109,$B$12-SUM(AV109:BD109)))</f>
        <v>0</v>
      </c>
      <c r="BF109" s="27" t="n">
        <f aca="false">MIN(AJ108*(1+C$8),MAX(AV109,$B$12-SUM(BE109:BE109)-SUM(AW109:BD109)))</f>
        <v>0</v>
      </c>
      <c r="BG109" s="27" t="n">
        <f aca="false">MIN(AK108*(1+D$8),MAX(AW109,$B$12-SUM(BE109:BF109)-SUM(AX109:BD109)))</f>
        <v>0</v>
      </c>
      <c r="BH109" s="27" t="n">
        <f aca="false">MIN(AL108*(1+E$8),MAX(AX109,$B$12-SUM(BE109:BG109)-SUM(AY109:BD109)))</f>
        <v>0</v>
      </c>
      <c r="BI109" s="27" t="n">
        <f aca="false">MIN(AM108*(1+F$8),MAX(AY109,$B$12-SUM(BE109:BH109)-SUM(AZ109:BD109)))</f>
        <v>0</v>
      </c>
      <c r="BJ109" s="27" t="n">
        <f aca="false">MIN(AN108*(1+G$8),MAX(AZ109,$B$12-SUM(BE109:BI109)-SUM(BA109:BD109)))</f>
        <v>0</v>
      </c>
      <c r="BK109" s="27" t="n">
        <f aca="false">MIN(AO108*(1+H$8),MAX(BA109,$B$12-SUM(BE109:BJ109)-SUM(BB109:BD109)))</f>
        <v>0</v>
      </c>
      <c r="BL109" s="27" t="n">
        <f aca="false">MIN(AP108*(1+I$8),MAX(BB109,$B$12-SUM(BE109:BK109)-SUM(BC109:BD109)))</f>
        <v>0</v>
      </c>
      <c r="BM109" s="27" t="n">
        <f aca="false">MIN(AQ108*(1+J$8),MAX(BC109,$B$12-SUM(BE109:BL109)-SUM(BD109:BD109)))</f>
        <v>0</v>
      </c>
      <c r="BN109" s="27" t="n">
        <f aca="false">MIN(AR108*(1+K$8),MAX(BD109,$B$12-SUM(BE109:BM109)))</f>
        <v>0</v>
      </c>
    </row>
    <row r="110" customFormat="false" ht="15" hidden="false" customHeight="false" outlineLevel="0" collapsed="false">
      <c r="A110" s="0" t="n">
        <v>96</v>
      </c>
      <c r="B110" s="27" t="n">
        <f aca="false">ROUND(MAX(0,B109*(1+B$8)-X110),2)</f>
        <v>0</v>
      </c>
      <c r="C110" s="27" t="n">
        <f aca="false">ROUND(MAX(0,C109*(1+C$8)-Y110),2)</f>
        <v>0</v>
      </c>
      <c r="D110" s="27" t="n">
        <f aca="false">ROUND(MAX(0,D109*(1+D$8)-Z110),2)</f>
        <v>0</v>
      </c>
      <c r="E110" s="27" t="n">
        <f aca="false">ROUND(MAX(0,E109*(1+E$8)-AA110),2)</f>
        <v>0</v>
      </c>
      <c r="F110" s="27" t="n">
        <f aca="false">ROUND(MAX(0,F109*(1+F$8)-AB110),2)</f>
        <v>0</v>
      </c>
      <c r="G110" s="27" t="n">
        <f aca="false">ROUND(MAX(0,G109*(1+G$8)-AC110),2)</f>
        <v>0</v>
      </c>
      <c r="H110" s="27" t="n">
        <f aca="false">ROUND(MAX(0,H109*(1+H$8)-AD110),2)</f>
        <v>0</v>
      </c>
      <c r="I110" s="27" t="n">
        <f aca="false">ROUND(MAX(0,I109*(1+I$8)-AE110),2)</f>
        <v>0</v>
      </c>
      <c r="J110" s="27" t="n">
        <f aca="false">ROUND(MAX(0,J109*(1+J$8)-AF110),2)</f>
        <v>0</v>
      </c>
      <c r="K110" s="27" t="n">
        <f aca="false">ROUND(MAX(0,K109*(1+K$8)-AG110),2)</f>
        <v>0</v>
      </c>
      <c r="L110" s="30" t="n">
        <f aca="false">SUM(B110:K110)</f>
        <v>0</v>
      </c>
      <c r="M110" s="27" t="n">
        <f aca="false">SUMPRODUCT(B109:K109,$B$8:$K$8)</f>
        <v>0</v>
      </c>
      <c r="N110" s="27" t="n">
        <f aca="false">MIN(B109*(1+B$8),B$9)</f>
        <v>0</v>
      </c>
      <c r="O110" s="27" t="n">
        <f aca="false">MIN(C109*(1+C$8),C$9)</f>
        <v>0</v>
      </c>
      <c r="P110" s="27" t="n">
        <f aca="false">MIN(D109*(1+D$8),D$9)</f>
        <v>0</v>
      </c>
      <c r="Q110" s="27" t="n">
        <f aca="false">MIN(E109*(1+E$8),E$9)</f>
        <v>0</v>
      </c>
      <c r="R110" s="27" t="n">
        <f aca="false">MIN(F109*(1+F$8),F$9)</f>
        <v>0</v>
      </c>
      <c r="S110" s="27" t="n">
        <f aca="false">MIN(G109*(1+G$8),G$9)</f>
        <v>0</v>
      </c>
      <c r="T110" s="27" t="n">
        <f aca="false">MIN(H109*(1+H$8),H$9)</f>
        <v>0</v>
      </c>
      <c r="U110" s="27" t="n">
        <f aca="false">MIN(I109*(1+I$8),I$9)</f>
        <v>0</v>
      </c>
      <c r="V110" s="27" t="n">
        <f aca="false">MIN(J109*(1+J$8),J$9)</f>
        <v>0</v>
      </c>
      <c r="W110" s="27" t="n">
        <f aca="false">MIN(K109*(1+K$8),K$9)</f>
        <v>0</v>
      </c>
      <c r="X110" s="27" t="n">
        <f aca="false">MIN(B109*(1+B$8),MAX(N110,$B$11-SUM(O110:W110)))</f>
        <v>0</v>
      </c>
      <c r="Y110" s="27" t="n">
        <f aca="false">MIN(C109*(1+C$8),MAX(O110,$B$11-SUM(X110:X110)-SUM(P110:W110)))</f>
        <v>0</v>
      </c>
      <c r="Z110" s="27" t="n">
        <f aca="false">MIN(D109*(1+D$8),MAX(P110,$B$11-SUM(X110:Y110)-SUM(Q110:W110)))</f>
        <v>0</v>
      </c>
      <c r="AA110" s="27" t="n">
        <f aca="false">MIN(E109*(1+E$8),MAX(Q110,$B$11-SUM(X110:Z110)-SUM(R110:W110)))</f>
        <v>0</v>
      </c>
      <c r="AB110" s="27" t="n">
        <f aca="false">MIN(F109*(1+F$8),MAX(R110,$B$11-SUM(X110:AA110)-SUM(S110:W110)))</f>
        <v>0</v>
      </c>
      <c r="AC110" s="27" t="n">
        <f aca="false">MIN(G109*(1+G$8),MAX(S110,$B$11-SUM(X110:AB110)-SUM(T110:W110)))</f>
        <v>0</v>
      </c>
      <c r="AD110" s="27" t="n">
        <f aca="false">MIN(H109*(1+H$8),MAX(T110,$B$11-SUM(X110:AC110)-SUM(U110:W110)))</f>
        <v>0</v>
      </c>
      <c r="AE110" s="27" t="n">
        <f aca="false">MIN(I109*(1+I$8),MAX(U110,$B$11-SUM(X110:AD110)-SUM(V110:W110)))</f>
        <v>0</v>
      </c>
      <c r="AF110" s="27" t="n">
        <f aca="false">MIN(J109*(1+J$8),MAX(V110,$B$11-SUM(X110:AE110)-SUM(W110:W110)))</f>
        <v>0</v>
      </c>
      <c r="AG110" s="27" t="n">
        <f aca="false">MIN(K109*(1+K$8),MAX(W110,$B$11-SUM(X110:AF110)))</f>
        <v>0</v>
      </c>
      <c r="AI110" s="27" t="n">
        <f aca="false">ROUND(MAX(0,AI109*(1+B$8)-BE110),2)</f>
        <v>0</v>
      </c>
      <c r="AJ110" s="27" t="n">
        <f aca="false">ROUND(MAX(0,AJ109*(1+C$8)-BF110),2)</f>
        <v>0</v>
      </c>
      <c r="AK110" s="27" t="n">
        <f aca="false">ROUND(MAX(0,AK109*(1+D$8)-BG110),2)</f>
        <v>0</v>
      </c>
      <c r="AL110" s="27" t="n">
        <f aca="false">ROUND(MAX(0,AL109*(1+E$8)-BH110),2)</f>
        <v>0</v>
      </c>
      <c r="AM110" s="27" t="n">
        <f aca="false">ROUND(MAX(0,AM109*(1+F$8)-BI110),2)</f>
        <v>0</v>
      </c>
      <c r="AN110" s="27" t="n">
        <f aca="false">ROUND(MAX(0,AN109*(1+G$8)-BJ110),2)</f>
        <v>0</v>
      </c>
      <c r="AO110" s="27" t="n">
        <f aca="false">ROUND(MAX(0,AO109*(1+H$8)-BK110),2)</f>
        <v>0</v>
      </c>
      <c r="AP110" s="27" t="n">
        <f aca="false">ROUND(MAX(0,AP109*(1+I$8)-BL110),2)</f>
        <v>0</v>
      </c>
      <c r="AQ110" s="27" t="n">
        <f aca="false">ROUND(MAX(0,AQ109*(1+J$8)-BM110),2)</f>
        <v>0</v>
      </c>
      <c r="AR110" s="27" t="n">
        <f aca="false">ROUND(MAX(0,AR109*(1+K$8)-BN110),2)</f>
        <v>0</v>
      </c>
      <c r="AS110" s="27" t="n">
        <f aca="false">SUM(AI110:AR110)</f>
        <v>0</v>
      </c>
      <c r="AT110" s="27" t="n">
        <f aca="false">SUMPRODUCT(AI109:AR109,$B$8:$K$8)</f>
        <v>0</v>
      </c>
      <c r="AU110" s="27" t="n">
        <f aca="false">MIN(AI109*(1+B$8),B$9)</f>
        <v>0</v>
      </c>
      <c r="AV110" s="27" t="n">
        <f aca="false">MIN(AJ109*(1+C$8),C$9)</f>
        <v>0</v>
      </c>
      <c r="AW110" s="27" t="n">
        <f aca="false">MIN(AK109*(1+D$8),D$9)</f>
        <v>0</v>
      </c>
      <c r="AX110" s="27" t="n">
        <f aca="false">MIN(AL109*(1+E$8),E$9)</f>
        <v>0</v>
      </c>
      <c r="AY110" s="27" t="n">
        <f aca="false">MIN(AM109*(1+F$8),F$9)</f>
        <v>0</v>
      </c>
      <c r="AZ110" s="27" t="n">
        <f aca="false">MIN(AN109*(1+G$8),G$9)</f>
        <v>0</v>
      </c>
      <c r="BA110" s="27" t="n">
        <f aca="false">MIN(AO109*(1+H$8),H$9)</f>
        <v>0</v>
      </c>
      <c r="BB110" s="27" t="n">
        <f aca="false">MIN(AP109*(1+I$8),I$9)</f>
        <v>0</v>
      </c>
      <c r="BC110" s="27" t="n">
        <f aca="false">MIN(AQ109*(1+J$8),J$9)</f>
        <v>0</v>
      </c>
      <c r="BD110" s="27" t="n">
        <f aca="false">MIN(AR109*(1+K$8),K$9)</f>
        <v>0</v>
      </c>
      <c r="BE110" s="27" t="n">
        <f aca="false">MIN(AI109*(1+B$8),MAX(AU110,$B$12-SUM(AV110:BD110)))</f>
        <v>0</v>
      </c>
      <c r="BF110" s="27" t="n">
        <f aca="false">MIN(AJ109*(1+C$8),MAX(AV110,$B$12-SUM(BE110:BE110)-SUM(AW110:BD110)))</f>
        <v>0</v>
      </c>
      <c r="BG110" s="27" t="n">
        <f aca="false">MIN(AK109*(1+D$8),MAX(AW110,$B$12-SUM(BE110:BF110)-SUM(AX110:BD110)))</f>
        <v>0</v>
      </c>
      <c r="BH110" s="27" t="n">
        <f aca="false">MIN(AL109*(1+E$8),MAX(AX110,$B$12-SUM(BE110:BG110)-SUM(AY110:BD110)))</f>
        <v>0</v>
      </c>
      <c r="BI110" s="27" t="n">
        <f aca="false">MIN(AM109*(1+F$8),MAX(AY110,$B$12-SUM(BE110:BH110)-SUM(AZ110:BD110)))</f>
        <v>0</v>
      </c>
      <c r="BJ110" s="27" t="n">
        <f aca="false">MIN(AN109*(1+G$8),MAX(AZ110,$B$12-SUM(BE110:BI110)-SUM(BA110:BD110)))</f>
        <v>0</v>
      </c>
      <c r="BK110" s="27" t="n">
        <f aca="false">MIN(AO109*(1+H$8),MAX(BA110,$B$12-SUM(BE110:BJ110)-SUM(BB110:BD110)))</f>
        <v>0</v>
      </c>
      <c r="BL110" s="27" t="n">
        <f aca="false">MIN(AP109*(1+I$8),MAX(BB110,$B$12-SUM(BE110:BK110)-SUM(BC110:BD110)))</f>
        <v>0</v>
      </c>
      <c r="BM110" s="27" t="n">
        <f aca="false">MIN(AQ109*(1+J$8),MAX(BC110,$B$12-SUM(BE110:BL110)-SUM(BD110:BD110)))</f>
        <v>0</v>
      </c>
      <c r="BN110" s="27" t="n">
        <f aca="false">MIN(AR109*(1+K$8),MAX(BD110,$B$12-SUM(BE110:BM110)))</f>
        <v>0</v>
      </c>
    </row>
    <row r="111" customFormat="false" ht="15" hidden="false" customHeight="false" outlineLevel="0" collapsed="false">
      <c r="A111" s="0" t="n">
        <v>97</v>
      </c>
      <c r="B111" s="27" t="n">
        <f aca="false">ROUND(MAX(0,B110*(1+B$8)-X111),2)</f>
        <v>0</v>
      </c>
      <c r="C111" s="27" t="n">
        <f aca="false">ROUND(MAX(0,C110*(1+C$8)-Y111),2)</f>
        <v>0</v>
      </c>
      <c r="D111" s="27" t="n">
        <f aca="false">ROUND(MAX(0,D110*(1+D$8)-Z111),2)</f>
        <v>0</v>
      </c>
      <c r="E111" s="27" t="n">
        <f aca="false">ROUND(MAX(0,E110*(1+E$8)-AA111),2)</f>
        <v>0</v>
      </c>
      <c r="F111" s="27" t="n">
        <f aca="false">ROUND(MAX(0,F110*(1+F$8)-AB111),2)</f>
        <v>0</v>
      </c>
      <c r="G111" s="27" t="n">
        <f aca="false">ROUND(MAX(0,G110*(1+G$8)-AC111),2)</f>
        <v>0</v>
      </c>
      <c r="H111" s="27" t="n">
        <f aca="false">ROUND(MAX(0,H110*(1+H$8)-AD111),2)</f>
        <v>0</v>
      </c>
      <c r="I111" s="27" t="n">
        <f aca="false">ROUND(MAX(0,I110*(1+I$8)-AE111),2)</f>
        <v>0</v>
      </c>
      <c r="J111" s="27" t="n">
        <f aca="false">ROUND(MAX(0,J110*(1+J$8)-AF111),2)</f>
        <v>0</v>
      </c>
      <c r="K111" s="27" t="n">
        <f aca="false">ROUND(MAX(0,K110*(1+K$8)-AG111),2)</f>
        <v>0</v>
      </c>
      <c r="L111" s="30" t="n">
        <f aca="false">SUM(B111:K111)</f>
        <v>0</v>
      </c>
      <c r="M111" s="27" t="n">
        <f aca="false">SUMPRODUCT(B110:K110,$B$8:$K$8)</f>
        <v>0</v>
      </c>
      <c r="N111" s="27" t="n">
        <f aca="false">MIN(B110*(1+B$8),B$9)</f>
        <v>0</v>
      </c>
      <c r="O111" s="27" t="n">
        <f aca="false">MIN(C110*(1+C$8),C$9)</f>
        <v>0</v>
      </c>
      <c r="P111" s="27" t="n">
        <f aca="false">MIN(D110*(1+D$8),D$9)</f>
        <v>0</v>
      </c>
      <c r="Q111" s="27" t="n">
        <f aca="false">MIN(E110*(1+E$8),E$9)</f>
        <v>0</v>
      </c>
      <c r="R111" s="27" t="n">
        <f aca="false">MIN(F110*(1+F$8),F$9)</f>
        <v>0</v>
      </c>
      <c r="S111" s="27" t="n">
        <f aca="false">MIN(G110*(1+G$8),G$9)</f>
        <v>0</v>
      </c>
      <c r="T111" s="27" t="n">
        <f aca="false">MIN(H110*(1+H$8),H$9)</f>
        <v>0</v>
      </c>
      <c r="U111" s="27" t="n">
        <f aca="false">MIN(I110*(1+I$8),I$9)</f>
        <v>0</v>
      </c>
      <c r="V111" s="27" t="n">
        <f aca="false">MIN(J110*(1+J$8),J$9)</f>
        <v>0</v>
      </c>
      <c r="W111" s="27" t="n">
        <f aca="false">MIN(K110*(1+K$8),K$9)</f>
        <v>0</v>
      </c>
      <c r="X111" s="27" t="n">
        <f aca="false">MIN(B110*(1+B$8),MAX(N111,$B$11-SUM(O111:W111)))</f>
        <v>0</v>
      </c>
      <c r="Y111" s="27" t="n">
        <f aca="false">MIN(C110*(1+C$8),MAX(O111,$B$11-SUM(X111:X111)-SUM(P111:W111)))</f>
        <v>0</v>
      </c>
      <c r="Z111" s="27" t="n">
        <f aca="false">MIN(D110*(1+D$8),MAX(P111,$B$11-SUM(X111:Y111)-SUM(Q111:W111)))</f>
        <v>0</v>
      </c>
      <c r="AA111" s="27" t="n">
        <f aca="false">MIN(E110*(1+E$8),MAX(Q111,$B$11-SUM(X111:Z111)-SUM(R111:W111)))</f>
        <v>0</v>
      </c>
      <c r="AB111" s="27" t="n">
        <f aca="false">MIN(F110*(1+F$8),MAX(R111,$B$11-SUM(X111:AA111)-SUM(S111:W111)))</f>
        <v>0</v>
      </c>
      <c r="AC111" s="27" t="n">
        <f aca="false">MIN(G110*(1+G$8),MAX(S111,$B$11-SUM(X111:AB111)-SUM(T111:W111)))</f>
        <v>0</v>
      </c>
      <c r="AD111" s="27" t="n">
        <f aca="false">MIN(H110*(1+H$8),MAX(T111,$B$11-SUM(X111:AC111)-SUM(U111:W111)))</f>
        <v>0</v>
      </c>
      <c r="AE111" s="27" t="n">
        <f aca="false">MIN(I110*(1+I$8),MAX(U111,$B$11-SUM(X111:AD111)-SUM(V111:W111)))</f>
        <v>0</v>
      </c>
      <c r="AF111" s="27" t="n">
        <f aca="false">MIN(J110*(1+J$8),MAX(V111,$B$11-SUM(X111:AE111)-SUM(W111:W111)))</f>
        <v>0</v>
      </c>
      <c r="AG111" s="27" t="n">
        <f aca="false">MIN(K110*(1+K$8),MAX(W111,$B$11-SUM(X111:AF111)))</f>
        <v>0</v>
      </c>
      <c r="AI111" s="27" t="n">
        <f aca="false">ROUND(MAX(0,AI110*(1+B$8)-BE111),2)</f>
        <v>0</v>
      </c>
      <c r="AJ111" s="27" t="n">
        <f aca="false">ROUND(MAX(0,AJ110*(1+C$8)-BF111),2)</f>
        <v>0</v>
      </c>
      <c r="AK111" s="27" t="n">
        <f aca="false">ROUND(MAX(0,AK110*(1+D$8)-BG111),2)</f>
        <v>0</v>
      </c>
      <c r="AL111" s="27" t="n">
        <f aca="false">ROUND(MAX(0,AL110*(1+E$8)-BH111),2)</f>
        <v>0</v>
      </c>
      <c r="AM111" s="27" t="n">
        <f aca="false">ROUND(MAX(0,AM110*(1+F$8)-BI111),2)</f>
        <v>0</v>
      </c>
      <c r="AN111" s="27" t="n">
        <f aca="false">ROUND(MAX(0,AN110*(1+G$8)-BJ111),2)</f>
        <v>0</v>
      </c>
      <c r="AO111" s="27" t="n">
        <f aca="false">ROUND(MAX(0,AO110*(1+H$8)-BK111),2)</f>
        <v>0</v>
      </c>
      <c r="AP111" s="27" t="n">
        <f aca="false">ROUND(MAX(0,AP110*(1+I$8)-BL111),2)</f>
        <v>0</v>
      </c>
      <c r="AQ111" s="27" t="n">
        <f aca="false">ROUND(MAX(0,AQ110*(1+J$8)-BM111),2)</f>
        <v>0</v>
      </c>
      <c r="AR111" s="27" t="n">
        <f aca="false">ROUND(MAX(0,AR110*(1+K$8)-BN111),2)</f>
        <v>0</v>
      </c>
      <c r="AS111" s="27" t="n">
        <f aca="false">SUM(AI111:AR111)</f>
        <v>0</v>
      </c>
      <c r="AT111" s="27" t="n">
        <f aca="false">SUMPRODUCT(AI110:AR110,$B$8:$K$8)</f>
        <v>0</v>
      </c>
      <c r="AU111" s="27" t="n">
        <f aca="false">MIN(AI110*(1+B$8),B$9)</f>
        <v>0</v>
      </c>
      <c r="AV111" s="27" t="n">
        <f aca="false">MIN(AJ110*(1+C$8),C$9)</f>
        <v>0</v>
      </c>
      <c r="AW111" s="27" t="n">
        <f aca="false">MIN(AK110*(1+D$8),D$9)</f>
        <v>0</v>
      </c>
      <c r="AX111" s="27" t="n">
        <f aca="false">MIN(AL110*(1+E$8),E$9)</f>
        <v>0</v>
      </c>
      <c r="AY111" s="27" t="n">
        <f aca="false">MIN(AM110*(1+F$8),F$9)</f>
        <v>0</v>
      </c>
      <c r="AZ111" s="27" t="n">
        <f aca="false">MIN(AN110*(1+G$8),G$9)</f>
        <v>0</v>
      </c>
      <c r="BA111" s="27" t="n">
        <f aca="false">MIN(AO110*(1+H$8),H$9)</f>
        <v>0</v>
      </c>
      <c r="BB111" s="27" t="n">
        <f aca="false">MIN(AP110*(1+I$8),I$9)</f>
        <v>0</v>
      </c>
      <c r="BC111" s="27" t="n">
        <f aca="false">MIN(AQ110*(1+J$8),J$9)</f>
        <v>0</v>
      </c>
      <c r="BD111" s="27" t="n">
        <f aca="false">MIN(AR110*(1+K$8),K$9)</f>
        <v>0</v>
      </c>
      <c r="BE111" s="27" t="n">
        <f aca="false">MIN(AI110*(1+B$8),MAX(AU111,$B$12-SUM(AV111:BD111)))</f>
        <v>0</v>
      </c>
      <c r="BF111" s="27" t="n">
        <f aca="false">MIN(AJ110*(1+C$8),MAX(AV111,$B$12-SUM(BE111:BE111)-SUM(AW111:BD111)))</f>
        <v>0</v>
      </c>
      <c r="BG111" s="27" t="n">
        <f aca="false">MIN(AK110*(1+D$8),MAX(AW111,$B$12-SUM(BE111:BF111)-SUM(AX111:BD111)))</f>
        <v>0</v>
      </c>
      <c r="BH111" s="27" t="n">
        <f aca="false">MIN(AL110*(1+E$8),MAX(AX111,$B$12-SUM(BE111:BG111)-SUM(AY111:BD111)))</f>
        <v>0</v>
      </c>
      <c r="BI111" s="27" t="n">
        <f aca="false">MIN(AM110*(1+F$8),MAX(AY111,$B$12-SUM(BE111:BH111)-SUM(AZ111:BD111)))</f>
        <v>0</v>
      </c>
      <c r="BJ111" s="27" t="n">
        <f aca="false">MIN(AN110*(1+G$8),MAX(AZ111,$B$12-SUM(BE111:BI111)-SUM(BA111:BD111)))</f>
        <v>0</v>
      </c>
      <c r="BK111" s="27" t="n">
        <f aca="false">MIN(AO110*(1+H$8),MAX(BA111,$B$12-SUM(BE111:BJ111)-SUM(BB111:BD111)))</f>
        <v>0</v>
      </c>
      <c r="BL111" s="27" t="n">
        <f aca="false">MIN(AP110*(1+I$8),MAX(BB111,$B$12-SUM(BE111:BK111)-SUM(BC111:BD111)))</f>
        <v>0</v>
      </c>
      <c r="BM111" s="27" t="n">
        <f aca="false">MIN(AQ110*(1+J$8),MAX(BC111,$B$12-SUM(BE111:BL111)-SUM(BD111:BD111)))</f>
        <v>0</v>
      </c>
      <c r="BN111" s="27" t="n">
        <f aca="false">MIN(AR110*(1+K$8),MAX(BD111,$B$12-SUM(BE111:BM111)))</f>
        <v>0</v>
      </c>
    </row>
    <row r="112" customFormat="false" ht="15" hidden="false" customHeight="false" outlineLevel="0" collapsed="false">
      <c r="A112" s="0" t="n">
        <v>98</v>
      </c>
      <c r="B112" s="27" t="n">
        <f aca="false">ROUND(MAX(0,B111*(1+B$8)-X112),2)</f>
        <v>0</v>
      </c>
      <c r="C112" s="27" t="n">
        <f aca="false">ROUND(MAX(0,C111*(1+C$8)-Y112),2)</f>
        <v>0</v>
      </c>
      <c r="D112" s="27" t="n">
        <f aca="false">ROUND(MAX(0,D111*(1+D$8)-Z112),2)</f>
        <v>0</v>
      </c>
      <c r="E112" s="27" t="n">
        <f aca="false">ROUND(MAX(0,E111*(1+E$8)-AA112),2)</f>
        <v>0</v>
      </c>
      <c r="F112" s="27" t="n">
        <f aca="false">ROUND(MAX(0,F111*(1+F$8)-AB112),2)</f>
        <v>0</v>
      </c>
      <c r="G112" s="27" t="n">
        <f aca="false">ROUND(MAX(0,G111*(1+G$8)-AC112),2)</f>
        <v>0</v>
      </c>
      <c r="H112" s="27" t="n">
        <f aca="false">ROUND(MAX(0,H111*(1+H$8)-AD112),2)</f>
        <v>0</v>
      </c>
      <c r="I112" s="27" t="n">
        <f aca="false">ROUND(MAX(0,I111*(1+I$8)-AE112),2)</f>
        <v>0</v>
      </c>
      <c r="J112" s="27" t="n">
        <f aca="false">ROUND(MAX(0,J111*(1+J$8)-AF112),2)</f>
        <v>0</v>
      </c>
      <c r="K112" s="27" t="n">
        <f aca="false">ROUND(MAX(0,K111*(1+K$8)-AG112),2)</f>
        <v>0</v>
      </c>
      <c r="L112" s="30" t="n">
        <f aca="false">SUM(B112:K112)</f>
        <v>0</v>
      </c>
      <c r="M112" s="27" t="n">
        <f aca="false">SUMPRODUCT(B111:K111,$B$8:$K$8)</f>
        <v>0</v>
      </c>
      <c r="N112" s="27" t="n">
        <f aca="false">MIN(B111*(1+B$8),B$9)</f>
        <v>0</v>
      </c>
      <c r="O112" s="27" t="n">
        <f aca="false">MIN(C111*(1+C$8),C$9)</f>
        <v>0</v>
      </c>
      <c r="P112" s="27" t="n">
        <f aca="false">MIN(D111*(1+D$8),D$9)</f>
        <v>0</v>
      </c>
      <c r="Q112" s="27" t="n">
        <f aca="false">MIN(E111*(1+E$8),E$9)</f>
        <v>0</v>
      </c>
      <c r="R112" s="27" t="n">
        <f aca="false">MIN(F111*(1+F$8),F$9)</f>
        <v>0</v>
      </c>
      <c r="S112" s="27" t="n">
        <f aca="false">MIN(G111*(1+G$8),G$9)</f>
        <v>0</v>
      </c>
      <c r="T112" s="27" t="n">
        <f aca="false">MIN(H111*(1+H$8),H$9)</f>
        <v>0</v>
      </c>
      <c r="U112" s="27" t="n">
        <f aca="false">MIN(I111*(1+I$8),I$9)</f>
        <v>0</v>
      </c>
      <c r="V112" s="27" t="n">
        <f aca="false">MIN(J111*(1+J$8),J$9)</f>
        <v>0</v>
      </c>
      <c r="W112" s="27" t="n">
        <f aca="false">MIN(K111*(1+K$8),K$9)</f>
        <v>0</v>
      </c>
      <c r="X112" s="27" t="n">
        <f aca="false">MIN(B111*(1+B$8),MAX(N112,$B$11-SUM(O112:W112)))</f>
        <v>0</v>
      </c>
      <c r="Y112" s="27" t="n">
        <f aca="false">MIN(C111*(1+C$8),MAX(O112,$B$11-SUM(X112:X112)-SUM(P112:W112)))</f>
        <v>0</v>
      </c>
      <c r="Z112" s="27" t="n">
        <f aca="false">MIN(D111*(1+D$8),MAX(P112,$B$11-SUM(X112:Y112)-SUM(Q112:W112)))</f>
        <v>0</v>
      </c>
      <c r="AA112" s="27" t="n">
        <f aca="false">MIN(E111*(1+E$8),MAX(Q112,$B$11-SUM(X112:Z112)-SUM(R112:W112)))</f>
        <v>0</v>
      </c>
      <c r="AB112" s="27" t="n">
        <f aca="false">MIN(F111*(1+F$8),MAX(R112,$B$11-SUM(X112:AA112)-SUM(S112:W112)))</f>
        <v>0</v>
      </c>
      <c r="AC112" s="27" t="n">
        <f aca="false">MIN(G111*(1+G$8),MAX(S112,$B$11-SUM(X112:AB112)-SUM(T112:W112)))</f>
        <v>0</v>
      </c>
      <c r="AD112" s="27" t="n">
        <f aca="false">MIN(H111*(1+H$8),MAX(T112,$B$11-SUM(X112:AC112)-SUM(U112:W112)))</f>
        <v>0</v>
      </c>
      <c r="AE112" s="27" t="n">
        <f aca="false">MIN(I111*(1+I$8),MAX(U112,$B$11-SUM(X112:AD112)-SUM(V112:W112)))</f>
        <v>0</v>
      </c>
      <c r="AF112" s="27" t="n">
        <f aca="false">MIN(J111*(1+J$8),MAX(V112,$B$11-SUM(X112:AE112)-SUM(W112:W112)))</f>
        <v>0</v>
      </c>
      <c r="AG112" s="27" t="n">
        <f aca="false">MIN(K111*(1+K$8),MAX(W112,$B$11-SUM(X112:AF112)))</f>
        <v>0</v>
      </c>
      <c r="AI112" s="27" t="n">
        <f aca="false">ROUND(MAX(0,AI111*(1+B$8)-BE112),2)</f>
        <v>0</v>
      </c>
      <c r="AJ112" s="27" t="n">
        <f aca="false">ROUND(MAX(0,AJ111*(1+C$8)-BF112),2)</f>
        <v>0</v>
      </c>
      <c r="AK112" s="27" t="n">
        <f aca="false">ROUND(MAX(0,AK111*(1+D$8)-BG112),2)</f>
        <v>0</v>
      </c>
      <c r="AL112" s="27" t="n">
        <f aca="false">ROUND(MAX(0,AL111*(1+E$8)-BH112),2)</f>
        <v>0</v>
      </c>
      <c r="AM112" s="27" t="n">
        <f aca="false">ROUND(MAX(0,AM111*(1+F$8)-BI112),2)</f>
        <v>0</v>
      </c>
      <c r="AN112" s="27" t="n">
        <f aca="false">ROUND(MAX(0,AN111*(1+G$8)-BJ112),2)</f>
        <v>0</v>
      </c>
      <c r="AO112" s="27" t="n">
        <f aca="false">ROUND(MAX(0,AO111*(1+H$8)-BK112),2)</f>
        <v>0</v>
      </c>
      <c r="AP112" s="27" t="n">
        <f aca="false">ROUND(MAX(0,AP111*(1+I$8)-BL112),2)</f>
        <v>0</v>
      </c>
      <c r="AQ112" s="27" t="n">
        <f aca="false">ROUND(MAX(0,AQ111*(1+J$8)-BM112),2)</f>
        <v>0</v>
      </c>
      <c r="AR112" s="27" t="n">
        <f aca="false">ROUND(MAX(0,AR111*(1+K$8)-BN112),2)</f>
        <v>0</v>
      </c>
      <c r="AS112" s="27" t="n">
        <f aca="false">SUM(AI112:AR112)</f>
        <v>0</v>
      </c>
      <c r="AT112" s="27" t="n">
        <f aca="false">SUMPRODUCT(AI111:AR111,$B$8:$K$8)</f>
        <v>0</v>
      </c>
      <c r="AU112" s="27" t="n">
        <f aca="false">MIN(AI111*(1+B$8),B$9)</f>
        <v>0</v>
      </c>
      <c r="AV112" s="27" t="n">
        <f aca="false">MIN(AJ111*(1+C$8),C$9)</f>
        <v>0</v>
      </c>
      <c r="AW112" s="27" t="n">
        <f aca="false">MIN(AK111*(1+D$8),D$9)</f>
        <v>0</v>
      </c>
      <c r="AX112" s="27" t="n">
        <f aca="false">MIN(AL111*(1+E$8),E$9)</f>
        <v>0</v>
      </c>
      <c r="AY112" s="27" t="n">
        <f aca="false">MIN(AM111*(1+F$8),F$9)</f>
        <v>0</v>
      </c>
      <c r="AZ112" s="27" t="n">
        <f aca="false">MIN(AN111*(1+G$8),G$9)</f>
        <v>0</v>
      </c>
      <c r="BA112" s="27" t="n">
        <f aca="false">MIN(AO111*(1+H$8),H$9)</f>
        <v>0</v>
      </c>
      <c r="BB112" s="27" t="n">
        <f aca="false">MIN(AP111*(1+I$8),I$9)</f>
        <v>0</v>
      </c>
      <c r="BC112" s="27" t="n">
        <f aca="false">MIN(AQ111*(1+J$8),J$9)</f>
        <v>0</v>
      </c>
      <c r="BD112" s="27" t="n">
        <f aca="false">MIN(AR111*(1+K$8),K$9)</f>
        <v>0</v>
      </c>
      <c r="BE112" s="27" t="n">
        <f aca="false">MIN(AI111*(1+B$8),MAX(AU112,$B$12-SUM(AV112:BD112)))</f>
        <v>0</v>
      </c>
      <c r="BF112" s="27" t="n">
        <f aca="false">MIN(AJ111*(1+C$8),MAX(AV112,$B$12-SUM(BE112:BE112)-SUM(AW112:BD112)))</f>
        <v>0</v>
      </c>
      <c r="BG112" s="27" t="n">
        <f aca="false">MIN(AK111*(1+D$8),MAX(AW112,$B$12-SUM(BE112:BF112)-SUM(AX112:BD112)))</f>
        <v>0</v>
      </c>
      <c r="BH112" s="27" t="n">
        <f aca="false">MIN(AL111*(1+E$8),MAX(AX112,$B$12-SUM(BE112:BG112)-SUM(AY112:BD112)))</f>
        <v>0</v>
      </c>
      <c r="BI112" s="27" t="n">
        <f aca="false">MIN(AM111*(1+F$8),MAX(AY112,$B$12-SUM(BE112:BH112)-SUM(AZ112:BD112)))</f>
        <v>0</v>
      </c>
      <c r="BJ112" s="27" t="n">
        <f aca="false">MIN(AN111*(1+G$8),MAX(AZ112,$B$12-SUM(BE112:BI112)-SUM(BA112:BD112)))</f>
        <v>0</v>
      </c>
      <c r="BK112" s="27" t="n">
        <f aca="false">MIN(AO111*(1+H$8),MAX(BA112,$B$12-SUM(BE112:BJ112)-SUM(BB112:BD112)))</f>
        <v>0</v>
      </c>
      <c r="BL112" s="27" t="n">
        <f aca="false">MIN(AP111*(1+I$8),MAX(BB112,$B$12-SUM(BE112:BK112)-SUM(BC112:BD112)))</f>
        <v>0</v>
      </c>
      <c r="BM112" s="27" t="n">
        <f aca="false">MIN(AQ111*(1+J$8),MAX(BC112,$B$12-SUM(BE112:BL112)-SUM(BD112:BD112)))</f>
        <v>0</v>
      </c>
      <c r="BN112" s="27" t="n">
        <f aca="false">MIN(AR111*(1+K$8),MAX(BD112,$B$12-SUM(BE112:BM112)))</f>
        <v>0</v>
      </c>
    </row>
    <row r="113" customFormat="false" ht="15" hidden="false" customHeight="false" outlineLevel="0" collapsed="false">
      <c r="A113" s="0" t="n">
        <v>99</v>
      </c>
      <c r="B113" s="27" t="n">
        <f aca="false">ROUND(MAX(0,B112*(1+B$8)-X113),2)</f>
        <v>0</v>
      </c>
      <c r="C113" s="27" t="n">
        <f aca="false">ROUND(MAX(0,C112*(1+C$8)-Y113),2)</f>
        <v>0</v>
      </c>
      <c r="D113" s="27" t="n">
        <f aca="false">ROUND(MAX(0,D112*(1+D$8)-Z113),2)</f>
        <v>0</v>
      </c>
      <c r="E113" s="27" t="n">
        <f aca="false">ROUND(MAX(0,E112*(1+E$8)-AA113),2)</f>
        <v>0</v>
      </c>
      <c r="F113" s="27" t="n">
        <f aca="false">ROUND(MAX(0,F112*(1+F$8)-AB113),2)</f>
        <v>0</v>
      </c>
      <c r="G113" s="27" t="n">
        <f aca="false">ROUND(MAX(0,G112*(1+G$8)-AC113),2)</f>
        <v>0</v>
      </c>
      <c r="H113" s="27" t="n">
        <f aca="false">ROUND(MAX(0,H112*(1+H$8)-AD113),2)</f>
        <v>0</v>
      </c>
      <c r="I113" s="27" t="n">
        <f aca="false">ROUND(MAX(0,I112*(1+I$8)-AE113),2)</f>
        <v>0</v>
      </c>
      <c r="J113" s="27" t="n">
        <f aca="false">ROUND(MAX(0,J112*(1+J$8)-AF113),2)</f>
        <v>0</v>
      </c>
      <c r="K113" s="27" t="n">
        <f aca="false">ROUND(MAX(0,K112*(1+K$8)-AG113),2)</f>
        <v>0</v>
      </c>
      <c r="L113" s="30" t="n">
        <f aca="false">SUM(B113:K113)</f>
        <v>0</v>
      </c>
      <c r="M113" s="27" t="n">
        <f aca="false">SUMPRODUCT(B112:K112,$B$8:$K$8)</f>
        <v>0</v>
      </c>
      <c r="N113" s="27" t="n">
        <f aca="false">MIN(B112*(1+B$8),B$9)</f>
        <v>0</v>
      </c>
      <c r="O113" s="27" t="n">
        <f aca="false">MIN(C112*(1+C$8),C$9)</f>
        <v>0</v>
      </c>
      <c r="P113" s="27" t="n">
        <f aca="false">MIN(D112*(1+D$8),D$9)</f>
        <v>0</v>
      </c>
      <c r="Q113" s="27" t="n">
        <f aca="false">MIN(E112*(1+E$8),E$9)</f>
        <v>0</v>
      </c>
      <c r="R113" s="27" t="n">
        <f aca="false">MIN(F112*(1+F$8),F$9)</f>
        <v>0</v>
      </c>
      <c r="S113" s="27" t="n">
        <f aca="false">MIN(G112*(1+G$8),G$9)</f>
        <v>0</v>
      </c>
      <c r="T113" s="27" t="n">
        <f aca="false">MIN(H112*(1+H$8),H$9)</f>
        <v>0</v>
      </c>
      <c r="U113" s="27" t="n">
        <f aca="false">MIN(I112*(1+I$8),I$9)</f>
        <v>0</v>
      </c>
      <c r="V113" s="27" t="n">
        <f aca="false">MIN(J112*(1+J$8),J$9)</f>
        <v>0</v>
      </c>
      <c r="W113" s="27" t="n">
        <f aca="false">MIN(K112*(1+K$8),K$9)</f>
        <v>0</v>
      </c>
      <c r="X113" s="27" t="n">
        <f aca="false">MIN(B112*(1+B$8),MAX(N113,$B$11-SUM(O113:W113)))</f>
        <v>0</v>
      </c>
      <c r="Y113" s="27" t="n">
        <f aca="false">MIN(C112*(1+C$8),MAX(O113,$B$11-SUM(X113:X113)-SUM(P113:W113)))</f>
        <v>0</v>
      </c>
      <c r="Z113" s="27" t="n">
        <f aca="false">MIN(D112*(1+D$8),MAX(P113,$B$11-SUM(X113:Y113)-SUM(Q113:W113)))</f>
        <v>0</v>
      </c>
      <c r="AA113" s="27" t="n">
        <f aca="false">MIN(E112*(1+E$8),MAX(Q113,$B$11-SUM(X113:Z113)-SUM(R113:W113)))</f>
        <v>0</v>
      </c>
      <c r="AB113" s="27" t="n">
        <f aca="false">MIN(F112*(1+F$8),MAX(R113,$B$11-SUM(X113:AA113)-SUM(S113:W113)))</f>
        <v>0</v>
      </c>
      <c r="AC113" s="27" t="n">
        <f aca="false">MIN(G112*(1+G$8),MAX(S113,$B$11-SUM(X113:AB113)-SUM(T113:W113)))</f>
        <v>0</v>
      </c>
      <c r="AD113" s="27" t="n">
        <f aca="false">MIN(H112*(1+H$8),MAX(T113,$B$11-SUM(X113:AC113)-SUM(U113:W113)))</f>
        <v>0</v>
      </c>
      <c r="AE113" s="27" t="n">
        <f aca="false">MIN(I112*(1+I$8),MAX(U113,$B$11-SUM(X113:AD113)-SUM(V113:W113)))</f>
        <v>0</v>
      </c>
      <c r="AF113" s="27" t="n">
        <f aca="false">MIN(J112*(1+J$8),MAX(V113,$B$11-SUM(X113:AE113)-SUM(W113:W113)))</f>
        <v>0</v>
      </c>
      <c r="AG113" s="27" t="n">
        <f aca="false">MIN(K112*(1+K$8),MAX(W113,$B$11-SUM(X113:AF113)))</f>
        <v>0</v>
      </c>
      <c r="AI113" s="27" t="n">
        <f aca="false">ROUND(MAX(0,AI112*(1+B$8)-BE113),2)</f>
        <v>0</v>
      </c>
      <c r="AJ113" s="27" t="n">
        <f aca="false">ROUND(MAX(0,AJ112*(1+C$8)-BF113),2)</f>
        <v>0</v>
      </c>
      <c r="AK113" s="27" t="n">
        <f aca="false">ROUND(MAX(0,AK112*(1+D$8)-BG113),2)</f>
        <v>0</v>
      </c>
      <c r="AL113" s="27" t="n">
        <f aca="false">ROUND(MAX(0,AL112*(1+E$8)-BH113),2)</f>
        <v>0</v>
      </c>
      <c r="AM113" s="27" t="n">
        <f aca="false">ROUND(MAX(0,AM112*(1+F$8)-BI113),2)</f>
        <v>0</v>
      </c>
      <c r="AN113" s="27" t="n">
        <f aca="false">ROUND(MAX(0,AN112*(1+G$8)-BJ113),2)</f>
        <v>0</v>
      </c>
      <c r="AO113" s="27" t="n">
        <f aca="false">ROUND(MAX(0,AO112*(1+H$8)-BK113),2)</f>
        <v>0</v>
      </c>
      <c r="AP113" s="27" t="n">
        <f aca="false">ROUND(MAX(0,AP112*(1+I$8)-BL113),2)</f>
        <v>0</v>
      </c>
      <c r="AQ113" s="27" t="n">
        <f aca="false">ROUND(MAX(0,AQ112*(1+J$8)-BM113),2)</f>
        <v>0</v>
      </c>
      <c r="AR113" s="27" t="n">
        <f aca="false">ROUND(MAX(0,AR112*(1+K$8)-BN113),2)</f>
        <v>0</v>
      </c>
      <c r="AS113" s="27" t="n">
        <f aca="false">SUM(AI113:AR113)</f>
        <v>0</v>
      </c>
      <c r="AT113" s="27" t="n">
        <f aca="false">SUMPRODUCT(AI112:AR112,$B$8:$K$8)</f>
        <v>0</v>
      </c>
      <c r="AU113" s="27" t="n">
        <f aca="false">MIN(AI112*(1+B$8),B$9)</f>
        <v>0</v>
      </c>
      <c r="AV113" s="27" t="n">
        <f aca="false">MIN(AJ112*(1+C$8),C$9)</f>
        <v>0</v>
      </c>
      <c r="AW113" s="27" t="n">
        <f aca="false">MIN(AK112*(1+D$8),D$9)</f>
        <v>0</v>
      </c>
      <c r="AX113" s="27" t="n">
        <f aca="false">MIN(AL112*(1+E$8),E$9)</f>
        <v>0</v>
      </c>
      <c r="AY113" s="27" t="n">
        <f aca="false">MIN(AM112*(1+F$8),F$9)</f>
        <v>0</v>
      </c>
      <c r="AZ113" s="27" t="n">
        <f aca="false">MIN(AN112*(1+G$8),G$9)</f>
        <v>0</v>
      </c>
      <c r="BA113" s="27" t="n">
        <f aca="false">MIN(AO112*(1+H$8),H$9)</f>
        <v>0</v>
      </c>
      <c r="BB113" s="27" t="n">
        <f aca="false">MIN(AP112*(1+I$8),I$9)</f>
        <v>0</v>
      </c>
      <c r="BC113" s="27" t="n">
        <f aca="false">MIN(AQ112*(1+J$8),J$9)</f>
        <v>0</v>
      </c>
      <c r="BD113" s="27" t="n">
        <f aca="false">MIN(AR112*(1+K$8),K$9)</f>
        <v>0</v>
      </c>
      <c r="BE113" s="27" t="n">
        <f aca="false">MIN(AI112*(1+B$8),MAX(AU113,$B$12-SUM(AV113:BD113)))</f>
        <v>0</v>
      </c>
      <c r="BF113" s="27" t="n">
        <f aca="false">MIN(AJ112*(1+C$8),MAX(AV113,$B$12-SUM(BE113:BE113)-SUM(AW113:BD113)))</f>
        <v>0</v>
      </c>
      <c r="BG113" s="27" t="n">
        <f aca="false">MIN(AK112*(1+D$8),MAX(AW113,$B$12-SUM(BE113:BF113)-SUM(AX113:BD113)))</f>
        <v>0</v>
      </c>
      <c r="BH113" s="27" t="n">
        <f aca="false">MIN(AL112*(1+E$8),MAX(AX113,$B$12-SUM(BE113:BG113)-SUM(AY113:BD113)))</f>
        <v>0</v>
      </c>
      <c r="BI113" s="27" t="n">
        <f aca="false">MIN(AM112*(1+F$8),MAX(AY113,$B$12-SUM(BE113:BH113)-SUM(AZ113:BD113)))</f>
        <v>0</v>
      </c>
      <c r="BJ113" s="27" t="n">
        <f aca="false">MIN(AN112*(1+G$8),MAX(AZ113,$B$12-SUM(BE113:BI113)-SUM(BA113:BD113)))</f>
        <v>0</v>
      </c>
      <c r="BK113" s="27" t="n">
        <f aca="false">MIN(AO112*(1+H$8),MAX(BA113,$B$12-SUM(BE113:BJ113)-SUM(BB113:BD113)))</f>
        <v>0</v>
      </c>
      <c r="BL113" s="27" t="n">
        <f aca="false">MIN(AP112*(1+I$8),MAX(BB113,$B$12-SUM(BE113:BK113)-SUM(BC113:BD113)))</f>
        <v>0</v>
      </c>
      <c r="BM113" s="27" t="n">
        <f aca="false">MIN(AQ112*(1+J$8),MAX(BC113,$B$12-SUM(BE113:BL113)-SUM(BD113:BD113)))</f>
        <v>0</v>
      </c>
      <c r="BN113" s="27" t="n">
        <f aca="false">MIN(AR112*(1+K$8),MAX(BD113,$B$12-SUM(BE113:BM113)))</f>
        <v>0</v>
      </c>
    </row>
    <row r="114" customFormat="false" ht="15" hidden="false" customHeight="false" outlineLevel="0" collapsed="false">
      <c r="A114" s="0" t="n">
        <v>100</v>
      </c>
      <c r="B114" s="27" t="n">
        <f aca="false">ROUND(MAX(0,B113*(1+B$8)-X114),2)</f>
        <v>0</v>
      </c>
      <c r="C114" s="27" t="n">
        <f aca="false">ROUND(MAX(0,C113*(1+C$8)-Y114),2)</f>
        <v>0</v>
      </c>
      <c r="D114" s="27" t="n">
        <f aca="false">ROUND(MAX(0,D113*(1+D$8)-Z114),2)</f>
        <v>0</v>
      </c>
      <c r="E114" s="27" t="n">
        <f aca="false">ROUND(MAX(0,E113*(1+E$8)-AA114),2)</f>
        <v>0</v>
      </c>
      <c r="F114" s="27" t="n">
        <f aca="false">ROUND(MAX(0,F113*(1+F$8)-AB114),2)</f>
        <v>0</v>
      </c>
      <c r="G114" s="27" t="n">
        <f aca="false">ROUND(MAX(0,G113*(1+G$8)-AC114),2)</f>
        <v>0</v>
      </c>
      <c r="H114" s="27" t="n">
        <f aca="false">ROUND(MAX(0,H113*(1+H$8)-AD114),2)</f>
        <v>0</v>
      </c>
      <c r="I114" s="27" t="n">
        <f aca="false">ROUND(MAX(0,I113*(1+I$8)-AE114),2)</f>
        <v>0</v>
      </c>
      <c r="J114" s="27" t="n">
        <f aca="false">ROUND(MAX(0,J113*(1+J$8)-AF114),2)</f>
        <v>0</v>
      </c>
      <c r="K114" s="27" t="n">
        <f aca="false">ROUND(MAX(0,K113*(1+K$8)-AG114),2)</f>
        <v>0</v>
      </c>
      <c r="L114" s="30" t="n">
        <f aca="false">SUM(B114:K114)</f>
        <v>0</v>
      </c>
      <c r="M114" s="27" t="n">
        <f aca="false">SUMPRODUCT(B113:K113,$B$8:$K$8)</f>
        <v>0</v>
      </c>
      <c r="N114" s="27" t="n">
        <f aca="false">MIN(B113*(1+B$8),B$9)</f>
        <v>0</v>
      </c>
      <c r="O114" s="27" t="n">
        <f aca="false">MIN(C113*(1+C$8),C$9)</f>
        <v>0</v>
      </c>
      <c r="P114" s="27" t="n">
        <f aca="false">MIN(D113*(1+D$8),D$9)</f>
        <v>0</v>
      </c>
      <c r="Q114" s="27" t="n">
        <f aca="false">MIN(E113*(1+E$8),E$9)</f>
        <v>0</v>
      </c>
      <c r="R114" s="27" t="n">
        <f aca="false">MIN(F113*(1+F$8),F$9)</f>
        <v>0</v>
      </c>
      <c r="S114" s="27" t="n">
        <f aca="false">MIN(G113*(1+G$8),G$9)</f>
        <v>0</v>
      </c>
      <c r="T114" s="27" t="n">
        <f aca="false">MIN(H113*(1+H$8),H$9)</f>
        <v>0</v>
      </c>
      <c r="U114" s="27" t="n">
        <f aca="false">MIN(I113*(1+I$8),I$9)</f>
        <v>0</v>
      </c>
      <c r="V114" s="27" t="n">
        <f aca="false">MIN(J113*(1+J$8),J$9)</f>
        <v>0</v>
      </c>
      <c r="W114" s="27" t="n">
        <f aca="false">MIN(K113*(1+K$8),K$9)</f>
        <v>0</v>
      </c>
      <c r="X114" s="27" t="n">
        <f aca="false">MIN(B113*(1+B$8),MAX(N114,$B$11-SUM(O114:W114)))</f>
        <v>0</v>
      </c>
      <c r="Y114" s="27" t="n">
        <f aca="false">MIN(C113*(1+C$8),MAX(O114,$B$11-SUM(X114:X114)-SUM(P114:W114)))</f>
        <v>0</v>
      </c>
      <c r="Z114" s="27" t="n">
        <f aca="false">MIN(D113*(1+D$8),MAX(P114,$B$11-SUM(X114:Y114)-SUM(Q114:W114)))</f>
        <v>0</v>
      </c>
      <c r="AA114" s="27" t="n">
        <f aca="false">MIN(E113*(1+E$8),MAX(Q114,$B$11-SUM(X114:Z114)-SUM(R114:W114)))</f>
        <v>0</v>
      </c>
      <c r="AB114" s="27" t="n">
        <f aca="false">MIN(F113*(1+F$8),MAX(R114,$B$11-SUM(X114:AA114)-SUM(S114:W114)))</f>
        <v>0</v>
      </c>
      <c r="AC114" s="27" t="n">
        <f aca="false">MIN(G113*(1+G$8),MAX(S114,$B$11-SUM(X114:AB114)-SUM(T114:W114)))</f>
        <v>0</v>
      </c>
      <c r="AD114" s="27" t="n">
        <f aca="false">MIN(H113*(1+H$8),MAX(T114,$B$11-SUM(X114:AC114)-SUM(U114:W114)))</f>
        <v>0</v>
      </c>
      <c r="AE114" s="27" t="n">
        <f aca="false">MIN(I113*(1+I$8),MAX(U114,$B$11-SUM(X114:AD114)-SUM(V114:W114)))</f>
        <v>0</v>
      </c>
      <c r="AF114" s="27" t="n">
        <f aca="false">MIN(J113*(1+J$8),MAX(V114,$B$11-SUM(X114:AE114)-SUM(W114:W114)))</f>
        <v>0</v>
      </c>
      <c r="AG114" s="27" t="n">
        <f aca="false">MIN(K113*(1+K$8),MAX(W114,$B$11-SUM(X114:AF114)))</f>
        <v>0</v>
      </c>
      <c r="AI114" s="27" t="n">
        <f aca="false">ROUND(MAX(0,AI113*(1+B$8)-BE114),2)</f>
        <v>0</v>
      </c>
      <c r="AJ114" s="27" t="n">
        <f aca="false">ROUND(MAX(0,AJ113*(1+C$8)-BF114),2)</f>
        <v>0</v>
      </c>
      <c r="AK114" s="27" t="n">
        <f aca="false">ROUND(MAX(0,AK113*(1+D$8)-BG114),2)</f>
        <v>0</v>
      </c>
      <c r="AL114" s="27" t="n">
        <f aca="false">ROUND(MAX(0,AL113*(1+E$8)-BH114),2)</f>
        <v>0</v>
      </c>
      <c r="AM114" s="27" t="n">
        <f aca="false">ROUND(MAX(0,AM113*(1+F$8)-BI114),2)</f>
        <v>0</v>
      </c>
      <c r="AN114" s="27" t="n">
        <f aca="false">ROUND(MAX(0,AN113*(1+G$8)-BJ114),2)</f>
        <v>0</v>
      </c>
      <c r="AO114" s="27" t="n">
        <f aca="false">ROUND(MAX(0,AO113*(1+H$8)-BK114),2)</f>
        <v>0</v>
      </c>
      <c r="AP114" s="27" t="n">
        <f aca="false">ROUND(MAX(0,AP113*(1+I$8)-BL114),2)</f>
        <v>0</v>
      </c>
      <c r="AQ114" s="27" t="n">
        <f aca="false">ROUND(MAX(0,AQ113*(1+J$8)-BM114),2)</f>
        <v>0</v>
      </c>
      <c r="AR114" s="27" t="n">
        <f aca="false">ROUND(MAX(0,AR113*(1+K$8)-BN114),2)</f>
        <v>0</v>
      </c>
      <c r="AS114" s="27" t="n">
        <f aca="false">SUM(AI114:AR114)</f>
        <v>0</v>
      </c>
      <c r="AT114" s="27" t="n">
        <f aca="false">SUMPRODUCT(AI113:AR113,$B$8:$K$8)</f>
        <v>0</v>
      </c>
      <c r="AU114" s="27" t="n">
        <f aca="false">MIN(AI113*(1+B$8),B$9)</f>
        <v>0</v>
      </c>
      <c r="AV114" s="27" t="n">
        <f aca="false">MIN(AJ113*(1+C$8),C$9)</f>
        <v>0</v>
      </c>
      <c r="AW114" s="27" t="n">
        <f aca="false">MIN(AK113*(1+D$8),D$9)</f>
        <v>0</v>
      </c>
      <c r="AX114" s="27" t="n">
        <f aca="false">MIN(AL113*(1+E$8),E$9)</f>
        <v>0</v>
      </c>
      <c r="AY114" s="27" t="n">
        <f aca="false">MIN(AM113*(1+F$8),F$9)</f>
        <v>0</v>
      </c>
      <c r="AZ114" s="27" t="n">
        <f aca="false">MIN(AN113*(1+G$8),G$9)</f>
        <v>0</v>
      </c>
      <c r="BA114" s="27" t="n">
        <f aca="false">MIN(AO113*(1+H$8),H$9)</f>
        <v>0</v>
      </c>
      <c r="BB114" s="27" t="n">
        <f aca="false">MIN(AP113*(1+I$8),I$9)</f>
        <v>0</v>
      </c>
      <c r="BC114" s="27" t="n">
        <f aca="false">MIN(AQ113*(1+J$8),J$9)</f>
        <v>0</v>
      </c>
      <c r="BD114" s="27" t="n">
        <f aca="false">MIN(AR113*(1+K$8),K$9)</f>
        <v>0</v>
      </c>
      <c r="BE114" s="27" t="n">
        <f aca="false">MIN(AI113*(1+B$8),MAX(AU114,$B$12-SUM(AV114:BD114)))</f>
        <v>0</v>
      </c>
      <c r="BF114" s="27" t="n">
        <f aca="false">MIN(AJ113*(1+C$8),MAX(AV114,$B$12-SUM(BE114:BE114)-SUM(AW114:BD114)))</f>
        <v>0</v>
      </c>
      <c r="BG114" s="27" t="n">
        <f aca="false">MIN(AK113*(1+D$8),MAX(AW114,$B$12-SUM(BE114:BF114)-SUM(AX114:BD114)))</f>
        <v>0</v>
      </c>
      <c r="BH114" s="27" t="n">
        <f aca="false">MIN(AL113*(1+E$8),MAX(AX114,$B$12-SUM(BE114:BG114)-SUM(AY114:BD114)))</f>
        <v>0</v>
      </c>
      <c r="BI114" s="27" t="n">
        <f aca="false">MIN(AM113*(1+F$8),MAX(AY114,$B$12-SUM(BE114:BH114)-SUM(AZ114:BD114)))</f>
        <v>0</v>
      </c>
      <c r="BJ114" s="27" t="n">
        <f aca="false">MIN(AN113*(1+G$8),MAX(AZ114,$B$12-SUM(BE114:BI114)-SUM(BA114:BD114)))</f>
        <v>0</v>
      </c>
      <c r="BK114" s="27" t="n">
        <f aca="false">MIN(AO113*(1+H$8),MAX(BA114,$B$12-SUM(BE114:BJ114)-SUM(BB114:BD114)))</f>
        <v>0</v>
      </c>
      <c r="BL114" s="27" t="n">
        <f aca="false">MIN(AP113*(1+I$8),MAX(BB114,$B$12-SUM(BE114:BK114)-SUM(BC114:BD114)))</f>
        <v>0</v>
      </c>
      <c r="BM114" s="27" t="n">
        <f aca="false">MIN(AQ113*(1+J$8),MAX(BC114,$B$12-SUM(BE114:BL114)-SUM(BD114:BD114)))</f>
        <v>0</v>
      </c>
      <c r="BN114" s="27" t="n">
        <f aca="false">MIN(AR113*(1+K$8),MAX(BD114,$B$12-SUM(BE114:BM114)))</f>
        <v>0</v>
      </c>
    </row>
    <row r="115" customFormat="false" ht="15" hidden="false" customHeight="false" outlineLevel="0" collapsed="false">
      <c r="A115" s="0" t="n">
        <v>101</v>
      </c>
      <c r="B115" s="27" t="n">
        <f aca="false">ROUND(MAX(0,B114*(1+B$8)-X115),2)</f>
        <v>0</v>
      </c>
      <c r="C115" s="27" t="n">
        <f aca="false">ROUND(MAX(0,C114*(1+C$8)-Y115),2)</f>
        <v>0</v>
      </c>
      <c r="D115" s="27" t="n">
        <f aca="false">ROUND(MAX(0,D114*(1+D$8)-Z115),2)</f>
        <v>0</v>
      </c>
      <c r="E115" s="27" t="n">
        <f aca="false">ROUND(MAX(0,E114*(1+E$8)-AA115),2)</f>
        <v>0</v>
      </c>
      <c r="F115" s="27" t="n">
        <f aca="false">ROUND(MAX(0,F114*(1+F$8)-AB115),2)</f>
        <v>0</v>
      </c>
      <c r="G115" s="27" t="n">
        <f aca="false">ROUND(MAX(0,G114*(1+G$8)-AC115),2)</f>
        <v>0</v>
      </c>
      <c r="H115" s="27" t="n">
        <f aca="false">ROUND(MAX(0,H114*(1+H$8)-AD115),2)</f>
        <v>0</v>
      </c>
      <c r="I115" s="27" t="n">
        <f aca="false">ROUND(MAX(0,I114*(1+I$8)-AE115),2)</f>
        <v>0</v>
      </c>
      <c r="J115" s="27" t="n">
        <f aca="false">ROUND(MAX(0,J114*(1+J$8)-AF115),2)</f>
        <v>0</v>
      </c>
      <c r="K115" s="27" t="n">
        <f aca="false">ROUND(MAX(0,K114*(1+K$8)-AG115),2)</f>
        <v>0</v>
      </c>
      <c r="L115" s="30" t="n">
        <f aca="false">SUM(B115:K115)</f>
        <v>0</v>
      </c>
      <c r="M115" s="27" t="n">
        <f aca="false">SUMPRODUCT(B114:K114,$B$8:$K$8)</f>
        <v>0</v>
      </c>
      <c r="N115" s="27" t="n">
        <f aca="false">MIN(B114*(1+B$8),B$9)</f>
        <v>0</v>
      </c>
      <c r="O115" s="27" t="n">
        <f aca="false">MIN(C114*(1+C$8),C$9)</f>
        <v>0</v>
      </c>
      <c r="P115" s="27" t="n">
        <f aca="false">MIN(D114*(1+D$8),D$9)</f>
        <v>0</v>
      </c>
      <c r="Q115" s="27" t="n">
        <f aca="false">MIN(E114*(1+E$8),E$9)</f>
        <v>0</v>
      </c>
      <c r="R115" s="27" t="n">
        <f aca="false">MIN(F114*(1+F$8),F$9)</f>
        <v>0</v>
      </c>
      <c r="S115" s="27" t="n">
        <f aca="false">MIN(G114*(1+G$8),G$9)</f>
        <v>0</v>
      </c>
      <c r="T115" s="27" t="n">
        <f aca="false">MIN(H114*(1+H$8),H$9)</f>
        <v>0</v>
      </c>
      <c r="U115" s="27" t="n">
        <f aca="false">MIN(I114*(1+I$8),I$9)</f>
        <v>0</v>
      </c>
      <c r="V115" s="27" t="n">
        <f aca="false">MIN(J114*(1+J$8),J$9)</f>
        <v>0</v>
      </c>
      <c r="W115" s="27" t="n">
        <f aca="false">MIN(K114*(1+K$8),K$9)</f>
        <v>0</v>
      </c>
      <c r="X115" s="27" t="n">
        <f aca="false">MIN(B114*(1+B$8),MAX(N115,$B$11-SUM(O115:W115)))</f>
        <v>0</v>
      </c>
      <c r="Y115" s="27" t="n">
        <f aca="false">MIN(C114*(1+C$8),MAX(O115,$B$11-SUM(X115:X115)-SUM(P115:W115)))</f>
        <v>0</v>
      </c>
      <c r="Z115" s="27" t="n">
        <f aca="false">MIN(D114*(1+D$8),MAX(P115,$B$11-SUM(X115:Y115)-SUM(Q115:W115)))</f>
        <v>0</v>
      </c>
      <c r="AA115" s="27" t="n">
        <f aca="false">MIN(E114*(1+E$8),MAX(Q115,$B$11-SUM(X115:Z115)-SUM(R115:W115)))</f>
        <v>0</v>
      </c>
      <c r="AB115" s="27" t="n">
        <f aca="false">MIN(F114*(1+F$8),MAX(R115,$B$11-SUM(X115:AA115)-SUM(S115:W115)))</f>
        <v>0</v>
      </c>
      <c r="AC115" s="27" t="n">
        <f aca="false">MIN(G114*(1+G$8),MAX(S115,$B$11-SUM(X115:AB115)-SUM(T115:W115)))</f>
        <v>0</v>
      </c>
      <c r="AD115" s="27" t="n">
        <f aca="false">MIN(H114*(1+H$8),MAX(T115,$B$11-SUM(X115:AC115)-SUM(U115:W115)))</f>
        <v>0</v>
      </c>
      <c r="AE115" s="27" t="n">
        <f aca="false">MIN(I114*(1+I$8),MAX(U115,$B$11-SUM(X115:AD115)-SUM(V115:W115)))</f>
        <v>0</v>
      </c>
      <c r="AF115" s="27" t="n">
        <f aca="false">MIN(J114*(1+J$8),MAX(V115,$B$11-SUM(X115:AE115)-SUM(W115:W115)))</f>
        <v>0</v>
      </c>
      <c r="AG115" s="27" t="n">
        <f aca="false">MIN(K114*(1+K$8),MAX(W115,$B$11-SUM(X115:AF115)))</f>
        <v>0</v>
      </c>
      <c r="AI115" s="27" t="n">
        <f aca="false">ROUND(MAX(0,AI114*(1+B$8)-BE115),2)</f>
        <v>0</v>
      </c>
      <c r="AJ115" s="27" t="n">
        <f aca="false">ROUND(MAX(0,AJ114*(1+C$8)-BF115),2)</f>
        <v>0</v>
      </c>
      <c r="AK115" s="27" t="n">
        <f aca="false">ROUND(MAX(0,AK114*(1+D$8)-BG115),2)</f>
        <v>0</v>
      </c>
      <c r="AL115" s="27" t="n">
        <f aca="false">ROUND(MAX(0,AL114*(1+E$8)-BH115),2)</f>
        <v>0</v>
      </c>
      <c r="AM115" s="27" t="n">
        <f aca="false">ROUND(MAX(0,AM114*(1+F$8)-BI115),2)</f>
        <v>0</v>
      </c>
      <c r="AN115" s="27" t="n">
        <f aca="false">ROUND(MAX(0,AN114*(1+G$8)-BJ115),2)</f>
        <v>0</v>
      </c>
      <c r="AO115" s="27" t="n">
        <f aca="false">ROUND(MAX(0,AO114*(1+H$8)-BK115),2)</f>
        <v>0</v>
      </c>
      <c r="AP115" s="27" t="n">
        <f aca="false">ROUND(MAX(0,AP114*(1+I$8)-BL115),2)</f>
        <v>0</v>
      </c>
      <c r="AQ115" s="27" t="n">
        <f aca="false">ROUND(MAX(0,AQ114*(1+J$8)-BM115),2)</f>
        <v>0</v>
      </c>
      <c r="AR115" s="27" t="n">
        <f aca="false">ROUND(MAX(0,AR114*(1+K$8)-BN115),2)</f>
        <v>0</v>
      </c>
      <c r="AS115" s="27" t="n">
        <f aca="false">SUM(AI115:AR115)</f>
        <v>0</v>
      </c>
      <c r="AT115" s="27" t="n">
        <f aca="false">SUMPRODUCT(AI114:AR114,$B$8:$K$8)</f>
        <v>0</v>
      </c>
      <c r="AU115" s="27" t="n">
        <f aca="false">MIN(AI114*(1+B$8),B$9)</f>
        <v>0</v>
      </c>
      <c r="AV115" s="27" t="n">
        <f aca="false">MIN(AJ114*(1+C$8),C$9)</f>
        <v>0</v>
      </c>
      <c r="AW115" s="27" t="n">
        <f aca="false">MIN(AK114*(1+D$8),D$9)</f>
        <v>0</v>
      </c>
      <c r="AX115" s="27" t="n">
        <f aca="false">MIN(AL114*(1+E$8),E$9)</f>
        <v>0</v>
      </c>
      <c r="AY115" s="27" t="n">
        <f aca="false">MIN(AM114*(1+F$8),F$9)</f>
        <v>0</v>
      </c>
      <c r="AZ115" s="27" t="n">
        <f aca="false">MIN(AN114*(1+G$8),G$9)</f>
        <v>0</v>
      </c>
      <c r="BA115" s="27" t="n">
        <f aca="false">MIN(AO114*(1+H$8),H$9)</f>
        <v>0</v>
      </c>
      <c r="BB115" s="27" t="n">
        <f aca="false">MIN(AP114*(1+I$8),I$9)</f>
        <v>0</v>
      </c>
      <c r="BC115" s="27" t="n">
        <f aca="false">MIN(AQ114*(1+J$8),J$9)</f>
        <v>0</v>
      </c>
      <c r="BD115" s="27" t="n">
        <f aca="false">MIN(AR114*(1+K$8),K$9)</f>
        <v>0</v>
      </c>
      <c r="BE115" s="27" t="n">
        <f aca="false">MIN(AI114*(1+B$8),MAX(AU115,$B$12-SUM(AV115:BD115)))</f>
        <v>0</v>
      </c>
      <c r="BF115" s="27" t="n">
        <f aca="false">MIN(AJ114*(1+C$8),MAX(AV115,$B$12-SUM(BE115:BE115)-SUM(AW115:BD115)))</f>
        <v>0</v>
      </c>
      <c r="BG115" s="27" t="n">
        <f aca="false">MIN(AK114*(1+D$8),MAX(AW115,$B$12-SUM(BE115:BF115)-SUM(AX115:BD115)))</f>
        <v>0</v>
      </c>
      <c r="BH115" s="27" t="n">
        <f aca="false">MIN(AL114*(1+E$8),MAX(AX115,$B$12-SUM(BE115:BG115)-SUM(AY115:BD115)))</f>
        <v>0</v>
      </c>
      <c r="BI115" s="27" t="n">
        <f aca="false">MIN(AM114*(1+F$8),MAX(AY115,$B$12-SUM(BE115:BH115)-SUM(AZ115:BD115)))</f>
        <v>0</v>
      </c>
      <c r="BJ115" s="27" t="n">
        <f aca="false">MIN(AN114*(1+G$8),MAX(AZ115,$B$12-SUM(BE115:BI115)-SUM(BA115:BD115)))</f>
        <v>0</v>
      </c>
      <c r="BK115" s="27" t="n">
        <f aca="false">MIN(AO114*(1+H$8),MAX(BA115,$B$12-SUM(BE115:BJ115)-SUM(BB115:BD115)))</f>
        <v>0</v>
      </c>
      <c r="BL115" s="27" t="n">
        <f aca="false">MIN(AP114*(1+I$8),MAX(BB115,$B$12-SUM(BE115:BK115)-SUM(BC115:BD115)))</f>
        <v>0</v>
      </c>
      <c r="BM115" s="27" t="n">
        <f aca="false">MIN(AQ114*(1+J$8),MAX(BC115,$B$12-SUM(BE115:BL115)-SUM(BD115:BD115)))</f>
        <v>0</v>
      </c>
      <c r="BN115" s="27" t="n">
        <f aca="false">MIN(AR114*(1+K$8),MAX(BD115,$B$12-SUM(BE115:BM115)))</f>
        <v>0</v>
      </c>
    </row>
    <row r="116" customFormat="false" ht="15" hidden="false" customHeight="false" outlineLevel="0" collapsed="false">
      <c r="A116" s="0" t="n">
        <v>102</v>
      </c>
      <c r="B116" s="27" t="n">
        <f aca="false">ROUND(MAX(0,B115*(1+B$8)-X116),2)</f>
        <v>0</v>
      </c>
      <c r="C116" s="27" t="n">
        <f aca="false">ROUND(MAX(0,C115*(1+C$8)-Y116),2)</f>
        <v>0</v>
      </c>
      <c r="D116" s="27" t="n">
        <f aca="false">ROUND(MAX(0,D115*(1+D$8)-Z116),2)</f>
        <v>0</v>
      </c>
      <c r="E116" s="27" t="n">
        <f aca="false">ROUND(MAX(0,E115*(1+E$8)-AA116),2)</f>
        <v>0</v>
      </c>
      <c r="F116" s="27" t="n">
        <f aca="false">ROUND(MAX(0,F115*(1+F$8)-AB116),2)</f>
        <v>0</v>
      </c>
      <c r="G116" s="27" t="n">
        <f aca="false">ROUND(MAX(0,G115*(1+G$8)-AC116),2)</f>
        <v>0</v>
      </c>
      <c r="H116" s="27" t="n">
        <f aca="false">ROUND(MAX(0,H115*(1+H$8)-AD116),2)</f>
        <v>0</v>
      </c>
      <c r="I116" s="27" t="n">
        <f aca="false">ROUND(MAX(0,I115*(1+I$8)-AE116),2)</f>
        <v>0</v>
      </c>
      <c r="J116" s="27" t="n">
        <f aca="false">ROUND(MAX(0,J115*(1+J$8)-AF116),2)</f>
        <v>0</v>
      </c>
      <c r="K116" s="27" t="n">
        <f aca="false">ROUND(MAX(0,K115*(1+K$8)-AG116),2)</f>
        <v>0</v>
      </c>
      <c r="L116" s="30" t="n">
        <f aca="false">SUM(B116:K116)</f>
        <v>0</v>
      </c>
      <c r="M116" s="27" t="n">
        <f aca="false">SUMPRODUCT(B115:K115,$B$8:$K$8)</f>
        <v>0</v>
      </c>
      <c r="N116" s="27" t="n">
        <f aca="false">MIN(B115*(1+B$8),B$9)</f>
        <v>0</v>
      </c>
      <c r="O116" s="27" t="n">
        <f aca="false">MIN(C115*(1+C$8),C$9)</f>
        <v>0</v>
      </c>
      <c r="P116" s="27" t="n">
        <f aca="false">MIN(D115*(1+D$8),D$9)</f>
        <v>0</v>
      </c>
      <c r="Q116" s="27" t="n">
        <f aca="false">MIN(E115*(1+E$8),E$9)</f>
        <v>0</v>
      </c>
      <c r="R116" s="27" t="n">
        <f aca="false">MIN(F115*(1+F$8),F$9)</f>
        <v>0</v>
      </c>
      <c r="S116" s="27" t="n">
        <f aca="false">MIN(G115*(1+G$8),G$9)</f>
        <v>0</v>
      </c>
      <c r="T116" s="27" t="n">
        <f aca="false">MIN(H115*(1+H$8),H$9)</f>
        <v>0</v>
      </c>
      <c r="U116" s="27" t="n">
        <f aca="false">MIN(I115*(1+I$8),I$9)</f>
        <v>0</v>
      </c>
      <c r="V116" s="27" t="n">
        <f aca="false">MIN(J115*(1+J$8),J$9)</f>
        <v>0</v>
      </c>
      <c r="W116" s="27" t="n">
        <f aca="false">MIN(K115*(1+K$8),K$9)</f>
        <v>0</v>
      </c>
      <c r="X116" s="27" t="n">
        <f aca="false">MIN(B115*(1+B$8),MAX(N116,$B$11-SUM(O116:W116)))</f>
        <v>0</v>
      </c>
      <c r="Y116" s="27" t="n">
        <f aca="false">MIN(C115*(1+C$8),MAX(O116,$B$11-SUM(X116:X116)-SUM(P116:W116)))</f>
        <v>0</v>
      </c>
      <c r="Z116" s="27" t="n">
        <f aca="false">MIN(D115*(1+D$8),MAX(P116,$B$11-SUM(X116:Y116)-SUM(Q116:W116)))</f>
        <v>0</v>
      </c>
      <c r="AA116" s="27" t="n">
        <f aca="false">MIN(E115*(1+E$8),MAX(Q116,$B$11-SUM(X116:Z116)-SUM(R116:W116)))</f>
        <v>0</v>
      </c>
      <c r="AB116" s="27" t="n">
        <f aca="false">MIN(F115*(1+F$8),MAX(R116,$B$11-SUM(X116:AA116)-SUM(S116:W116)))</f>
        <v>0</v>
      </c>
      <c r="AC116" s="27" t="n">
        <f aca="false">MIN(G115*(1+G$8),MAX(S116,$B$11-SUM(X116:AB116)-SUM(T116:W116)))</f>
        <v>0</v>
      </c>
      <c r="AD116" s="27" t="n">
        <f aca="false">MIN(H115*(1+H$8),MAX(T116,$B$11-SUM(X116:AC116)-SUM(U116:W116)))</f>
        <v>0</v>
      </c>
      <c r="AE116" s="27" t="n">
        <f aca="false">MIN(I115*(1+I$8),MAX(U116,$B$11-SUM(X116:AD116)-SUM(V116:W116)))</f>
        <v>0</v>
      </c>
      <c r="AF116" s="27" t="n">
        <f aca="false">MIN(J115*(1+J$8),MAX(V116,$B$11-SUM(X116:AE116)-SUM(W116:W116)))</f>
        <v>0</v>
      </c>
      <c r="AG116" s="27" t="n">
        <f aca="false">MIN(K115*(1+K$8),MAX(W116,$B$11-SUM(X116:AF116)))</f>
        <v>0</v>
      </c>
      <c r="AI116" s="27" t="n">
        <f aca="false">ROUND(MAX(0,AI115*(1+B$8)-BE116),2)</f>
        <v>0</v>
      </c>
      <c r="AJ116" s="27" t="n">
        <f aca="false">ROUND(MAX(0,AJ115*(1+C$8)-BF116),2)</f>
        <v>0</v>
      </c>
      <c r="AK116" s="27" t="n">
        <f aca="false">ROUND(MAX(0,AK115*(1+D$8)-BG116),2)</f>
        <v>0</v>
      </c>
      <c r="AL116" s="27" t="n">
        <f aca="false">ROUND(MAX(0,AL115*(1+E$8)-BH116),2)</f>
        <v>0</v>
      </c>
      <c r="AM116" s="27" t="n">
        <f aca="false">ROUND(MAX(0,AM115*(1+F$8)-BI116),2)</f>
        <v>0</v>
      </c>
      <c r="AN116" s="27" t="n">
        <f aca="false">ROUND(MAX(0,AN115*(1+G$8)-BJ116),2)</f>
        <v>0</v>
      </c>
      <c r="AO116" s="27" t="n">
        <f aca="false">ROUND(MAX(0,AO115*(1+H$8)-BK116),2)</f>
        <v>0</v>
      </c>
      <c r="AP116" s="27" t="n">
        <f aca="false">ROUND(MAX(0,AP115*(1+I$8)-BL116),2)</f>
        <v>0</v>
      </c>
      <c r="AQ116" s="27" t="n">
        <f aca="false">ROUND(MAX(0,AQ115*(1+J$8)-BM116),2)</f>
        <v>0</v>
      </c>
      <c r="AR116" s="27" t="n">
        <f aca="false">ROUND(MAX(0,AR115*(1+K$8)-BN116),2)</f>
        <v>0</v>
      </c>
      <c r="AS116" s="27" t="n">
        <f aca="false">SUM(AI116:AR116)</f>
        <v>0</v>
      </c>
      <c r="AT116" s="27" t="n">
        <f aca="false">SUMPRODUCT(AI115:AR115,$B$8:$K$8)</f>
        <v>0</v>
      </c>
      <c r="AU116" s="27" t="n">
        <f aca="false">MIN(AI115*(1+B$8),B$9)</f>
        <v>0</v>
      </c>
      <c r="AV116" s="27" t="n">
        <f aca="false">MIN(AJ115*(1+C$8),C$9)</f>
        <v>0</v>
      </c>
      <c r="AW116" s="27" t="n">
        <f aca="false">MIN(AK115*(1+D$8),D$9)</f>
        <v>0</v>
      </c>
      <c r="AX116" s="27" t="n">
        <f aca="false">MIN(AL115*(1+E$8),E$9)</f>
        <v>0</v>
      </c>
      <c r="AY116" s="27" t="n">
        <f aca="false">MIN(AM115*(1+F$8),F$9)</f>
        <v>0</v>
      </c>
      <c r="AZ116" s="27" t="n">
        <f aca="false">MIN(AN115*(1+G$8),G$9)</f>
        <v>0</v>
      </c>
      <c r="BA116" s="27" t="n">
        <f aca="false">MIN(AO115*(1+H$8),H$9)</f>
        <v>0</v>
      </c>
      <c r="BB116" s="27" t="n">
        <f aca="false">MIN(AP115*(1+I$8),I$9)</f>
        <v>0</v>
      </c>
      <c r="BC116" s="27" t="n">
        <f aca="false">MIN(AQ115*(1+J$8),J$9)</f>
        <v>0</v>
      </c>
      <c r="BD116" s="27" t="n">
        <f aca="false">MIN(AR115*(1+K$8),K$9)</f>
        <v>0</v>
      </c>
      <c r="BE116" s="27" t="n">
        <f aca="false">MIN(AI115*(1+B$8),MAX(AU116,$B$12-SUM(AV116:BD116)))</f>
        <v>0</v>
      </c>
      <c r="BF116" s="27" t="n">
        <f aca="false">MIN(AJ115*(1+C$8),MAX(AV116,$B$12-SUM(BE116:BE116)-SUM(AW116:BD116)))</f>
        <v>0</v>
      </c>
      <c r="BG116" s="27" t="n">
        <f aca="false">MIN(AK115*(1+D$8),MAX(AW116,$B$12-SUM(BE116:BF116)-SUM(AX116:BD116)))</f>
        <v>0</v>
      </c>
      <c r="BH116" s="27" t="n">
        <f aca="false">MIN(AL115*(1+E$8),MAX(AX116,$B$12-SUM(BE116:BG116)-SUM(AY116:BD116)))</f>
        <v>0</v>
      </c>
      <c r="BI116" s="27" t="n">
        <f aca="false">MIN(AM115*(1+F$8),MAX(AY116,$B$12-SUM(BE116:BH116)-SUM(AZ116:BD116)))</f>
        <v>0</v>
      </c>
      <c r="BJ116" s="27" t="n">
        <f aca="false">MIN(AN115*(1+G$8),MAX(AZ116,$B$12-SUM(BE116:BI116)-SUM(BA116:BD116)))</f>
        <v>0</v>
      </c>
      <c r="BK116" s="27" t="n">
        <f aca="false">MIN(AO115*(1+H$8),MAX(BA116,$B$12-SUM(BE116:BJ116)-SUM(BB116:BD116)))</f>
        <v>0</v>
      </c>
      <c r="BL116" s="27" t="n">
        <f aca="false">MIN(AP115*(1+I$8),MAX(BB116,$B$12-SUM(BE116:BK116)-SUM(BC116:BD116)))</f>
        <v>0</v>
      </c>
      <c r="BM116" s="27" t="n">
        <f aca="false">MIN(AQ115*(1+J$8),MAX(BC116,$B$12-SUM(BE116:BL116)-SUM(BD116:BD116)))</f>
        <v>0</v>
      </c>
      <c r="BN116" s="27" t="n">
        <f aca="false">MIN(AR115*(1+K$8),MAX(BD116,$B$12-SUM(BE116:BM116)))</f>
        <v>0</v>
      </c>
    </row>
    <row r="117" customFormat="false" ht="15" hidden="false" customHeight="false" outlineLevel="0" collapsed="false">
      <c r="A117" s="0" t="n">
        <v>103</v>
      </c>
      <c r="B117" s="27" t="n">
        <f aca="false">ROUND(MAX(0,B116*(1+B$8)-X117),2)</f>
        <v>0</v>
      </c>
      <c r="C117" s="27" t="n">
        <f aca="false">ROUND(MAX(0,C116*(1+C$8)-Y117),2)</f>
        <v>0</v>
      </c>
      <c r="D117" s="27" t="n">
        <f aca="false">ROUND(MAX(0,D116*(1+D$8)-Z117),2)</f>
        <v>0</v>
      </c>
      <c r="E117" s="27" t="n">
        <f aca="false">ROUND(MAX(0,E116*(1+E$8)-AA117),2)</f>
        <v>0</v>
      </c>
      <c r="F117" s="27" t="n">
        <f aca="false">ROUND(MAX(0,F116*(1+F$8)-AB117),2)</f>
        <v>0</v>
      </c>
      <c r="G117" s="27" t="n">
        <f aca="false">ROUND(MAX(0,G116*(1+G$8)-AC117),2)</f>
        <v>0</v>
      </c>
      <c r="H117" s="27" t="n">
        <f aca="false">ROUND(MAX(0,H116*(1+H$8)-AD117),2)</f>
        <v>0</v>
      </c>
      <c r="I117" s="27" t="n">
        <f aca="false">ROUND(MAX(0,I116*(1+I$8)-AE117),2)</f>
        <v>0</v>
      </c>
      <c r="J117" s="27" t="n">
        <f aca="false">ROUND(MAX(0,J116*(1+J$8)-AF117),2)</f>
        <v>0</v>
      </c>
      <c r="K117" s="27" t="n">
        <f aca="false">ROUND(MAX(0,K116*(1+K$8)-AG117),2)</f>
        <v>0</v>
      </c>
      <c r="L117" s="30" t="n">
        <f aca="false">SUM(B117:K117)</f>
        <v>0</v>
      </c>
      <c r="M117" s="27" t="n">
        <f aca="false">SUMPRODUCT(B116:K116,$B$8:$K$8)</f>
        <v>0</v>
      </c>
      <c r="N117" s="27" t="n">
        <f aca="false">MIN(B116*(1+B$8),B$9)</f>
        <v>0</v>
      </c>
      <c r="O117" s="27" t="n">
        <f aca="false">MIN(C116*(1+C$8),C$9)</f>
        <v>0</v>
      </c>
      <c r="P117" s="27" t="n">
        <f aca="false">MIN(D116*(1+D$8),D$9)</f>
        <v>0</v>
      </c>
      <c r="Q117" s="27" t="n">
        <f aca="false">MIN(E116*(1+E$8),E$9)</f>
        <v>0</v>
      </c>
      <c r="R117" s="27" t="n">
        <f aca="false">MIN(F116*(1+F$8),F$9)</f>
        <v>0</v>
      </c>
      <c r="S117" s="27" t="n">
        <f aca="false">MIN(G116*(1+G$8),G$9)</f>
        <v>0</v>
      </c>
      <c r="T117" s="27" t="n">
        <f aca="false">MIN(H116*(1+H$8),H$9)</f>
        <v>0</v>
      </c>
      <c r="U117" s="27" t="n">
        <f aca="false">MIN(I116*(1+I$8),I$9)</f>
        <v>0</v>
      </c>
      <c r="V117" s="27" t="n">
        <f aca="false">MIN(J116*(1+J$8),J$9)</f>
        <v>0</v>
      </c>
      <c r="W117" s="27" t="n">
        <f aca="false">MIN(K116*(1+K$8),K$9)</f>
        <v>0</v>
      </c>
      <c r="X117" s="27" t="n">
        <f aca="false">MIN(B116*(1+B$8),MAX(N117,$B$11-SUM(O117:W117)))</f>
        <v>0</v>
      </c>
      <c r="Y117" s="27" t="n">
        <f aca="false">MIN(C116*(1+C$8),MAX(O117,$B$11-SUM(X117:X117)-SUM(P117:W117)))</f>
        <v>0</v>
      </c>
      <c r="Z117" s="27" t="n">
        <f aca="false">MIN(D116*(1+D$8),MAX(P117,$B$11-SUM(X117:Y117)-SUM(Q117:W117)))</f>
        <v>0</v>
      </c>
      <c r="AA117" s="27" t="n">
        <f aca="false">MIN(E116*(1+E$8),MAX(Q117,$B$11-SUM(X117:Z117)-SUM(R117:W117)))</f>
        <v>0</v>
      </c>
      <c r="AB117" s="27" t="n">
        <f aca="false">MIN(F116*(1+F$8),MAX(R117,$B$11-SUM(X117:AA117)-SUM(S117:W117)))</f>
        <v>0</v>
      </c>
      <c r="AC117" s="27" t="n">
        <f aca="false">MIN(G116*(1+G$8),MAX(S117,$B$11-SUM(X117:AB117)-SUM(T117:W117)))</f>
        <v>0</v>
      </c>
      <c r="AD117" s="27" t="n">
        <f aca="false">MIN(H116*(1+H$8),MAX(T117,$B$11-SUM(X117:AC117)-SUM(U117:W117)))</f>
        <v>0</v>
      </c>
      <c r="AE117" s="27" t="n">
        <f aca="false">MIN(I116*(1+I$8),MAX(U117,$B$11-SUM(X117:AD117)-SUM(V117:W117)))</f>
        <v>0</v>
      </c>
      <c r="AF117" s="27" t="n">
        <f aca="false">MIN(J116*(1+J$8),MAX(V117,$B$11-SUM(X117:AE117)-SUM(W117:W117)))</f>
        <v>0</v>
      </c>
      <c r="AG117" s="27" t="n">
        <f aca="false">MIN(K116*(1+K$8),MAX(W117,$B$11-SUM(X117:AF117)))</f>
        <v>0</v>
      </c>
      <c r="AI117" s="27" t="n">
        <f aca="false">ROUND(MAX(0,AI116*(1+B$8)-BE117),2)</f>
        <v>0</v>
      </c>
      <c r="AJ117" s="27" t="n">
        <f aca="false">ROUND(MAX(0,AJ116*(1+C$8)-BF117),2)</f>
        <v>0</v>
      </c>
      <c r="AK117" s="27" t="n">
        <f aca="false">ROUND(MAX(0,AK116*(1+D$8)-BG117),2)</f>
        <v>0</v>
      </c>
      <c r="AL117" s="27" t="n">
        <f aca="false">ROUND(MAX(0,AL116*(1+E$8)-BH117),2)</f>
        <v>0</v>
      </c>
      <c r="AM117" s="27" t="n">
        <f aca="false">ROUND(MAX(0,AM116*(1+F$8)-BI117),2)</f>
        <v>0</v>
      </c>
      <c r="AN117" s="27" t="n">
        <f aca="false">ROUND(MAX(0,AN116*(1+G$8)-BJ117),2)</f>
        <v>0</v>
      </c>
      <c r="AO117" s="27" t="n">
        <f aca="false">ROUND(MAX(0,AO116*(1+H$8)-BK117),2)</f>
        <v>0</v>
      </c>
      <c r="AP117" s="27" t="n">
        <f aca="false">ROUND(MAX(0,AP116*(1+I$8)-BL117),2)</f>
        <v>0</v>
      </c>
      <c r="AQ117" s="27" t="n">
        <f aca="false">ROUND(MAX(0,AQ116*(1+J$8)-BM117),2)</f>
        <v>0</v>
      </c>
      <c r="AR117" s="27" t="n">
        <f aca="false">ROUND(MAX(0,AR116*(1+K$8)-BN117),2)</f>
        <v>0</v>
      </c>
      <c r="AS117" s="27" t="n">
        <f aca="false">SUM(AI117:AR117)</f>
        <v>0</v>
      </c>
      <c r="AT117" s="27" t="n">
        <f aca="false">SUMPRODUCT(AI116:AR116,$B$8:$K$8)</f>
        <v>0</v>
      </c>
      <c r="AU117" s="27" t="n">
        <f aca="false">MIN(AI116*(1+B$8),B$9)</f>
        <v>0</v>
      </c>
      <c r="AV117" s="27" t="n">
        <f aca="false">MIN(AJ116*(1+C$8),C$9)</f>
        <v>0</v>
      </c>
      <c r="AW117" s="27" t="n">
        <f aca="false">MIN(AK116*(1+D$8),D$9)</f>
        <v>0</v>
      </c>
      <c r="AX117" s="27" t="n">
        <f aca="false">MIN(AL116*(1+E$8),E$9)</f>
        <v>0</v>
      </c>
      <c r="AY117" s="27" t="n">
        <f aca="false">MIN(AM116*(1+F$8),F$9)</f>
        <v>0</v>
      </c>
      <c r="AZ117" s="27" t="n">
        <f aca="false">MIN(AN116*(1+G$8),G$9)</f>
        <v>0</v>
      </c>
      <c r="BA117" s="27" t="n">
        <f aca="false">MIN(AO116*(1+H$8),H$9)</f>
        <v>0</v>
      </c>
      <c r="BB117" s="27" t="n">
        <f aca="false">MIN(AP116*(1+I$8),I$9)</f>
        <v>0</v>
      </c>
      <c r="BC117" s="27" t="n">
        <f aca="false">MIN(AQ116*(1+J$8),J$9)</f>
        <v>0</v>
      </c>
      <c r="BD117" s="27" t="n">
        <f aca="false">MIN(AR116*(1+K$8),K$9)</f>
        <v>0</v>
      </c>
      <c r="BE117" s="27" t="n">
        <f aca="false">MIN(AI116*(1+B$8),MAX(AU117,$B$12-SUM(AV117:BD117)))</f>
        <v>0</v>
      </c>
      <c r="BF117" s="27" t="n">
        <f aca="false">MIN(AJ116*(1+C$8),MAX(AV117,$B$12-SUM(BE117:BE117)-SUM(AW117:BD117)))</f>
        <v>0</v>
      </c>
      <c r="BG117" s="27" t="n">
        <f aca="false">MIN(AK116*(1+D$8),MAX(AW117,$B$12-SUM(BE117:BF117)-SUM(AX117:BD117)))</f>
        <v>0</v>
      </c>
      <c r="BH117" s="27" t="n">
        <f aca="false">MIN(AL116*(1+E$8),MAX(AX117,$B$12-SUM(BE117:BG117)-SUM(AY117:BD117)))</f>
        <v>0</v>
      </c>
      <c r="BI117" s="27" t="n">
        <f aca="false">MIN(AM116*(1+F$8),MAX(AY117,$B$12-SUM(BE117:BH117)-SUM(AZ117:BD117)))</f>
        <v>0</v>
      </c>
      <c r="BJ117" s="27" t="n">
        <f aca="false">MIN(AN116*(1+G$8),MAX(AZ117,$B$12-SUM(BE117:BI117)-SUM(BA117:BD117)))</f>
        <v>0</v>
      </c>
      <c r="BK117" s="27" t="n">
        <f aca="false">MIN(AO116*(1+H$8),MAX(BA117,$B$12-SUM(BE117:BJ117)-SUM(BB117:BD117)))</f>
        <v>0</v>
      </c>
      <c r="BL117" s="27" t="n">
        <f aca="false">MIN(AP116*(1+I$8),MAX(BB117,$B$12-SUM(BE117:BK117)-SUM(BC117:BD117)))</f>
        <v>0</v>
      </c>
      <c r="BM117" s="27" t="n">
        <f aca="false">MIN(AQ116*(1+J$8),MAX(BC117,$B$12-SUM(BE117:BL117)-SUM(BD117:BD117)))</f>
        <v>0</v>
      </c>
      <c r="BN117" s="27" t="n">
        <f aca="false">MIN(AR116*(1+K$8),MAX(BD117,$B$12-SUM(BE117:BM117)))</f>
        <v>0</v>
      </c>
    </row>
    <row r="118" customFormat="false" ht="15" hidden="false" customHeight="false" outlineLevel="0" collapsed="false">
      <c r="A118" s="0" t="n">
        <v>104</v>
      </c>
      <c r="B118" s="27" t="n">
        <f aca="false">ROUND(MAX(0,B117*(1+B$8)-X118),2)</f>
        <v>0</v>
      </c>
      <c r="C118" s="27" t="n">
        <f aca="false">ROUND(MAX(0,C117*(1+C$8)-Y118),2)</f>
        <v>0</v>
      </c>
      <c r="D118" s="27" t="n">
        <f aca="false">ROUND(MAX(0,D117*(1+D$8)-Z118),2)</f>
        <v>0</v>
      </c>
      <c r="E118" s="27" t="n">
        <f aca="false">ROUND(MAX(0,E117*(1+E$8)-AA118),2)</f>
        <v>0</v>
      </c>
      <c r="F118" s="27" t="n">
        <f aca="false">ROUND(MAX(0,F117*(1+F$8)-AB118),2)</f>
        <v>0</v>
      </c>
      <c r="G118" s="27" t="n">
        <f aca="false">ROUND(MAX(0,G117*(1+G$8)-AC118),2)</f>
        <v>0</v>
      </c>
      <c r="H118" s="27" t="n">
        <f aca="false">ROUND(MAX(0,H117*(1+H$8)-AD118),2)</f>
        <v>0</v>
      </c>
      <c r="I118" s="27" t="n">
        <f aca="false">ROUND(MAX(0,I117*(1+I$8)-AE118),2)</f>
        <v>0</v>
      </c>
      <c r="J118" s="27" t="n">
        <f aca="false">ROUND(MAX(0,J117*(1+J$8)-AF118),2)</f>
        <v>0</v>
      </c>
      <c r="K118" s="27" t="n">
        <f aca="false">ROUND(MAX(0,K117*(1+K$8)-AG118),2)</f>
        <v>0</v>
      </c>
      <c r="L118" s="30" t="n">
        <f aca="false">SUM(B118:K118)</f>
        <v>0</v>
      </c>
      <c r="M118" s="27" t="n">
        <f aca="false">SUMPRODUCT(B117:K117,$B$8:$K$8)</f>
        <v>0</v>
      </c>
      <c r="N118" s="27" t="n">
        <f aca="false">MIN(B117*(1+B$8),B$9)</f>
        <v>0</v>
      </c>
      <c r="O118" s="27" t="n">
        <f aca="false">MIN(C117*(1+C$8),C$9)</f>
        <v>0</v>
      </c>
      <c r="P118" s="27" t="n">
        <f aca="false">MIN(D117*(1+D$8),D$9)</f>
        <v>0</v>
      </c>
      <c r="Q118" s="27" t="n">
        <f aca="false">MIN(E117*(1+E$8),E$9)</f>
        <v>0</v>
      </c>
      <c r="R118" s="27" t="n">
        <f aca="false">MIN(F117*(1+F$8),F$9)</f>
        <v>0</v>
      </c>
      <c r="S118" s="27" t="n">
        <f aca="false">MIN(G117*(1+G$8),G$9)</f>
        <v>0</v>
      </c>
      <c r="T118" s="27" t="n">
        <f aca="false">MIN(H117*(1+H$8),H$9)</f>
        <v>0</v>
      </c>
      <c r="U118" s="27" t="n">
        <f aca="false">MIN(I117*(1+I$8),I$9)</f>
        <v>0</v>
      </c>
      <c r="V118" s="27" t="n">
        <f aca="false">MIN(J117*(1+J$8),J$9)</f>
        <v>0</v>
      </c>
      <c r="W118" s="27" t="n">
        <f aca="false">MIN(K117*(1+K$8),K$9)</f>
        <v>0</v>
      </c>
      <c r="X118" s="27" t="n">
        <f aca="false">MIN(B117*(1+B$8),MAX(N118,$B$11-SUM(O118:W118)))</f>
        <v>0</v>
      </c>
      <c r="Y118" s="27" t="n">
        <f aca="false">MIN(C117*(1+C$8),MAX(O118,$B$11-SUM(X118:X118)-SUM(P118:W118)))</f>
        <v>0</v>
      </c>
      <c r="Z118" s="27" t="n">
        <f aca="false">MIN(D117*(1+D$8),MAX(P118,$B$11-SUM(X118:Y118)-SUM(Q118:W118)))</f>
        <v>0</v>
      </c>
      <c r="AA118" s="27" t="n">
        <f aca="false">MIN(E117*(1+E$8),MAX(Q118,$B$11-SUM(X118:Z118)-SUM(R118:W118)))</f>
        <v>0</v>
      </c>
      <c r="AB118" s="27" t="n">
        <f aca="false">MIN(F117*(1+F$8),MAX(R118,$B$11-SUM(X118:AA118)-SUM(S118:W118)))</f>
        <v>0</v>
      </c>
      <c r="AC118" s="27" t="n">
        <f aca="false">MIN(G117*(1+G$8),MAX(S118,$B$11-SUM(X118:AB118)-SUM(T118:W118)))</f>
        <v>0</v>
      </c>
      <c r="AD118" s="27" t="n">
        <f aca="false">MIN(H117*(1+H$8),MAX(T118,$B$11-SUM(X118:AC118)-SUM(U118:W118)))</f>
        <v>0</v>
      </c>
      <c r="AE118" s="27" t="n">
        <f aca="false">MIN(I117*(1+I$8),MAX(U118,$B$11-SUM(X118:AD118)-SUM(V118:W118)))</f>
        <v>0</v>
      </c>
      <c r="AF118" s="27" t="n">
        <f aca="false">MIN(J117*(1+J$8),MAX(V118,$B$11-SUM(X118:AE118)-SUM(W118:W118)))</f>
        <v>0</v>
      </c>
      <c r="AG118" s="27" t="n">
        <f aca="false">MIN(K117*(1+K$8),MAX(W118,$B$11-SUM(X118:AF118)))</f>
        <v>0</v>
      </c>
      <c r="AI118" s="27" t="n">
        <f aca="false">ROUND(MAX(0,AI117*(1+B$8)-BE118),2)</f>
        <v>0</v>
      </c>
      <c r="AJ118" s="27" t="n">
        <f aca="false">ROUND(MAX(0,AJ117*(1+C$8)-BF118),2)</f>
        <v>0</v>
      </c>
      <c r="AK118" s="27" t="n">
        <f aca="false">ROUND(MAX(0,AK117*(1+D$8)-BG118),2)</f>
        <v>0</v>
      </c>
      <c r="AL118" s="27" t="n">
        <f aca="false">ROUND(MAX(0,AL117*(1+E$8)-BH118),2)</f>
        <v>0</v>
      </c>
      <c r="AM118" s="27" t="n">
        <f aca="false">ROUND(MAX(0,AM117*(1+F$8)-BI118),2)</f>
        <v>0</v>
      </c>
      <c r="AN118" s="27" t="n">
        <f aca="false">ROUND(MAX(0,AN117*(1+G$8)-BJ118),2)</f>
        <v>0</v>
      </c>
      <c r="AO118" s="27" t="n">
        <f aca="false">ROUND(MAX(0,AO117*(1+H$8)-BK118),2)</f>
        <v>0</v>
      </c>
      <c r="AP118" s="27" t="n">
        <f aca="false">ROUND(MAX(0,AP117*(1+I$8)-BL118),2)</f>
        <v>0</v>
      </c>
      <c r="AQ118" s="27" t="n">
        <f aca="false">ROUND(MAX(0,AQ117*(1+J$8)-BM118),2)</f>
        <v>0</v>
      </c>
      <c r="AR118" s="27" t="n">
        <f aca="false">ROUND(MAX(0,AR117*(1+K$8)-BN118),2)</f>
        <v>0</v>
      </c>
      <c r="AS118" s="27" t="n">
        <f aca="false">SUM(AI118:AR118)</f>
        <v>0</v>
      </c>
      <c r="AT118" s="27" t="n">
        <f aca="false">SUMPRODUCT(AI117:AR117,$B$8:$K$8)</f>
        <v>0</v>
      </c>
      <c r="AU118" s="27" t="n">
        <f aca="false">MIN(AI117*(1+B$8),B$9)</f>
        <v>0</v>
      </c>
      <c r="AV118" s="27" t="n">
        <f aca="false">MIN(AJ117*(1+C$8),C$9)</f>
        <v>0</v>
      </c>
      <c r="AW118" s="27" t="n">
        <f aca="false">MIN(AK117*(1+D$8),D$9)</f>
        <v>0</v>
      </c>
      <c r="AX118" s="27" t="n">
        <f aca="false">MIN(AL117*(1+E$8),E$9)</f>
        <v>0</v>
      </c>
      <c r="AY118" s="27" t="n">
        <f aca="false">MIN(AM117*(1+F$8),F$9)</f>
        <v>0</v>
      </c>
      <c r="AZ118" s="27" t="n">
        <f aca="false">MIN(AN117*(1+G$8),G$9)</f>
        <v>0</v>
      </c>
      <c r="BA118" s="27" t="n">
        <f aca="false">MIN(AO117*(1+H$8),H$9)</f>
        <v>0</v>
      </c>
      <c r="BB118" s="27" t="n">
        <f aca="false">MIN(AP117*(1+I$8),I$9)</f>
        <v>0</v>
      </c>
      <c r="BC118" s="27" t="n">
        <f aca="false">MIN(AQ117*(1+J$8),J$9)</f>
        <v>0</v>
      </c>
      <c r="BD118" s="27" t="n">
        <f aca="false">MIN(AR117*(1+K$8),K$9)</f>
        <v>0</v>
      </c>
      <c r="BE118" s="27" t="n">
        <f aca="false">MIN(AI117*(1+B$8),MAX(AU118,$B$12-SUM(AV118:BD118)))</f>
        <v>0</v>
      </c>
      <c r="BF118" s="27" t="n">
        <f aca="false">MIN(AJ117*(1+C$8),MAX(AV118,$B$12-SUM(BE118:BE118)-SUM(AW118:BD118)))</f>
        <v>0</v>
      </c>
      <c r="BG118" s="27" t="n">
        <f aca="false">MIN(AK117*(1+D$8),MAX(AW118,$B$12-SUM(BE118:BF118)-SUM(AX118:BD118)))</f>
        <v>0</v>
      </c>
      <c r="BH118" s="27" t="n">
        <f aca="false">MIN(AL117*(1+E$8),MAX(AX118,$B$12-SUM(BE118:BG118)-SUM(AY118:BD118)))</f>
        <v>0</v>
      </c>
      <c r="BI118" s="27" t="n">
        <f aca="false">MIN(AM117*(1+F$8),MAX(AY118,$B$12-SUM(BE118:BH118)-SUM(AZ118:BD118)))</f>
        <v>0</v>
      </c>
      <c r="BJ118" s="27" t="n">
        <f aca="false">MIN(AN117*(1+G$8),MAX(AZ118,$B$12-SUM(BE118:BI118)-SUM(BA118:BD118)))</f>
        <v>0</v>
      </c>
      <c r="BK118" s="27" t="n">
        <f aca="false">MIN(AO117*(1+H$8),MAX(BA118,$B$12-SUM(BE118:BJ118)-SUM(BB118:BD118)))</f>
        <v>0</v>
      </c>
      <c r="BL118" s="27" t="n">
        <f aca="false">MIN(AP117*(1+I$8),MAX(BB118,$B$12-SUM(BE118:BK118)-SUM(BC118:BD118)))</f>
        <v>0</v>
      </c>
      <c r="BM118" s="27" t="n">
        <f aca="false">MIN(AQ117*(1+J$8),MAX(BC118,$B$12-SUM(BE118:BL118)-SUM(BD118:BD118)))</f>
        <v>0</v>
      </c>
      <c r="BN118" s="27" t="n">
        <f aca="false">MIN(AR117*(1+K$8),MAX(BD118,$B$12-SUM(BE118:BM118)))</f>
        <v>0</v>
      </c>
    </row>
    <row r="119" customFormat="false" ht="15" hidden="false" customHeight="false" outlineLevel="0" collapsed="false">
      <c r="A119" s="0" t="n">
        <v>105</v>
      </c>
      <c r="B119" s="27" t="n">
        <f aca="false">ROUND(MAX(0,B118*(1+B$8)-X119),2)</f>
        <v>0</v>
      </c>
      <c r="C119" s="27" t="n">
        <f aca="false">ROUND(MAX(0,C118*(1+C$8)-Y119),2)</f>
        <v>0</v>
      </c>
      <c r="D119" s="27" t="n">
        <f aca="false">ROUND(MAX(0,D118*(1+D$8)-Z119),2)</f>
        <v>0</v>
      </c>
      <c r="E119" s="27" t="n">
        <f aca="false">ROUND(MAX(0,E118*(1+E$8)-AA119),2)</f>
        <v>0</v>
      </c>
      <c r="F119" s="27" t="n">
        <f aca="false">ROUND(MAX(0,F118*(1+F$8)-AB119),2)</f>
        <v>0</v>
      </c>
      <c r="G119" s="27" t="n">
        <f aca="false">ROUND(MAX(0,G118*(1+G$8)-AC119),2)</f>
        <v>0</v>
      </c>
      <c r="H119" s="27" t="n">
        <f aca="false">ROUND(MAX(0,H118*(1+H$8)-AD119),2)</f>
        <v>0</v>
      </c>
      <c r="I119" s="27" t="n">
        <f aca="false">ROUND(MAX(0,I118*(1+I$8)-AE119),2)</f>
        <v>0</v>
      </c>
      <c r="J119" s="27" t="n">
        <f aca="false">ROUND(MAX(0,J118*(1+J$8)-AF119),2)</f>
        <v>0</v>
      </c>
      <c r="K119" s="27" t="n">
        <f aca="false">ROUND(MAX(0,K118*(1+K$8)-AG119),2)</f>
        <v>0</v>
      </c>
      <c r="L119" s="30" t="n">
        <f aca="false">SUM(B119:K119)</f>
        <v>0</v>
      </c>
      <c r="M119" s="27" t="n">
        <f aca="false">SUMPRODUCT(B118:K118,$B$8:$K$8)</f>
        <v>0</v>
      </c>
      <c r="N119" s="27" t="n">
        <f aca="false">MIN(B118*(1+B$8),B$9)</f>
        <v>0</v>
      </c>
      <c r="O119" s="27" t="n">
        <f aca="false">MIN(C118*(1+C$8),C$9)</f>
        <v>0</v>
      </c>
      <c r="P119" s="27" t="n">
        <f aca="false">MIN(D118*(1+D$8),D$9)</f>
        <v>0</v>
      </c>
      <c r="Q119" s="27" t="n">
        <f aca="false">MIN(E118*(1+E$8),E$9)</f>
        <v>0</v>
      </c>
      <c r="R119" s="27" t="n">
        <f aca="false">MIN(F118*(1+F$8),F$9)</f>
        <v>0</v>
      </c>
      <c r="S119" s="27" t="n">
        <f aca="false">MIN(G118*(1+G$8),G$9)</f>
        <v>0</v>
      </c>
      <c r="T119" s="27" t="n">
        <f aca="false">MIN(H118*(1+H$8),H$9)</f>
        <v>0</v>
      </c>
      <c r="U119" s="27" t="n">
        <f aca="false">MIN(I118*(1+I$8),I$9)</f>
        <v>0</v>
      </c>
      <c r="V119" s="27" t="n">
        <f aca="false">MIN(J118*(1+J$8),J$9)</f>
        <v>0</v>
      </c>
      <c r="W119" s="27" t="n">
        <f aca="false">MIN(K118*(1+K$8),K$9)</f>
        <v>0</v>
      </c>
      <c r="X119" s="27" t="n">
        <f aca="false">MIN(B118*(1+B$8),MAX(N119,$B$11-SUM(O119:W119)))</f>
        <v>0</v>
      </c>
      <c r="Y119" s="27" t="n">
        <f aca="false">MIN(C118*(1+C$8),MAX(O119,$B$11-SUM(X119:X119)-SUM(P119:W119)))</f>
        <v>0</v>
      </c>
      <c r="Z119" s="27" t="n">
        <f aca="false">MIN(D118*(1+D$8),MAX(P119,$B$11-SUM(X119:Y119)-SUM(Q119:W119)))</f>
        <v>0</v>
      </c>
      <c r="AA119" s="27" t="n">
        <f aca="false">MIN(E118*(1+E$8),MAX(Q119,$B$11-SUM(X119:Z119)-SUM(R119:W119)))</f>
        <v>0</v>
      </c>
      <c r="AB119" s="27" t="n">
        <f aca="false">MIN(F118*(1+F$8),MAX(R119,$B$11-SUM(X119:AA119)-SUM(S119:W119)))</f>
        <v>0</v>
      </c>
      <c r="AC119" s="27" t="n">
        <f aca="false">MIN(G118*(1+G$8),MAX(S119,$B$11-SUM(X119:AB119)-SUM(T119:W119)))</f>
        <v>0</v>
      </c>
      <c r="AD119" s="27" t="n">
        <f aca="false">MIN(H118*(1+H$8),MAX(T119,$B$11-SUM(X119:AC119)-SUM(U119:W119)))</f>
        <v>0</v>
      </c>
      <c r="AE119" s="27" t="n">
        <f aca="false">MIN(I118*(1+I$8),MAX(U119,$B$11-SUM(X119:AD119)-SUM(V119:W119)))</f>
        <v>0</v>
      </c>
      <c r="AF119" s="27" t="n">
        <f aca="false">MIN(J118*(1+J$8),MAX(V119,$B$11-SUM(X119:AE119)-SUM(W119:W119)))</f>
        <v>0</v>
      </c>
      <c r="AG119" s="27" t="n">
        <f aca="false">MIN(K118*(1+K$8),MAX(W119,$B$11-SUM(X119:AF119)))</f>
        <v>0</v>
      </c>
      <c r="AI119" s="27" t="n">
        <f aca="false">ROUND(MAX(0,AI118*(1+B$8)-BE119),2)</f>
        <v>0</v>
      </c>
      <c r="AJ119" s="27" t="n">
        <f aca="false">ROUND(MAX(0,AJ118*(1+C$8)-BF119),2)</f>
        <v>0</v>
      </c>
      <c r="AK119" s="27" t="n">
        <f aca="false">ROUND(MAX(0,AK118*(1+D$8)-BG119),2)</f>
        <v>0</v>
      </c>
      <c r="AL119" s="27" t="n">
        <f aca="false">ROUND(MAX(0,AL118*(1+E$8)-BH119),2)</f>
        <v>0</v>
      </c>
      <c r="AM119" s="27" t="n">
        <f aca="false">ROUND(MAX(0,AM118*(1+F$8)-BI119),2)</f>
        <v>0</v>
      </c>
      <c r="AN119" s="27" t="n">
        <f aca="false">ROUND(MAX(0,AN118*(1+G$8)-BJ119),2)</f>
        <v>0</v>
      </c>
      <c r="AO119" s="27" t="n">
        <f aca="false">ROUND(MAX(0,AO118*(1+H$8)-BK119),2)</f>
        <v>0</v>
      </c>
      <c r="AP119" s="27" t="n">
        <f aca="false">ROUND(MAX(0,AP118*(1+I$8)-BL119),2)</f>
        <v>0</v>
      </c>
      <c r="AQ119" s="27" t="n">
        <f aca="false">ROUND(MAX(0,AQ118*(1+J$8)-BM119),2)</f>
        <v>0</v>
      </c>
      <c r="AR119" s="27" t="n">
        <f aca="false">ROUND(MAX(0,AR118*(1+K$8)-BN119),2)</f>
        <v>0</v>
      </c>
      <c r="AS119" s="27" t="n">
        <f aca="false">SUM(AI119:AR119)</f>
        <v>0</v>
      </c>
      <c r="AT119" s="27" t="n">
        <f aca="false">SUMPRODUCT(AI118:AR118,$B$8:$K$8)</f>
        <v>0</v>
      </c>
      <c r="AU119" s="27" t="n">
        <f aca="false">MIN(AI118*(1+B$8),B$9)</f>
        <v>0</v>
      </c>
      <c r="AV119" s="27" t="n">
        <f aca="false">MIN(AJ118*(1+C$8),C$9)</f>
        <v>0</v>
      </c>
      <c r="AW119" s="27" t="n">
        <f aca="false">MIN(AK118*(1+D$8),D$9)</f>
        <v>0</v>
      </c>
      <c r="AX119" s="27" t="n">
        <f aca="false">MIN(AL118*(1+E$8),E$9)</f>
        <v>0</v>
      </c>
      <c r="AY119" s="27" t="n">
        <f aca="false">MIN(AM118*(1+F$8),F$9)</f>
        <v>0</v>
      </c>
      <c r="AZ119" s="27" t="n">
        <f aca="false">MIN(AN118*(1+G$8),G$9)</f>
        <v>0</v>
      </c>
      <c r="BA119" s="27" t="n">
        <f aca="false">MIN(AO118*(1+H$8),H$9)</f>
        <v>0</v>
      </c>
      <c r="BB119" s="27" t="n">
        <f aca="false">MIN(AP118*(1+I$8),I$9)</f>
        <v>0</v>
      </c>
      <c r="BC119" s="27" t="n">
        <f aca="false">MIN(AQ118*(1+J$8),J$9)</f>
        <v>0</v>
      </c>
      <c r="BD119" s="27" t="n">
        <f aca="false">MIN(AR118*(1+K$8),K$9)</f>
        <v>0</v>
      </c>
      <c r="BE119" s="27" t="n">
        <f aca="false">MIN(AI118*(1+B$8),MAX(AU119,$B$12-SUM(AV119:BD119)))</f>
        <v>0</v>
      </c>
      <c r="BF119" s="27" t="n">
        <f aca="false">MIN(AJ118*(1+C$8),MAX(AV119,$B$12-SUM(BE119:BE119)-SUM(AW119:BD119)))</f>
        <v>0</v>
      </c>
      <c r="BG119" s="27" t="n">
        <f aca="false">MIN(AK118*(1+D$8),MAX(AW119,$B$12-SUM(BE119:BF119)-SUM(AX119:BD119)))</f>
        <v>0</v>
      </c>
      <c r="BH119" s="27" t="n">
        <f aca="false">MIN(AL118*(1+E$8),MAX(AX119,$B$12-SUM(BE119:BG119)-SUM(AY119:BD119)))</f>
        <v>0</v>
      </c>
      <c r="BI119" s="27" t="n">
        <f aca="false">MIN(AM118*(1+F$8),MAX(AY119,$B$12-SUM(BE119:BH119)-SUM(AZ119:BD119)))</f>
        <v>0</v>
      </c>
      <c r="BJ119" s="27" t="n">
        <f aca="false">MIN(AN118*(1+G$8),MAX(AZ119,$B$12-SUM(BE119:BI119)-SUM(BA119:BD119)))</f>
        <v>0</v>
      </c>
      <c r="BK119" s="27" t="n">
        <f aca="false">MIN(AO118*(1+H$8),MAX(BA119,$B$12-SUM(BE119:BJ119)-SUM(BB119:BD119)))</f>
        <v>0</v>
      </c>
      <c r="BL119" s="27" t="n">
        <f aca="false">MIN(AP118*(1+I$8),MAX(BB119,$B$12-SUM(BE119:BK119)-SUM(BC119:BD119)))</f>
        <v>0</v>
      </c>
      <c r="BM119" s="27" t="n">
        <f aca="false">MIN(AQ118*(1+J$8),MAX(BC119,$B$12-SUM(BE119:BL119)-SUM(BD119:BD119)))</f>
        <v>0</v>
      </c>
      <c r="BN119" s="27" t="n">
        <f aca="false">MIN(AR118*(1+K$8),MAX(BD119,$B$12-SUM(BE119:BM119)))</f>
        <v>0</v>
      </c>
    </row>
    <row r="120" customFormat="false" ht="15" hidden="false" customHeight="false" outlineLevel="0" collapsed="false">
      <c r="A120" s="0" t="n">
        <v>106</v>
      </c>
      <c r="B120" s="27" t="n">
        <f aca="false">ROUND(MAX(0,B119*(1+B$8)-X120),2)</f>
        <v>0</v>
      </c>
      <c r="C120" s="27" t="n">
        <f aca="false">ROUND(MAX(0,C119*(1+C$8)-Y120),2)</f>
        <v>0</v>
      </c>
      <c r="D120" s="27" t="n">
        <f aca="false">ROUND(MAX(0,D119*(1+D$8)-Z120),2)</f>
        <v>0</v>
      </c>
      <c r="E120" s="27" t="n">
        <f aca="false">ROUND(MAX(0,E119*(1+E$8)-AA120),2)</f>
        <v>0</v>
      </c>
      <c r="F120" s="27" t="n">
        <f aca="false">ROUND(MAX(0,F119*(1+F$8)-AB120),2)</f>
        <v>0</v>
      </c>
      <c r="G120" s="27" t="n">
        <f aca="false">ROUND(MAX(0,G119*(1+G$8)-AC120),2)</f>
        <v>0</v>
      </c>
      <c r="H120" s="27" t="n">
        <f aca="false">ROUND(MAX(0,H119*(1+H$8)-AD120),2)</f>
        <v>0</v>
      </c>
      <c r="I120" s="27" t="n">
        <f aca="false">ROUND(MAX(0,I119*(1+I$8)-AE120),2)</f>
        <v>0</v>
      </c>
      <c r="J120" s="27" t="n">
        <f aca="false">ROUND(MAX(0,J119*(1+J$8)-AF120),2)</f>
        <v>0</v>
      </c>
      <c r="K120" s="27" t="n">
        <f aca="false">ROUND(MAX(0,K119*(1+K$8)-AG120),2)</f>
        <v>0</v>
      </c>
      <c r="L120" s="30" t="n">
        <f aca="false">SUM(B120:K120)</f>
        <v>0</v>
      </c>
      <c r="M120" s="27" t="n">
        <f aca="false">SUMPRODUCT(B119:K119,$B$8:$K$8)</f>
        <v>0</v>
      </c>
      <c r="N120" s="27" t="n">
        <f aca="false">MIN(B119*(1+B$8),B$9)</f>
        <v>0</v>
      </c>
      <c r="O120" s="27" t="n">
        <f aca="false">MIN(C119*(1+C$8),C$9)</f>
        <v>0</v>
      </c>
      <c r="P120" s="27" t="n">
        <f aca="false">MIN(D119*(1+D$8),D$9)</f>
        <v>0</v>
      </c>
      <c r="Q120" s="27" t="n">
        <f aca="false">MIN(E119*(1+E$8),E$9)</f>
        <v>0</v>
      </c>
      <c r="R120" s="27" t="n">
        <f aca="false">MIN(F119*(1+F$8),F$9)</f>
        <v>0</v>
      </c>
      <c r="S120" s="27" t="n">
        <f aca="false">MIN(G119*(1+G$8),G$9)</f>
        <v>0</v>
      </c>
      <c r="T120" s="27" t="n">
        <f aca="false">MIN(H119*(1+H$8),H$9)</f>
        <v>0</v>
      </c>
      <c r="U120" s="27" t="n">
        <f aca="false">MIN(I119*(1+I$8),I$9)</f>
        <v>0</v>
      </c>
      <c r="V120" s="27" t="n">
        <f aca="false">MIN(J119*(1+J$8),J$9)</f>
        <v>0</v>
      </c>
      <c r="W120" s="27" t="n">
        <f aca="false">MIN(K119*(1+K$8),K$9)</f>
        <v>0</v>
      </c>
      <c r="X120" s="27" t="n">
        <f aca="false">MIN(B119*(1+B$8),MAX(N120,$B$11-SUM(O120:W120)))</f>
        <v>0</v>
      </c>
      <c r="Y120" s="27" t="n">
        <f aca="false">MIN(C119*(1+C$8),MAX(O120,$B$11-SUM(X120:X120)-SUM(P120:W120)))</f>
        <v>0</v>
      </c>
      <c r="Z120" s="27" t="n">
        <f aca="false">MIN(D119*(1+D$8),MAX(P120,$B$11-SUM(X120:Y120)-SUM(Q120:W120)))</f>
        <v>0</v>
      </c>
      <c r="AA120" s="27" t="n">
        <f aca="false">MIN(E119*(1+E$8),MAX(Q120,$B$11-SUM(X120:Z120)-SUM(R120:W120)))</f>
        <v>0</v>
      </c>
      <c r="AB120" s="27" t="n">
        <f aca="false">MIN(F119*(1+F$8),MAX(R120,$B$11-SUM(X120:AA120)-SUM(S120:W120)))</f>
        <v>0</v>
      </c>
      <c r="AC120" s="27" t="n">
        <f aca="false">MIN(G119*(1+G$8),MAX(S120,$B$11-SUM(X120:AB120)-SUM(T120:W120)))</f>
        <v>0</v>
      </c>
      <c r="AD120" s="27" t="n">
        <f aca="false">MIN(H119*(1+H$8),MAX(T120,$B$11-SUM(X120:AC120)-SUM(U120:W120)))</f>
        <v>0</v>
      </c>
      <c r="AE120" s="27" t="n">
        <f aca="false">MIN(I119*(1+I$8),MAX(U120,$B$11-SUM(X120:AD120)-SUM(V120:W120)))</f>
        <v>0</v>
      </c>
      <c r="AF120" s="27" t="n">
        <f aca="false">MIN(J119*(1+J$8),MAX(V120,$B$11-SUM(X120:AE120)-SUM(W120:W120)))</f>
        <v>0</v>
      </c>
      <c r="AG120" s="27" t="n">
        <f aca="false">MIN(K119*(1+K$8),MAX(W120,$B$11-SUM(X120:AF120)))</f>
        <v>0</v>
      </c>
      <c r="AI120" s="27" t="n">
        <f aca="false">ROUND(MAX(0,AI119*(1+B$8)-BE120),2)</f>
        <v>0</v>
      </c>
      <c r="AJ120" s="27" t="n">
        <f aca="false">ROUND(MAX(0,AJ119*(1+C$8)-BF120),2)</f>
        <v>0</v>
      </c>
      <c r="AK120" s="27" t="n">
        <f aca="false">ROUND(MAX(0,AK119*(1+D$8)-BG120),2)</f>
        <v>0</v>
      </c>
      <c r="AL120" s="27" t="n">
        <f aca="false">ROUND(MAX(0,AL119*(1+E$8)-BH120),2)</f>
        <v>0</v>
      </c>
      <c r="AM120" s="27" t="n">
        <f aca="false">ROUND(MAX(0,AM119*(1+F$8)-BI120),2)</f>
        <v>0</v>
      </c>
      <c r="AN120" s="27" t="n">
        <f aca="false">ROUND(MAX(0,AN119*(1+G$8)-BJ120),2)</f>
        <v>0</v>
      </c>
      <c r="AO120" s="27" t="n">
        <f aca="false">ROUND(MAX(0,AO119*(1+H$8)-BK120),2)</f>
        <v>0</v>
      </c>
      <c r="AP120" s="27" t="n">
        <f aca="false">ROUND(MAX(0,AP119*(1+I$8)-BL120),2)</f>
        <v>0</v>
      </c>
      <c r="AQ120" s="27" t="n">
        <f aca="false">ROUND(MAX(0,AQ119*(1+J$8)-BM120),2)</f>
        <v>0</v>
      </c>
      <c r="AR120" s="27" t="n">
        <f aca="false">ROUND(MAX(0,AR119*(1+K$8)-BN120),2)</f>
        <v>0</v>
      </c>
      <c r="AS120" s="27" t="n">
        <f aca="false">SUM(AI120:AR120)</f>
        <v>0</v>
      </c>
      <c r="AT120" s="27" t="n">
        <f aca="false">SUMPRODUCT(AI119:AR119,$B$8:$K$8)</f>
        <v>0</v>
      </c>
      <c r="AU120" s="27" t="n">
        <f aca="false">MIN(AI119*(1+B$8),B$9)</f>
        <v>0</v>
      </c>
      <c r="AV120" s="27" t="n">
        <f aca="false">MIN(AJ119*(1+C$8),C$9)</f>
        <v>0</v>
      </c>
      <c r="AW120" s="27" t="n">
        <f aca="false">MIN(AK119*(1+D$8),D$9)</f>
        <v>0</v>
      </c>
      <c r="AX120" s="27" t="n">
        <f aca="false">MIN(AL119*(1+E$8),E$9)</f>
        <v>0</v>
      </c>
      <c r="AY120" s="27" t="n">
        <f aca="false">MIN(AM119*(1+F$8),F$9)</f>
        <v>0</v>
      </c>
      <c r="AZ120" s="27" t="n">
        <f aca="false">MIN(AN119*(1+G$8),G$9)</f>
        <v>0</v>
      </c>
      <c r="BA120" s="27" t="n">
        <f aca="false">MIN(AO119*(1+H$8),H$9)</f>
        <v>0</v>
      </c>
      <c r="BB120" s="27" t="n">
        <f aca="false">MIN(AP119*(1+I$8),I$9)</f>
        <v>0</v>
      </c>
      <c r="BC120" s="27" t="n">
        <f aca="false">MIN(AQ119*(1+J$8),J$9)</f>
        <v>0</v>
      </c>
      <c r="BD120" s="27" t="n">
        <f aca="false">MIN(AR119*(1+K$8),K$9)</f>
        <v>0</v>
      </c>
      <c r="BE120" s="27" t="n">
        <f aca="false">MIN(AI119*(1+B$8),MAX(AU120,$B$12-SUM(AV120:BD120)))</f>
        <v>0</v>
      </c>
      <c r="BF120" s="27" t="n">
        <f aca="false">MIN(AJ119*(1+C$8),MAX(AV120,$B$12-SUM(BE120:BE120)-SUM(AW120:BD120)))</f>
        <v>0</v>
      </c>
      <c r="BG120" s="27" t="n">
        <f aca="false">MIN(AK119*(1+D$8),MAX(AW120,$B$12-SUM(BE120:BF120)-SUM(AX120:BD120)))</f>
        <v>0</v>
      </c>
      <c r="BH120" s="27" t="n">
        <f aca="false">MIN(AL119*(1+E$8),MAX(AX120,$B$12-SUM(BE120:BG120)-SUM(AY120:BD120)))</f>
        <v>0</v>
      </c>
      <c r="BI120" s="27" t="n">
        <f aca="false">MIN(AM119*(1+F$8),MAX(AY120,$B$12-SUM(BE120:BH120)-SUM(AZ120:BD120)))</f>
        <v>0</v>
      </c>
      <c r="BJ120" s="27" t="n">
        <f aca="false">MIN(AN119*(1+G$8),MAX(AZ120,$B$12-SUM(BE120:BI120)-SUM(BA120:BD120)))</f>
        <v>0</v>
      </c>
      <c r="BK120" s="27" t="n">
        <f aca="false">MIN(AO119*(1+H$8),MAX(BA120,$B$12-SUM(BE120:BJ120)-SUM(BB120:BD120)))</f>
        <v>0</v>
      </c>
      <c r="BL120" s="27" t="n">
        <f aca="false">MIN(AP119*(1+I$8),MAX(BB120,$B$12-SUM(BE120:BK120)-SUM(BC120:BD120)))</f>
        <v>0</v>
      </c>
      <c r="BM120" s="27" t="n">
        <f aca="false">MIN(AQ119*(1+J$8),MAX(BC120,$B$12-SUM(BE120:BL120)-SUM(BD120:BD120)))</f>
        <v>0</v>
      </c>
      <c r="BN120" s="27" t="n">
        <f aca="false">MIN(AR119*(1+K$8),MAX(BD120,$B$12-SUM(BE120:BM120)))</f>
        <v>0</v>
      </c>
    </row>
    <row r="121" customFormat="false" ht="15" hidden="false" customHeight="false" outlineLevel="0" collapsed="false">
      <c r="A121" s="0" t="n">
        <v>107</v>
      </c>
      <c r="B121" s="27" t="n">
        <f aca="false">ROUND(MAX(0,B120*(1+B$8)-X121),2)</f>
        <v>0</v>
      </c>
      <c r="C121" s="27" t="n">
        <f aca="false">ROUND(MAX(0,C120*(1+C$8)-Y121),2)</f>
        <v>0</v>
      </c>
      <c r="D121" s="27" t="n">
        <f aca="false">ROUND(MAX(0,D120*(1+D$8)-Z121),2)</f>
        <v>0</v>
      </c>
      <c r="E121" s="27" t="n">
        <f aca="false">ROUND(MAX(0,E120*(1+E$8)-AA121),2)</f>
        <v>0</v>
      </c>
      <c r="F121" s="27" t="n">
        <f aca="false">ROUND(MAX(0,F120*(1+F$8)-AB121),2)</f>
        <v>0</v>
      </c>
      <c r="G121" s="27" t="n">
        <f aca="false">ROUND(MAX(0,G120*(1+G$8)-AC121),2)</f>
        <v>0</v>
      </c>
      <c r="H121" s="27" t="n">
        <f aca="false">ROUND(MAX(0,H120*(1+H$8)-AD121),2)</f>
        <v>0</v>
      </c>
      <c r="I121" s="27" t="n">
        <f aca="false">ROUND(MAX(0,I120*(1+I$8)-AE121),2)</f>
        <v>0</v>
      </c>
      <c r="J121" s="27" t="n">
        <f aca="false">ROUND(MAX(0,J120*(1+J$8)-AF121),2)</f>
        <v>0</v>
      </c>
      <c r="K121" s="27" t="n">
        <f aca="false">ROUND(MAX(0,K120*(1+K$8)-AG121),2)</f>
        <v>0</v>
      </c>
      <c r="L121" s="30" t="n">
        <f aca="false">SUM(B121:K121)</f>
        <v>0</v>
      </c>
      <c r="M121" s="27" t="n">
        <f aca="false">SUMPRODUCT(B120:K120,$B$8:$K$8)</f>
        <v>0</v>
      </c>
      <c r="N121" s="27" t="n">
        <f aca="false">MIN(B120*(1+B$8),B$9)</f>
        <v>0</v>
      </c>
      <c r="O121" s="27" t="n">
        <f aca="false">MIN(C120*(1+C$8),C$9)</f>
        <v>0</v>
      </c>
      <c r="P121" s="27" t="n">
        <f aca="false">MIN(D120*(1+D$8),D$9)</f>
        <v>0</v>
      </c>
      <c r="Q121" s="27" t="n">
        <f aca="false">MIN(E120*(1+E$8),E$9)</f>
        <v>0</v>
      </c>
      <c r="R121" s="27" t="n">
        <f aca="false">MIN(F120*(1+F$8),F$9)</f>
        <v>0</v>
      </c>
      <c r="S121" s="27" t="n">
        <f aca="false">MIN(G120*(1+G$8),G$9)</f>
        <v>0</v>
      </c>
      <c r="T121" s="27" t="n">
        <f aca="false">MIN(H120*(1+H$8),H$9)</f>
        <v>0</v>
      </c>
      <c r="U121" s="27" t="n">
        <f aca="false">MIN(I120*(1+I$8),I$9)</f>
        <v>0</v>
      </c>
      <c r="V121" s="27" t="n">
        <f aca="false">MIN(J120*(1+J$8),J$9)</f>
        <v>0</v>
      </c>
      <c r="W121" s="27" t="n">
        <f aca="false">MIN(K120*(1+K$8),K$9)</f>
        <v>0</v>
      </c>
      <c r="X121" s="27" t="n">
        <f aca="false">MIN(B120*(1+B$8),MAX(N121,$B$11-SUM(O121:W121)))</f>
        <v>0</v>
      </c>
      <c r="Y121" s="27" t="n">
        <f aca="false">MIN(C120*(1+C$8),MAX(O121,$B$11-SUM(X121:X121)-SUM(P121:W121)))</f>
        <v>0</v>
      </c>
      <c r="Z121" s="27" t="n">
        <f aca="false">MIN(D120*(1+D$8),MAX(P121,$B$11-SUM(X121:Y121)-SUM(Q121:W121)))</f>
        <v>0</v>
      </c>
      <c r="AA121" s="27" t="n">
        <f aca="false">MIN(E120*(1+E$8),MAX(Q121,$B$11-SUM(X121:Z121)-SUM(R121:W121)))</f>
        <v>0</v>
      </c>
      <c r="AB121" s="27" t="n">
        <f aca="false">MIN(F120*(1+F$8),MAX(R121,$B$11-SUM(X121:AA121)-SUM(S121:W121)))</f>
        <v>0</v>
      </c>
      <c r="AC121" s="27" t="n">
        <f aca="false">MIN(G120*(1+G$8),MAX(S121,$B$11-SUM(X121:AB121)-SUM(T121:W121)))</f>
        <v>0</v>
      </c>
      <c r="AD121" s="27" t="n">
        <f aca="false">MIN(H120*(1+H$8),MAX(T121,$B$11-SUM(X121:AC121)-SUM(U121:W121)))</f>
        <v>0</v>
      </c>
      <c r="AE121" s="27" t="n">
        <f aca="false">MIN(I120*(1+I$8),MAX(U121,$B$11-SUM(X121:AD121)-SUM(V121:W121)))</f>
        <v>0</v>
      </c>
      <c r="AF121" s="27" t="n">
        <f aca="false">MIN(J120*(1+J$8),MAX(V121,$B$11-SUM(X121:AE121)-SUM(W121:W121)))</f>
        <v>0</v>
      </c>
      <c r="AG121" s="27" t="n">
        <f aca="false">MIN(K120*(1+K$8),MAX(W121,$B$11-SUM(X121:AF121)))</f>
        <v>0</v>
      </c>
      <c r="AI121" s="27" t="n">
        <f aca="false">ROUND(MAX(0,AI120*(1+B$8)-BE121),2)</f>
        <v>0</v>
      </c>
      <c r="AJ121" s="27" t="n">
        <f aca="false">ROUND(MAX(0,AJ120*(1+C$8)-BF121),2)</f>
        <v>0</v>
      </c>
      <c r="AK121" s="27" t="n">
        <f aca="false">ROUND(MAX(0,AK120*(1+D$8)-BG121),2)</f>
        <v>0</v>
      </c>
      <c r="AL121" s="27" t="n">
        <f aca="false">ROUND(MAX(0,AL120*(1+E$8)-BH121),2)</f>
        <v>0</v>
      </c>
      <c r="AM121" s="27" t="n">
        <f aca="false">ROUND(MAX(0,AM120*(1+F$8)-BI121),2)</f>
        <v>0</v>
      </c>
      <c r="AN121" s="27" t="n">
        <f aca="false">ROUND(MAX(0,AN120*(1+G$8)-BJ121),2)</f>
        <v>0</v>
      </c>
      <c r="AO121" s="27" t="n">
        <f aca="false">ROUND(MAX(0,AO120*(1+H$8)-BK121),2)</f>
        <v>0</v>
      </c>
      <c r="AP121" s="27" t="n">
        <f aca="false">ROUND(MAX(0,AP120*(1+I$8)-BL121),2)</f>
        <v>0</v>
      </c>
      <c r="AQ121" s="27" t="n">
        <f aca="false">ROUND(MAX(0,AQ120*(1+J$8)-BM121),2)</f>
        <v>0</v>
      </c>
      <c r="AR121" s="27" t="n">
        <f aca="false">ROUND(MAX(0,AR120*(1+K$8)-BN121),2)</f>
        <v>0</v>
      </c>
      <c r="AS121" s="27" t="n">
        <f aca="false">SUM(AI121:AR121)</f>
        <v>0</v>
      </c>
      <c r="AT121" s="27" t="n">
        <f aca="false">SUMPRODUCT(AI120:AR120,$B$8:$K$8)</f>
        <v>0</v>
      </c>
      <c r="AU121" s="27" t="n">
        <f aca="false">MIN(AI120*(1+B$8),B$9)</f>
        <v>0</v>
      </c>
      <c r="AV121" s="27" t="n">
        <f aca="false">MIN(AJ120*(1+C$8),C$9)</f>
        <v>0</v>
      </c>
      <c r="AW121" s="27" t="n">
        <f aca="false">MIN(AK120*(1+D$8),D$9)</f>
        <v>0</v>
      </c>
      <c r="AX121" s="27" t="n">
        <f aca="false">MIN(AL120*(1+E$8),E$9)</f>
        <v>0</v>
      </c>
      <c r="AY121" s="27" t="n">
        <f aca="false">MIN(AM120*(1+F$8),F$9)</f>
        <v>0</v>
      </c>
      <c r="AZ121" s="27" t="n">
        <f aca="false">MIN(AN120*(1+G$8),G$9)</f>
        <v>0</v>
      </c>
      <c r="BA121" s="27" t="n">
        <f aca="false">MIN(AO120*(1+H$8),H$9)</f>
        <v>0</v>
      </c>
      <c r="BB121" s="27" t="n">
        <f aca="false">MIN(AP120*(1+I$8),I$9)</f>
        <v>0</v>
      </c>
      <c r="BC121" s="27" t="n">
        <f aca="false">MIN(AQ120*(1+J$8),J$9)</f>
        <v>0</v>
      </c>
      <c r="BD121" s="27" t="n">
        <f aca="false">MIN(AR120*(1+K$8),K$9)</f>
        <v>0</v>
      </c>
      <c r="BE121" s="27" t="n">
        <f aca="false">MIN(AI120*(1+B$8),MAX(AU121,$B$12-SUM(AV121:BD121)))</f>
        <v>0</v>
      </c>
      <c r="BF121" s="27" t="n">
        <f aca="false">MIN(AJ120*(1+C$8),MAX(AV121,$B$12-SUM(BE121:BE121)-SUM(AW121:BD121)))</f>
        <v>0</v>
      </c>
      <c r="BG121" s="27" t="n">
        <f aca="false">MIN(AK120*(1+D$8),MAX(AW121,$B$12-SUM(BE121:BF121)-SUM(AX121:BD121)))</f>
        <v>0</v>
      </c>
      <c r="BH121" s="27" t="n">
        <f aca="false">MIN(AL120*(1+E$8),MAX(AX121,$B$12-SUM(BE121:BG121)-SUM(AY121:BD121)))</f>
        <v>0</v>
      </c>
      <c r="BI121" s="27" t="n">
        <f aca="false">MIN(AM120*(1+F$8),MAX(AY121,$B$12-SUM(BE121:BH121)-SUM(AZ121:BD121)))</f>
        <v>0</v>
      </c>
      <c r="BJ121" s="27" t="n">
        <f aca="false">MIN(AN120*(1+G$8),MAX(AZ121,$B$12-SUM(BE121:BI121)-SUM(BA121:BD121)))</f>
        <v>0</v>
      </c>
      <c r="BK121" s="27" t="n">
        <f aca="false">MIN(AO120*(1+H$8),MAX(BA121,$B$12-SUM(BE121:BJ121)-SUM(BB121:BD121)))</f>
        <v>0</v>
      </c>
      <c r="BL121" s="27" t="n">
        <f aca="false">MIN(AP120*(1+I$8),MAX(BB121,$B$12-SUM(BE121:BK121)-SUM(BC121:BD121)))</f>
        <v>0</v>
      </c>
      <c r="BM121" s="27" t="n">
        <f aca="false">MIN(AQ120*(1+J$8),MAX(BC121,$B$12-SUM(BE121:BL121)-SUM(BD121:BD121)))</f>
        <v>0</v>
      </c>
      <c r="BN121" s="27" t="n">
        <f aca="false">MIN(AR120*(1+K$8),MAX(BD121,$B$12-SUM(BE121:BM121)))</f>
        <v>0</v>
      </c>
    </row>
    <row r="122" customFormat="false" ht="15" hidden="false" customHeight="false" outlineLevel="0" collapsed="false">
      <c r="A122" s="0" t="n">
        <v>108</v>
      </c>
      <c r="B122" s="27" t="n">
        <f aca="false">ROUND(MAX(0,B121*(1+B$8)-X122),2)</f>
        <v>0</v>
      </c>
      <c r="C122" s="27" t="n">
        <f aca="false">ROUND(MAX(0,C121*(1+C$8)-Y122),2)</f>
        <v>0</v>
      </c>
      <c r="D122" s="27" t="n">
        <f aca="false">ROUND(MAX(0,D121*(1+D$8)-Z122),2)</f>
        <v>0</v>
      </c>
      <c r="E122" s="27" t="n">
        <f aca="false">ROUND(MAX(0,E121*(1+E$8)-AA122),2)</f>
        <v>0</v>
      </c>
      <c r="F122" s="27" t="n">
        <f aca="false">ROUND(MAX(0,F121*(1+F$8)-AB122),2)</f>
        <v>0</v>
      </c>
      <c r="G122" s="27" t="n">
        <f aca="false">ROUND(MAX(0,G121*(1+G$8)-AC122),2)</f>
        <v>0</v>
      </c>
      <c r="H122" s="27" t="n">
        <f aca="false">ROUND(MAX(0,H121*(1+H$8)-AD122),2)</f>
        <v>0</v>
      </c>
      <c r="I122" s="27" t="n">
        <f aca="false">ROUND(MAX(0,I121*(1+I$8)-AE122),2)</f>
        <v>0</v>
      </c>
      <c r="J122" s="27" t="n">
        <f aca="false">ROUND(MAX(0,J121*(1+J$8)-AF122),2)</f>
        <v>0</v>
      </c>
      <c r="K122" s="27" t="n">
        <f aca="false">ROUND(MAX(0,K121*(1+K$8)-AG122),2)</f>
        <v>0</v>
      </c>
      <c r="L122" s="30" t="n">
        <f aca="false">SUM(B122:K122)</f>
        <v>0</v>
      </c>
      <c r="M122" s="27" t="n">
        <f aca="false">SUMPRODUCT(B121:K121,$B$8:$K$8)</f>
        <v>0</v>
      </c>
      <c r="N122" s="27" t="n">
        <f aca="false">MIN(B121*(1+B$8),B$9)</f>
        <v>0</v>
      </c>
      <c r="O122" s="27" t="n">
        <f aca="false">MIN(C121*(1+C$8),C$9)</f>
        <v>0</v>
      </c>
      <c r="P122" s="27" t="n">
        <f aca="false">MIN(D121*(1+D$8),D$9)</f>
        <v>0</v>
      </c>
      <c r="Q122" s="27" t="n">
        <f aca="false">MIN(E121*(1+E$8),E$9)</f>
        <v>0</v>
      </c>
      <c r="R122" s="27" t="n">
        <f aca="false">MIN(F121*(1+F$8),F$9)</f>
        <v>0</v>
      </c>
      <c r="S122" s="27" t="n">
        <f aca="false">MIN(G121*(1+G$8),G$9)</f>
        <v>0</v>
      </c>
      <c r="T122" s="27" t="n">
        <f aca="false">MIN(H121*(1+H$8),H$9)</f>
        <v>0</v>
      </c>
      <c r="U122" s="27" t="n">
        <f aca="false">MIN(I121*(1+I$8),I$9)</f>
        <v>0</v>
      </c>
      <c r="V122" s="27" t="n">
        <f aca="false">MIN(J121*(1+J$8),J$9)</f>
        <v>0</v>
      </c>
      <c r="W122" s="27" t="n">
        <f aca="false">MIN(K121*(1+K$8),K$9)</f>
        <v>0</v>
      </c>
      <c r="X122" s="27" t="n">
        <f aca="false">MIN(B121*(1+B$8),MAX(N122,$B$11-SUM(O122:W122)))</f>
        <v>0</v>
      </c>
      <c r="Y122" s="27" t="n">
        <f aca="false">MIN(C121*(1+C$8),MAX(O122,$B$11-SUM(X122:X122)-SUM(P122:W122)))</f>
        <v>0</v>
      </c>
      <c r="Z122" s="27" t="n">
        <f aca="false">MIN(D121*(1+D$8),MAX(P122,$B$11-SUM(X122:Y122)-SUM(Q122:W122)))</f>
        <v>0</v>
      </c>
      <c r="AA122" s="27" t="n">
        <f aca="false">MIN(E121*(1+E$8),MAX(Q122,$B$11-SUM(X122:Z122)-SUM(R122:W122)))</f>
        <v>0</v>
      </c>
      <c r="AB122" s="27" t="n">
        <f aca="false">MIN(F121*(1+F$8),MAX(R122,$B$11-SUM(X122:AA122)-SUM(S122:W122)))</f>
        <v>0</v>
      </c>
      <c r="AC122" s="27" t="n">
        <f aca="false">MIN(G121*(1+G$8),MAX(S122,$B$11-SUM(X122:AB122)-SUM(T122:W122)))</f>
        <v>0</v>
      </c>
      <c r="AD122" s="27" t="n">
        <f aca="false">MIN(H121*(1+H$8),MAX(T122,$B$11-SUM(X122:AC122)-SUM(U122:W122)))</f>
        <v>0</v>
      </c>
      <c r="AE122" s="27" t="n">
        <f aca="false">MIN(I121*(1+I$8),MAX(U122,$B$11-SUM(X122:AD122)-SUM(V122:W122)))</f>
        <v>0</v>
      </c>
      <c r="AF122" s="27" t="n">
        <f aca="false">MIN(J121*(1+J$8),MAX(V122,$B$11-SUM(X122:AE122)-SUM(W122:W122)))</f>
        <v>0</v>
      </c>
      <c r="AG122" s="27" t="n">
        <f aca="false">MIN(K121*(1+K$8),MAX(W122,$B$11-SUM(X122:AF122)))</f>
        <v>0</v>
      </c>
      <c r="AI122" s="27" t="n">
        <f aca="false">ROUND(MAX(0,AI121*(1+B$8)-BE122),2)</f>
        <v>0</v>
      </c>
      <c r="AJ122" s="27" t="n">
        <f aca="false">ROUND(MAX(0,AJ121*(1+C$8)-BF122),2)</f>
        <v>0</v>
      </c>
      <c r="AK122" s="27" t="n">
        <f aca="false">ROUND(MAX(0,AK121*(1+D$8)-BG122),2)</f>
        <v>0</v>
      </c>
      <c r="AL122" s="27" t="n">
        <f aca="false">ROUND(MAX(0,AL121*(1+E$8)-BH122),2)</f>
        <v>0</v>
      </c>
      <c r="AM122" s="27" t="n">
        <f aca="false">ROUND(MAX(0,AM121*(1+F$8)-BI122),2)</f>
        <v>0</v>
      </c>
      <c r="AN122" s="27" t="n">
        <f aca="false">ROUND(MAX(0,AN121*(1+G$8)-BJ122),2)</f>
        <v>0</v>
      </c>
      <c r="AO122" s="27" t="n">
        <f aca="false">ROUND(MAX(0,AO121*(1+H$8)-BK122),2)</f>
        <v>0</v>
      </c>
      <c r="AP122" s="27" t="n">
        <f aca="false">ROUND(MAX(0,AP121*(1+I$8)-BL122),2)</f>
        <v>0</v>
      </c>
      <c r="AQ122" s="27" t="n">
        <f aca="false">ROUND(MAX(0,AQ121*(1+J$8)-BM122),2)</f>
        <v>0</v>
      </c>
      <c r="AR122" s="27" t="n">
        <f aca="false">ROUND(MAX(0,AR121*(1+K$8)-BN122),2)</f>
        <v>0</v>
      </c>
      <c r="AS122" s="27" t="n">
        <f aca="false">SUM(AI122:AR122)</f>
        <v>0</v>
      </c>
      <c r="AT122" s="27" t="n">
        <f aca="false">SUMPRODUCT(AI121:AR121,$B$8:$K$8)</f>
        <v>0</v>
      </c>
      <c r="AU122" s="27" t="n">
        <f aca="false">MIN(AI121*(1+B$8),B$9)</f>
        <v>0</v>
      </c>
      <c r="AV122" s="27" t="n">
        <f aca="false">MIN(AJ121*(1+C$8),C$9)</f>
        <v>0</v>
      </c>
      <c r="AW122" s="27" t="n">
        <f aca="false">MIN(AK121*(1+D$8),D$9)</f>
        <v>0</v>
      </c>
      <c r="AX122" s="27" t="n">
        <f aca="false">MIN(AL121*(1+E$8),E$9)</f>
        <v>0</v>
      </c>
      <c r="AY122" s="27" t="n">
        <f aca="false">MIN(AM121*(1+F$8),F$9)</f>
        <v>0</v>
      </c>
      <c r="AZ122" s="27" t="n">
        <f aca="false">MIN(AN121*(1+G$8),G$9)</f>
        <v>0</v>
      </c>
      <c r="BA122" s="27" t="n">
        <f aca="false">MIN(AO121*(1+H$8),H$9)</f>
        <v>0</v>
      </c>
      <c r="BB122" s="27" t="n">
        <f aca="false">MIN(AP121*(1+I$8),I$9)</f>
        <v>0</v>
      </c>
      <c r="BC122" s="27" t="n">
        <f aca="false">MIN(AQ121*(1+J$8),J$9)</f>
        <v>0</v>
      </c>
      <c r="BD122" s="27" t="n">
        <f aca="false">MIN(AR121*(1+K$8),K$9)</f>
        <v>0</v>
      </c>
      <c r="BE122" s="27" t="n">
        <f aca="false">MIN(AI121*(1+B$8),MAX(AU122,$B$12-SUM(AV122:BD122)))</f>
        <v>0</v>
      </c>
      <c r="BF122" s="27" t="n">
        <f aca="false">MIN(AJ121*(1+C$8),MAX(AV122,$B$12-SUM(BE122:BE122)-SUM(AW122:BD122)))</f>
        <v>0</v>
      </c>
      <c r="BG122" s="27" t="n">
        <f aca="false">MIN(AK121*(1+D$8),MAX(AW122,$B$12-SUM(BE122:BF122)-SUM(AX122:BD122)))</f>
        <v>0</v>
      </c>
      <c r="BH122" s="27" t="n">
        <f aca="false">MIN(AL121*(1+E$8),MAX(AX122,$B$12-SUM(BE122:BG122)-SUM(AY122:BD122)))</f>
        <v>0</v>
      </c>
      <c r="BI122" s="27" t="n">
        <f aca="false">MIN(AM121*(1+F$8),MAX(AY122,$B$12-SUM(BE122:BH122)-SUM(AZ122:BD122)))</f>
        <v>0</v>
      </c>
      <c r="BJ122" s="27" t="n">
        <f aca="false">MIN(AN121*(1+G$8),MAX(AZ122,$B$12-SUM(BE122:BI122)-SUM(BA122:BD122)))</f>
        <v>0</v>
      </c>
      <c r="BK122" s="27" t="n">
        <f aca="false">MIN(AO121*(1+H$8),MAX(BA122,$B$12-SUM(BE122:BJ122)-SUM(BB122:BD122)))</f>
        <v>0</v>
      </c>
      <c r="BL122" s="27" t="n">
        <f aca="false">MIN(AP121*(1+I$8),MAX(BB122,$B$12-SUM(BE122:BK122)-SUM(BC122:BD122)))</f>
        <v>0</v>
      </c>
      <c r="BM122" s="27" t="n">
        <f aca="false">MIN(AQ121*(1+J$8),MAX(BC122,$B$12-SUM(BE122:BL122)-SUM(BD122:BD122)))</f>
        <v>0</v>
      </c>
      <c r="BN122" s="27" t="n">
        <f aca="false">MIN(AR121*(1+K$8),MAX(BD122,$B$12-SUM(BE122:BM122)))</f>
        <v>0</v>
      </c>
    </row>
    <row r="123" customFormat="false" ht="15" hidden="false" customHeight="false" outlineLevel="0" collapsed="false">
      <c r="A123" s="0" t="n">
        <v>109</v>
      </c>
      <c r="B123" s="27" t="n">
        <f aca="false">ROUND(MAX(0,B122*(1+B$8)-X123),2)</f>
        <v>0</v>
      </c>
      <c r="C123" s="27" t="n">
        <f aca="false">ROUND(MAX(0,C122*(1+C$8)-Y123),2)</f>
        <v>0</v>
      </c>
      <c r="D123" s="27" t="n">
        <f aca="false">ROUND(MAX(0,D122*(1+D$8)-Z123),2)</f>
        <v>0</v>
      </c>
      <c r="E123" s="27" t="n">
        <f aca="false">ROUND(MAX(0,E122*(1+E$8)-AA123),2)</f>
        <v>0</v>
      </c>
      <c r="F123" s="27" t="n">
        <f aca="false">ROUND(MAX(0,F122*(1+F$8)-AB123),2)</f>
        <v>0</v>
      </c>
      <c r="G123" s="27" t="n">
        <f aca="false">ROUND(MAX(0,G122*(1+G$8)-AC123),2)</f>
        <v>0</v>
      </c>
      <c r="H123" s="27" t="n">
        <f aca="false">ROUND(MAX(0,H122*(1+H$8)-AD123),2)</f>
        <v>0</v>
      </c>
      <c r="I123" s="27" t="n">
        <f aca="false">ROUND(MAX(0,I122*(1+I$8)-AE123),2)</f>
        <v>0</v>
      </c>
      <c r="J123" s="27" t="n">
        <f aca="false">ROUND(MAX(0,J122*(1+J$8)-AF123),2)</f>
        <v>0</v>
      </c>
      <c r="K123" s="27" t="n">
        <f aca="false">ROUND(MAX(0,K122*(1+K$8)-AG123),2)</f>
        <v>0</v>
      </c>
      <c r="L123" s="30" t="n">
        <f aca="false">SUM(B123:K123)</f>
        <v>0</v>
      </c>
      <c r="M123" s="27" t="n">
        <f aca="false">SUMPRODUCT(B122:K122,$B$8:$K$8)</f>
        <v>0</v>
      </c>
      <c r="N123" s="27" t="n">
        <f aca="false">MIN(B122*(1+B$8),B$9)</f>
        <v>0</v>
      </c>
      <c r="O123" s="27" t="n">
        <f aca="false">MIN(C122*(1+C$8),C$9)</f>
        <v>0</v>
      </c>
      <c r="P123" s="27" t="n">
        <f aca="false">MIN(D122*(1+D$8),D$9)</f>
        <v>0</v>
      </c>
      <c r="Q123" s="27" t="n">
        <f aca="false">MIN(E122*(1+E$8),E$9)</f>
        <v>0</v>
      </c>
      <c r="R123" s="27" t="n">
        <f aca="false">MIN(F122*(1+F$8),F$9)</f>
        <v>0</v>
      </c>
      <c r="S123" s="27" t="n">
        <f aca="false">MIN(G122*(1+G$8),G$9)</f>
        <v>0</v>
      </c>
      <c r="T123" s="27" t="n">
        <f aca="false">MIN(H122*(1+H$8),H$9)</f>
        <v>0</v>
      </c>
      <c r="U123" s="27" t="n">
        <f aca="false">MIN(I122*(1+I$8),I$9)</f>
        <v>0</v>
      </c>
      <c r="V123" s="27" t="n">
        <f aca="false">MIN(J122*(1+J$8),J$9)</f>
        <v>0</v>
      </c>
      <c r="W123" s="27" t="n">
        <f aca="false">MIN(K122*(1+K$8),K$9)</f>
        <v>0</v>
      </c>
      <c r="X123" s="27" t="n">
        <f aca="false">MIN(B122*(1+B$8),MAX(N123,$B$11-SUM(O123:W123)))</f>
        <v>0</v>
      </c>
      <c r="Y123" s="27" t="n">
        <f aca="false">MIN(C122*(1+C$8),MAX(O123,$B$11-SUM(X123:X123)-SUM(P123:W123)))</f>
        <v>0</v>
      </c>
      <c r="Z123" s="27" t="n">
        <f aca="false">MIN(D122*(1+D$8),MAX(P123,$B$11-SUM(X123:Y123)-SUM(Q123:W123)))</f>
        <v>0</v>
      </c>
      <c r="AA123" s="27" t="n">
        <f aca="false">MIN(E122*(1+E$8),MAX(Q123,$B$11-SUM(X123:Z123)-SUM(R123:W123)))</f>
        <v>0</v>
      </c>
      <c r="AB123" s="27" t="n">
        <f aca="false">MIN(F122*(1+F$8),MAX(R123,$B$11-SUM(X123:AA123)-SUM(S123:W123)))</f>
        <v>0</v>
      </c>
      <c r="AC123" s="27" t="n">
        <f aca="false">MIN(G122*(1+G$8),MAX(S123,$B$11-SUM(X123:AB123)-SUM(T123:W123)))</f>
        <v>0</v>
      </c>
      <c r="AD123" s="27" t="n">
        <f aca="false">MIN(H122*(1+H$8),MAX(T123,$B$11-SUM(X123:AC123)-SUM(U123:W123)))</f>
        <v>0</v>
      </c>
      <c r="AE123" s="27" t="n">
        <f aca="false">MIN(I122*(1+I$8),MAX(U123,$B$11-SUM(X123:AD123)-SUM(V123:W123)))</f>
        <v>0</v>
      </c>
      <c r="AF123" s="27" t="n">
        <f aca="false">MIN(J122*(1+J$8),MAX(V123,$B$11-SUM(X123:AE123)-SUM(W123:W123)))</f>
        <v>0</v>
      </c>
      <c r="AG123" s="27" t="n">
        <f aca="false">MIN(K122*(1+K$8),MAX(W123,$B$11-SUM(X123:AF123)))</f>
        <v>0</v>
      </c>
      <c r="AI123" s="27" t="n">
        <f aca="false">ROUND(MAX(0,AI122*(1+B$8)-BE123),2)</f>
        <v>0</v>
      </c>
      <c r="AJ123" s="27" t="n">
        <f aca="false">ROUND(MAX(0,AJ122*(1+C$8)-BF123),2)</f>
        <v>0</v>
      </c>
      <c r="AK123" s="27" t="n">
        <f aca="false">ROUND(MAX(0,AK122*(1+D$8)-BG123),2)</f>
        <v>0</v>
      </c>
      <c r="AL123" s="27" t="n">
        <f aca="false">ROUND(MAX(0,AL122*(1+E$8)-BH123),2)</f>
        <v>0</v>
      </c>
      <c r="AM123" s="27" t="n">
        <f aca="false">ROUND(MAX(0,AM122*(1+F$8)-BI123),2)</f>
        <v>0</v>
      </c>
      <c r="AN123" s="27" t="n">
        <f aca="false">ROUND(MAX(0,AN122*(1+G$8)-BJ123),2)</f>
        <v>0</v>
      </c>
      <c r="AO123" s="27" t="n">
        <f aca="false">ROUND(MAX(0,AO122*(1+H$8)-BK123),2)</f>
        <v>0</v>
      </c>
      <c r="AP123" s="27" t="n">
        <f aca="false">ROUND(MAX(0,AP122*(1+I$8)-BL123),2)</f>
        <v>0</v>
      </c>
      <c r="AQ123" s="27" t="n">
        <f aca="false">ROUND(MAX(0,AQ122*(1+J$8)-BM123),2)</f>
        <v>0</v>
      </c>
      <c r="AR123" s="27" t="n">
        <f aca="false">ROUND(MAX(0,AR122*(1+K$8)-BN123),2)</f>
        <v>0</v>
      </c>
      <c r="AS123" s="27" t="n">
        <f aca="false">SUM(AI123:AR123)</f>
        <v>0</v>
      </c>
      <c r="AT123" s="27" t="n">
        <f aca="false">SUMPRODUCT(AI122:AR122,$B$8:$K$8)</f>
        <v>0</v>
      </c>
      <c r="AU123" s="27" t="n">
        <f aca="false">MIN(AI122*(1+B$8),B$9)</f>
        <v>0</v>
      </c>
      <c r="AV123" s="27" t="n">
        <f aca="false">MIN(AJ122*(1+C$8),C$9)</f>
        <v>0</v>
      </c>
      <c r="AW123" s="27" t="n">
        <f aca="false">MIN(AK122*(1+D$8),D$9)</f>
        <v>0</v>
      </c>
      <c r="AX123" s="27" t="n">
        <f aca="false">MIN(AL122*(1+E$8),E$9)</f>
        <v>0</v>
      </c>
      <c r="AY123" s="27" t="n">
        <f aca="false">MIN(AM122*(1+F$8),F$9)</f>
        <v>0</v>
      </c>
      <c r="AZ123" s="27" t="n">
        <f aca="false">MIN(AN122*(1+G$8),G$9)</f>
        <v>0</v>
      </c>
      <c r="BA123" s="27" t="n">
        <f aca="false">MIN(AO122*(1+H$8),H$9)</f>
        <v>0</v>
      </c>
      <c r="BB123" s="27" t="n">
        <f aca="false">MIN(AP122*(1+I$8),I$9)</f>
        <v>0</v>
      </c>
      <c r="BC123" s="27" t="n">
        <f aca="false">MIN(AQ122*(1+J$8),J$9)</f>
        <v>0</v>
      </c>
      <c r="BD123" s="27" t="n">
        <f aca="false">MIN(AR122*(1+K$8),K$9)</f>
        <v>0</v>
      </c>
      <c r="BE123" s="27" t="n">
        <f aca="false">MIN(AI122*(1+B$8),MAX(AU123,$B$12-SUM(AV123:BD123)))</f>
        <v>0</v>
      </c>
      <c r="BF123" s="27" t="n">
        <f aca="false">MIN(AJ122*(1+C$8),MAX(AV123,$B$12-SUM(BE123:BE123)-SUM(AW123:BD123)))</f>
        <v>0</v>
      </c>
      <c r="BG123" s="27" t="n">
        <f aca="false">MIN(AK122*(1+D$8),MAX(AW123,$B$12-SUM(BE123:BF123)-SUM(AX123:BD123)))</f>
        <v>0</v>
      </c>
      <c r="BH123" s="27" t="n">
        <f aca="false">MIN(AL122*(1+E$8),MAX(AX123,$B$12-SUM(BE123:BG123)-SUM(AY123:BD123)))</f>
        <v>0</v>
      </c>
      <c r="BI123" s="27" t="n">
        <f aca="false">MIN(AM122*(1+F$8),MAX(AY123,$B$12-SUM(BE123:BH123)-SUM(AZ123:BD123)))</f>
        <v>0</v>
      </c>
      <c r="BJ123" s="27" t="n">
        <f aca="false">MIN(AN122*(1+G$8),MAX(AZ123,$B$12-SUM(BE123:BI123)-SUM(BA123:BD123)))</f>
        <v>0</v>
      </c>
      <c r="BK123" s="27" t="n">
        <f aca="false">MIN(AO122*(1+H$8),MAX(BA123,$B$12-SUM(BE123:BJ123)-SUM(BB123:BD123)))</f>
        <v>0</v>
      </c>
      <c r="BL123" s="27" t="n">
        <f aca="false">MIN(AP122*(1+I$8),MAX(BB123,$B$12-SUM(BE123:BK123)-SUM(BC123:BD123)))</f>
        <v>0</v>
      </c>
      <c r="BM123" s="27" t="n">
        <f aca="false">MIN(AQ122*(1+J$8),MAX(BC123,$B$12-SUM(BE123:BL123)-SUM(BD123:BD123)))</f>
        <v>0</v>
      </c>
      <c r="BN123" s="27" t="n">
        <f aca="false">MIN(AR122*(1+K$8),MAX(BD123,$B$12-SUM(BE123:BM123)))</f>
        <v>0</v>
      </c>
    </row>
    <row r="124" customFormat="false" ht="15" hidden="false" customHeight="false" outlineLevel="0" collapsed="false">
      <c r="A124" s="0" t="n">
        <v>110</v>
      </c>
      <c r="B124" s="27" t="n">
        <f aca="false">ROUND(MAX(0,B123*(1+B$8)-X124),2)</f>
        <v>0</v>
      </c>
      <c r="C124" s="27" t="n">
        <f aca="false">ROUND(MAX(0,C123*(1+C$8)-Y124),2)</f>
        <v>0</v>
      </c>
      <c r="D124" s="27" t="n">
        <f aca="false">ROUND(MAX(0,D123*(1+D$8)-Z124),2)</f>
        <v>0</v>
      </c>
      <c r="E124" s="27" t="n">
        <f aca="false">ROUND(MAX(0,E123*(1+E$8)-AA124),2)</f>
        <v>0</v>
      </c>
      <c r="F124" s="27" t="n">
        <f aca="false">ROUND(MAX(0,F123*(1+F$8)-AB124),2)</f>
        <v>0</v>
      </c>
      <c r="G124" s="27" t="n">
        <f aca="false">ROUND(MAX(0,G123*(1+G$8)-AC124),2)</f>
        <v>0</v>
      </c>
      <c r="H124" s="27" t="n">
        <f aca="false">ROUND(MAX(0,H123*(1+H$8)-AD124),2)</f>
        <v>0</v>
      </c>
      <c r="I124" s="27" t="n">
        <f aca="false">ROUND(MAX(0,I123*(1+I$8)-AE124),2)</f>
        <v>0</v>
      </c>
      <c r="J124" s="27" t="n">
        <f aca="false">ROUND(MAX(0,J123*(1+J$8)-AF124),2)</f>
        <v>0</v>
      </c>
      <c r="K124" s="27" t="n">
        <f aca="false">ROUND(MAX(0,K123*(1+K$8)-AG124),2)</f>
        <v>0</v>
      </c>
      <c r="L124" s="30" t="n">
        <f aca="false">SUM(B124:K124)</f>
        <v>0</v>
      </c>
      <c r="M124" s="27" t="n">
        <f aca="false">SUMPRODUCT(B123:K123,$B$8:$K$8)</f>
        <v>0</v>
      </c>
      <c r="N124" s="27" t="n">
        <f aca="false">MIN(B123*(1+B$8),B$9)</f>
        <v>0</v>
      </c>
      <c r="O124" s="27" t="n">
        <f aca="false">MIN(C123*(1+C$8),C$9)</f>
        <v>0</v>
      </c>
      <c r="P124" s="27" t="n">
        <f aca="false">MIN(D123*(1+D$8),D$9)</f>
        <v>0</v>
      </c>
      <c r="Q124" s="27" t="n">
        <f aca="false">MIN(E123*(1+E$8),E$9)</f>
        <v>0</v>
      </c>
      <c r="R124" s="27" t="n">
        <f aca="false">MIN(F123*(1+F$8),F$9)</f>
        <v>0</v>
      </c>
      <c r="S124" s="27" t="n">
        <f aca="false">MIN(G123*(1+G$8),G$9)</f>
        <v>0</v>
      </c>
      <c r="T124" s="27" t="n">
        <f aca="false">MIN(H123*(1+H$8),H$9)</f>
        <v>0</v>
      </c>
      <c r="U124" s="27" t="n">
        <f aca="false">MIN(I123*(1+I$8),I$9)</f>
        <v>0</v>
      </c>
      <c r="V124" s="27" t="n">
        <f aca="false">MIN(J123*(1+J$8),J$9)</f>
        <v>0</v>
      </c>
      <c r="W124" s="27" t="n">
        <f aca="false">MIN(K123*(1+K$8),K$9)</f>
        <v>0</v>
      </c>
      <c r="X124" s="27" t="n">
        <f aca="false">MIN(B123*(1+B$8),MAX(N124,$B$11-SUM(O124:W124)))</f>
        <v>0</v>
      </c>
      <c r="Y124" s="27" t="n">
        <f aca="false">MIN(C123*(1+C$8),MAX(O124,$B$11-SUM(X124:X124)-SUM(P124:W124)))</f>
        <v>0</v>
      </c>
      <c r="Z124" s="27" t="n">
        <f aca="false">MIN(D123*(1+D$8),MAX(P124,$B$11-SUM(X124:Y124)-SUM(Q124:W124)))</f>
        <v>0</v>
      </c>
      <c r="AA124" s="27" t="n">
        <f aca="false">MIN(E123*(1+E$8),MAX(Q124,$B$11-SUM(X124:Z124)-SUM(R124:W124)))</f>
        <v>0</v>
      </c>
      <c r="AB124" s="27" t="n">
        <f aca="false">MIN(F123*(1+F$8),MAX(R124,$B$11-SUM(X124:AA124)-SUM(S124:W124)))</f>
        <v>0</v>
      </c>
      <c r="AC124" s="27" t="n">
        <f aca="false">MIN(G123*(1+G$8),MAX(S124,$B$11-SUM(X124:AB124)-SUM(T124:W124)))</f>
        <v>0</v>
      </c>
      <c r="AD124" s="27" t="n">
        <f aca="false">MIN(H123*(1+H$8),MAX(T124,$B$11-SUM(X124:AC124)-SUM(U124:W124)))</f>
        <v>0</v>
      </c>
      <c r="AE124" s="27" t="n">
        <f aca="false">MIN(I123*(1+I$8),MAX(U124,$B$11-SUM(X124:AD124)-SUM(V124:W124)))</f>
        <v>0</v>
      </c>
      <c r="AF124" s="27" t="n">
        <f aca="false">MIN(J123*(1+J$8),MAX(V124,$B$11-SUM(X124:AE124)-SUM(W124:W124)))</f>
        <v>0</v>
      </c>
      <c r="AG124" s="27" t="n">
        <f aca="false">MIN(K123*(1+K$8),MAX(W124,$B$11-SUM(X124:AF124)))</f>
        <v>0</v>
      </c>
      <c r="AI124" s="27" t="n">
        <f aca="false">ROUND(MAX(0,AI123*(1+B$8)-BE124),2)</f>
        <v>0</v>
      </c>
      <c r="AJ124" s="27" t="n">
        <f aca="false">ROUND(MAX(0,AJ123*(1+C$8)-BF124),2)</f>
        <v>0</v>
      </c>
      <c r="AK124" s="27" t="n">
        <f aca="false">ROUND(MAX(0,AK123*(1+D$8)-BG124),2)</f>
        <v>0</v>
      </c>
      <c r="AL124" s="27" t="n">
        <f aca="false">ROUND(MAX(0,AL123*(1+E$8)-BH124),2)</f>
        <v>0</v>
      </c>
      <c r="AM124" s="27" t="n">
        <f aca="false">ROUND(MAX(0,AM123*(1+F$8)-BI124),2)</f>
        <v>0</v>
      </c>
      <c r="AN124" s="27" t="n">
        <f aca="false">ROUND(MAX(0,AN123*(1+G$8)-BJ124),2)</f>
        <v>0</v>
      </c>
      <c r="AO124" s="27" t="n">
        <f aca="false">ROUND(MAX(0,AO123*(1+H$8)-BK124),2)</f>
        <v>0</v>
      </c>
      <c r="AP124" s="27" t="n">
        <f aca="false">ROUND(MAX(0,AP123*(1+I$8)-BL124),2)</f>
        <v>0</v>
      </c>
      <c r="AQ124" s="27" t="n">
        <f aca="false">ROUND(MAX(0,AQ123*(1+J$8)-BM124),2)</f>
        <v>0</v>
      </c>
      <c r="AR124" s="27" t="n">
        <f aca="false">ROUND(MAX(0,AR123*(1+K$8)-BN124),2)</f>
        <v>0</v>
      </c>
      <c r="AS124" s="27" t="n">
        <f aca="false">SUM(AI124:AR124)</f>
        <v>0</v>
      </c>
      <c r="AT124" s="27" t="n">
        <f aca="false">SUMPRODUCT(AI123:AR123,$B$8:$K$8)</f>
        <v>0</v>
      </c>
      <c r="AU124" s="27" t="n">
        <f aca="false">MIN(AI123*(1+B$8),B$9)</f>
        <v>0</v>
      </c>
      <c r="AV124" s="27" t="n">
        <f aca="false">MIN(AJ123*(1+C$8),C$9)</f>
        <v>0</v>
      </c>
      <c r="AW124" s="27" t="n">
        <f aca="false">MIN(AK123*(1+D$8),D$9)</f>
        <v>0</v>
      </c>
      <c r="AX124" s="27" t="n">
        <f aca="false">MIN(AL123*(1+E$8),E$9)</f>
        <v>0</v>
      </c>
      <c r="AY124" s="27" t="n">
        <f aca="false">MIN(AM123*(1+F$8),F$9)</f>
        <v>0</v>
      </c>
      <c r="AZ124" s="27" t="n">
        <f aca="false">MIN(AN123*(1+G$8),G$9)</f>
        <v>0</v>
      </c>
      <c r="BA124" s="27" t="n">
        <f aca="false">MIN(AO123*(1+H$8),H$9)</f>
        <v>0</v>
      </c>
      <c r="BB124" s="27" t="n">
        <f aca="false">MIN(AP123*(1+I$8),I$9)</f>
        <v>0</v>
      </c>
      <c r="BC124" s="27" t="n">
        <f aca="false">MIN(AQ123*(1+J$8),J$9)</f>
        <v>0</v>
      </c>
      <c r="BD124" s="27" t="n">
        <f aca="false">MIN(AR123*(1+K$8),K$9)</f>
        <v>0</v>
      </c>
      <c r="BE124" s="27" t="n">
        <f aca="false">MIN(AI123*(1+B$8),MAX(AU124,$B$12-SUM(AV124:BD124)))</f>
        <v>0</v>
      </c>
      <c r="BF124" s="27" t="n">
        <f aca="false">MIN(AJ123*(1+C$8),MAX(AV124,$B$12-SUM(BE124:BE124)-SUM(AW124:BD124)))</f>
        <v>0</v>
      </c>
      <c r="BG124" s="27" t="n">
        <f aca="false">MIN(AK123*(1+D$8),MAX(AW124,$B$12-SUM(BE124:BF124)-SUM(AX124:BD124)))</f>
        <v>0</v>
      </c>
      <c r="BH124" s="27" t="n">
        <f aca="false">MIN(AL123*(1+E$8),MAX(AX124,$B$12-SUM(BE124:BG124)-SUM(AY124:BD124)))</f>
        <v>0</v>
      </c>
      <c r="BI124" s="27" t="n">
        <f aca="false">MIN(AM123*(1+F$8),MAX(AY124,$B$12-SUM(BE124:BH124)-SUM(AZ124:BD124)))</f>
        <v>0</v>
      </c>
      <c r="BJ124" s="27" t="n">
        <f aca="false">MIN(AN123*(1+G$8),MAX(AZ124,$B$12-SUM(BE124:BI124)-SUM(BA124:BD124)))</f>
        <v>0</v>
      </c>
      <c r="BK124" s="27" t="n">
        <f aca="false">MIN(AO123*(1+H$8),MAX(BA124,$B$12-SUM(BE124:BJ124)-SUM(BB124:BD124)))</f>
        <v>0</v>
      </c>
      <c r="BL124" s="27" t="n">
        <f aca="false">MIN(AP123*(1+I$8),MAX(BB124,$B$12-SUM(BE124:BK124)-SUM(BC124:BD124)))</f>
        <v>0</v>
      </c>
      <c r="BM124" s="27" t="n">
        <f aca="false">MIN(AQ123*(1+J$8),MAX(BC124,$B$12-SUM(BE124:BL124)-SUM(BD124:BD124)))</f>
        <v>0</v>
      </c>
      <c r="BN124" s="27" t="n">
        <f aca="false">MIN(AR123*(1+K$8),MAX(BD124,$B$12-SUM(BE124:BM124)))</f>
        <v>0</v>
      </c>
    </row>
    <row r="125" customFormat="false" ht="15" hidden="false" customHeight="false" outlineLevel="0" collapsed="false">
      <c r="A125" s="0" t="n">
        <v>111</v>
      </c>
      <c r="B125" s="27" t="n">
        <f aca="false">ROUND(MAX(0,B124*(1+B$8)-X125),2)</f>
        <v>0</v>
      </c>
      <c r="C125" s="27" t="n">
        <f aca="false">ROUND(MAX(0,C124*(1+C$8)-Y125),2)</f>
        <v>0</v>
      </c>
      <c r="D125" s="27" t="n">
        <f aca="false">ROUND(MAX(0,D124*(1+D$8)-Z125),2)</f>
        <v>0</v>
      </c>
      <c r="E125" s="27" t="n">
        <f aca="false">ROUND(MAX(0,E124*(1+E$8)-AA125),2)</f>
        <v>0</v>
      </c>
      <c r="F125" s="27" t="n">
        <f aca="false">ROUND(MAX(0,F124*(1+F$8)-AB125),2)</f>
        <v>0</v>
      </c>
      <c r="G125" s="27" t="n">
        <f aca="false">ROUND(MAX(0,G124*(1+G$8)-AC125),2)</f>
        <v>0</v>
      </c>
      <c r="H125" s="27" t="n">
        <f aca="false">ROUND(MAX(0,H124*(1+H$8)-AD125),2)</f>
        <v>0</v>
      </c>
      <c r="I125" s="27" t="n">
        <f aca="false">ROUND(MAX(0,I124*(1+I$8)-AE125),2)</f>
        <v>0</v>
      </c>
      <c r="J125" s="27" t="n">
        <f aca="false">ROUND(MAX(0,J124*(1+J$8)-AF125),2)</f>
        <v>0</v>
      </c>
      <c r="K125" s="27" t="n">
        <f aca="false">ROUND(MAX(0,K124*(1+K$8)-AG125),2)</f>
        <v>0</v>
      </c>
      <c r="L125" s="30" t="n">
        <f aca="false">SUM(B125:K125)</f>
        <v>0</v>
      </c>
      <c r="M125" s="27" t="n">
        <f aca="false">SUMPRODUCT(B124:K124,$B$8:$K$8)</f>
        <v>0</v>
      </c>
      <c r="N125" s="27" t="n">
        <f aca="false">MIN(B124*(1+B$8),B$9)</f>
        <v>0</v>
      </c>
      <c r="O125" s="27" t="n">
        <f aca="false">MIN(C124*(1+C$8),C$9)</f>
        <v>0</v>
      </c>
      <c r="P125" s="27" t="n">
        <f aca="false">MIN(D124*(1+D$8),D$9)</f>
        <v>0</v>
      </c>
      <c r="Q125" s="27" t="n">
        <f aca="false">MIN(E124*(1+E$8),E$9)</f>
        <v>0</v>
      </c>
      <c r="R125" s="27" t="n">
        <f aca="false">MIN(F124*(1+F$8),F$9)</f>
        <v>0</v>
      </c>
      <c r="S125" s="27" t="n">
        <f aca="false">MIN(G124*(1+G$8),G$9)</f>
        <v>0</v>
      </c>
      <c r="T125" s="27" t="n">
        <f aca="false">MIN(H124*(1+H$8),H$9)</f>
        <v>0</v>
      </c>
      <c r="U125" s="27" t="n">
        <f aca="false">MIN(I124*(1+I$8),I$9)</f>
        <v>0</v>
      </c>
      <c r="V125" s="27" t="n">
        <f aca="false">MIN(J124*(1+J$8),J$9)</f>
        <v>0</v>
      </c>
      <c r="W125" s="27" t="n">
        <f aca="false">MIN(K124*(1+K$8),K$9)</f>
        <v>0</v>
      </c>
      <c r="X125" s="27" t="n">
        <f aca="false">MIN(B124*(1+B$8),MAX(N125,$B$11-SUM(O125:W125)))</f>
        <v>0</v>
      </c>
      <c r="Y125" s="27" t="n">
        <f aca="false">MIN(C124*(1+C$8),MAX(O125,$B$11-SUM(X125:X125)-SUM(P125:W125)))</f>
        <v>0</v>
      </c>
      <c r="Z125" s="27" t="n">
        <f aca="false">MIN(D124*(1+D$8),MAX(P125,$B$11-SUM(X125:Y125)-SUM(Q125:W125)))</f>
        <v>0</v>
      </c>
      <c r="AA125" s="27" t="n">
        <f aca="false">MIN(E124*(1+E$8),MAX(Q125,$B$11-SUM(X125:Z125)-SUM(R125:W125)))</f>
        <v>0</v>
      </c>
      <c r="AB125" s="27" t="n">
        <f aca="false">MIN(F124*(1+F$8),MAX(R125,$B$11-SUM(X125:AA125)-SUM(S125:W125)))</f>
        <v>0</v>
      </c>
      <c r="AC125" s="27" t="n">
        <f aca="false">MIN(G124*(1+G$8),MAX(S125,$B$11-SUM(X125:AB125)-SUM(T125:W125)))</f>
        <v>0</v>
      </c>
      <c r="AD125" s="27" t="n">
        <f aca="false">MIN(H124*(1+H$8),MAX(T125,$B$11-SUM(X125:AC125)-SUM(U125:W125)))</f>
        <v>0</v>
      </c>
      <c r="AE125" s="27" t="n">
        <f aca="false">MIN(I124*(1+I$8),MAX(U125,$B$11-SUM(X125:AD125)-SUM(V125:W125)))</f>
        <v>0</v>
      </c>
      <c r="AF125" s="27" t="n">
        <f aca="false">MIN(J124*(1+J$8),MAX(V125,$B$11-SUM(X125:AE125)-SUM(W125:W125)))</f>
        <v>0</v>
      </c>
      <c r="AG125" s="27" t="n">
        <f aca="false">MIN(K124*(1+K$8),MAX(W125,$B$11-SUM(X125:AF125)))</f>
        <v>0</v>
      </c>
      <c r="AI125" s="27" t="n">
        <f aca="false">ROUND(MAX(0,AI124*(1+B$8)-BE125),2)</f>
        <v>0</v>
      </c>
      <c r="AJ125" s="27" t="n">
        <f aca="false">ROUND(MAX(0,AJ124*(1+C$8)-BF125),2)</f>
        <v>0</v>
      </c>
      <c r="AK125" s="27" t="n">
        <f aca="false">ROUND(MAX(0,AK124*(1+D$8)-BG125),2)</f>
        <v>0</v>
      </c>
      <c r="AL125" s="27" t="n">
        <f aca="false">ROUND(MAX(0,AL124*(1+E$8)-BH125),2)</f>
        <v>0</v>
      </c>
      <c r="AM125" s="27" t="n">
        <f aca="false">ROUND(MAX(0,AM124*(1+F$8)-BI125),2)</f>
        <v>0</v>
      </c>
      <c r="AN125" s="27" t="n">
        <f aca="false">ROUND(MAX(0,AN124*(1+G$8)-BJ125),2)</f>
        <v>0</v>
      </c>
      <c r="AO125" s="27" t="n">
        <f aca="false">ROUND(MAX(0,AO124*(1+H$8)-BK125),2)</f>
        <v>0</v>
      </c>
      <c r="AP125" s="27" t="n">
        <f aca="false">ROUND(MAX(0,AP124*(1+I$8)-BL125),2)</f>
        <v>0</v>
      </c>
      <c r="AQ125" s="27" t="n">
        <f aca="false">ROUND(MAX(0,AQ124*(1+J$8)-BM125),2)</f>
        <v>0</v>
      </c>
      <c r="AR125" s="27" t="n">
        <f aca="false">ROUND(MAX(0,AR124*(1+K$8)-BN125),2)</f>
        <v>0</v>
      </c>
      <c r="AS125" s="27" t="n">
        <f aca="false">SUM(AI125:AR125)</f>
        <v>0</v>
      </c>
      <c r="AT125" s="27" t="n">
        <f aca="false">SUMPRODUCT(AI124:AR124,$B$8:$K$8)</f>
        <v>0</v>
      </c>
      <c r="AU125" s="27" t="n">
        <f aca="false">MIN(AI124*(1+B$8),B$9)</f>
        <v>0</v>
      </c>
      <c r="AV125" s="27" t="n">
        <f aca="false">MIN(AJ124*(1+C$8),C$9)</f>
        <v>0</v>
      </c>
      <c r="AW125" s="27" t="n">
        <f aca="false">MIN(AK124*(1+D$8),D$9)</f>
        <v>0</v>
      </c>
      <c r="AX125" s="27" t="n">
        <f aca="false">MIN(AL124*(1+E$8),E$9)</f>
        <v>0</v>
      </c>
      <c r="AY125" s="27" t="n">
        <f aca="false">MIN(AM124*(1+F$8),F$9)</f>
        <v>0</v>
      </c>
      <c r="AZ125" s="27" t="n">
        <f aca="false">MIN(AN124*(1+G$8),G$9)</f>
        <v>0</v>
      </c>
      <c r="BA125" s="27" t="n">
        <f aca="false">MIN(AO124*(1+H$8),H$9)</f>
        <v>0</v>
      </c>
      <c r="BB125" s="27" t="n">
        <f aca="false">MIN(AP124*(1+I$8),I$9)</f>
        <v>0</v>
      </c>
      <c r="BC125" s="27" t="n">
        <f aca="false">MIN(AQ124*(1+J$8),J$9)</f>
        <v>0</v>
      </c>
      <c r="BD125" s="27" t="n">
        <f aca="false">MIN(AR124*(1+K$8),K$9)</f>
        <v>0</v>
      </c>
      <c r="BE125" s="27" t="n">
        <f aca="false">MIN(AI124*(1+B$8),MAX(AU125,$B$12-SUM(AV125:BD125)))</f>
        <v>0</v>
      </c>
      <c r="BF125" s="27" t="n">
        <f aca="false">MIN(AJ124*(1+C$8),MAX(AV125,$B$12-SUM(BE125:BE125)-SUM(AW125:BD125)))</f>
        <v>0</v>
      </c>
      <c r="BG125" s="27" t="n">
        <f aca="false">MIN(AK124*(1+D$8),MAX(AW125,$B$12-SUM(BE125:BF125)-SUM(AX125:BD125)))</f>
        <v>0</v>
      </c>
      <c r="BH125" s="27" t="n">
        <f aca="false">MIN(AL124*(1+E$8),MAX(AX125,$B$12-SUM(BE125:BG125)-SUM(AY125:BD125)))</f>
        <v>0</v>
      </c>
      <c r="BI125" s="27" t="n">
        <f aca="false">MIN(AM124*(1+F$8),MAX(AY125,$B$12-SUM(BE125:BH125)-SUM(AZ125:BD125)))</f>
        <v>0</v>
      </c>
      <c r="BJ125" s="27" t="n">
        <f aca="false">MIN(AN124*(1+G$8),MAX(AZ125,$B$12-SUM(BE125:BI125)-SUM(BA125:BD125)))</f>
        <v>0</v>
      </c>
      <c r="BK125" s="27" t="n">
        <f aca="false">MIN(AO124*(1+H$8),MAX(BA125,$B$12-SUM(BE125:BJ125)-SUM(BB125:BD125)))</f>
        <v>0</v>
      </c>
      <c r="BL125" s="27" t="n">
        <f aca="false">MIN(AP124*(1+I$8),MAX(BB125,$B$12-SUM(BE125:BK125)-SUM(BC125:BD125)))</f>
        <v>0</v>
      </c>
      <c r="BM125" s="27" t="n">
        <f aca="false">MIN(AQ124*(1+J$8),MAX(BC125,$B$12-SUM(BE125:BL125)-SUM(BD125:BD125)))</f>
        <v>0</v>
      </c>
      <c r="BN125" s="27" t="n">
        <f aca="false">MIN(AR124*(1+K$8),MAX(BD125,$B$12-SUM(BE125:BM125)))</f>
        <v>0</v>
      </c>
    </row>
    <row r="126" customFormat="false" ht="15" hidden="false" customHeight="false" outlineLevel="0" collapsed="false">
      <c r="A126" s="0" t="n">
        <v>112</v>
      </c>
      <c r="B126" s="27" t="n">
        <f aca="false">ROUND(MAX(0,B125*(1+B$8)-X126),2)</f>
        <v>0</v>
      </c>
      <c r="C126" s="27" t="n">
        <f aca="false">ROUND(MAX(0,C125*(1+C$8)-Y126),2)</f>
        <v>0</v>
      </c>
      <c r="D126" s="27" t="n">
        <f aca="false">ROUND(MAX(0,D125*(1+D$8)-Z126),2)</f>
        <v>0</v>
      </c>
      <c r="E126" s="27" t="n">
        <f aca="false">ROUND(MAX(0,E125*(1+E$8)-AA126),2)</f>
        <v>0</v>
      </c>
      <c r="F126" s="27" t="n">
        <f aca="false">ROUND(MAX(0,F125*(1+F$8)-AB126),2)</f>
        <v>0</v>
      </c>
      <c r="G126" s="27" t="n">
        <f aca="false">ROUND(MAX(0,G125*(1+G$8)-AC126),2)</f>
        <v>0</v>
      </c>
      <c r="H126" s="27" t="n">
        <f aca="false">ROUND(MAX(0,H125*(1+H$8)-AD126),2)</f>
        <v>0</v>
      </c>
      <c r="I126" s="27" t="n">
        <f aca="false">ROUND(MAX(0,I125*(1+I$8)-AE126),2)</f>
        <v>0</v>
      </c>
      <c r="J126" s="27" t="n">
        <f aca="false">ROUND(MAX(0,J125*(1+J$8)-AF126),2)</f>
        <v>0</v>
      </c>
      <c r="K126" s="27" t="n">
        <f aca="false">ROUND(MAX(0,K125*(1+K$8)-AG126),2)</f>
        <v>0</v>
      </c>
      <c r="L126" s="30" t="n">
        <f aca="false">SUM(B126:K126)</f>
        <v>0</v>
      </c>
      <c r="M126" s="27" t="n">
        <f aca="false">SUMPRODUCT(B125:K125,$B$8:$K$8)</f>
        <v>0</v>
      </c>
      <c r="N126" s="27" t="n">
        <f aca="false">MIN(B125*(1+B$8),B$9)</f>
        <v>0</v>
      </c>
      <c r="O126" s="27" t="n">
        <f aca="false">MIN(C125*(1+C$8),C$9)</f>
        <v>0</v>
      </c>
      <c r="P126" s="27" t="n">
        <f aca="false">MIN(D125*(1+D$8),D$9)</f>
        <v>0</v>
      </c>
      <c r="Q126" s="27" t="n">
        <f aca="false">MIN(E125*(1+E$8),E$9)</f>
        <v>0</v>
      </c>
      <c r="R126" s="27" t="n">
        <f aca="false">MIN(F125*(1+F$8),F$9)</f>
        <v>0</v>
      </c>
      <c r="S126" s="27" t="n">
        <f aca="false">MIN(G125*(1+G$8),G$9)</f>
        <v>0</v>
      </c>
      <c r="T126" s="27" t="n">
        <f aca="false">MIN(H125*(1+H$8),H$9)</f>
        <v>0</v>
      </c>
      <c r="U126" s="27" t="n">
        <f aca="false">MIN(I125*(1+I$8),I$9)</f>
        <v>0</v>
      </c>
      <c r="V126" s="27" t="n">
        <f aca="false">MIN(J125*(1+J$8),J$9)</f>
        <v>0</v>
      </c>
      <c r="W126" s="27" t="n">
        <f aca="false">MIN(K125*(1+K$8),K$9)</f>
        <v>0</v>
      </c>
      <c r="X126" s="27" t="n">
        <f aca="false">MIN(B125*(1+B$8),MAX(N126,$B$11-SUM(O126:W126)))</f>
        <v>0</v>
      </c>
      <c r="Y126" s="27" t="n">
        <f aca="false">MIN(C125*(1+C$8),MAX(O126,$B$11-SUM(X126:X126)-SUM(P126:W126)))</f>
        <v>0</v>
      </c>
      <c r="Z126" s="27" t="n">
        <f aca="false">MIN(D125*(1+D$8),MAX(P126,$B$11-SUM(X126:Y126)-SUM(Q126:W126)))</f>
        <v>0</v>
      </c>
      <c r="AA126" s="27" t="n">
        <f aca="false">MIN(E125*(1+E$8),MAX(Q126,$B$11-SUM(X126:Z126)-SUM(R126:W126)))</f>
        <v>0</v>
      </c>
      <c r="AB126" s="27" t="n">
        <f aca="false">MIN(F125*(1+F$8),MAX(R126,$B$11-SUM(X126:AA126)-SUM(S126:W126)))</f>
        <v>0</v>
      </c>
      <c r="AC126" s="27" t="n">
        <f aca="false">MIN(G125*(1+G$8),MAX(S126,$B$11-SUM(X126:AB126)-SUM(T126:W126)))</f>
        <v>0</v>
      </c>
      <c r="AD126" s="27" t="n">
        <f aca="false">MIN(H125*(1+H$8),MAX(T126,$B$11-SUM(X126:AC126)-SUM(U126:W126)))</f>
        <v>0</v>
      </c>
      <c r="AE126" s="27" t="n">
        <f aca="false">MIN(I125*(1+I$8),MAX(U126,$B$11-SUM(X126:AD126)-SUM(V126:W126)))</f>
        <v>0</v>
      </c>
      <c r="AF126" s="27" t="n">
        <f aca="false">MIN(J125*(1+J$8),MAX(V126,$B$11-SUM(X126:AE126)-SUM(W126:W126)))</f>
        <v>0</v>
      </c>
      <c r="AG126" s="27" t="n">
        <f aca="false">MIN(K125*(1+K$8),MAX(W126,$B$11-SUM(X126:AF126)))</f>
        <v>0</v>
      </c>
      <c r="AI126" s="27" t="n">
        <f aca="false">ROUND(MAX(0,AI125*(1+B$8)-BE126),2)</f>
        <v>0</v>
      </c>
      <c r="AJ126" s="27" t="n">
        <f aca="false">ROUND(MAX(0,AJ125*(1+C$8)-BF126),2)</f>
        <v>0</v>
      </c>
      <c r="AK126" s="27" t="n">
        <f aca="false">ROUND(MAX(0,AK125*(1+D$8)-BG126),2)</f>
        <v>0</v>
      </c>
      <c r="AL126" s="27" t="n">
        <f aca="false">ROUND(MAX(0,AL125*(1+E$8)-BH126),2)</f>
        <v>0</v>
      </c>
      <c r="AM126" s="27" t="n">
        <f aca="false">ROUND(MAX(0,AM125*(1+F$8)-BI126),2)</f>
        <v>0</v>
      </c>
      <c r="AN126" s="27" t="n">
        <f aca="false">ROUND(MAX(0,AN125*(1+G$8)-BJ126),2)</f>
        <v>0</v>
      </c>
      <c r="AO126" s="27" t="n">
        <f aca="false">ROUND(MAX(0,AO125*(1+H$8)-BK126),2)</f>
        <v>0</v>
      </c>
      <c r="AP126" s="27" t="n">
        <f aca="false">ROUND(MAX(0,AP125*(1+I$8)-BL126),2)</f>
        <v>0</v>
      </c>
      <c r="AQ126" s="27" t="n">
        <f aca="false">ROUND(MAX(0,AQ125*(1+J$8)-BM126),2)</f>
        <v>0</v>
      </c>
      <c r="AR126" s="27" t="n">
        <f aca="false">ROUND(MAX(0,AR125*(1+K$8)-BN126),2)</f>
        <v>0</v>
      </c>
      <c r="AS126" s="27" t="n">
        <f aca="false">SUM(AI126:AR126)</f>
        <v>0</v>
      </c>
      <c r="AT126" s="27" t="n">
        <f aca="false">SUMPRODUCT(AI125:AR125,$B$8:$K$8)</f>
        <v>0</v>
      </c>
      <c r="AU126" s="27" t="n">
        <f aca="false">MIN(AI125*(1+B$8),B$9)</f>
        <v>0</v>
      </c>
      <c r="AV126" s="27" t="n">
        <f aca="false">MIN(AJ125*(1+C$8),C$9)</f>
        <v>0</v>
      </c>
      <c r="AW126" s="27" t="n">
        <f aca="false">MIN(AK125*(1+D$8),D$9)</f>
        <v>0</v>
      </c>
      <c r="AX126" s="27" t="n">
        <f aca="false">MIN(AL125*(1+E$8),E$9)</f>
        <v>0</v>
      </c>
      <c r="AY126" s="27" t="n">
        <f aca="false">MIN(AM125*(1+F$8),F$9)</f>
        <v>0</v>
      </c>
      <c r="AZ126" s="27" t="n">
        <f aca="false">MIN(AN125*(1+G$8),G$9)</f>
        <v>0</v>
      </c>
      <c r="BA126" s="27" t="n">
        <f aca="false">MIN(AO125*(1+H$8),H$9)</f>
        <v>0</v>
      </c>
      <c r="BB126" s="27" t="n">
        <f aca="false">MIN(AP125*(1+I$8),I$9)</f>
        <v>0</v>
      </c>
      <c r="BC126" s="27" t="n">
        <f aca="false">MIN(AQ125*(1+J$8),J$9)</f>
        <v>0</v>
      </c>
      <c r="BD126" s="27" t="n">
        <f aca="false">MIN(AR125*(1+K$8),K$9)</f>
        <v>0</v>
      </c>
      <c r="BE126" s="27" t="n">
        <f aca="false">MIN(AI125*(1+B$8),MAX(AU126,$B$12-SUM(AV126:BD126)))</f>
        <v>0</v>
      </c>
      <c r="BF126" s="27" t="n">
        <f aca="false">MIN(AJ125*(1+C$8),MAX(AV126,$B$12-SUM(BE126:BE126)-SUM(AW126:BD126)))</f>
        <v>0</v>
      </c>
      <c r="BG126" s="27" t="n">
        <f aca="false">MIN(AK125*(1+D$8),MAX(AW126,$B$12-SUM(BE126:BF126)-SUM(AX126:BD126)))</f>
        <v>0</v>
      </c>
      <c r="BH126" s="27" t="n">
        <f aca="false">MIN(AL125*(1+E$8),MAX(AX126,$B$12-SUM(BE126:BG126)-SUM(AY126:BD126)))</f>
        <v>0</v>
      </c>
      <c r="BI126" s="27" t="n">
        <f aca="false">MIN(AM125*(1+F$8),MAX(AY126,$B$12-SUM(BE126:BH126)-SUM(AZ126:BD126)))</f>
        <v>0</v>
      </c>
      <c r="BJ126" s="27" t="n">
        <f aca="false">MIN(AN125*(1+G$8),MAX(AZ126,$B$12-SUM(BE126:BI126)-SUM(BA126:BD126)))</f>
        <v>0</v>
      </c>
      <c r="BK126" s="27" t="n">
        <f aca="false">MIN(AO125*(1+H$8),MAX(BA126,$B$12-SUM(BE126:BJ126)-SUM(BB126:BD126)))</f>
        <v>0</v>
      </c>
      <c r="BL126" s="27" t="n">
        <f aca="false">MIN(AP125*(1+I$8),MAX(BB126,$B$12-SUM(BE126:BK126)-SUM(BC126:BD126)))</f>
        <v>0</v>
      </c>
      <c r="BM126" s="27" t="n">
        <f aca="false">MIN(AQ125*(1+J$8),MAX(BC126,$B$12-SUM(BE126:BL126)-SUM(BD126:BD126)))</f>
        <v>0</v>
      </c>
      <c r="BN126" s="27" t="n">
        <f aca="false">MIN(AR125*(1+K$8),MAX(BD126,$B$12-SUM(BE126:BM126)))</f>
        <v>0</v>
      </c>
    </row>
    <row r="127" customFormat="false" ht="15" hidden="false" customHeight="false" outlineLevel="0" collapsed="false">
      <c r="A127" s="0" t="n">
        <v>113</v>
      </c>
      <c r="B127" s="27" t="n">
        <f aca="false">ROUND(MAX(0,B126*(1+B$8)-X127),2)</f>
        <v>0</v>
      </c>
      <c r="C127" s="27" t="n">
        <f aca="false">ROUND(MAX(0,C126*(1+C$8)-Y127),2)</f>
        <v>0</v>
      </c>
      <c r="D127" s="27" t="n">
        <f aca="false">ROUND(MAX(0,D126*(1+D$8)-Z127),2)</f>
        <v>0</v>
      </c>
      <c r="E127" s="27" t="n">
        <f aca="false">ROUND(MAX(0,E126*(1+E$8)-AA127),2)</f>
        <v>0</v>
      </c>
      <c r="F127" s="27" t="n">
        <f aca="false">ROUND(MAX(0,F126*(1+F$8)-AB127),2)</f>
        <v>0</v>
      </c>
      <c r="G127" s="27" t="n">
        <f aca="false">ROUND(MAX(0,G126*(1+G$8)-AC127),2)</f>
        <v>0</v>
      </c>
      <c r="H127" s="27" t="n">
        <f aca="false">ROUND(MAX(0,H126*(1+H$8)-AD127),2)</f>
        <v>0</v>
      </c>
      <c r="I127" s="27" t="n">
        <f aca="false">ROUND(MAX(0,I126*(1+I$8)-AE127),2)</f>
        <v>0</v>
      </c>
      <c r="J127" s="27" t="n">
        <f aca="false">ROUND(MAX(0,J126*(1+J$8)-AF127),2)</f>
        <v>0</v>
      </c>
      <c r="K127" s="27" t="n">
        <f aca="false">ROUND(MAX(0,K126*(1+K$8)-AG127),2)</f>
        <v>0</v>
      </c>
      <c r="L127" s="30" t="n">
        <f aca="false">SUM(B127:K127)</f>
        <v>0</v>
      </c>
      <c r="M127" s="27" t="n">
        <f aca="false">SUMPRODUCT(B126:K126,$B$8:$K$8)</f>
        <v>0</v>
      </c>
      <c r="N127" s="27" t="n">
        <f aca="false">MIN(B126*(1+B$8),B$9)</f>
        <v>0</v>
      </c>
      <c r="O127" s="27" t="n">
        <f aca="false">MIN(C126*(1+C$8),C$9)</f>
        <v>0</v>
      </c>
      <c r="P127" s="27" t="n">
        <f aca="false">MIN(D126*(1+D$8),D$9)</f>
        <v>0</v>
      </c>
      <c r="Q127" s="27" t="n">
        <f aca="false">MIN(E126*(1+E$8),E$9)</f>
        <v>0</v>
      </c>
      <c r="R127" s="27" t="n">
        <f aca="false">MIN(F126*(1+F$8),F$9)</f>
        <v>0</v>
      </c>
      <c r="S127" s="27" t="n">
        <f aca="false">MIN(G126*(1+G$8),G$9)</f>
        <v>0</v>
      </c>
      <c r="T127" s="27" t="n">
        <f aca="false">MIN(H126*(1+H$8),H$9)</f>
        <v>0</v>
      </c>
      <c r="U127" s="27" t="n">
        <f aca="false">MIN(I126*(1+I$8),I$9)</f>
        <v>0</v>
      </c>
      <c r="V127" s="27" t="n">
        <f aca="false">MIN(J126*(1+J$8),J$9)</f>
        <v>0</v>
      </c>
      <c r="W127" s="27" t="n">
        <f aca="false">MIN(K126*(1+K$8),K$9)</f>
        <v>0</v>
      </c>
      <c r="X127" s="27" t="n">
        <f aca="false">MIN(B126*(1+B$8),MAX(N127,$B$11-SUM(O127:W127)))</f>
        <v>0</v>
      </c>
      <c r="Y127" s="27" t="n">
        <f aca="false">MIN(C126*(1+C$8),MAX(O127,$B$11-SUM(X127:X127)-SUM(P127:W127)))</f>
        <v>0</v>
      </c>
      <c r="Z127" s="27" t="n">
        <f aca="false">MIN(D126*(1+D$8),MAX(P127,$B$11-SUM(X127:Y127)-SUM(Q127:W127)))</f>
        <v>0</v>
      </c>
      <c r="AA127" s="27" t="n">
        <f aca="false">MIN(E126*(1+E$8),MAX(Q127,$B$11-SUM(X127:Z127)-SUM(R127:W127)))</f>
        <v>0</v>
      </c>
      <c r="AB127" s="27" t="n">
        <f aca="false">MIN(F126*(1+F$8),MAX(R127,$B$11-SUM(X127:AA127)-SUM(S127:W127)))</f>
        <v>0</v>
      </c>
      <c r="AC127" s="27" t="n">
        <f aca="false">MIN(G126*(1+G$8),MAX(S127,$B$11-SUM(X127:AB127)-SUM(T127:W127)))</f>
        <v>0</v>
      </c>
      <c r="AD127" s="27" t="n">
        <f aca="false">MIN(H126*(1+H$8),MAX(T127,$B$11-SUM(X127:AC127)-SUM(U127:W127)))</f>
        <v>0</v>
      </c>
      <c r="AE127" s="27" t="n">
        <f aca="false">MIN(I126*(1+I$8),MAX(U127,$B$11-SUM(X127:AD127)-SUM(V127:W127)))</f>
        <v>0</v>
      </c>
      <c r="AF127" s="27" t="n">
        <f aca="false">MIN(J126*(1+J$8),MAX(V127,$B$11-SUM(X127:AE127)-SUM(W127:W127)))</f>
        <v>0</v>
      </c>
      <c r="AG127" s="27" t="n">
        <f aca="false">MIN(K126*(1+K$8),MAX(W127,$B$11-SUM(X127:AF127)))</f>
        <v>0</v>
      </c>
      <c r="AI127" s="27" t="n">
        <f aca="false">ROUND(MAX(0,AI126*(1+B$8)-BE127),2)</f>
        <v>0</v>
      </c>
      <c r="AJ127" s="27" t="n">
        <f aca="false">ROUND(MAX(0,AJ126*(1+C$8)-BF127),2)</f>
        <v>0</v>
      </c>
      <c r="AK127" s="27" t="n">
        <f aca="false">ROUND(MAX(0,AK126*(1+D$8)-BG127),2)</f>
        <v>0</v>
      </c>
      <c r="AL127" s="27" t="n">
        <f aca="false">ROUND(MAX(0,AL126*(1+E$8)-BH127),2)</f>
        <v>0</v>
      </c>
      <c r="AM127" s="27" t="n">
        <f aca="false">ROUND(MAX(0,AM126*(1+F$8)-BI127),2)</f>
        <v>0</v>
      </c>
      <c r="AN127" s="27" t="n">
        <f aca="false">ROUND(MAX(0,AN126*(1+G$8)-BJ127),2)</f>
        <v>0</v>
      </c>
      <c r="AO127" s="27" t="n">
        <f aca="false">ROUND(MAX(0,AO126*(1+H$8)-BK127),2)</f>
        <v>0</v>
      </c>
      <c r="AP127" s="27" t="n">
        <f aca="false">ROUND(MAX(0,AP126*(1+I$8)-BL127),2)</f>
        <v>0</v>
      </c>
      <c r="AQ127" s="27" t="n">
        <f aca="false">ROUND(MAX(0,AQ126*(1+J$8)-BM127),2)</f>
        <v>0</v>
      </c>
      <c r="AR127" s="27" t="n">
        <f aca="false">ROUND(MAX(0,AR126*(1+K$8)-BN127),2)</f>
        <v>0</v>
      </c>
      <c r="AS127" s="27" t="n">
        <f aca="false">SUM(AI127:AR127)</f>
        <v>0</v>
      </c>
      <c r="AT127" s="27" t="n">
        <f aca="false">SUMPRODUCT(AI126:AR126,$B$8:$K$8)</f>
        <v>0</v>
      </c>
      <c r="AU127" s="27" t="n">
        <f aca="false">MIN(AI126*(1+B$8),B$9)</f>
        <v>0</v>
      </c>
      <c r="AV127" s="27" t="n">
        <f aca="false">MIN(AJ126*(1+C$8),C$9)</f>
        <v>0</v>
      </c>
      <c r="AW127" s="27" t="n">
        <f aca="false">MIN(AK126*(1+D$8),D$9)</f>
        <v>0</v>
      </c>
      <c r="AX127" s="27" t="n">
        <f aca="false">MIN(AL126*(1+E$8),E$9)</f>
        <v>0</v>
      </c>
      <c r="AY127" s="27" t="n">
        <f aca="false">MIN(AM126*(1+F$8),F$9)</f>
        <v>0</v>
      </c>
      <c r="AZ127" s="27" t="n">
        <f aca="false">MIN(AN126*(1+G$8),G$9)</f>
        <v>0</v>
      </c>
      <c r="BA127" s="27" t="n">
        <f aca="false">MIN(AO126*(1+H$8),H$9)</f>
        <v>0</v>
      </c>
      <c r="BB127" s="27" t="n">
        <f aca="false">MIN(AP126*(1+I$8),I$9)</f>
        <v>0</v>
      </c>
      <c r="BC127" s="27" t="n">
        <f aca="false">MIN(AQ126*(1+J$8),J$9)</f>
        <v>0</v>
      </c>
      <c r="BD127" s="27" t="n">
        <f aca="false">MIN(AR126*(1+K$8),K$9)</f>
        <v>0</v>
      </c>
      <c r="BE127" s="27" t="n">
        <f aca="false">MIN(AI126*(1+B$8),MAX(AU127,$B$12-SUM(AV127:BD127)))</f>
        <v>0</v>
      </c>
      <c r="BF127" s="27" t="n">
        <f aca="false">MIN(AJ126*(1+C$8),MAX(AV127,$B$12-SUM(BE127:BE127)-SUM(AW127:BD127)))</f>
        <v>0</v>
      </c>
      <c r="BG127" s="27" t="n">
        <f aca="false">MIN(AK126*(1+D$8),MAX(AW127,$B$12-SUM(BE127:BF127)-SUM(AX127:BD127)))</f>
        <v>0</v>
      </c>
      <c r="BH127" s="27" t="n">
        <f aca="false">MIN(AL126*(1+E$8),MAX(AX127,$B$12-SUM(BE127:BG127)-SUM(AY127:BD127)))</f>
        <v>0</v>
      </c>
      <c r="BI127" s="27" t="n">
        <f aca="false">MIN(AM126*(1+F$8),MAX(AY127,$B$12-SUM(BE127:BH127)-SUM(AZ127:BD127)))</f>
        <v>0</v>
      </c>
      <c r="BJ127" s="27" t="n">
        <f aca="false">MIN(AN126*(1+G$8),MAX(AZ127,$B$12-SUM(BE127:BI127)-SUM(BA127:BD127)))</f>
        <v>0</v>
      </c>
      <c r="BK127" s="27" t="n">
        <f aca="false">MIN(AO126*(1+H$8),MAX(BA127,$B$12-SUM(BE127:BJ127)-SUM(BB127:BD127)))</f>
        <v>0</v>
      </c>
      <c r="BL127" s="27" t="n">
        <f aca="false">MIN(AP126*(1+I$8),MAX(BB127,$B$12-SUM(BE127:BK127)-SUM(BC127:BD127)))</f>
        <v>0</v>
      </c>
      <c r="BM127" s="27" t="n">
        <f aca="false">MIN(AQ126*(1+J$8),MAX(BC127,$B$12-SUM(BE127:BL127)-SUM(BD127:BD127)))</f>
        <v>0</v>
      </c>
      <c r="BN127" s="27" t="n">
        <f aca="false">MIN(AR126*(1+K$8),MAX(BD127,$B$12-SUM(BE127:BM127)))</f>
        <v>0</v>
      </c>
    </row>
    <row r="128" customFormat="false" ht="15" hidden="false" customHeight="false" outlineLevel="0" collapsed="false">
      <c r="A128" s="0" t="n">
        <v>114</v>
      </c>
      <c r="B128" s="27" t="n">
        <f aca="false">ROUND(MAX(0,B127*(1+B$8)-X128),2)</f>
        <v>0</v>
      </c>
      <c r="C128" s="27" t="n">
        <f aca="false">ROUND(MAX(0,C127*(1+C$8)-Y128),2)</f>
        <v>0</v>
      </c>
      <c r="D128" s="27" t="n">
        <f aca="false">ROUND(MAX(0,D127*(1+D$8)-Z128),2)</f>
        <v>0</v>
      </c>
      <c r="E128" s="27" t="n">
        <f aca="false">ROUND(MAX(0,E127*(1+E$8)-AA128),2)</f>
        <v>0</v>
      </c>
      <c r="F128" s="27" t="n">
        <f aca="false">ROUND(MAX(0,F127*(1+F$8)-AB128),2)</f>
        <v>0</v>
      </c>
      <c r="G128" s="27" t="n">
        <f aca="false">ROUND(MAX(0,G127*(1+G$8)-AC128),2)</f>
        <v>0</v>
      </c>
      <c r="H128" s="27" t="n">
        <f aca="false">ROUND(MAX(0,H127*(1+H$8)-AD128),2)</f>
        <v>0</v>
      </c>
      <c r="I128" s="27" t="n">
        <f aca="false">ROUND(MAX(0,I127*(1+I$8)-AE128),2)</f>
        <v>0</v>
      </c>
      <c r="J128" s="27" t="n">
        <f aca="false">ROUND(MAX(0,J127*(1+J$8)-AF128),2)</f>
        <v>0</v>
      </c>
      <c r="K128" s="27" t="n">
        <f aca="false">ROUND(MAX(0,K127*(1+K$8)-AG128),2)</f>
        <v>0</v>
      </c>
      <c r="L128" s="30" t="n">
        <f aca="false">SUM(B128:K128)</f>
        <v>0</v>
      </c>
      <c r="M128" s="27" t="n">
        <f aca="false">SUMPRODUCT(B127:K127,$B$8:$K$8)</f>
        <v>0</v>
      </c>
      <c r="N128" s="27" t="n">
        <f aca="false">MIN(B127*(1+B$8),B$9)</f>
        <v>0</v>
      </c>
      <c r="O128" s="27" t="n">
        <f aca="false">MIN(C127*(1+C$8),C$9)</f>
        <v>0</v>
      </c>
      <c r="P128" s="27" t="n">
        <f aca="false">MIN(D127*(1+D$8),D$9)</f>
        <v>0</v>
      </c>
      <c r="Q128" s="27" t="n">
        <f aca="false">MIN(E127*(1+E$8),E$9)</f>
        <v>0</v>
      </c>
      <c r="R128" s="27" t="n">
        <f aca="false">MIN(F127*(1+F$8),F$9)</f>
        <v>0</v>
      </c>
      <c r="S128" s="27" t="n">
        <f aca="false">MIN(G127*(1+G$8),G$9)</f>
        <v>0</v>
      </c>
      <c r="T128" s="27" t="n">
        <f aca="false">MIN(H127*(1+H$8),H$9)</f>
        <v>0</v>
      </c>
      <c r="U128" s="27" t="n">
        <f aca="false">MIN(I127*(1+I$8),I$9)</f>
        <v>0</v>
      </c>
      <c r="V128" s="27" t="n">
        <f aca="false">MIN(J127*(1+J$8),J$9)</f>
        <v>0</v>
      </c>
      <c r="W128" s="27" t="n">
        <f aca="false">MIN(K127*(1+K$8),K$9)</f>
        <v>0</v>
      </c>
      <c r="X128" s="27" t="n">
        <f aca="false">MIN(B127*(1+B$8),MAX(N128,$B$11-SUM(O128:W128)))</f>
        <v>0</v>
      </c>
      <c r="Y128" s="27" t="n">
        <f aca="false">MIN(C127*(1+C$8),MAX(O128,$B$11-SUM(X128:X128)-SUM(P128:W128)))</f>
        <v>0</v>
      </c>
      <c r="Z128" s="27" t="n">
        <f aca="false">MIN(D127*(1+D$8),MAX(P128,$B$11-SUM(X128:Y128)-SUM(Q128:W128)))</f>
        <v>0</v>
      </c>
      <c r="AA128" s="27" t="n">
        <f aca="false">MIN(E127*(1+E$8),MAX(Q128,$B$11-SUM(X128:Z128)-SUM(R128:W128)))</f>
        <v>0</v>
      </c>
      <c r="AB128" s="27" t="n">
        <f aca="false">MIN(F127*(1+F$8),MAX(R128,$B$11-SUM(X128:AA128)-SUM(S128:W128)))</f>
        <v>0</v>
      </c>
      <c r="AC128" s="27" t="n">
        <f aca="false">MIN(G127*(1+G$8),MAX(S128,$B$11-SUM(X128:AB128)-SUM(T128:W128)))</f>
        <v>0</v>
      </c>
      <c r="AD128" s="27" t="n">
        <f aca="false">MIN(H127*(1+H$8),MAX(T128,$B$11-SUM(X128:AC128)-SUM(U128:W128)))</f>
        <v>0</v>
      </c>
      <c r="AE128" s="27" t="n">
        <f aca="false">MIN(I127*(1+I$8),MAX(U128,$B$11-SUM(X128:AD128)-SUM(V128:W128)))</f>
        <v>0</v>
      </c>
      <c r="AF128" s="27" t="n">
        <f aca="false">MIN(J127*(1+J$8),MAX(V128,$B$11-SUM(X128:AE128)-SUM(W128:W128)))</f>
        <v>0</v>
      </c>
      <c r="AG128" s="27" t="n">
        <f aca="false">MIN(K127*(1+K$8),MAX(W128,$B$11-SUM(X128:AF128)))</f>
        <v>0</v>
      </c>
      <c r="AI128" s="27" t="n">
        <f aca="false">ROUND(MAX(0,AI127*(1+B$8)-BE128),2)</f>
        <v>0</v>
      </c>
      <c r="AJ128" s="27" t="n">
        <f aca="false">ROUND(MAX(0,AJ127*(1+C$8)-BF128),2)</f>
        <v>0</v>
      </c>
      <c r="AK128" s="27" t="n">
        <f aca="false">ROUND(MAX(0,AK127*(1+D$8)-BG128),2)</f>
        <v>0</v>
      </c>
      <c r="AL128" s="27" t="n">
        <f aca="false">ROUND(MAX(0,AL127*(1+E$8)-BH128),2)</f>
        <v>0</v>
      </c>
      <c r="AM128" s="27" t="n">
        <f aca="false">ROUND(MAX(0,AM127*(1+F$8)-BI128),2)</f>
        <v>0</v>
      </c>
      <c r="AN128" s="27" t="n">
        <f aca="false">ROUND(MAX(0,AN127*(1+G$8)-BJ128),2)</f>
        <v>0</v>
      </c>
      <c r="AO128" s="27" t="n">
        <f aca="false">ROUND(MAX(0,AO127*(1+H$8)-BK128),2)</f>
        <v>0</v>
      </c>
      <c r="AP128" s="27" t="n">
        <f aca="false">ROUND(MAX(0,AP127*(1+I$8)-BL128),2)</f>
        <v>0</v>
      </c>
      <c r="AQ128" s="27" t="n">
        <f aca="false">ROUND(MAX(0,AQ127*(1+J$8)-BM128),2)</f>
        <v>0</v>
      </c>
      <c r="AR128" s="27" t="n">
        <f aca="false">ROUND(MAX(0,AR127*(1+K$8)-BN128),2)</f>
        <v>0</v>
      </c>
      <c r="AS128" s="27" t="n">
        <f aca="false">SUM(AI128:AR128)</f>
        <v>0</v>
      </c>
      <c r="AT128" s="27" t="n">
        <f aca="false">SUMPRODUCT(AI127:AR127,$B$8:$K$8)</f>
        <v>0</v>
      </c>
      <c r="AU128" s="27" t="n">
        <f aca="false">MIN(AI127*(1+B$8),B$9)</f>
        <v>0</v>
      </c>
      <c r="AV128" s="27" t="n">
        <f aca="false">MIN(AJ127*(1+C$8),C$9)</f>
        <v>0</v>
      </c>
      <c r="AW128" s="27" t="n">
        <f aca="false">MIN(AK127*(1+D$8),D$9)</f>
        <v>0</v>
      </c>
      <c r="AX128" s="27" t="n">
        <f aca="false">MIN(AL127*(1+E$8),E$9)</f>
        <v>0</v>
      </c>
      <c r="AY128" s="27" t="n">
        <f aca="false">MIN(AM127*(1+F$8),F$9)</f>
        <v>0</v>
      </c>
      <c r="AZ128" s="27" t="n">
        <f aca="false">MIN(AN127*(1+G$8),G$9)</f>
        <v>0</v>
      </c>
      <c r="BA128" s="27" t="n">
        <f aca="false">MIN(AO127*(1+H$8),H$9)</f>
        <v>0</v>
      </c>
      <c r="BB128" s="27" t="n">
        <f aca="false">MIN(AP127*(1+I$8),I$9)</f>
        <v>0</v>
      </c>
      <c r="BC128" s="27" t="n">
        <f aca="false">MIN(AQ127*(1+J$8),J$9)</f>
        <v>0</v>
      </c>
      <c r="BD128" s="27" t="n">
        <f aca="false">MIN(AR127*(1+K$8),K$9)</f>
        <v>0</v>
      </c>
      <c r="BE128" s="27" t="n">
        <f aca="false">MIN(AI127*(1+B$8),MAX(AU128,$B$12-SUM(AV128:BD128)))</f>
        <v>0</v>
      </c>
      <c r="BF128" s="27" t="n">
        <f aca="false">MIN(AJ127*(1+C$8),MAX(AV128,$B$12-SUM(BE128:BE128)-SUM(AW128:BD128)))</f>
        <v>0</v>
      </c>
      <c r="BG128" s="27" t="n">
        <f aca="false">MIN(AK127*(1+D$8),MAX(AW128,$B$12-SUM(BE128:BF128)-SUM(AX128:BD128)))</f>
        <v>0</v>
      </c>
      <c r="BH128" s="27" t="n">
        <f aca="false">MIN(AL127*(1+E$8),MAX(AX128,$B$12-SUM(BE128:BG128)-SUM(AY128:BD128)))</f>
        <v>0</v>
      </c>
      <c r="BI128" s="27" t="n">
        <f aca="false">MIN(AM127*(1+F$8),MAX(AY128,$B$12-SUM(BE128:BH128)-SUM(AZ128:BD128)))</f>
        <v>0</v>
      </c>
      <c r="BJ128" s="27" t="n">
        <f aca="false">MIN(AN127*(1+G$8),MAX(AZ128,$B$12-SUM(BE128:BI128)-SUM(BA128:BD128)))</f>
        <v>0</v>
      </c>
      <c r="BK128" s="27" t="n">
        <f aca="false">MIN(AO127*(1+H$8),MAX(BA128,$B$12-SUM(BE128:BJ128)-SUM(BB128:BD128)))</f>
        <v>0</v>
      </c>
      <c r="BL128" s="27" t="n">
        <f aca="false">MIN(AP127*(1+I$8),MAX(BB128,$B$12-SUM(BE128:BK128)-SUM(BC128:BD128)))</f>
        <v>0</v>
      </c>
      <c r="BM128" s="27" t="n">
        <f aca="false">MIN(AQ127*(1+J$8),MAX(BC128,$B$12-SUM(BE128:BL128)-SUM(BD128:BD128)))</f>
        <v>0</v>
      </c>
      <c r="BN128" s="27" t="n">
        <f aca="false">MIN(AR127*(1+K$8),MAX(BD128,$B$12-SUM(BE128:BM128)))</f>
        <v>0</v>
      </c>
    </row>
    <row r="129" customFormat="false" ht="15" hidden="false" customHeight="false" outlineLevel="0" collapsed="false">
      <c r="A129" s="0" t="n">
        <v>115</v>
      </c>
      <c r="B129" s="27" t="n">
        <f aca="false">ROUND(MAX(0,B128*(1+B$8)-X129),2)</f>
        <v>0</v>
      </c>
      <c r="C129" s="27" t="n">
        <f aca="false">ROUND(MAX(0,C128*(1+C$8)-Y129),2)</f>
        <v>0</v>
      </c>
      <c r="D129" s="27" t="n">
        <f aca="false">ROUND(MAX(0,D128*(1+D$8)-Z129),2)</f>
        <v>0</v>
      </c>
      <c r="E129" s="27" t="n">
        <f aca="false">ROUND(MAX(0,E128*(1+E$8)-AA129),2)</f>
        <v>0</v>
      </c>
      <c r="F129" s="27" t="n">
        <f aca="false">ROUND(MAX(0,F128*(1+F$8)-AB129),2)</f>
        <v>0</v>
      </c>
      <c r="G129" s="27" t="n">
        <f aca="false">ROUND(MAX(0,G128*(1+G$8)-AC129),2)</f>
        <v>0</v>
      </c>
      <c r="H129" s="27" t="n">
        <f aca="false">ROUND(MAX(0,H128*(1+H$8)-AD129),2)</f>
        <v>0</v>
      </c>
      <c r="I129" s="27" t="n">
        <f aca="false">ROUND(MAX(0,I128*(1+I$8)-AE129),2)</f>
        <v>0</v>
      </c>
      <c r="J129" s="27" t="n">
        <f aca="false">ROUND(MAX(0,J128*(1+J$8)-AF129),2)</f>
        <v>0</v>
      </c>
      <c r="K129" s="27" t="n">
        <f aca="false">ROUND(MAX(0,K128*(1+K$8)-AG129),2)</f>
        <v>0</v>
      </c>
      <c r="L129" s="30" t="n">
        <f aca="false">SUM(B129:K129)</f>
        <v>0</v>
      </c>
      <c r="M129" s="27" t="n">
        <f aca="false">SUMPRODUCT(B128:K128,$B$8:$K$8)</f>
        <v>0</v>
      </c>
      <c r="N129" s="27" t="n">
        <f aca="false">MIN(B128*(1+B$8),B$9)</f>
        <v>0</v>
      </c>
      <c r="O129" s="27" t="n">
        <f aca="false">MIN(C128*(1+C$8),C$9)</f>
        <v>0</v>
      </c>
      <c r="P129" s="27" t="n">
        <f aca="false">MIN(D128*(1+D$8),D$9)</f>
        <v>0</v>
      </c>
      <c r="Q129" s="27" t="n">
        <f aca="false">MIN(E128*(1+E$8),E$9)</f>
        <v>0</v>
      </c>
      <c r="R129" s="27" t="n">
        <f aca="false">MIN(F128*(1+F$8),F$9)</f>
        <v>0</v>
      </c>
      <c r="S129" s="27" t="n">
        <f aca="false">MIN(G128*(1+G$8),G$9)</f>
        <v>0</v>
      </c>
      <c r="T129" s="27" t="n">
        <f aca="false">MIN(H128*(1+H$8),H$9)</f>
        <v>0</v>
      </c>
      <c r="U129" s="27" t="n">
        <f aca="false">MIN(I128*(1+I$8),I$9)</f>
        <v>0</v>
      </c>
      <c r="V129" s="27" t="n">
        <f aca="false">MIN(J128*(1+J$8),J$9)</f>
        <v>0</v>
      </c>
      <c r="W129" s="27" t="n">
        <f aca="false">MIN(K128*(1+K$8),K$9)</f>
        <v>0</v>
      </c>
      <c r="X129" s="27" t="n">
        <f aca="false">MIN(B128*(1+B$8),MAX(N129,$B$11-SUM(O129:W129)))</f>
        <v>0</v>
      </c>
      <c r="Y129" s="27" t="n">
        <f aca="false">MIN(C128*(1+C$8),MAX(O129,$B$11-SUM(X129:X129)-SUM(P129:W129)))</f>
        <v>0</v>
      </c>
      <c r="Z129" s="27" t="n">
        <f aca="false">MIN(D128*(1+D$8),MAX(P129,$B$11-SUM(X129:Y129)-SUM(Q129:W129)))</f>
        <v>0</v>
      </c>
      <c r="AA129" s="27" t="n">
        <f aca="false">MIN(E128*(1+E$8),MAX(Q129,$B$11-SUM(X129:Z129)-SUM(R129:W129)))</f>
        <v>0</v>
      </c>
      <c r="AB129" s="27" t="n">
        <f aca="false">MIN(F128*(1+F$8),MAX(R129,$B$11-SUM(X129:AA129)-SUM(S129:W129)))</f>
        <v>0</v>
      </c>
      <c r="AC129" s="27" t="n">
        <f aca="false">MIN(G128*(1+G$8),MAX(S129,$B$11-SUM(X129:AB129)-SUM(T129:W129)))</f>
        <v>0</v>
      </c>
      <c r="AD129" s="27" t="n">
        <f aca="false">MIN(H128*(1+H$8),MAX(T129,$B$11-SUM(X129:AC129)-SUM(U129:W129)))</f>
        <v>0</v>
      </c>
      <c r="AE129" s="27" t="n">
        <f aca="false">MIN(I128*(1+I$8),MAX(U129,$B$11-SUM(X129:AD129)-SUM(V129:W129)))</f>
        <v>0</v>
      </c>
      <c r="AF129" s="27" t="n">
        <f aca="false">MIN(J128*(1+J$8),MAX(V129,$B$11-SUM(X129:AE129)-SUM(W129:W129)))</f>
        <v>0</v>
      </c>
      <c r="AG129" s="27" t="n">
        <f aca="false">MIN(K128*(1+K$8),MAX(W129,$B$11-SUM(X129:AF129)))</f>
        <v>0</v>
      </c>
      <c r="AI129" s="27" t="n">
        <f aca="false">ROUND(MAX(0,AI128*(1+B$8)-BE129),2)</f>
        <v>0</v>
      </c>
      <c r="AJ129" s="27" t="n">
        <f aca="false">ROUND(MAX(0,AJ128*(1+C$8)-BF129),2)</f>
        <v>0</v>
      </c>
      <c r="AK129" s="27" t="n">
        <f aca="false">ROUND(MAX(0,AK128*(1+D$8)-BG129),2)</f>
        <v>0</v>
      </c>
      <c r="AL129" s="27" t="n">
        <f aca="false">ROUND(MAX(0,AL128*(1+E$8)-BH129),2)</f>
        <v>0</v>
      </c>
      <c r="AM129" s="27" t="n">
        <f aca="false">ROUND(MAX(0,AM128*(1+F$8)-BI129),2)</f>
        <v>0</v>
      </c>
      <c r="AN129" s="27" t="n">
        <f aca="false">ROUND(MAX(0,AN128*(1+G$8)-BJ129),2)</f>
        <v>0</v>
      </c>
      <c r="AO129" s="27" t="n">
        <f aca="false">ROUND(MAX(0,AO128*(1+H$8)-BK129),2)</f>
        <v>0</v>
      </c>
      <c r="AP129" s="27" t="n">
        <f aca="false">ROUND(MAX(0,AP128*(1+I$8)-BL129),2)</f>
        <v>0</v>
      </c>
      <c r="AQ129" s="27" t="n">
        <f aca="false">ROUND(MAX(0,AQ128*(1+J$8)-BM129),2)</f>
        <v>0</v>
      </c>
      <c r="AR129" s="27" t="n">
        <f aca="false">ROUND(MAX(0,AR128*(1+K$8)-BN129),2)</f>
        <v>0</v>
      </c>
      <c r="AS129" s="27" t="n">
        <f aca="false">SUM(AI129:AR129)</f>
        <v>0</v>
      </c>
      <c r="AT129" s="27" t="n">
        <f aca="false">SUMPRODUCT(AI128:AR128,$B$8:$K$8)</f>
        <v>0</v>
      </c>
      <c r="AU129" s="27" t="n">
        <f aca="false">MIN(AI128*(1+B$8),B$9)</f>
        <v>0</v>
      </c>
      <c r="AV129" s="27" t="n">
        <f aca="false">MIN(AJ128*(1+C$8),C$9)</f>
        <v>0</v>
      </c>
      <c r="AW129" s="27" t="n">
        <f aca="false">MIN(AK128*(1+D$8),D$9)</f>
        <v>0</v>
      </c>
      <c r="AX129" s="27" t="n">
        <f aca="false">MIN(AL128*(1+E$8),E$9)</f>
        <v>0</v>
      </c>
      <c r="AY129" s="27" t="n">
        <f aca="false">MIN(AM128*(1+F$8),F$9)</f>
        <v>0</v>
      </c>
      <c r="AZ129" s="27" t="n">
        <f aca="false">MIN(AN128*(1+G$8),G$9)</f>
        <v>0</v>
      </c>
      <c r="BA129" s="27" t="n">
        <f aca="false">MIN(AO128*(1+H$8),H$9)</f>
        <v>0</v>
      </c>
      <c r="BB129" s="27" t="n">
        <f aca="false">MIN(AP128*(1+I$8),I$9)</f>
        <v>0</v>
      </c>
      <c r="BC129" s="27" t="n">
        <f aca="false">MIN(AQ128*(1+J$8),J$9)</f>
        <v>0</v>
      </c>
      <c r="BD129" s="27" t="n">
        <f aca="false">MIN(AR128*(1+K$8),K$9)</f>
        <v>0</v>
      </c>
      <c r="BE129" s="27" t="n">
        <f aca="false">MIN(AI128*(1+B$8),MAX(AU129,$B$12-SUM(AV129:BD129)))</f>
        <v>0</v>
      </c>
      <c r="BF129" s="27" t="n">
        <f aca="false">MIN(AJ128*(1+C$8),MAX(AV129,$B$12-SUM(BE129:BE129)-SUM(AW129:BD129)))</f>
        <v>0</v>
      </c>
      <c r="BG129" s="27" t="n">
        <f aca="false">MIN(AK128*(1+D$8),MAX(AW129,$B$12-SUM(BE129:BF129)-SUM(AX129:BD129)))</f>
        <v>0</v>
      </c>
      <c r="BH129" s="27" t="n">
        <f aca="false">MIN(AL128*(1+E$8),MAX(AX129,$B$12-SUM(BE129:BG129)-SUM(AY129:BD129)))</f>
        <v>0</v>
      </c>
      <c r="BI129" s="27" t="n">
        <f aca="false">MIN(AM128*(1+F$8),MAX(AY129,$B$12-SUM(BE129:BH129)-SUM(AZ129:BD129)))</f>
        <v>0</v>
      </c>
      <c r="BJ129" s="27" t="n">
        <f aca="false">MIN(AN128*(1+G$8),MAX(AZ129,$B$12-SUM(BE129:BI129)-SUM(BA129:BD129)))</f>
        <v>0</v>
      </c>
      <c r="BK129" s="27" t="n">
        <f aca="false">MIN(AO128*(1+H$8),MAX(BA129,$B$12-SUM(BE129:BJ129)-SUM(BB129:BD129)))</f>
        <v>0</v>
      </c>
      <c r="BL129" s="27" t="n">
        <f aca="false">MIN(AP128*(1+I$8),MAX(BB129,$B$12-SUM(BE129:BK129)-SUM(BC129:BD129)))</f>
        <v>0</v>
      </c>
      <c r="BM129" s="27" t="n">
        <f aca="false">MIN(AQ128*(1+J$8),MAX(BC129,$B$12-SUM(BE129:BL129)-SUM(BD129:BD129)))</f>
        <v>0</v>
      </c>
      <c r="BN129" s="27" t="n">
        <f aca="false">MIN(AR128*(1+K$8),MAX(BD129,$B$12-SUM(BE129:BM129)))</f>
        <v>0</v>
      </c>
    </row>
    <row r="130" customFormat="false" ht="15" hidden="false" customHeight="false" outlineLevel="0" collapsed="false">
      <c r="A130" s="0" t="n">
        <v>116</v>
      </c>
      <c r="B130" s="27" t="n">
        <f aca="false">ROUND(MAX(0,B129*(1+B$8)-X130),2)</f>
        <v>0</v>
      </c>
      <c r="C130" s="27" t="n">
        <f aca="false">ROUND(MAX(0,C129*(1+C$8)-Y130),2)</f>
        <v>0</v>
      </c>
      <c r="D130" s="27" t="n">
        <f aca="false">ROUND(MAX(0,D129*(1+D$8)-Z130),2)</f>
        <v>0</v>
      </c>
      <c r="E130" s="27" t="n">
        <f aca="false">ROUND(MAX(0,E129*(1+E$8)-AA130),2)</f>
        <v>0</v>
      </c>
      <c r="F130" s="27" t="n">
        <f aca="false">ROUND(MAX(0,F129*(1+F$8)-AB130),2)</f>
        <v>0</v>
      </c>
      <c r="G130" s="27" t="n">
        <f aca="false">ROUND(MAX(0,G129*(1+G$8)-AC130),2)</f>
        <v>0</v>
      </c>
      <c r="H130" s="27" t="n">
        <f aca="false">ROUND(MAX(0,H129*(1+H$8)-AD130),2)</f>
        <v>0</v>
      </c>
      <c r="I130" s="27" t="n">
        <f aca="false">ROUND(MAX(0,I129*(1+I$8)-AE130),2)</f>
        <v>0</v>
      </c>
      <c r="J130" s="27" t="n">
        <f aca="false">ROUND(MAX(0,J129*(1+J$8)-AF130),2)</f>
        <v>0</v>
      </c>
      <c r="K130" s="27" t="n">
        <f aca="false">ROUND(MAX(0,K129*(1+K$8)-AG130),2)</f>
        <v>0</v>
      </c>
      <c r="L130" s="30" t="n">
        <f aca="false">SUM(B130:K130)</f>
        <v>0</v>
      </c>
      <c r="M130" s="27" t="n">
        <f aca="false">SUMPRODUCT(B129:K129,$B$8:$K$8)</f>
        <v>0</v>
      </c>
      <c r="N130" s="27" t="n">
        <f aca="false">MIN(B129*(1+B$8),B$9)</f>
        <v>0</v>
      </c>
      <c r="O130" s="27" t="n">
        <f aca="false">MIN(C129*(1+C$8),C$9)</f>
        <v>0</v>
      </c>
      <c r="P130" s="27" t="n">
        <f aca="false">MIN(D129*(1+D$8),D$9)</f>
        <v>0</v>
      </c>
      <c r="Q130" s="27" t="n">
        <f aca="false">MIN(E129*(1+E$8),E$9)</f>
        <v>0</v>
      </c>
      <c r="R130" s="27" t="n">
        <f aca="false">MIN(F129*(1+F$8),F$9)</f>
        <v>0</v>
      </c>
      <c r="S130" s="27" t="n">
        <f aca="false">MIN(G129*(1+G$8),G$9)</f>
        <v>0</v>
      </c>
      <c r="T130" s="27" t="n">
        <f aca="false">MIN(H129*(1+H$8),H$9)</f>
        <v>0</v>
      </c>
      <c r="U130" s="27" t="n">
        <f aca="false">MIN(I129*(1+I$8),I$9)</f>
        <v>0</v>
      </c>
      <c r="V130" s="27" t="n">
        <f aca="false">MIN(J129*(1+J$8),J$9)</f>
        <v>0</v>
      </c>
      <c r="W130" s="27" t="n">
        <f aca="false">MIN(K129*(1+K$8),K$9)</f>
        <v>0</v>
      </c>
      <c r="X130" s="27" t="n">
        <f aca="false">MIN(B129*(1+B$8),MAX(N130,$B$11-SUM(O130:W130)))</f>
        <v>0</v>
      </c>
      <c r="Y130" s="27" t="n">
        <f aca="false">MIN(C129*(1+C$8),MAX(O130,$B$11-SUM(X130:X130)-SUM(P130:W130)))</f>
        <v>0</v>
      </c>
      <c r="Z130" s="27" t="n">
        <f aca="false">MIN(D129*(1+D$8),MAX(P130,$B$11-SUM(X130:Y130)-SUM(Q130:W130)))</f>
        <v>0</v>
      </c>
      <c r="AA130" s="27" t="n">
        <f aca="false">MIN(E129*(1+E$8),MAX(Q130,$B$11-SUM(X130:Z130)-SUM(R130:W130)))</f>
        <v>0</v>
      </c>
      <c r="AB130" s="27" t="n">
        <f aca="false">MIN(F129*(1+F$8),MAX(R130,$B$11-SUM(X130:AA130)-SUM(S130:W130)))</f>
        <v>0</v>
      </c>
      <c r="AC130" s="27" t="n">
        <f aca="false">MIN(G129*(1+G$8),MAX(S130,$B$11-SUM(X130:AB130)-SUM(T130:W130)))</f>
        <v>0</v>
      </c>
      <c r="AD130" s="27" t="n">
        <f aca="false">MIN(H129*(1+H$8),MAX(T130,$B$11-SUM(X130:AC130)-SUM(U130:W130)))</f>
        <v>0</v>
      </c>
      <c r="AE130" s="27" t="n">
        <f aca="false">MIN(I129*(1+I$8),MAX(U130,$B$11-SUM(X130:AD130)-SUM(V130:W130)))</f>
        <v>0</v>
      </c>
      <c r="AF130" s="27" t="n">
        <f aca="false">MIN(J129*(1+J$8),MAX(V130,$B$11-SUM(X130:AE130)-SUM(W130:W130)))</f>
        <v>0</v>
      </c>
      <c r="AG130" s="27" t="n">
        <f aca="false">MIN(K129*(1+K$8),MAX(W130,$B$11-SUM(X130:AF130)))</f>
        <v>0</v>
      </c>
      <c r="AI130" s="27" t="n">
        <f aca="false">ROUND(MAX(0,AI129*(1+B$8)-BE130),2)</f>
        <v>0</v>
      </c>
      <c r="AJ130" s="27" t="n">
        <f aca="false">ROUND(MAX(0,AJ129*(1+C$8)-BF130),2)</f>
        <v>0</v>
      </c>
      <c r="AK130" s="27" t="n">
        <f aca="false">ROUND(MAX(0,AK129*(1+D$8)-BG130),2)</f>
        <v>0</v>
      </c>
      <c r="AL130" s="27" t="n">
        <f aca="false">ROUND(MAX(0,AL129*(1+E$8)-BH130),2)</f>
        <v>0</v>
      </c>
      <c r="AM130" s="27" t="n">
        <f aca="false">ROUND(MAX(0,AM129*(1+F$8)-BI130),2)</f>
        <v>0</v>
      </c>
      <c r="AN130" s="27" t="n">
        <f aca="false">ROUND(MAX(0,AN129*(1+G$8)-BJ130),2)</f>
        <v>0</v>
      </c>
      <c r="AO130" s="27" t="n">
        <f aca="false">ROUND(MAX(0,AO129*(1+H$8)-BK130),2)</f>
        <v>0</v>
      </c>
      <c r="AP130" s="27" t="n">
        <f aca="false">ROUND(MAX(0,AP129*(1+I$8)-BL130),2)</f>
        <v>0</v>
      </c>
      <c r="AQ130" s="27" t="n">
        <f aca="false">ROUND(MAX(0,AQ129*(1+J$8)-BM130),2)</f>
        <v>0</v>
      </c>
      <c r="AR130" s="27" t="n">
        <f aca="false">ROUND(MAX(0,AR129*(1+K$8)-BN130),2)</f>
        <v>0</v>
      </c>
      <c r="AS130" s="27" t="n">
        <f aca="false">SUM(AI130:AR130)</f>
        <v>0</v>
      </c>
      <c r="AT130" s="27" t="n">
        <f aca="false">SUMPRODUCT(AI129:AR129,$B$8:$K$8)</f>
        <v>0</v>
      </c>
      <c r="AU130" s="27" t="n">
        <f aca="false">MIN(AI129*(1+B$8),B$9)</f>
        <v>0</v>
      </c>
      <c r="AV130" s="27" t="n">
        <f aca="false">MIN(AJ129*(1+C$8),C$9)</f>
        <v>0</v>
      </c>
      <c r="AW130" s="27" t="n">
        <f aca="false">MIN(AK129*(1+D$8),D$9)</f>
        <v>0</v>
      </c>
      <c r="AX130" s="27" t="n">
        <f aca="false">MIN(AL129*(1+E$8),E$9)</f>
        <v>0</v>
      </c>
      <c r="AY130" s="27" t="n">
        <f aca="false">MIN(AM129*(1+F$8),F$9)</f>
        <v>0</v>
      </c>
      <c r="AZ130" s="27" t="n">
        <f aca="false">MIN(AN129*(1+G$8),G$9)</f>
        <v>0</v>
      </c>
      <c r="BA130" s="27" t="n">
        <f aca="false">MIN(AO129*(1+H$8),H$9)</f>
        <v>0</v>
      </c>
      <c r="BB130" s="27" t="n">
        <f aca="false">MIN(AP129*(1+I$8),I$9)</f>
        <v>0</v>
      </c>
      <c r="BC130" s="27" t="n">
        <f aca="false">MIN(AQ129*(1+J$8),J$9)</f>
        <v>0</v>
      </c>
      <c r="BD130" s="27" t="n">
        <f aca="false">MIN(AR129*(1+K$8),K$9)</f>
        <v>0</v>
      </c>
      <c r="BE130" s="27" t="n">
        <f aca="false">MIN(AI129*(1+B$8),MAX(AU130,$B$12-SUM(AV130:BD130)))</f>
        <v>0</v>
      </c>
      <c r="BF130" s="27" t="n">
        <f aca="false">MIN(AJ129*(1+C$8),MAX(AV130,$B$12-SUM(BE130:BE130)-SUM(AW130:BD130)))</f>
        <v>0</v>
      </c>
      <c r="BG130" s="27" t="n">
        <f aca="false">MIN(AK129*(1+D$8),MAX(AW130,$B$12-SUM(BE130:BF130)-SUM(AX130:BD130)))</f>
        <v>0</v>
      </c>
      <c r="BH130" s="27" t="n">
        <f aca="false">MIN(AL129*(1+E$8),MAX(AX130,$B$12-SUM(BE130:BG130)-SUM(AY130:BD130)))</f>
        <v>0</v>
      </c>
      <c r="BI130" s="27" t="n">
        <f aca="false">MIN(AM129*(1+F$8),MAX(AY130,$B$12-SUM(BE130:BH130)-SUM(AZ130:BD130)))</f>
        <v>0</v>
      </c>
      <c r="BJ130" s="27" t="n">
        <f aca="false">MIN(AN129*(1+G$8),MAX(AZ130,$B$12-SUM(BE130:BI130)-SUM(BA130:BD130)))</f>
        <v>0</v>
      </c>
      <c r="BK130" s="27" t="n">
        <f aca="false">MIN(AO129*(1+H$8),MAX(BA130,$B$12-SUM(BE130:BJ130)-SUM(BB130:BD130)))</f>
        <v>0</v>
      </c>
      <c r="BL130" s="27" t="n">
        <f aca="false">MIN(AP129*(1+I$8),MAX(BB130,$B$12-SUM(BE130:BK130)-SUM(BC130:BD130)))</f>
        <v>0</v>
      </c>
      <c r="BM130" s="27" t="n">
        <f aca="false">MIN(AQ129*(1+J$8),MAX(BC130,$B$12-SUM(BE130:BL130)-SUM(BD130:BD130)))</f>
        <v>0</v>
      </c>
      <c r="BN130" s="27" t="n">
        <f aca="false">MIN(AR129*(1+K$8),MAX(BD130,$B$12-SUM(BE130:BM130)))</f>
        <v>0</v>
      </c>
    </row>
    <row r="131" customFormat="false" ht="15" hidden="false" customHeight="false" outlineLevel="0" collapsed="false">
      <c r="A131" s="0" t="n">
        <v>117</v>
      </c>
      <c r="B131" s="27" t="n">
        <f aca="false">ROUND(MAX(0,B130*(1+B$8)-X131),2)</f>
        <v>0</v>
      </c>
      <c r="C131" s="27" t="n">
        <f aca="false">ROUND(MAX(0,C130*(1+C$8)-Y131),2)</f>
        <v>0</v>
      </c>
      <c r="D131" s="27" t="n">
        <f aca="false">ROUND(MAX(0,D130*(1+D$8)-Z131),2)</f>
        <v>0</v>
      </c>
      <c r="E131" s="27" t="n">
        <f aca="false">ROUND(MAX(0,E130*(1+E$8)-AA131),2)</f>
        <v>0</v>
      </c>
      <c r="F131" s="27" t="n">
        <f aca="false">ROUND(MAX(0,F130*(1+F$8)-AB131),2)</f>
        <v>0</v>
      </c>
      <c r="G131" s="27" t="n">
        <f aca="false">ROUND(MAX(0,G130*(1+G$8)-AC131),2)</f>
        <v>0</v>
      </c>
      <c r="H131" s="27" t="n">
        <f aca="false">ROUND(MAX(0,H130*(1+H$8)-AD131),2)</f>
        <v>0</v>
      </c>
      <c r="I131" s="27" t="n">
        <f aca="false">ROUND(MAX(0,I130*(1+I$8)-AE131),2)</f>
        <v>0</v>
      </c>
      <c r="J131" s="27" t="n">
        <f aca="false">ROUND(MAX(0,J130*(1+J$8)-AF131),2)</f>
        <v>0</v>
      </c>
      <c r="K131" s="27" t="n">
        <f aca="false">ROUND(MAX(0,K130*(1+K$8)-AG131),2)</f>
        <v>0</v>
      </c>
      <c r="L131" s="30" t="n">
        <f aca="false">SUM(B131:K131)</f>
        <v>0</v>
      </c>
      <c r="M131" s="27" t="n">
        <f aca="false">SUMPRODUCT(B130:K130,$B$8:$K$8)</f>
        <v>0</v>
      </c>
      <c r="N131" s="27" t="n">
        <f aca="false">MIN(B130*(1+B$8),B$9)</f>
        <v>0</v>
      </c>
      <c r="O131" s="27" t="n">
        <f aca="false">MIN(C130*(1+C$8),C$9)</f>
        <v>0</v>
      </c>
      <c r="P131" s="27" t="n">
        <f aca="false">MIN(D130*(1+D$8),D$9)</f>
        <v>0</v>
      </c>
      <c r="Q131" s="27" t="n">
        <f aca="false">MIN(E130*(1+E$8),E$9)</f>
        <v>0</v>
      </c>
      <c r="R131" s="27" t="n">
        <f aca="false">MIN(F130*(1+F$8),F$9)</f>
        <v>0</v>
      </c>
      <c r="S131" s="27" t="n">
        <f aca="false">MIN(G130*(1+G$8),G$9)</f>
        <v>0</v>
      </c>
      <c r="T131" s="27" t="n">
        <f aca="false">MIN(H130*(1+H$8),H$9)</f>
        <v>0</v>
      </c>
      <c r="U131" s="27" t="n">
        <f aca="false">MIN(I130*(1+I$8),I$9)</f>
        <v>0</v>
      </c>
      <c r="V131" s="27" t="n">
        <f aca="false">MIN(J130*(1+J$8),J$9)</f>
        <v>0</v>
      </c>
      <c r="W131" s="27" t="n">
        <f aca="false">MIN(K130*(1+K$8),K$9)</f>
        <v>0</v>
      </c>
      <c r="X131" s="27" t="n">
        <f aca="false">MIN(B130*(1+B$8),MAX(N131,$B$11-SUM(O131:W131)))</f>
        <v>0</v>
      </c>
      <c r="Y131" s="27" t="n">
        <f aca="false">MIN(C130*(1+C$8),MAX(O131,$B$11-SUM(X131:X131)-SUM(P131:W131)))</f>
        <v>0</v>
      </c>
      <c r="Z131" s="27" t="n">
        <f aca="false">MIN(D130*(1+D$8),MAX(P131,$B$11-SUM(X131:Y131)-SUM(Q131:W131)))</f>
        <v>0</v>
      </c>
      <c r="AA131" s="27" t="n">
        <f aca="false">MIN(E130*(1+E$8),MAX(Q131,$B$11-SUM(X131:Z131)-SUM(R131:W131)))</f>
        <v>0</v>
      </c>
      <c r="AB131" s="27" t="n">
        <f aca="false">MIN(F130*(1+F$8),MAX(R131,$B$11-SUM(X131:AA131)-SUM(S131:W131)))</f>
        <v>0</v>
      </c>
      <c r="AC131" s="27" t="n">
        <f aca="false">MIN(G130*(1+G$8),MAX(S131,$B$11-SUM(X131:AB131)-SUM(T131:W131)))</f>
        <v>0</v>
      </c>
      <c r="AD131" s="27" t="n">
        <f aca="false">MIN(H130*(1+H$8),MAX(T131,$B$11-SUM(X131:AC131)-SUM(U131:W131)))</f>
        <v>0</v>
      </c>
      <c r="AE131" s="27" t="n">
        <f aca="false">MIN(I130*(1+I$8),MAX(U131,$B$11-SUM(X131:AD131)-SUM(V131:W131)))</f>
        <v>0</v>
      </c>
      <c r="AF131" s="27" t="n">
        <f aca="false">MIN(J130*(1+J$8),MAX(V131,$B$11-SUM(X131:AE131)-SUM(W131:W131)))</f>
        <v>0</v>
      </c>
      <c r="AG131" s="27" t="n">
        <f aca="false">MIN(K130*(1+K$8),MAX(W131,$B$11-SUM(X131:AF131)))</f>
        <v>0</v>
      </c>
      <c r="AI131" s="27" t="n">
        <f aca="false">ROUND(MAX(0,AI130*(1+B$8)-BE131),2)</f>
        <v>0</v>
      </c>
      <c r="AJ131" s="27" t="n">
        <f aca="false">ROUND(MAX(0,AJ130*(1+C$8)-BF131),2)</f>
        <v>0</v>
      </c>
      <c r="AK131" s="27" t="n">
        <f aca="false">ROUND(MAX(0,AK130*(1+D$8)-BG131),2)</f>
        <v>0</v>
      </c>
      <c r="AL131" s="27" t="n">
        <f aca="false">ROUND(MAX(0,AL130*(1+E$8)-BH131),2)</f>
        <v>0</v>
      </c>
      <c r="AM131" s="27" t="n">
        <f aca="false">ROUND(MAX(0,AM130*(1+F$8)-BI131),2)</f>
        <v>0</v>
      </c>
      <c r="AN131" s="27" t="n">
        <f aca="false">ROUND(MAX(0,AN130*(1+G$8)-BJ131),2)</f>
        <v>0</v>
      </c>
      <c r="AO131" s="27" t="n">
        <f aca="false">ROUND(MAX(0,AO130*(1+H$8)-BK131),2)</f>
        <v>0</v>
      </c>
      <c r="AP131" s="27" t="n">
        <f aca="false">ROUND(MAX(0,AP130*(1+I$8)-BL131),2)</f>
        <v>0</v>
      </c>
      <c r="AQ131" s="27" t="n">
        <f aca="false">ROUND(MAX(0,AQ130*(1+J$8)-BM131),2)</f>
        <v>0</v>
      </c>
      <c r="AR131" s="27" t="n">
        <f aca="false">ROUND(MAX(0,AR130*(1+K$8)-BN131),2)</f>
        <v>0</v>
      </c>
      <c r="AS131" s="27" t="n">
        <f aca="false">SUM(AI131:AR131)</f>
        <v>0</v>
      </c>
      <c r="AT131" s="27" t="n">
        <f aca="false">SUMPRODUCT(AI130:AR130,$B$8:$K$8)</f>
        <v>0</v>
      </c>
      <c r="AU131" s="27" t="n">
        <f aca="false">MIN(AI130*(1+B$8),B$9)</f>
        <v>0</v>
      </c>
      <c r="AV131" s="27" t="n">
        <f aca="false">MIN(AJ130*(1+C$8),C$9)</f>
        <v>0</v>
      </c>
      <c r="AW131" s="27" t="n">
        <f aca="false">MIN(AK130*(1+D$8),D$9)</f>
        <v>0</v>
      </c>
      <c r="AX131" s="27" t="n">
        <f aca="false">MIN(AL130*(1+E$8),E$9)</f>
        <v>0</v>
      </c>
      <c r="AY131" s="27" t="n">
        <f aca="false">MIN(AM130*(1+F$8),F$9)</f>
        <v>0</v>
      </c>
      <c r="AZ131" s="27" t="n">
        <f aca="false">MIN(AN130*(1+G$8),G$9)</f>
        <v>0</v>
      </c>
      <c r="BA131" s="27" t="n">
        <f aca="false">MIN(AO130*(1+H$8),H$9)</f>
        <v>0</v>
      </c>
      <c r="BB131" s="27" t="n">
        <f aca="false">MIN(AP130*(1+I$8),I$9)</f>
        <v>0</v>
      </c>
      <c r="BC131" s="27" t="n">
        <f aca="false">MIN(AQ130*(1+J$8),J$9)</f>
        <v>0</v>
      </c>
      <c r="BD131" s="27" t="n">
        <f aca="false">MIN(AR130*(1+K$8),K$9)</f>
        <v>0</v>
      </c>
      <c r="BE131" s="27" t="n">
        <f aca="false">MIN(AI130*(1+B$8),MAX(AU131,$B$12-SUM(AV131:BD131)))</f>
        <v>0</v>
      </c>
      <c r="BF131" s="27" t="n">
        <f aca="false">MIN(AJ130*(1+C$8),MAX(AV131,$B$12-SUM(BE131:BE131)-SUM(AW131:BD131)))</f>
        <v>0</v>
      </c>
      <c r="BG131" s="27" t="n">
        <f aca="false">MIN(AK130*(1+D$8),MAX(AW131,$B$12-SUM(BE131:BF131)-SUM(AX131:BD131)))</f>
        <v>0</v>
      </c>
      <c r="BH131" s="27" t="n">
        <f aca="false">MIN(AL130*(1+E$8),MAX(AX131,$B$12-SUM(BE131:BG131)-SUM(AY131:BD131)))</f>
        <v>0</v>
      </c>
      <c r="BI131" s="27" t="n">
        <f aca="false">MIN(AM130*(1+F$8),MAX(AY131,$B$12-SUM(BE131:BH131)-SUM(AZ131:BD131)))</f>
        <v>0</v>
      </c>
      <c r="BJ131" s="27" t="n">
        <f aca="false">MIN(AN130*(1+G$8),MAX(AZ131,$B$12-SUM(BE131:BI131)-SUM(BA131:BD131)))</f>
        <v>0</v>
      </c>
      <c r="BK131" s="27" t="n">
        <f aca="false">MIN(AO130*(1+H$8),MAX(BA131,$B$12-SUM(BE131:BJ131)-SUM(BB131:BD131)))</f>
        <v>0</v>
      </c>
      <c r="BL131" s="27" t="n">
        <f aca="false">MIN(AP130*(1+I$8),MAX(BB131,$B$12-SUM(BE131:BK131)-SUM(BC131:BD131)))</f>
        <v>0</v>
      </c>
      <c r="BM131" s="27" t="n">
        <f aca="false">MIN(AQ130*(1+J$8),MAX(BC131,$B$12-SUM(BE131:BL131)-SUM(BD131:BD131)))</f>
        <v>0</v>
      </c>
      <c r="BN131" s="27" t="n">
        <f aca="false">MIN(AR130*(1+K$8),MAX(BD131,$B$12-SUM(BE131:BM131)))</f>
        <v>0</v>
      </c>
    </row>
    <row r="132" customFormat="false" ht="15" hidden="false" customHeight="false" outlineLevel="0" collapsed="false">
      <c r="A132" s="0" t="n">
        <v>118</v>
      </c>
      <c r="B132" s="27" t="n">
        <f aca="false">ROUND(MAX(0,B131*(1+B$8)-X132),2)</f>
        <v>0</v>
      </c>
      <c r="C132" s="27" t="n">
        <f aca="false">ROUND(MAX(0,C131*(1+C$8)-Y132),2)</f>
        <v>0</v>
      </c>
      <c r="D132" s="27" t="n">
        <f aca="false">ROUND(MAX(0,D131*(1+D$8)-Z132),2)</f>
        <v>0</v>
      </c>
      <c r="E132" s="27" t="n">
        <f aca="false">ROUND(MAX(0,E131*(1+E$8)-AA132),2)</f>
        <v>0</v>
      </c>
      <c r="F132" s="27" t="n">
        <f aca="false">ROUND(MAX(0,F131*(1+F$8)-AB132),2)</f>
        <v>0</v>
      </c>
      <c r="G132" s="27" t="n">
        <f aca="false">ROUND(MAX(0,G131*(1+G$8)-AC132),2)</f>
        <v>0</v>
      </c>
      <c r="H132" s="27" t="n">
        <f aca="false">ROUND(MAX(0,H131*(1+H$8)-AD132),2)</f>
        <v>0</v>
      </c>
      <c r="I132" s="27" t="n">
        <f aca="false">ROUND(MAX(0,I131*(1+I$8)-AE132),2)</f>
        <v>0</v>
      </c>
      <c r="J132" s="27" t="n">
        <f aca="false">ROUND(MAX(0,J131*(1+J$8)-AF132),2)</f>
        <v>0</v>
      </c>
      <c r="K132" s="27" t="n">
        <f aca="false">ROUND(MAX(0,K131*(1+K$8)-AG132),2)</f>
        <v>0</v>
      </c>
      <c r="L132" s="30" t="n">
        <f aca="false">SUM(B132:K132)</f>
        <v>0</v>
      </c>
      <c r="M132" s="27" t="n">
        <f aca="false">SUMPRODUCT(B131:K131,$B$8:$K$8)</f>
        <v>0</v>
      </c>
      <c r="N132" s="27" t="n">
        <f aca="false">MIN(B131*(1+B$8),B$9)</f>
        <v>0</v>
      </c>
      <c r="O132" s="27" t="n">
        <f aca="false">MIN(C131*(1+C$8),C$9)</f>
        <v>0</v>
      </c>
      <c r="P132" s="27" t="n">
        <f aca="false">MIN(D131*(1+D$8),D$9)</f>
        <v>0</v>
      </c>
      <c r="Q132" s="27" t="n">
        <f aca="false">MIN(E131*(1+E$8),E$9)</f>
        <v>0</v>
      </c>
      <c r="R132" s="27" t="n">
        <f aca="false">MIN(F131*(1+F$8),F$9)</f>
        <v>0</v>
      </c>
      <c r="S132" s="27" t="n">
        <f aca="false">MIN(G131*(1+G$8),G$9)</f>
        <v>0</v>
      </c>
      <c r="T132" s="27" t="n">
        <f aca="false">MIN(H131*(1+H$8),H$9)</f>
        <v>0</v>
      </c>
      <c r="U132" s="27" t="n">
        <f aca="false">MIN(I131*(1+I$8),I$9)</f>
        <v>0</v>
      </c>
      <c r="V132" s="27" t="n">
        <f aca="false">MIN(J131*(1+J$8),J$9)</f>
        <v>0</v>
      </c>
      <c r="W132" s="27" t="n">
        <f aca="false">MIN(K131*(1+K$8),K$9)</f>
        <v>0</v>
      </c>
      <c r="X132" s="27" t="n">
        <f aca="false">MIN(B131*(1+B$8),MAX(N132,$B$11-SUM(O132:W132)))</f>
        <v>0</v>
      </c>
      <c r="Y132" s="27" t="n">
        <f aca="false">MIN(C131*(1+C$8),MAX(O132,$B$11-SUM(X132:X132)-SUM(P132:W132)))</f>
        <v>0</v>
      </c>
      <c r="Z132" s="27" t="n">
        <f aca="false">MIN(D131*(1+D$8),MAX(P132,$B$11-SUM(X132:Y132)-SUM(Q132:W132)))</f>
        <v>0</v>
      </c>
      <c r="AA132" s="27" t="n">
        <f aca="false">MIN(E131*(1+E$8),MAX(Q132,$B$11-SUM(X132:Z132)-SUM(R132:W132)))</f>
        <v>0</v>
      </c>
      <c r="AB132" s="27" t="n">
        <f aca="false">MIN(F131*(1+F$8),MAX(R132,$B$11-SUM(X132:AA132)-SUM(S132:W132)))</f>
        <v>0</v>
      </c>
      <c r="AC132" s="27" t="n">
        <f aca="false">MIN(G131*(1+G$8),MAX(S132,$B$11-SUM(X132:AB132)-SUM(T132:W132)))</f>
        <v>0</v>
      </c>
      <c r="AD132" s="27" t="n">
        <f aca="false">MIN(H131*(1+H$8),MAX(T132,$B$11-SUM(X132:AC132)-SUM(U132:W132)))</f>
        <v>0</v>
      </c>
      <c r="AE132" s="27" t="n">
        <f aca="false">MIN(I131*(1+I$8),MAX(U132,$B$11-SUM(X132:AD132)-SUM(V132:W132)))</f>
        <v>0</v>
      </c>
      <c r="AF132" s="27" t="n">
        <f aca="false">MIN(J131*(1+J$8),MAX(V132,$B$11-SUM(X132:AE132)-SUM(W132:W132)))</f>
        <v>0</v>
      </c>
      <c r="AG132" s="27" t="n">
        <f aca="false">MIN(K131*(1+K$8),MAX(W132,$B$11-SUM(X132:AF132)))</f>
        <v>0</v>
      </c>
      <c r="AI132" s="27" t="n">
        <f aca="false">ROUND(MAX(0,AI131*(1+B$8)-BE132),2)</f>
        <v>0</v>
      </c>
      <c r="AJ132" s="27" t="n">
        <f aca="false">ROUND(MAX(0,AJ131*(1+C$8)-BF132),2)</f>
        <v>0</v>
      </c>
      <c r="AK132" s="27" t="n">
        <f aca="false">ROUND(MAX(0,AK131*(1+D$8)-BG132),2)</f>
        <v>0</v>
      </c>
      <c r="AL132" s="27" t="n">
        <f aca="false">ROUND(MAX(0,AL131*(1+E$8)-BH132),2)</f>
        <v>0</v>
      </c>
      <c r="AM132" s="27" t="n">
        <f aca="false">ROUND(MAX(0,AM131*(1+F$8)-BI132),2)</f>
        <v>0</v>
      </c>
      <c r="AN132" s="27" t="n">
        <f aca="false">ROUND(MAX(0,AN131*(1+G$8)-BJ132),2)</f>
        <v>0</v>
      </c>
      <c r="AO132" s="27" t="n">
        <f aca="false">ROUND(MAX(0,AO131*(1+H$8)-BK132),2)</f>
        <v>0</v>
      </c>
      <c r="AP132" s="27" t="n">
        <f aca="false">ROUND(MAX(0,AP131*(1+I$8)-BL132),2)</f>
        <v>0</v>
      </c>
      <c r="AQ132" s="27" t="n">
        <f aca="false">ROUND(MAX(0,AQ131*(1+J$8)-BM132),2)</f>
        <v>0</v>
      </c>
      <c r="AR132" s="27" t="n">
        <f aca="false">ROUND(MAX(0,AR131*(1+K$8)-BN132),2)</f>
        <v>0</v>
      </c>
      <c r="AS132" s="27" t="n">
        <f aca="false">SUM(AI132:AR132)</f>
        <v>0</v>
      </c>
      <c r="AT132" s="27" t="n">
        <f aca="false">SUMPRODUCT(AI131:AR131,$B$8:$K$8)</f>
        <v>0</v>
      </c>
      <c r="AU132" s="27" t="n">
        <f aca="false">MIN(AI131*(1+B$8),B$9)</f>
        <v>0</v>
      </c>
      <c r="AV132" s="27" t="n">
        <f aca="false">MIN(AJ131*(1+C$8),C$9)</f>
        <v>0</v>
      </c>
      <c r="AW132" s="27" t="n">
        <f aca="false">MIN(AK131*(1+D$8),D$9)</f>
        <v>0</v>
      </c>
      <c r="AX132" s="27" t="n">
        <f aca="false">MIN(AL131*(1+E$8),E$9)</f>
        <v>0</v>
      </c>
      <c r="AY132" s="27" t="n">
        <f aca="false">MIN(AM131*(1+F$8),F$9)</f>
        <v>0</v>
      </c>
      <c r="AZ132" s="27" t="n">
        <f aca="false">MIN(AN131*(1+G$8),G$9)</f>
        <v>0</v>
      </c>
      <c r="BA132" s="27" t="n">
        <f aca="false">MIN(AO131*(1+H$8),H$9)</f>
        <v>0</v>
      </c>
      <c r="BB132" s="27" t="n">
        <f aca="false">MIN(AP131*(1+I$8),I$9)</f>
        <v>0</v>
      </c>
      <c r="BC132" s="27" t="n">
        <f aca="false">MIN(AQ131*(1+J$8),J$9)</f>
        <v>0</v>
      </c>
      <c r="BD132" s="27" t="n">
        <f aca="false">MIN(AR131*(1+K$8),K$9)</f>
        <v>0</v>
      </c>
      <c r="BE132" s="27" t="n">
        <f aca="false">MIN(AI131*(1+B$8),MAX(AU132,$B$12-SUM(AV132:BD132)))</f>
        <v>0</v>
      </c>
      <c r="BF132" s="27" t="n">
        <f aca="false">MIN(AJ131*(1+C$8),MAX(AV132,$B$12-SUM(BE132:BE132)-SUM(AW132:BD132)))</f>
        <v>0</v>
      </c>
      <c r="BG132" s="27" t="n">
        <f aca="false">MIN(AK131*(1+D$8),MAX(AW132,$B$12-SUM(BE132:BF132)-SUM(AX132:BD132)))</f>
        <v>0</v>
      </c>
      <c r="BH132" s="27" t="n">
        <f aca="false">MIN(AL131*(1+E$8),MAX(AX132,$B$12-SUM(BE132:BG132)-SUM(AY132:BD132)))</f>
        <v>0</v>
      </c>
      <c r="BI132" s="27" t="n">
        <f aca="false">MIN(AM131*(1+F$8),MAX(AY132,$B$12-SUM(BE132:BH132)-SUM(AZ132:BD132)))</f>
        <v>0</v>
      </c>
      <c r="BJ132" s="27" t="n">
        <f aca="false">MIN(AN131*(1+G$8),MAX(AZ132,$B$12-SUM(BE132:BI132)-SUM(BA132:BD132)))</f>
        <v>0</v>
      </c>
      <c r="BK132" s="27" t="n">
        <f aca="false">MIN(AO131*(1+H$8),MAX(BA132,$B$12-SUM(BE132:BJ132)-SUM(BB132:BD132)))</f>
        <v>0</v>
      </c>
      <c r="BL132" s="27" t="n">
        <f aca="false">MIN(AP131*(1+I$8),MAX(BB132,$B$12-SUM(BE132:BK132)-SUM(BC132:BD132)))</f>
        <v>0</v>
      </c>
      <c r="BM132" s="27" t="n">
        <f aca="false">MIN(AQ131*(1+J$8),MAX(BC132,$B$12-SUM(BE132:BL132)-SUM(BD132:BD132)))</f>
        <v>0</v>
      </c>
      <c r="BN132" s="27" t="n">
        <f aca="false">MIN(AR131*(1+K$8),MAX(BD132,$B$12-SUM(BE132:BM132)))</f>
        <v>0</v>
      </c>
    </row>
    <row r="133" customFormat="false" ht="15" hidden="false" customHeight="false" outlineLevel="0" collapsed="false">
      <c r="A133" s="0" t="n">
        <v>119</v>
      </c>
      <c r="B133" s="27" t="n">
        <f aca="false">ROUND(MAX(0,B132*(1+B$8)-X133),2)</f>
        <v>0</v>
      </c>
      <c r="C133" s="27" t="n">
        <f aca="false">ROUND(MAX(0,C132*(1+C$8)-Y133),2)</f>
        <v>0</v>
      </c>
      <c r="D133" s="27" t="n">
        <f aca="false">ROUND(MAX(0,D132*(1+D$8)-Z133),2)</f>
        <v>0</v>
      </c>
      <c r="E133" s="27" t="n">
        <f aca="false">ROUND(MAX(0,E132*(1+E$8)-AA133),2)</f>
        <v>0</v>
      </c>
      <c r="F133" s="27" t="n">
        <f aca="false">ROUND(MAX(0,F132*(1+F$8)-AB133),2)</f>
        <v>0</v>
      </c>
      <c r="G133" s="27" t="n">
        <f aca="false">ROUND(MAX(0,G132*(1+G$8)-AC133),2)</f>
        <v>0</v>
      </c>
      <c r="H133" s="27" t="n">
        <f aca="false">ROUND(MAX(0,H132*(1+H$8)-AD133),2)</f>
        <v>0</v>
      </c>
      <c r="I133" s="27" t="n">
        <f aca="false">ROUND(MAX(0,I132*(1+I$8)-AE133),2)</f>
        <v>0</v>
      </c>
      <c r="J133" s="27" t="n">
        <f aca="false">ROUND(MAX(0,J132*(1+J$8)-AF133),2)</f>
        <v>0</v>
      </c>
      <c r="K133" s="27" t="n">
        <f aca="false">ROUND(MAX(0,K132*(1+K$8)-AG133),2)</f>
        <v>0</v>
      </c>
      <c r="L133" s="30" t="n">
        <f aca="false">SUM(B133:K133)</f>
        <v>0</v>
      </c>
      <c r="M133" s="27" t="n">
        <f aca="false">SUMPRODUCT(B132:K132,$B$8:$K$8)</f>
        <v>0</v>
      </c>
      <c r="N133" s="27" t="n">
        <f aca="false">MIN(B132*(1+B$8),B$9)</f>
        <v>0</v>
      </c>
      <c r="O133" s="27" t="n">
        <f aca="false">MIN(C132*(1+C$8),C$9)</f>
        <v>0</v>
      </c>
      <c r="P133" s="27" t="n">
        <f aca="false">MIN(D132*(1+D$8),D$9)</f>
        <v>0</v>
      </c>
      <c r="Q133" s="27" t="n">
        <f aca="false">MIN(E132*(1+E$8),E$9)</f>
        <v>0</v>
      </c>
      <c r="R133" s="27" t="n">
        <f aca="false">MIN(F132*(1+F$8),F$9)</f>
        <v>0</v>
      </c>
      <c r="S133" s="27" t="n">
        <f aca="false">MIN(G132*(1+G$8),G$9)</f>
        <v>0</v>
      </c>
      <c r="T133" s="27" t="n">
        <f aca="false">MIN(H132*(1+H$8),H$9)</f>
        <v>0</v>
      </c>
      <c r="U133" s="27" t="n">
        <f aca="false">MIN(I132*(1+I$8),I$9)</f>
        <v>0</v>
      </c>
      <c r="V133" s="27" t="n">
        <f aca="false">MIN(J132*(1+J$8),J$9)</f>
        <v>0</v>
      </c>
      <c r="W133" s="27" t="n">
        <f aca="false">MIN(K132*(1+K$8),K$9)</f>
        <v>0</v>
      </c>
      <c r="X133" s="27" t="n">
        <f aca="false">MIN(B132*(1+B$8),MAX(N133,$B$11-SUM(O133:W133)))</f>
        <v>0</v>
      </c>
      <c r="Y133" s="27" t="n">
        <f aca="false">MIN(C132*(1+C$8),MAX(O133,$B$11-SUM(X133:X133)-SUM(P133:W133)))</f>
        <v>0</v>
      </c>
      <c r="Z133" s="27" t="n">
        <f aca="false">MIN(D132*(1+D$8),MAX(P133,$B$11-SUM(X133:Y133)-SUM(Q133:W133)))</f>
        <v>0</v>
      </c>
      <c r="AA133" s="27" t="n">
        <f aca="false">MIN(E132*(1+E$8),MAX(Q133,$B$11-SUM(X133:Z133)-SUM(R133:W133)))</f>
        <v>0</v>
      </c>
      <c r="AB133" s="27" t="n">
        <f aca="false">MIN(F132*(1+F$8),MAX(R133,$B$11-SUM(X133:AA133)-SUM(S133:W133)))</f>
        <v>0</v>
      </c>
      <c r="AC133" s="27" t="n">
        <f aca="false">MIN(G132*(1+G$8),MAX(S133,$B$11-SUM(X133:AB133)-SUM(T133:W133)))</f>
        <v>0</v>
      </c>
      <c r="AD133" s="27" t="n">
        <f aca="false">MIN(H132*(1+H$8),MAX(T133,$B$11-SUM(X133:AC133)-SUM(U133:W133)))</f>
        <v>0</v>
      </c>
      <c r="AE133" s="27" t="n">
        <f aca="false">MIN(I132*(1+I$8),MAX(U133,$B$11-SUM(X133:AD133)-SUM(V133:W133)))</f>
        <v>0</v>
      </c>
      <c r="AF133" s="27" t="n">
        <f aca="false">MIN(J132*(1+J$8),MAX(V133,$B$11-SUM(X133:AE133)-SUM(W133:W133)))</f>
        <v>0</v>
      </c>
      <c r="AG133" s="27" t="n">
        <f aca="false">MIN(K132*(1+K$8),MAX(W133,$B$11-SUM(X133:AF133)))</f>
        <v>0</v>
      </c>
      <c r="AI133" s="27" t="n">
        <f aca="false">ROUND(MAX(0,AI132*(1+B$8)-BE133),2)</f>
        <v>0</v>
      </c>
      <c r="AJ133" s="27" t="n">
        <f aca="false">ROUND(MAX(0,AJ132*(1+C$8)-BF133),2)</f>
        <v>0</v>
      </c>
      <c r="AK133" s="27" t="n">
        <f aca="false">ROUND(MAX(0,AK132*(1+D$8)-BG133),2)</f>
        <v>0</v>
      </c>
      <c r="AL133" s="27" t="n">
        <f aca="false">ROUND(MAX(0,AL132*(1+E$8)-BH133),2)</f>
        <v>0</v>
      </c>
      <c r="AM133" s="27" t="n">
        <f aca="false">ROUND(MAX(0,AM132*(1+F$8)-BI133),2)</f>
        <v>0</v>
      </c>
      <c r="AN133" s="27" t="n">
        <f aca="false">ROUND(MAX(0,AN132*(1+G$8)-BJ133),2)</f>
        <v>0</v>
      </c>
      <c r="AO133" s="27" t="n">
        <f aca="false">ROUND(MAX(0,AO132*(1+H$8)-BK133),2)</f>
        <v>0</v>
      </c>
      <c r="AP133" s="27" t="n">
        <f aca="false">ROUND(MAX(0,AP132*(1+I$8)-BL133),2)</f>
        <v>0</v>
      </c>
      <c r="AQ133" s="27" t="n">
        <f aca="false">ROUND(MAX(0,AQ132*(1+J$8)-BM133),2)</f>
        <v>0</v>
      </c>
      <c r="AR133" s="27" t="n">
        <f aca="false">ROUND(MAX(0,AR132*(1+K$8)-BN133),2)</f>
        <v>0</v>
      </c>
      <c r="AS133" s="27" t="n">
        <f aca="false">SUM(AI133:AR133)</f>
        <v>0</v>
      </c>
      <c r="AT133" s="27" t="n">
        <f aca="false">SUMPRODUCT(AI132:AR132,$B$8:$K$8)</f>
        <v>0</v>
      </c>
      <c r="AU133" s="27" t="n">
        <f aca="false">MIN(AI132*(1+B$8),B$9)</f>
        <v>0</v>
      </c>
      <c r="AV133" s="27" t="n">
        <f aca="false">MIN(AJ132*(1+C$8),C$9)</f>
        <v>0</v>
      </c>
      <c r="AW133" s="27" t="n">
        <f aca="false">MIN(AK132*(1+D$8),D$9)</f>
        <v>0</v>
      </c>
      <c r="AX133" s="27" t="n">
        <f aca="false">MIN(AL132*(1+E$8),E$9)</f>
        <v>0</v>
      </c>
      <c r="AY133" s="27" t="n">
        <f aca="false">MIN(AM132*(1+F$8),F$9)</f>
        <v>0</v>
      </c>
      <c r="AZ133" s="27" t="n">
        <f aca="false">MIN(AN132*(1+G$8),G$9)</f>
        <v>0</v>
      </c>
      <c r="BA133" s="27" t="n">
        <f aca="false">MIN(AO132*(1+H$8),H$9)</f>
        <v>0</v>
      </c>
      <c r="BB133" s="27" t="n">
        <f aca="false">MIN(AP132*(1+I$8),I$9)</f>
        <v>0</v>
      </c>
      <c r="BC133" s="27" t="n">
        <f aca="false">MIN(AQ132*(1+J$8),J$9)</f>
        <v>0</v>
      </c>
      <c r="BD133" s="27" t="n">
        <f aca="false">MIN(AR132*(1+K$8),K$9)</f>
        <v>0</v>
      </c>
      <c r="BE133" s="27" t="n">
        <f aca="false">MIN(AI132*(1+B$8),MAX(AU133,$B$12-SUM(AV133:BD133)))</f>
        <v>0</v>
      </c>
      <c r="BF133" s="27" t="n">
        <f aca="false">MIN(AJ132*(1+C$8),MAX(AV133,$B$12-SUM(BE133:BE133)-SUM(AW133:BD133)))</f>
        <v>0</v>
      </c>
      <c r="BG133" s="27" t="n">
        <f aca="false">MIN(AK132*(1+D$8),MAX(AW133,$B$12-SUM(BE133:BF133)-SUM(AX133:BD133)))</f>
        <v>0</v>
      </c>
      <c r="BH133" s="27" t="n">
        <f aca="false">MIN(AL132*(1+E$8),MAX(AX133,$B$12-SUM(BE133:BG133)-SUM(AY133:BD133)))</f>
        <v>0</v>
      </c>
      <c r="BI133" s="27" t="n">
        <f aca="false">MIN(AM132*(1+F$8),MAX(AY133,$B$12-SUM(BE133:BH133)-SUM(AZ133:BD133)))</f>
        <v>0</v>
      </c>
      <c r="BJ133" s="27" t="n">
        <f aca="false">MIN(AN132*(1+G$8),MAX(AZ133,$B$12-SUM(BE133:BI133)-SUM(BA133:BD133)))</f>
        <v>0</v>
      </c>
      <c r="BK133" s="27" t="n">
        <f aca="false">MIN(AO132*(1+H$8),MAX(BA133,$B$12-SUM(BE133:BJ133)-SUM(BB133:BD133)))</f>
        <v>0</v>
      </c>
      <c r="BL133" s="27" t="n">
        <f aca="false">MIN(AP132*(1+I$8),MAX(BB133,$B$12-SUM(BE133:BK133)-SUM(BC133:BD133)))</f>
        <v>0</v>
      </c>
      <c r="BM133" s="27" t="n">
        <f aca="false">MIN(AQ132*(1+J$8),MAX(BC133,$B$12-SUM(BE133:BL133)-SUM(BD133:BD133)))</f>
        <v>0</v>
      </c>
      <c r="BN133" s="27" t="n">
        <f aca="false">MIN(AR132*(1+K$8),MAX(BD133,$B$12-SUM(BE133:BM133)))</f>
        <v>0</v>
      </c>
    </row>
    <row r="134" customFormat="false" ht="15" hidden="false" customHeight="false" outlineLevel="0" collapsed="false">
      <c r="A134" s="0" t="n">
        <v>120</v>
      </c>
      <c r="B134" s="27" t="n">
        <f aca="false">ROUND(MAX(0,B133*(1+B$8)-X134),2)</f>
        <v>0</v>
      </c>
      <c r="C134" s="27" t="n">
        <f aca="false">ROUND(MAX(0,C133*(1+C$8)-Y134),2)</f>
        <v>0</v>
      </c>
      <c r="D134" s="27" t="n">
        <f aca="false">ROUND(MAX(0,D133*(1+D$8)-Z134),2)</f>
        <v>0</v>
      </c>
      <c r="E134" s="27" t="n">
        <f aca="false">ROUND(MAX(0,E133*(1+E$8)-AA134),2)</f>
        <v>0</v>
      </c>
      <c r="F134" s="27" t="n">
        <f aca="false">ROUND(MAX(0,F133*(1+F$8)-AB134),2)</f>
        <v>0</v>
      </c>
      <c r="G134" s="27" t="n">
        <f aca="false">ROUND(MAX(0,G133*(1+G$8)-AC134),2)</f>
        <v>0</v>
      </c>
      <c r="H134" s="27" t="n">
        <f aca="false">ROUND(MAX(0,H133*(1+H$8)-AD134),2)</f>
        <v>0</v>
      </c>
      <c r="I134" s="27" t="n">
        <f aca="false">ROUND(MAX(0,I133*(1+I$8)-AE134),2)</f>
        <v>0</v>
      </c>
      <c r="J134" s="27" t="n">
        <f aca="false">ROUND(MAX(0,J133*(1+J$8)-AF134),2)</f>
        <v>0</v>
      </c>
      <c r="K134" s="27" t="n">
        <f aca="false">ROUND(MAX(0,K133*(1+K$8)-AG134),2)</f>
        <v>0</v>
      </c>
      <c r="L134" s="30" t="n">
        <f aca="false">SUM(B134:K134)</f>
        <v>0</v>
      </c>
      <c r="M134" s="27" t="n">
        <f aca="false">SUMPRODUCT(B133:K133,$B$8:$K$8)</f>
        <v>0</v>
      </c>
      <c r="N134" s="27" t="n">
        <f aca="false">MIN(B133*(1+B$8),B$9)</f>
        <v>0</v>
      </c>
      <c r="O134" s="27" t="n">
        <f aca="false">MIN(C133*(1+C$8),C$9)</f>
        <v>0</v>
      </c>
      <c r="P134" s="27" t="n">
        <f aca="false">MIN(D133*(1+D$8),D$9)</f>
        <v>0</v>
      </c>
      <c r="Q134" s="27" t="n">
        <f aca="false">MIN(E133*(1+E$8),E$9)</f>
        <v>0</v>
      </c>
      <c r="R134" s="27" t="n">
        <f aca="false">MIN(F133*(1+F$8),F$9)</f>
        <v>0</v>
      </c>
      <c r="S134" s="27" t="n">
        <f aca="false">MIN(G133*(1+G$8),G$9)</f>
        <v>0</v>
      </c>
      <c r="T134" s="27" t="n">
        <f aca="false">MIN(H133*(1+H$8),H$9)</f>
        <v>0</v>
      </c>
      <c r="U134" s="27" t="n">
        <f aca="false">MIN(I133*(1+I$8),I$9)</f>
        <v>0</v>
      </c>
      <c r="V134" s="27" t="n">
        <f aca="false">MIN(J133*(1+J$8),J$9)</f>
        <v>0</v>
      </c>
      <c r="W134" s="27" t="n">
        <f aca="false">MIN(K133*(1+K$8),K$9)</f>
        <v>0</v>
      </c>
      <c r="X134" s="27" t="n">
        <f aca="false">MIN(B133*(1+B$8),MAX(N134,$B$11-SUM(O134:W134)))</f>
        <v>0</v>
      </c>
      <c r="Y134" s="27" t="n">
        <f aca="false">MIN(C133*(1+C$8),MAX(O134,$B$11-SUM(X134:X134)-SUM(P134:W134)))</f>
        <v>0</v>
      </c>
      <c r="Z134" s="27" t="n">
        <f aca="false">MIN(D133*(1+D$8),MAX(P134,$B$11-SUM(X134:Y134)-SUM(Q134:W134)))</f>
        <v>0</v>
      </c>
      <c r="AA134" s="27" t="n">
        <f aca="false">MIN(E133*(1+E$8),MAX(Q134,$B$11-SUM(X134:Z134)-SUM(R134:W134)))</f>
        <v>0</v>
      </c>
      <c r="AB134" s="27" t="n">
        <f aca="false">MIN(F133*(1+F$8),MAX(R134,$B$11-SUM(X134:AA134)-SUM(S134:W134)))</f>
        <v>0</v>
      </c>
      <c r="AC134" s="27" t="n">
        <f aca="false">MIN(G133*(1+G$8),MAX(S134,$B$11-SUM(X134:AB134)-SUM(T134:W134)))</f>
        <v>0</v>
      </c>
      <c r="AD134" s="27" t="n">
        <f aca="false">MIN(H133*(1+H$8),MAX(T134,$B$11-SUM(X134:AC134)-SUM(U134:W134)))</f>
        <v>0</v>
      </c>
      <c r="AE134" s="27" t="n">
        <f aca="false">MIN(I133*(1+I$8),MAX(U134,$B$11-SUM(X134:AD134)-SUM(V134:W134)))</f>
        <v>0</v>
      </c>
      <c r="AF134" s="27" t="n">
        <f aca="false">MIN(J133*(1+J$8),MAX(V134,$B$11-SUM(X134:AE134)-SUM(W134:W134)))</f>
        <v>0</v>
      </c>
      <c r="AG134" s="27" t="n">
        <f aca="false">MIN(K133*(1+K$8),MAX(W134,$B$11-SUM(X134:AF134)))</f>
        <v>0</v>
      </c>
      <c r="AI134" s="27" t="n">
        <f aca="false">ROUND(MAX(0,AI133*(1+B$8)-BE134),2)</f>
        <v>0</v>
      </c>
      <c r="AJ134" s="27" t="n">
        <f aca="false">ROUND(MAX(0,AJ133*(1+C$8)-BF134),2)</f>
        <v>0</v>
      </c>
      <c r="AK134" s="27" t="n">
        <f aca="false">ROUND(MAX(0,AK133*(1+D$8)-BG134),2)</f>
        <v>0</v>
      </c>
      <c r="AL134" s="27" t="n">
        <f aca="false">ROUND(MAX(0,AL133*(1+E$8)-BH134),2)</f>
        <v>0</v>
      </c>
      <c r="AM134" s="27" t="n">
        <f aca="false">ROUND(MAX(0,AM133*(1+F$8)-BI134),2)</f>
        <v>0</v>
      </c>
      <c r="AN134" s="27" t="n">
        <f aca="false">ROUND(MAX(0,AN133*(1+G$8)-BJ134),2)</f>
        <v>0</v>
      </c>
      <c r="AO134" s="27" t="n">
        <f aca="false">ROUND(MAX(0,AO133*(1+H$8)-BK134),2)</f>
        <v>0</v>
      </c>
      <c r="AP134" s="27" t="n">
        <f aca="false">ROUND(MAX(0,AP133*(1+I$8)-BL134),2)</f>
        <v>0</v>
      </c>
      <c r="AQ134" s="27" t="n">
        <f aca="false">ROUND(MAX(0,AQ133*(1+J$8)-BM134),2)</f>
        <v>0</v>
      </c>
      <c r="AR134" s="27" t="n">
        <f aca="false">ROUND(MAX(0,AR133*(1+K$8)-BN134),2)</f>
        <v>0</v>
      </c>
      <c r="AS134" s="27" t="n">
        <f aca="false">SUM(AI134:AR134)</f>
        <v>0</v>
      </c>
      <c r="AT134" s="27" t="n">
        <f aca="false">SUMPRODUCT(AI133:AR133,$B$8:$K$8)</f>
        <v>0</v>
      </c>
      <c r="AU134" s="27" t="n">
        <f aca="false">MIN(AI133*(1+B$8),B$9)</f>
        <v>0</v>
      </c>
      <c r="AV134" s="27" t="n">
        <f aca="false">MIN(AJ133*(1+C$8),C$9)</f>
        <v>0</v>
      </c>
      <c r="AW134" s="27" t="n">
        <f aca="false">MIN(AK133*(1+D$8),D$9)</f>
        <v>0</v>
      </c>
      <c r="AX134" s="27" t="n">
        <f aca="false">MIN(AL133*(1+E$8),E$9)</f>
        <v>0</v>
      </c>
      <c r="AY134" s="27" t="n">
        <f aca="false">MIN(AM133*(1+F$8),F$9)</f>
        <v>0</v>
      </c>
      <c r="AZ134" s="27" t="n">
        <f aca="false">MIN(AN133*(1+G$8),G$9)</f>
        <v>0</v>
      </c>
      <c r="BA134" s="27" t="n">
        <f aca="false">MIN(AO133*(1+H$8),H$9)</f>
        <v>0</v>
      </c>
      <c r="BB134" s="27" t="n">
        <f aca="false">MIN(AP133*(1+I$8),I$9)</f>
        <v>0</v>
      </c>
      <c r="BC134" s="27" t="n">
        <f aca="false">MIN(AQ133*(1+J$8),J$9)</f>
        <v>0</v>
      </c>
      <c r="BD134" s="27" t="n">
        <f aca="false">MIN(AR133*(1+K$8),K$9)</f>
        <v>0</v>
      </c>
      <c r="BE134" s="27" t="n">
        <f aca="false">MIN(AI133*(1+B$8),MAX(AU134,$B$12-SUM(AV134:BD134)))</f>
        <v>0</v>
      </c>
      <c r="BF134" s="27" t="n">
        <f aca="false">MIN(AJ133*(1+C$8),MAX(AV134,$B$12-SUM(BE134:BE134)-SUM(AW134:BD134)))</f>
        <v>0</v>
      </c>
      <c r="BG134" s="27" t="n">
        <f aca="false">MIN(AK133*(1+D$8),MAX(AW134,$B$12-SUM(BE134:BF134)-SUM(AX134:BD134)))</f>
        <v>0</v>
      </c>
      <c r="BH134" s="27" t="n">
        <f aca="false">MIN(AL133*(1+E$8),MAX(AX134,$B$12-SUM(BE134:BG134)-SUM(AY134:BD134)))</f>
        <v>0</v>
      </c>
      <c r="BI134" s="27" t="n">
        <f aca="false">MIN(AM133*(1+F$8),MAX(AY134,$B$12-SUM(BE134:BH134)-SUM(AZ134:BD134)))</f>
        <v>0</v>
      </c>
      <c r="BJ134" s="27" t="n">
        <f aca="false">MIN(AN133*(1+G$8),MAX(AZ134,$B$12-SUM(BE134:BI134)-SUM(BA134:BD134)))</f>
        <v>0</v>
      </c>
      <c r="BK134" s="27" t="n">
        <f aca="false">MIN(AO133*(1+H$8),MAX(BA134,$B$12-SUM(BE134:BJ134)-SUM(BB134:BD134)))</f>
        <v>0</v>
      </c>
      <c r="BL134" s="27" t="n">
        <f aca="false">MIN(AP133*(1+I$8),MAX(BB134,$B$12-SUM(BE134:BK134)-SUM(BC134:BD134)))</f>
        <v>0</v>
      </c>
      <c r="BM134" s="27" t="n">
        <f aca="false">MIN(AQ133*(1+J$8),MAX(BC134,$B$12-SUM(BE134:BL134)-SUM(BD134:BD134)))</f>
        <v>0</v>
      </c>
      <c r="BN134" s="27" t="n">
        <f aca="false">MIN(AR133*(1+K$8),MAX(BD134,$B$12-SUM(BE134:BM134)))</f>
        <v>0</v>
      </c>
    </row>
    <row r="135" customFormat="false" ht="15" hidden="false" customHeight="false" outlineLevel="0" collapsed="false">
      <c r="A135" s="0" t="n">
        <v>121</v>
      </c>
      <c r="B135" s="27" t="n">
        <f aca="false">ROUND(MAX(0,B134*(1+B$8)-X135),2)</f>
        <v>0</v>
      </c>
      <c r="C135" s="27" t="n">
        <f aca="false">ROUND(MAX(0,C134*(1+C$8)-Y135),2)</f>
        <v>0</v>
      </c>
      <c r="D135" s="27" t="n">
        <f aca="false">ROUND(MAX(0,D134*(1+D$8)-Z135),2)</f>
        <v>0</v>
      </c>
      <c r="E135" s="27" t="n">
        <f aca="false">ROUND(MAX(0,E134*(1+E$8)-AA135),2)</f>
        <v>0</v>
      </c>
      <c r="F135" s="27" t="n">
        <f aca="false">ROUND(MAX(0,F134*(1+F$8)-AB135),2)</f>
        <v>0</v>
      </c>
      <c r="G135" s="27" t="n">
        <f aca="false">ROUND(MAX(0,G134*(1+G$8)-AC135),2)</f>
        <v>0</v>
      </c>
      <c r="H135" s="27" t="n">
        <f aca="false">ROUND(MAX(0,H134*(1+H$8)-AD135),2)</f>
        <v>0</v>
      </c>
      <c r="I135" s="27" t="n">
        <f aca="false">ROUND(MAX(0,I134*(1+I$8)-AE135),2)</f>
        <v>0</v>
      </c>
      <c r="J135" s="27" t="n">
        <f aca="false">ROUND(MAX(0,J134*(1+J$8)-AF135),2)</f>
        <v>0</v>
      </c>
      <c r="K135" s="27" t="n">
        <f aca="false">ROUND(MAX(0,K134*(1+K$8)-AG135),2)</f>
        <v>0</v>
      </c>
      <c r="L135" s="30" t="n">
        <f aca="false">SUM(B135:K135)</f>
        <v>0</v>
      </c>
      <c r="M135" s="27" t="n">
        <f aca="false">SUMPRODUCT(B134:K134,$B$8:$K$8)</f>
        <v>0</v>
      </c>
      <c r="N135" s="27" t="n">
        <f aca="false">MIN(B134*(1+B$8),B$9)</f>
        <v>0</v>
      </c>
      <c r="O135" s="27" t="n">
        <f aca="false">MIN(C134*(1+C$8),C$9)</f>
        <v>0</v>
      </c>
      <c r="P135" s="27" t="n">
        <f aca="false">MIN(D134*(1+D$8),D$9)</f>
        <v>0</v>
      </c>
      <c r="Q135" s="27" t="n">
        <f aca="false">MIN(E134*(1+E$8),E$9)</f>
        <v>0</v>
      </c>
      <c r="R135" s="27" t="n">
        <f aca="false">MIN(F134*(1+F$8),F$9)</f>
        <v>0</v>
      </c>
      <c r="S135" s="27" t="n">
        <f aca="false">MIN(G134*(1+G$8),G$9)</f>
        <v>0</v>
      </c>
      <c r="T135" s="27" t="n">
        <f aca="false">MIN(H134*(1+H$8),H$9)</f>
        <v>0</v>
      </c>
      <c r="U135" s="27" t="n">
        <f aca="false">MIN(I134*(1+I$8),I$9)</f>
        <v>0</v>
      </c>
      <c r="V135" s="27" t="n">
        <f aca="false">MIN(J134*(1+J$8),J$9)</f>
        <v>0</v>
      </c>
      <c r="W135" s="27" t="n">
        <f aca="false">MIN(K134*(1+K$8),K$9)</f>
        <v>0</v>
      </c>
      <c r="X135" s="27" t="n">
        <f aca="false">MIN(B134*(1+B$8),MAX(N135,$B$11-SUM(O135:W135)))</f>
        <v>0</v>
      </c>
      <c r="Y135" s="27" t="n">
        <f aca="false">MIN(C134*(1+C$8),MAX(O135,$B$11-SUM(X135:X135)-SUM(P135:W135)))</f>
        <v>0</v>
      </c>
      <c r="Z135" s="27" t="n">
        <f aca="false">MIN(D134*(1+D$8),MAX(P135,$B$11-SUM(X135:Y135)-SUM(Q135:W135)))</f>
        <v>0</v>
      </c>
      <c r="AA135" s="27" t="n">
        <f aca="false">MIN(E134*(1+E$8),MAX(Q135,$B$11-SUM(X135:Z135)-SUM(R135:W135)))</f>
        <v>0</v>
      </c>
      <c r="AB135" s="27" t="n">
        <f aca="false">MIN(F134*(1+F$8),MAX(R135,$B$11-SUM(X135:AA135)-SUM(S135:W135)))</f>
        <v>0</v>
      </c>
      <c r="AC135" s="27" t="n">
        <f aca="false">MIN(G134*(1+G$8),MAX(S135,$B$11-SUM(X135:AB135)-SUM(T135:W135)))</f>
        <v>0</v>
      </c>
      <c r="AD135" s="27" t="n">
        <f aca="false">MIN(H134*(1+H$8),MAX(T135,$B$11-SUM(X135:AC135)-SUM(U135:W135)))</f>
        <v>0</v>
      </c>
      <c r="AE135" s="27" t="n">
        <f aca="false">MIN(I134*(1+I$8),MAX(U135,$B$11-SUM(X135:AD135)-SUM(V135:W135)))</f>
        <v>0</v>
      </c>
      <c r="AF135" s="27" t="n">
        <f aca="false">MIN(J134*(1+J$8),MAX(V135,$B$11-SUM(X135:AE135)-SUM(W135:W135)))</f>
        <v>0</v>
      </c>
      <c r="AG135" s="27" t="n">
        <f aca="false">MIN(K134*(1+K$8),MAX(W135,$B$11-SUM(X135:AF135)))</f>
        <v>0</v>
      </c>
      <c r="AI135" s="27" t="n">
        <f aca="false">ROUND(MAX(0,AI134*(1+B$8)-BE135),2)</f>
        <v>0</v>
      </c>
      <c r="AJ135" s="27" t="n">
        <f aca="false">ROUND(MAX(0,AJ134*(1+C$8)-BF135),2)</f>
        <v>0</v>
      </c>
      <c r="AK135" s="27" t="n">
        <f aca="false">ROUND(MAX(0,AK134*(1+D$8)-BG135),2)</f>
        <v>0</v>
      </c>
      <c r="AL135" s="27" t="n">
        <f aca="false">ROUND(MAX(0,AL134*(1+E$8)-BH135),2)</f>
        <v>0</v>
      </c>
      <c r="AM135" s="27" t="n">
        <f aca="false">ROUND(MAX(0,AM134*(1+F$8)-BI135),2)</f>
        <v>0</v>
      </c>
      <c r="AN135" s="27" t="n">
        <f aca="false">ROUND(MAX(0,AN134*(1+G$8)-BJ135),2)</f>
        <v>0</v>
      </c>
      <c r="AO135" s="27" t="n">
        <f aca="false">ROUND(MAX(0,AO134*(1+H$8)-BK135),2)</f>
        <v>0</v>
      </c>
      <c r="AP135" s="27" t="n">
        <f aca="false">ROUND(MAX(0,AP134*(1+I$8)-BL135),2)</f>
        <v>0</v>
      </c>
      <c r="AQ135" s="27" t="n">
        <f aca="false">ROUND(MAX(0,AQ134*(1+J$8)-BM135),2)</f>
        <v>0</v>
      </c>
      <c r="AR135" s="27" t="n">
        <f aca="false">ROUND(MAX(0,AR134*(1+K$8)-BN135),2)</f>
        <v>0</v>
      </c>
      <c r="AS135" s="27" t="n">
        <f aca="false">SUM(AI135:AR135)</f>
        <v>0</v>
      </c>
      <c r="AT135" s="27" t="n">
        <f aca="false">SUMPRODUCT(AI134:AR134,$B$8:$K$8)</f>
        <v>0</v>
      </c>
      <c r="AU135" s="27" t="n">
        <f aca="false">MIN(AI134*(1+B$8),B$9)</f>
        <v>0</v>
      </c>
      <c r="AV135" s="27" t="n">
        <f aca="false">MIN(AJ134*(1+C$8),C$9)</f>
        <v>0</v>
      </c>
      <c r="AW135" s="27" t="n">
        <f aca="false">MIN(AK134*(1+D$8),D$9)</f>
        <v>0</v>
      </c>
      <c r="AX135" s="27" t="n">
        <f aca="false">MIN(AL134*(1+E$8),E$9)</f>
        <v>0</v>
      </c>
      <c r="AY135" s="27" t="n">
        <f aca="false">MIN(AM134*(1+F$8),F$9)</f>
        <v>0</v>
      </c>
      <c r="AZ135" s="27" t="n">
        <f aca="false">MIN(AN134*(1+G$8),G$9)</f>
        <v>0</v>
      </c>
      <c r="BA135" s="27" t="n">
        <f aca="false">MIN(AO134*(1+H$8),H$9)</f>
        <v>0</v>
      </c>
      <c r="BB135" s="27" t="n">
        <f aca="false">MIN(AP134*(1+I$8),I$9)</f>
        <v>0</v>
      </c>
      <c r="BC135" s="27" t="n">
        <f aca="false">MIN(AQ134*(1+J$8),J$9)</f>
        <v>0</v>
      </c>
      <c r="BD135" s="27" t="n">
        <f aca="false">MIN(AR134*(1+K$8),K$9)</f>
        <v>0</v>
      </c>
      <c r="BE135" s="27" t="n">
        <f aca="false">MIN(AI134*(1+B$8),MAX(AU135,$B$12-SUM(AV135:BD135)))</f>
        <v>0</v>
      </c>
      <c r="BF135" s="27" t="n">
        <f aca="false">MIN(AJ134*(1+C$8),MAX(AV135,$B$12-SUM(BE135:BE135)-SUM(AW135:BD135)))</f>
        <v>0</v>
      </c>
      <c r="BG135" s="27" t="n">
        <f aca="false">MIN(AK134*(1+D$8),MAX(AW135,$B$12-SUM(BE135:BF135)-SUM(AX135:BD135)))</f>
        <v>0</v>
      </c>
      <c r="BH135" s="27" t="n">
        <f aca="false">MIN(AL134*(1+E$8),MAX(AX135,$B$12-SUM(BE135:BG135)-SUM(AY135:BD135)))</f>
        <v>0</v>
      </c>
      <c r="BI135" s="27" t="n">
        <f aca="false">MIN(AM134*(1+F$8),MAX(AY135,$B$12-SUM(BE135:BH135)-SUM(AZ135:BD135)))</f>
        <v>0</v>
      </c>
      <c r="BJ135" s="27" t="n">
        <f aca="false">MIN(AN134*(1+G$8),MAX(AZ135,$B$12-SUM(BE135:BI135)-SUM(BA135:BD135)))</f>
        <v>0</v>
      </c>
      <c r="BK135" s="27" t="n">
        <f aca="false">MIN(AO134*(1+H$8),MAX(BA135,$B$12-SUM(BE135:BJ135)-SUM(BB135:BD135)))</f>
        <v>0</v>
      </c>
      <c r="BL135" s="27" t="n">
        <f aca="false">MIN(AP134*(1+I$8),MAX(BB135,$B$12-SUM(BE135:BK135)-SUM(BC135:BD135)))</f>
        <v>0</v>
      </c>
      <c r="BM135" s="27" t="n">
        <f aca="false">MIN(AQ134*(1+J$8),MAX(BC135,$B$12-SUM(BE135:BL135)-SUM(BD135:BD135)))</f>
        <v>0</v>
      </c>
      <c r="BN135" s="27" t="n">
        <f aca="false">MIN(AR134*(1+K$8),MAX(BD135,$B$12-SUM(BE135:BM135)))</f>
        <v>0</v>
      </c>
    </row>
    <row r="136" customFormat="false" ht="15" hidden="false" customHeight="false" outlineLevel="0" collapsed="false">
      <c r="A136" s="0" t="n">
        <v>122</v>
      </c>
      <c r="B136" s="27" t="n">
        <f aca="false">ROUND(MAX(0,B135*(1+B$8)-X136),2)</f>
        <v>0</v>
      </c>
      <c r="C136" s="27" t="n">
        <f aca="false">ROUND(MAX(0,C135*(1+C$8)-Y136),2)</f>
        <v>0</v>
      </c>
      <c r="D136" s="27" t="n">
        <f aca="false">ROUND(MAX(0,D135*(1+D$8)-Z136),2)</f>
        <v>0</v>
      </c>
      <c r="E136" s="27" t="n">
        <f aca="false">ROUND(MAX(0,E135*(1+E$8)-AA136),2)</f>
        <v>0</v>
      </c>
      <c r="F136" s="27" t="n">
        <f aca="false">ROUND(MAX(0,F135*(1+F$8)-AB136),2)</f>
        <v>0</v>
      </c>
      <c r="G136" s="27" t="n">
        <f aca="false">ROUND(MAX(0,G135*(1+G$8)-AC136),2)</f>
        <v>0</v>
      </c>
      <c r="H136" s="27" t="n">
        <f aca="false">ROUND(MAX(0,H135*(1+H$8)-AD136),2)</f>
        <v>0</v>
      </c>
      <c r="I136" s="27" t="n">
        <f aca="false">ROUND(MAX(0,I135*(1+I$8)-AE136),2)</f>
        <v>0</v>
      </c>
      <c r="J136" s="27" t="n">
        <f aca="false">ROUND(MAX(0,J135*(1+J$8)-AF136),2)</f>
        <v>0</v>
      </c>
      <c r="K136" s="27" t="n">
        <f aca="false">ROUND(MAX(0,K135*(1+K$8)-AG136),2)</f>
        <v>0</v>
      </c>
      <c r="L136" s="30" t="n">
        <f aca="false">SUM(B136:K136)</f>
        <v>0</v>
      </c>
      <c r="M136" s="27" t="n">
        <f aca="false">SUMPRODUCT(B135:K135,$B$8:$K$8)</f>
        <v>0</v>
      </c>
      <c r="N136" s="27" t="n">
        <f aca="false">MIN(B135*(1+B$8),B$9)</f>
        <v>0</v>
      </c>
      <c r="O136" s="27" t="n">
        <f aca="false">MIN(C135*(1+C$8),C$9)</f>
        <v>0</v>
      </c>
      <c r="P136" s="27" t="n">
        <f aca="false">MIN(D135*(1+D$8),D$9)</f>
        <v>0</v>
      </c>
      <c r="Q136" s="27" t="n">
        <f aca="false">MIN(E135*(1+E$8),E$9)</f>
        <v>0</v>
      </c>
      <c r="R136" s="27" t="n">
        <f aca="false">MIN(F135*(1+F$8),F$9)</f>
        <v>0</v>
      </c>
      <c r="S136" s="27" t="n">
        <f aca="false">MIN(G135*(1+G$8),G$9)</f>
        <v>0</v>
      </c>
      <c r="T136" s="27" t="n">
        <f aca="false">MIN(H135*(1+H$8),H$9)</f>
        <v>0</v>
      </c>
      <c r="U136" s="27" t="n">
        <f aca="false">MIN(I135*(1+I$8),I$9)</f>
        <v>0</v>
      </c>
      <c r="V136" s="27" t="n">
        <f aca="false">MIN(J135*(1+J$8),J$9)</f>
        <v>0</v>
      </c>
      <c r="W136" s="27" t="n">
        <f aca="false">MIN(K135*(1+K$8),K$9)</f>
        <v>0</v>
      </c>
      <c r="X136" s="27" t="n">
        <f aca="false">MIN(B135*(1+B$8),MAX(N136,$B$11-SUM(O136:W136)))</f>
        <v>0</v>
      </c>
      <c r="Y136" s="27" t="n">
        <f aca="false">MIN(C135*(1+C$8),MAX(O136,$B$11-SUM(X136:X136)-SUM(P136:W136)))</f>
        <v>0</v>
      </c>
      <c r="Z136" s="27" t="n">
        <f aca="false">MIN(D135*(1+D$8),MAX(P136,$B$11-SUM(X136:Y136)-SUM(Q136:W136)))</f>
        <v>0</v>
      </c>
      <c r="AA136" s="27" t="n">
        <f aca="false">MIN(E135*(1+E$8),MAX(Q136,$B$11-SUM(X136:Z136)-SUM(R136:W136)))</f>
        <v>0</v>
      </c>
      <c r="AB136" s="27" t="n">
        <f aca="false">MIN(F135*(1+F$8),MAX(R136,$B$11-SUM(X136:AA136)-SUM(S136:W136)))</f>
        <v>0</v>
      </c>
      <c r="AC136" s="27" t="n">
        <f aca="false">MIN(G135*(1+G$8),MAX(S136,$B$11-SUM(X136:AB136)-SUM(T136:W136)))</f>
        <v>0</v>
      </c>
      <c r="AD136" s="27" t="n">
        <f aca="false">MIN(H135*(1+H$8),MAX(T136,$B$11-SUM(X136:AC136)-SUM(U136:W136)))</f>
        <v>0</v>
      </c>
      <c r="AE136" s="27" t="n">
        <f aca="false">MIN(I135*(1+I$8),MAX(U136,$B$11-SUM(X136:AD136)-SUM(V136:W136)))</f>
        <v>0</v>
      </c>
      <c r="AF136" s="27" t="n">
        <f aca="false">MIN(J135*(1+J$8),MAX(V136,$B$11-SUM(X136:AE136)-SUM(W136:W136)))</f>
        <v>0</v>
      </c>
      <c r="AG136" s="27" t="n">
        <f aca="false">MIN(K135*(1+K$8),MAX(W136,$B$11-SUM(X136:AF136)))</f>
        <v>0</v>
      </c>
      <c r="AI136" s="27" t="n">
        <f aca="false">ROUND(MAX(0,AI135*(1+B$8)-BE136),2)</f>
        <v>0</v>
      </c>
      <c r="AJ136" s="27" t="n">
        <f aca="false">ROUND(MAX(0,AJ135*(1+C$8)-BF136),2)</f>
        <v>0</v>
      </c>
      <c r="AK136" s="27" t="n">
        <f aca="false">ROUND(MAX(0,AK135*(1+D$8)-BG136),2)</f>
        <v>0</v>
      </c>
      <c r="AL136" s="27" t="n">
        <f aca="false">ROUND(MAX(0,AL135*(1+E$8)-BH136),2)</f>
        <v>0</v>
      </c>
      <c r="AM136" s="27" t="n">
        <f aca="false">ROUND(MAX(0,AM135*(1+F$8)-BI136),2)</f>
        <v>0</v>
      </c>
      <c r="AN136" s="27" t="n">
        <f aca="false">ROUND(MAX(0,AN135*(1+G$8)-BJ136),2)</f>
        <v>0</v>
      </c>
      <c r="AO136" s="27" t="n">
        <f aca="false">ROUND(MAX(0,AO135*(1+H$8)-BK136),2)</f>
        <v>0</v>
      </c>
      <c r="AP136" s="27" t="n">
        <f aca="false">ROUND(MAX(0,AP135*(1+I$8)-BL136),2)</f>
        <v>0</v>
      </c>
      <c r="AQ136" s="27" t="n">
        <f aca="false">ROUND(MAX(0,AQ135*(1+J$8)-BM136),2)</f>
        <v>0</v>
      </c>
      <c r="AR136" s="27" t="n">
        <f aca="false">ROUND(MAX(0,AR135*(1+K$8)-BN136),2)</f>
        <v>0</v>
      </c>
      <c r="AS136" s="27" t="n">
        <f aca="false">SUM(AI136:AR136)</f>
        <v>0</v>
      </c>
      <c r="AT136" s="27" t="n">
        <f aca="false">SUMPRODUCT(AI135:AR135,$B$8:$K$8)</f>
        <v>0</v>
      </c>
      <c r="AU136" s="27" t="n">
        <f aca="false">MIN(AI135*(1+B$8),B$9)</f>
        <v>0</v>
      </c>
      <c r="AV136" s="27" t="n">
        <f aca="false">MIN(AJ135*(1+C$8),C$9)</f>
        <v>0</v>
      </c>
      <c r="AW136" s="27" t="n">
        <f aca="false">MIN(AK135*(1+D$8),D$9)</f>
        <v>0</v>
      </c>
      <c r="AX136" s="27" t="n">
        <f aca="false">MIN(AL135*(1+E$8),E$9)</f>
        <v>0</v>
      </c>
      <c r="AY136" s="27" t="n">
        <f aca="false">MIN(AM135*(1+F$8),F$9)</f>
        <v>0</v>
      </c>
      <c r="AZ136" s="27" t="n">
        <f aca="false">MIN(AN135*(1+G$8),G$9)</f>
        <v>0</v>
      </c>
      <c r="BA136" s="27" t="n">
        <f aca="false">MIN(AO135*(1+H$8),H$9)</f>
        <v>0</v>
      </c>
      <c r="BB136" s="27" t="n">
        <f aca="false">MIN(AP135*(1+I$8),I$9)</f>
        <v>0</v>
      </c>
      <c r="BC136" s="27" t="n">
        <f aca="false">MIN(AQ135*(1+J$8),J$9)</f>
        <v>0</v>
      </c>
      <c r="BD136" s="27" t="n">
        <f aca="false">MIN(AR135*(1+K$8),K$9)</f>
        <v>0</v>
      </c>
      <c r="BE136" s="27" t="n">
        <f aca="false">MIN(AI135*(1+B$8),MAX(AU136,$B$12-SUM(AV136:BD136)))</f>
        <v>0</v>
      </c>
      <c r="BF136" s="27" t="n">
        <f aca="false">MIN(AJ135*(1+C$8),MAX(AV136,$B$12-SUM(BE136:BE136)-SUM(AW136:BD136)))</f>
        <v>0</v>
      </c>
      <c r="BG136" s="27" t="n">
        <f aca="false">MIN(AK135*(1+D$8),MAX(AW136,$B$12-SUM(BE136:BF136)-SUM(AX136:BD136)))</f>
        <v>0</v>
      </c>
      <c r="BH136" s="27" t="n">
        <f aca="false">MIN(AL135*(1+E$8),MAX(AX136,$B$12-SUM(BE136:BG136)-SUM(AY136:BD136)))</f>
        <v>0</v>
      </c>
      <c r="BI136" s="27" t="n">
        <f aca="false">MIN(AM135*(1+F$8),MAX(AY136,$B$12-SUM(BE136:BH136)-SUM(AZ136:BD136)))</f>
        <v>0</v>
      </c>
      <c r="BJ136" s="27" t="n">
        <f aca="false">MIN(AN135*(1+G$8),MAX(AZ136,$B$12-SUM(BE136:BI136)-SUM(BA136:BD136)))</f>
        <v>0</v>
      </c>
      <c r="BK136" s="27" t="n">
        <f aca="false">MIN(AO135*(1+H$8),MAX(BA136,$B$12-SUM(BE136:BJ136)-SUM(BB136:BD136)))</f>
        <v>0</v>
      </c>
      <c r="BL136" s="27" t="n">
        <f aca="false">MIN(AP135*(1+I$8),MAX(BB136,$B$12-SUM(BE136:BK136)-SUM(BC136:BD136)))</f>
        <v>0</v>
      </c>
      <c r="BM136" s="27" t="n">
        <f aca="false">MIN(AQ135*(1+J$8),MAX(BC136,$B$12-SUM(BE136:BL136)-SUM(BD136:BD136)))</f>
        <v>0</v>
      </c>
      <c r="BN136" s="27" t="n">
        <f aca="false">MIN(AR135*(1+K$8),MAX(BD136,$B$12-SUM(BE136:BM136)))</f>
        <v>0</v>
      </c>
    </row>
    <row r="137" customFormat="false" ht="15" hidden="false" customHeight="false" outlineLevel="0" collapsed="false">
      <c r="A137" s="0" t="n">
        <v>123</v>
      </c>
      <c r="B137" s="27" t="n">
        <f aca="false">ROUND(MAX(0,B136*(1+B$8)-X137),2)</f>
        <v>0</v>
      </c>
      <c r="C137" s="27" t="n">
        <f aca="false">ROUND(MAX(0,C136*(1+C$8)-Y137),2)</f>
        <v>0</v>
      </c>
      <c r="D137" s="27" t="n">
        <f aca="false">ROUND(MAX(0,D136*(1+D$8)-Z137),2)</f>
        <v>0</v>
      </c>
      <c r="E137" s="27" t="n">
        <f aca="false">ROUND(MAX(0,E136*(1+E$8)-AA137),2)</f>
        <v>0</v>
      </c>
      <c r="F137" s="27" t="n">
        <f aca="false">ROUND(MAX(0,F136*(1+F$8)-AB137),2)</f>
        <v>0</v>
      </c>
      <c r="G137" s="27" t="n">
        <f aca="false">ROUND(MAX(0,G136*(1+G$8)-AC137),2)</f>
        <v>0</v>
      </c>
      <c r="H137" s="27" t="n">
        <f aca="false">ROUND(MAX(0,H136*(1+H$8)-AD137),2)</f>
        <v>0</v>
      </c>
      <c r="I137" s="27" t="n">
        <f aca="false">ROUND(MAX(0,I136*(1+I$8)-AE137),2)</f>
        <v>0</v>
      </c>
      <c r="J137" s="27" t="n">
        <f aca="false">ROUND(MAX(0,J136*(1+J$8)-AF137),2)</f>
        <v>0</v>
      </c>
      <c r="K137" s="27" t="n">
        <f aca="false">ROUND(MAX(0,K136*(1+K$8)-AG137),2)</f>
        <v>0</v>
      </c>
      <c r="L137" s="30" t="n">
        <f aca="false">SUM(B137:K137)</f>
        <v>0</v>
      </c>
      <c r="M137" s="27" t="n">
        <f aca="false">SUMPRODUCT(B136:K136,$B$8:$K$8)</f>
        <v>0</v>
      </c>
      <c r="N137" s="27" t="n">
        <f aca="false">MIN(B136*(1+B$8),B$9)</f>
        <v>0</v>
      </c>
      <c r="O137" s="27" t="n">
        <f aca="false">MIN(C136*(1+C$8),C$9)</f>
        <v>0</v>
      </c>
      <c r="P137" s="27" t="n">
        <f aca="false">MIN(D136*(1+D$8),D$9)</f>
        <v>0</v>
      </c>
      <c r="Q137" s="27" t="n">
        <f aca="false">MIN(E136*(1+E$8),E$9)</f>
        <v>0</v>
      </c>
      <c r="R137" s="27" t="n">
        <f aca="false">MIN(F136*(1+F$8),F$9)</f>
        <v>0</v>
      </c>
      <c r="S137" s="27" t="n">
        <f aca="false">MIN(G136*(1+G$8),G$9)</f>
        <v>0</v>
      </c>
      <c r="T137" s="27" t="n">
        <f aca="false">MIN(H136*(1+H$8),H$9)</f>
        <v>0</v>
      </c>
      <c r="U137" s="27" t="n">
        <f aca="false">MIN(I136*(1+I$8),I$9)</f>
        <v>0</v>
      </c>
      <c r="V137" s="27" t="n">
        <f aca="false">MIN(J136*(1+J$8),J$9)</f>
        <v>0</v>
      </c>
      <c r="W137" s="27" t="n">
        <f aca="false">MIN(K136*(1+K$8),K$9)</f>
        <v>0</v>
      </c>
      <c r="X137" s="27" t="n">
        <f aca="false">MIN(B136*(1+B$8),MAX(N137,$B$11-SUM(O137:W137)))</f>
        <v>0</v>
      </c>
      <c r="Y137" s="27" t="n">
        <f aca="false">MIN(C136*(1+C$8),MAX(O137,$B$11-SUM(X137:X137)-SUM(P137:W137)))</f>
        <v>0</v>
      </c>
      <c r="Z137" s="27" t="n">
        <f aca="false">MIN(D136*(1+D$8),MAX(P137,$B$11-SUM(X137:Y137)-SUM(Q137:W137)))</f>
        <v>0</v>
      </c>
      <c r="AA137" s="27" t="n">
        <f aca="false">MIN(E136*(1+E$8),MAX(Q137,$B$11-SUM(X137:Z137)-SUM(R137:W137)))</f>
        <v>0</v>
      </c>
      <c r="AB137" s="27" t="n">
        <f aca="false">MIN(F136*(1+F$8),MAX(R137,$B$11-SUM(X137:AA137)-SUM(S137:W137)))</f>
        <v>0</v>
      </c>
      <c r="AC137" s="27" t="n">
        <f aca="false">MIN(G136*(1+G$8),MAX(S137,$B$11-SUM(X137:AB137)-SUM(T137:W137)))</f>
        <v>0</v>
      </c>
      <c r="AD137" s="27" t="n">
        <f aca="false">MIN(H136*(1+H$8),MAX(T137,$B$11-SUM(X137:AC137)-SUM(U137:W137)))</f>
        <v>0</v>
      </c>
      <c r="AE137" s="27" t="n">
        <f aca="false">MIN(I136*(1+I$8),MAX(U137,$B$11-SUM(X137:AD137)-SUM(V137:W137)))</f>
        <v>0</v>
      </c>
      <c r="AF137" s="27" t="n">
        <f aca="false">MIN(J136*(1+J$8),MAX(V137,$B$11-SUM(X137:AE137)-SUM(W137:W137)))</f>
        <v>0</v>
      </c>
      <c r="AG137" s="27" t="n">
        <f aca="false">MIN(K136*(1+K$8),MAX(W137,$B$11-SUM(X137:AF137)))</f>
        <v>0</v>
      </c>
      <c r="AI137" s="27" t="n">
        <f aca="false">ROUND(MAX(0,AI136*(1+B$8)-BE137),2)</f>
        <v>0</v>
      </c>
      <c r="AJ137" s="27" t="n">
        <f aca="false">ROUND(MAX(0,AJ136*(1+C$8)-BF137),2)</f>
        <v>0</v>
      </c>
      <c r="AK137" s="27" t="n">
        <f aca="false">ROUND(MAX(0,AK136*(1+D$8)-BG137),2)</f>
        <v>0</v>
      </c>
      <c r="AL137" s="27" t="n">
        <f aca="false">ROUND(MAX(0,AL136*(1+E$8)-BH137),2)</f>
        <v>0</v>
      </c>
      <c r="AM137" s="27" t="n">
        <f aca="false">ROUND(MAX(0,AM136*(1+F$8)-BI137),2)</f>
        <v>0</v>
      </c>
      <c r="AN137" s="27" t="n">
        <f aca="false">ROUND(MAX(0,AN136*(1+G$8)-BJ137),2)</f>
        <v>0</v>
      </c>
      <c r="AO137" s="27" t="n">
        <f aca="false">ROUND(MAX(0,AO136*(1+H$8)-BK137),2)</f>
        <v>0</v>
      </c>
      <c r="AP137" s="27" t="n">
        <f aca="false">ROUND(MAX(0,AP136*(1+I$8)-BL137),2)</f>
        <v>0</v>
      </c>
      <c r="AQ137" s="27" t="n">
        <f aca="false">ROUND(MAX(0,AQ136*(1+J$8)-BM137),2)</f>
        <v>0</v>
      </c>
      <c r="AR137" s="27" t="n">
        <f aca="false">ROUND(MAX(0,AR136*(1+K$8)-BN137),2)</f>
        <v>0</v>
      </c>
      <c r="AS137" s="27" t="n">
        <f aca="false">SUM(AI137:AR137)</f>
        <v>0</v>
      </c>
      <c r="AT137" s="27" t="n">
        <f aca="false">SUMPRODUCT(AI136:AR136,$B$8:$K$8)</f>
        <v>0</v>
      </c>
      <c r="AU137" s="27" t="n">
        <f aca="false">MIN(AI136*(1+B$8),B$9)</f>
        <v>0</v>
      </c>
      <c r="AV137" s="27" t="n">
        <f aca="false">MIN(AJ136*(1+C$8),C$9)</f>
        <v>0</v>
      </c>
      <c r="AW137" s="27" t="n">
        <f aca="false">MIN(AK136*(1+D$8),D$9)</f>
        <v>0</v>
      </c>
      <c r="AX137" s="27" t="n">
        <f aca="false">MIN(AL136*(1+E$8),E$9)</f>
        <v>0</v>
      </c>
      <c r="AY137" s="27" t="n">
        <f aca="false">MIN(AM136*(1+F$8),F$9)</f>
        <v>0</v>
      </c>
      <c r="AZ137" s="27" t="n">
        <f aca="false">MIN(AN136*(1+G$8),G$9)</f>
        <v>0</v>
      </c>
      <c r="BA137" s="27" t="n">
        <f aca="false">MIN(AO136*(1+H$8),H$9)</f>
        <v>0</v>
      </c>
      <c r="BB137" s="27" t="n">
        <f aca="false">MIN(AP136*(1+I$8),I$9)</f>
        <v>0</v>
      </c>
      <c r="BC137" s="27" t="n">
        <f aca="false">MIN(AQ136*(1+J$8),J$9)</f>
        <v>0</v>
      </c>
      <c r="BD137" s="27" t="n">
        <f aca="false">MIN(AR136*(1+K$8),K$9)</f>
        <v>0</v>
      </c>
      <c r="BE137" s="27" t="n">
        <f aca="false">MIN(AI136*(1+B$8),MAX(AU137,$B$12-SUM(AV137:BD137)))</f>
        <v>0</v>
      </c>
      <c r="BF137" s="27" t="n">
        <f aca="false">MIN(AJ136*(1+C$8),MAX(AV137,$B$12-SUM(BE137:BE137)-SUM(AW137:BD137)))</f>
        <v>0</v>
      </c>
      <c r="BG137" s="27" t="n">
        <f aca="false">MIN(AK136*(1+D$8),MAX(AW137,$B$12-SUM(BE137:BF137)-SUM(AX137:BD137)))</f>
        <v>0</v>
      </c>
      <c r="BH137" s="27" t="n">
        <f aca="false">MIN(AL136*(1+E$8),MAX(AX137,$B$12-SUM(BE137:BG137)-SUM(AY137:BD137)))</f>
        <v>0</v>
      </c>
      <c r="BI137" s="27" t="n">
        <f aca="false">MIN(AM136*(1+F$8),MAX(AY137,$B$12-SUM(BE137:BH137)-SUM(AZ137:BD137)))</f>
        <v>0</v>
      </c>
      <c r="BJ137" s="27" t="n">
        <f aca="false">MIN(AN136*(1+G$8),MAX(AZ137,$B$12-SUM(BE137:BI137)-SUM(BA137:BD137)))</f>
        <v>0</v>
      </c>
      <c r="BK137" s="27" t="n">
        <f aca="false">MIN(AO136*(1+H$8),MAX(BA137,$B$12-SUM(BE137:BJ137)-SUM(BB137:BD137)))</f>
        <v>0</v>
      </c>
      <c r="BL137" s="27" t="n">
        <f aca="false">MIN(AP136*(1+I$8),MAX(BB137,$B$12-SUM(BE137:BK137)-SUM(BC137:BD137)))</f>
        <v>0</v>
      </c>
      <c r="BM137" s="27" t="n">
        <f aca="false">MIN(AQ136*(1+J$8),MAX(BC137,$B$12-SUM(BE137:BL137)-SUM(BD137:BD137)))</f>
        <v>0</v>
      </c>
      <c r="BN137" s="27" t="n">
        <f aca="false">MIN(AR136*(1+K$8),MAX(BD137,$B$12-SUM(BE137:BM137)))</f>
        <v>0</v>
      </c>
    </row>
    <row r="138" customFormat="false" ht="15" hidden="false" customHeight="false" outlineLevel="0" collapsed="false">
      <c r="A138" s="0" t="n">
        <v>124</v>
      </c>
      <c r="B138" s="27" t="n">
        <f aca="false">ROUND(MAX(0,B137*(1+B$8)-X138),2)</f>
        <v>0</v>
      </c>
      <c r="C138" s="27" t="n">
        <f aca="false">ROUND(MAX(0,C137*(1+C$8)-Y138),2)</f>
        <v>0</v>
      </c>
      <c r="D138" s="27" t="n">
        <f aca="false">ROUND(MAX(0,D137*(1+D$8)-Z138),2)</f>
        <v>0</v>
      </c>
      <c r="E138" s="27" t="n">
        <f aca="false">ROUND(MAX(0,E137*(1+E$8)-AA138),2)</f>
        <v>0</v>
      </c>
      <c r="F138" s="27" t="n">
        <f aca="false">ROUND(MAX(0,F137*(1+F$8)-AB138),2)</f>
        <v>0</v>
      </c>
      <c r="G138" s="27" t="n">
        <f aca="false">ROUND(MAX(0,G137*(1+G$8)-AC138),2)</f>
        <v>0</v>
      </c>
      <c r="H138" s="27" t="n">
        <f aca="false">ROUND(MAX(0,H137*(1+H$8)-AD138),2)</f>
        <v>0</v>
      </c>
      <c r="I138" s="27" t="n">
        <f aca="false">ROUND(MAX(0,I137*(1+I$8)-AE138),2)</f>
        <v>0</v>
      </c>
      <c r="J138" s="27" t="n">
        <f aca="false">ROUND(MAX(0,J137*(1+J$8)-AF138),2)</f>
        <v>0</v>
      </c>
      <c r="K138" s="27" t="n">
        <f aca="false">ROUND(MAX(0,K137*(1+K$8)-AG138),2)</f>
        <v>0</v>
      </c>
      <c r="L138" s="30" t="n">
        <f aca="false">SUM(B138:K138)</f>
        <v>0</v>
      </c>
      <c r="M138" s="27" t="n">
        <f aca="false">SUMPRODUCT(B137:K137,$B$8:$K$8)</f>
        <v>0</v>
      </c>
      <c r="N138" s="27" t="n">
        <f aca="false">MIN(B137*(1+B$8),B$9)</f>
        <v>0</v>
      </c>
      <c r="O138" s="27" t="n">
        <f aca="false">MIN(C137*(1+C$8),C$9)</f>
        <v>0</v>
      </c>
      <c r="P138" s="27" t="n">
        <f aca="false">MIN(D137*(1+D$8),D$9)</f>
        <v>0</v>
      </c>
      <c r="Q138" s="27" t="n">
        <f aca="false">MIN(E137*(1+E$8),E$9)</f>
        <v>0</v>
      </c>
      <c r="R138" s="27" t="n">
        <f aca="false">MIN(F137*(1+F$8),F$9)</f>
        <v>0</v>
      </c>
      <c r="S138" s="27" t="n">
        <f aca="false">MIN(G137*(1+G$8),G$9)</f>
        <v>0</v>
      </c>
      <c r="T138" s="27" t="n">
        <f aca="false">MIN(H137*(1+H$8),H$9)</f>
        <v>0</v>
      </c>
      <c r="U138" s="27" t="n">
        <f aca="false">MIN(I137*(1+I$8),I$9)</f>
        <v>0</v>
      </c>
      <c r="V138" s="27" t="n">
        <f aca="false">MIN(J137*(1+J$8),J$9)</f>
        <v>0</v>
      </c>
      <c r="W138" s="27" t="n">
        <f aca="false">MIN(K137*(1+K$8),K$9)</f>
        <v>0</v>
      </c>
      <c r="X138" s="27" t="n">
        <f aca="false">MIN(B137*(1+B$8),MAX(N138,$B$11-SUM(O138:W138)))</f>
        <v>0</v>
      </c>
      <c r="Y138" s="27" t="n">
        <f aca="false">MIN(C137*(1+C$8),MAX(O138,$B$11-SUM(X138:X138)-SUM(P138:W138)))</f>
        <v>0</v>
      </c>
      <c r="Z138" s="27" t="n">
        <f aca="false">MIN(D137*(1+D$8),MAX(P138,$B$11-SUM(X138:Y138)-SUM(Q138:W138)))</f>
        <v>0</v>
      </c>
      <c r="AA138" s="27" t="n">
        <f aca="false">MIN(E137*(1+E$8),MAX(Q138,$B$11-SUM(X138:Z138)-SUM(R138:W138)))</f>
        <v>0</v>
      </c>
      <c r="AB138" s="27" t="n">
        <f aca="false">MIN(F137*(1+F$8),MAX(R138,$B$11-SUM(X138:AA138)-SUM(S138:W138)))</f>
        <v>0</v>
      </c>
      <c r="AC138" s="27" t="n">
        <f aca="false">MIN(G137*(1+G$8),MAX(S138,$B$11-SUM(X138:AB138)-SUM(T138:W138)))</f>
        <v>0</v>
      </c>
      <c r="AD138" s="27" t="n">
        <f aca="false">MIN(H137*(1+H$8),MAX(T138,$B$11-SUM(X138:AC138)-SUM(U138:W138)))</f>
        <v>0</v>
      </c>
      <c r="AE138" s="27" t="n">
        <f aca="false">MIN(I137*(1+I$8),MAX(U138,$B$11-SUM(X138:AD138)-SUM(V138:W138)))</f>
        <v>0</v>
      </c>
      <c r="AF138" s="27" t="n">
        <f aca="false">MIN(J137*(1+J$8),MAX(V138,$B$11-SUM(X138:AE138)-SUM(W138:W138)))</f>
        <v>0</v>
      </c>
      <c r="AG138" s="27" t="n">
        <f aca="false">MIN(K137*(1+K$8),MAX(W138,$B$11-SUM(X138:AF138)))</f>
        <v>0</v>
      </c>
      <c r="AI138" s="27" t="n">
        <f aca="false">ROUND(MAX(0,AI137*(1+B$8)-BE138),2)</f>
        <v>0</v>
      </c>
      <c r="AJ138" s="27" t="n">
        <f aca="false">ROUND(MAX(0,AJ137*(1+C$8)-BF138),2)</f>
        <v>0</v>
      </c>
      <c r="AK138" s="27" t="n">
        <f aca="false">ROUND(MAX(0,AK137*(1+D$8)-BG138),2)</f>
        <v>0</v>
      </c>
      <c r="AL138" s="27" t="n">
        <f aca="false">ROUND(MAX(0,AL137*(1+E$8)-BH138),2)</f>
        <v>0</v>
      </c>
      <c r="AM138" s="27" t="n">
        <f aca="false">ROUND(MAX(0,AM137*(1+F$8)-BI138),2)</f>
        <v>0</v>
      </c>
      <c r="AN138" s="27" t="n">
        <f aca="false">ROUND(MAX(0,AN137*(1+G$8)-BJ138),2)</f>
        <v>0</v>
      </c>
      <c r="AO138" s="27" t="n">
        <f aca="false">ROUND(MAX(0,AO137*(1+H$8)-BK138),2)</f>
        <v>0</v>
      </c>
      <c r="AP138" s="27" t="n">
        <f aca="false">ROUND(MAX(0,AP137*(1+I$8)-BL138),2)</f>
        <v>0</v>
      </c>
      <c r="AQ138" s="27" t="n">
        <f aca="false">ROUND(MAX(0,AQ137*(1+J$8)-BM138),2)</f>
        <v>0</v>
      </c>
      <c r="AR138" s="27" t="n">
        <f aca="false">ROUND(MAX(0,AR137*(1+K$8)-BN138),2)</f>
        <v>0</v>
      </c>
      <c r="AS138" s="27" t="n">
        <f aca="false">SUM(AI138:AR138)</f>
        <v>0</v>
      </c>
      <c r="AT138" s="27" t="n">
        <f aca="false">SUMPRODUCT(AI137:AR137,$B$8:$K$8)</f>
        <v>0</v>
      </c>
      <c r="AU138" s="27" t="n">
        <f aca="false">MIN(AI137*(1+B$8),B$9)</f>
        <v>0</v>
      </c>
      <c r="AV138" s="27" t="n">
        <f aca="false">MIN(AJ137*(1+C$8),C$9)</f>
        <v>0</v>
      </c>
      <c r="AW138" s="27" t="n">
        <f aca="false">MIN(AK137*(1+D$8),D$9)</f>
        <v>0</v>
      </c>
      <c r="AX138" s="27" t="n">
        <f aca="false">MIN(AL137*(1+E$8),E$9)</f>
        <v>0</v>
      </c>
      <c r="AY138" s="27" t="n">
        <f aca="false">MIN(AM137*(1+F$8),F$9)</f>
        <v>0</v>
      </c>
      <c r="AZ138" s="27" t="n">
        <f aca="false">MIN(AN137*(1+G$8),G$9)</f>
        <v>0</v>
      </c>
      <c r="BA138" s="27" t="n">
        <f aca="false">MIN(AO137*(1+H$8),H$9)</f>
        <v>0</v>
      </c>
      <c r="BB138" s="27" t="n">
        <f aca="false">MIN(AP137*(1+I$8),I$9)</f>
        <v>0</v>
      </c>
      <c r="BC138" s="27" t="n">
        <f aca="false">MIN(AQ137*(1+J$8),J$9)</f>
        <v>0</v>
      </c>
      <c r="BD138" s="27" t="n">
        <f aca="false">MIN(AR137*(1+K$8),K$9)</f>
        <v>0</v>
      </c>
      <c r="BE138" s="27" t="n">
        <f aca="false">MIN(AI137*(1+B$8),MAX(AU138,$B$12-SUM(AV138:BD138)))</f>
        <v>0</v>
      </c>
      <c r="BF138" s="27" t="n">
        <f aca="false">MIN(AJ137*(1+C$8),MAX(AV138,$B$12-SUM(BE138:BE138)-SUM(AW138:BD138)))</f>
        <v>0</v>
      </c>
      <c r="BG138" s="27" t="n">
        <f aca="false">MIN(AK137*(1+D$8),MAX(AW138,$B$12-SUM(BE138:BF138)-SUM(AX138:BD138)))</f>
        <v>0</v>
      </c>
      <c r="BH138" s="27" t="n">
        <f aca="false">MIN(AL137*(1+E$8),MAX(AX138,$B$12-SUM(BE138:BG138)-SUM(AY138:BD138)))</f>
        <v>0</v>
      </c>
      <c r="BI138" s="27" t="n">
        <f aca="false">MIN(AM137*(1+F$8),MAX(AY138,$B$12-SUM(BE138:BH138)-SUM(AZ138:BD138)))</f>
        <v>0</v>
      </c>
      <c r="BJ138" s="27" t="n">
        <f aca="false">MIN(AN137*(1+G$8),MAX(AZ138,$B$12-SUM(BE138:BI138)-SUM(BA138:BD138)))</f>
        <v>0</v>
      </c>
      <c r="BK138" s="27" t="n">
        <f aca="false">MIN(AO137*(1+H$8),MAX(BA138,$B$12-SUM(BE138:BJ138)-SUM(BB138:BD138)))</f>
        <v>0</v>
      </c>
      <c r="BL138" s="27" t="n">
        <f aca="false">MIN(AP137*(1+I$8),MAX(BB138,$B$12-SUM(BE138:BK138)-SUM(BC138:BD138)))</f>
        <v>0</v>
      </c>
      <c r="BM138" s="27" t="n">
        <f aca="false">MIN(AQ137*(1+J$8),MAX(BC138,$B$12-SUM(BE138:BL138)-SUM(BD138:BD138)))</f>
        <v>0</v>
      </c>
      <c r="BN138" s="27" t="n">
        <f aca="false">MIN(AR137*(1+K$8),MAX(BD138,$B$12-SUM(BE138:BM138)))</f>
        <v>0</v>
      </c>
    </row>
    <row r="139" customFormat="false" ht="15" hidden="false" customHeight="false" outlineLevel="0" collapsed="false">
      <c r="A139" s="0" t="n">
        <v>125</v>
      </c>
      <c r="B139" s="27" t="n">
        <f aca="false">ROUND(MAX(0,B138*(1+B$8)-X139),2)</f>
        <v>0</v>
      </c>
      <c r="C139" s="27" t="n">
        <f aca="false">ROUND(MAX(0,C138*(1+C$8)-Y139),2)</f>
        <v>0</v>
      </c>
      <c r="D139" s="27" t="n">
        <f aca="false">ROUND(MAX(0,D138*(1+D$8)-Z139),2)</f>
        <v>0</v>
      </c>
      <c r="E139" s="27" t="n">
        <f aca="false">ROUND(MAX(0,E138*(1+E$8)-AA139),2)</f>
        <v>0</v>
      </c>
      <c r="F139" s="27" t="n">
        <f aca="false">ROUND(MAX(0,F138*(1+F$8)-AB139),2)</f>
        <v>0</v>
      </c>
      <c r="G139" s="27" t="n">
        <f aca="false">ROUND(MAX(0,G138*(1+G$8)-AC139),2)</f>
        <v>0</v>
      </c>
      <c r="H139" s="27" t="n">
        <f aca="false">ROUND(MAX(0,H138*(1+H$8)-AD139),2)</f>
        <v>0</v>
      </c>
      <c r="I139" s="27" t="n">
        <f aca="false">ROUND(MAX(0,I138*(1+I$8)-AE139),2)</f>
        <v>0</v>
      </c>
      <c r="J139" s="27" t="n">
        <f aca="false">ROUND(MAX(0,J138*(1+J$8)-AF139),2)</f>
        <v>0</v>
      </c>
      <c r="K139" s="27" t="n">
        <f aca="false">ROUND(MAX(0,K138*(1+K$8)-AG139),2)</f>
        <v>0</v>
      </c>
      <c r="L139" s="30" t="n">
        <f aca="false">SUM(B139:K139)</f>
        <v>0</v>
      </c>
      <c r="M139" s="27" t="n">
        <f aca="false">SUMPRODUCT(B138:K138,$B$8:$K$8)</f>
        <v>0</v>
      </c>
      <c r="N139" s="27" t="n">
        <f aca="false">MIN(B138*(1+B$8),B$9)</f>
        <v>0</v>
      </c>
      <c r="O139" s="27" t="n">
        <f aca="false">MIN(C138*(1+C$8),C$9)</f>
        <v>0</v>
      </c>
      <c r="P139" s="27" t="n">
        <f aca="false">MIN(D138*(1+D$8),D$9)</f>
        <v>0</v>
      </c>
      <c r="Q139" s="27" t="n">
        <f aca="false">MIN(E138*(1+E$8),E$9)</f>
        <v>0</v>
      </c>
      <c r="R139" s="27" t="n">
        <f aca="false">MIN(F138*(1+F$8),F$9)</f>
        <v>0</v>
      </c>
      <c r="S139" s="27" t="n">
        <f aca="false">MIN(G138*(1+G$8),G$9)</f>
        <v>0</v>
      </c>
      <c r="T139" s="27" t="n">
        <f aca="false">MIN(H138*(1+H$8),H$9)</f>
        <v>0</v>
      </c>
      <c r="U139" s="27" t="n">
        <f aca="false">MIN(I138*(1+I$8),I$9)</f>
        <v>0</v>
      </c>
      <c r="V139" s="27" t="n">
        <f aca="false">MIN(J138*(1+J$8),J$9)</f>
        <v>0</v>
      </c>
      <c r="W139" s="27" t="n">
        <f aca="false">MIN(K138*(1+K$8),K$9)</f>
        <v>0</v>
      </c>
      <c r="X139" s="27" t="n">
        <f aca="false">MIN(B138*(1+B$8),MAX(N139,$B$11-SUM(O139:W139)))</f>
        <v>0</v>
      </c>
      <c r="Y139" s="27" t="n">
        <f aca="false">MIN(C138*(1+C$8),MAX(O139,$B$11-SUM(X139:X139)-SUM(P139:W139)))</f>
        <v>0</v>
      </c>
      <c r="Z139" s="27" t="n">
        <f aca="false">MIN(D138*(1+D$8),MAX(P139,$B$11-SUM(X139:Y139)-SUM(Q139:W139)))</f>
        <v>0</v>
      </c>
      <c r="AA139" s="27" t="n">
        <f aca="false">MIN(E138*(1+E$8),MAX(Q139,$B$11-SUM(X139:Z139)-SUM(R139:W139)))</f>
        <v>0</v>
      </c>
      <c r="AB139" s="27" t="n">
        <f aca="false">MIN(F138*(1+F$8),MAX(R139,$B$11-SUM(X139:AA139)-SUM(S139:W139)))</f>
        <v>0</v>
      </c>
      <c r="AC139" s="27" t="n">
        <f aca="false">MIN(G138*(1+G$8),MAX(S139,$B$11-SUM(X139:AB139)-SUM(T139:W139)))</f>
        <v>0</v>
      </c>
      <c r="AD139" s="27" t="n">
        <f aca="false">MIN(H138*(1+H$8),MAX(T139,$B$11-SUM(X139:AC139)-SUM(U139:W139)))</f>
        <v>0</v>
      </c>
      <c r="AE139" s="27" t="n">
        <f aca="false">MIN(I138*(1+I$8),MAX(U139,$B$11-SUM(X139:AD139)-SUM(V139:W139)))</f>
        <v>0</v>
      </c>
      <c r="AF139" s="27" t="n">
        <f aca="false">MIN(J138*(1+J$8),MAX(V139,$B$11-SUM(X139:AE139)-SUM(W139:W139)))</f>
        <v>0</v>
      </c>
      <c r="AG139" s="27" t="n">
        <f aca="false">MIN(K138*(1+K$8),MAX(W139,$B$11-SUM(X139:AF139)))</f>
        <v>0</v>
      </c>
      <c r="AI139" s="27" t="n">
        <f aca="false">ROUND(MAX(0,AI138*(1+B$8)-BE139),2)</f>
        <v>0</v>
      </c>
      <c r="AJ139" s="27" t="n">
        <f aca="false">ROUND(MAX(0,AJ138*(1+C$8)-BF139),2)</f>
        <v>0</v>
      </c>
      <c r="AK139" s="27" t="n">
        <f aca="false">ROUND(MAX(0,AK138*(1+D$8)-BG139),2)</f>
        <v>0</v>
      </c>
      <c r="AL139" s="27" t="n">
        <f aca="false">ROUND(MAX(0,AL138*(1+E$8)-BH139),2)</f>
        <v>0</v>
      </c>
      <c r="AM139" s="27" t="n">
        <f aca="false">ROUND(MAX(0,AM138*(1+F$8)-BI139),2)</f>
        <v>0</v>
      </c>
      <c r="AN139" s="27" t="n">
        <f aca="false">ROUND(MAX(0,AN138*(1+G$8)-BJ139),2)</f>
        <v>0</v>
      </c>
      <c r="AO139" s="27" t="n">
        <f aca="false">ROUND(MAX(0,AO138*(1+H$8)-BK139),2)</f>
        <v>0</v>
      </c>
      <c r="AP139" s="27" t="n">
        <f aca="false">ROUND(MAX(0,AP138*(1+I$8)-BL139),2)</f>
        <v>0</v>
      </c>
      <c r="AQ139" s="27" t="n">
        <f aca="false">ROUND(MAX(0,AQ138*(1+J$8)-BM139),2)</f>
        <v>0</v>
      </c>
      <c r="AR139" s="27" t="n">
        <f aca="false">ROUND(MAX(0,AR138*(1+K$8)-BN139),2)</f>
        <v>0</v>
      </c>
      <c r="AS139" s="27" t="n">
        <f aca="false">SUM(AI139:AR139)</f>
        <v>0</v>
      </c>
      <c r="AT139" s="27" t="n">
        <f aca="false">SUMPRODUCT(AI138:AR138,$B$8:$K$8)</f>
        <v>0</v>
      </c>
      <c r="AU139" s="27" t="n">
        <f aca="false">MIN(AI138*(1+B$8),B$9)</f>
        <v>0</v>
      </c>
      <c r="AV139" s="27" t="n">
        <f aca="false">MIN(AJ138*(1+C$8),C$9)</f>
        <v>0</v>
      </c>
      <c r="AW139" s="27" t="n">
        <f aca="false">MIN(AK138*(1+D$8),D$9)</f>
        <v>0</v>
      </c>
      <c r="AX139" s="27" t="n">
        <f aca="false">MIN(AL138*(1+E$8),E$9)</f>
        <v>0</v>
      </c>
      <c r="AY139" s="27" t="n">
        <f aca="false">MIN(AM138*(1+F$8),F$9)</f>
        <v>0</v>
      </c>
      <c r="AZ139" s="27" t="n">
        <f aca="false">MIN(AN138*(1+G$8),G$9)</f>
        <v>0</v>
      </c>
      <c r="BA139" s="27" t="n">
        <f aca="false">MIN(AO138*(1+H$8),H$9)</f>
        <v>0</v>
      </c>
      <c r="BB139" s="27" t="n">
        <f aca="false">MIN(AP138*(1+I$8),I$9)</f>
        <v>0</v>
      </c>
      <c r="BC139" s="27" t="n">
        <f aca="false">MIN(AQ138*(1+J$8),J$9)</f>
        <v>0</v>
      </c>
      <c r="BD139" s="27" t="n">
        <f aca="false">MIN(AR138*(1+K$8),K$9)</f>
        <v>0</v>
      </c>
      <c r="BE139" s="27" t="n">
        <f aca="false">MIN(AI138*(1+B$8),MAX(AU139,$B$12-SUM(AV139:BD139)))</f>
        <v>0</v>
      </c>
      <c r="BF139" s="27" t="n">
        <f aca="false">MIN(AJ138*(1+C$8),MAX(AV139,$B$12-SUM(BE139:BE139)-SUM(AW139:BD139)))</f>
        <v>0</v>
      </c>
      <c r="BG139" s="27" t="n">
        <f aca="false">MIN(AK138*(1+D$8),MAX(AW139,$B$12-SUM(BE139:BF139)-SUM(AX139:BD139)))</f>
        <v>0</v>
      </c>
      <c r="BH139" s="27" t="n">
        <f aca="false">MIN(AL138*(1+E$8),MAX(AX139,$B$12-SUM(BE139:BG139)-SUM(AY139:BD139)))</f>
        <v>0</v>
      </c>
      <c r="BI139" s="27" t="n">
        <f aca="false">MIN(AM138*(1+F$8),MAX(AY139,$B$12-SUM(BE139:BH139)-SUM(AZ139:BD139)))</f>
        <v>0</v>
      </c>
      <c r="BJ139" s="27" t="n">
        <f aca="false">MIN(AN138*(1+G$8),MAX(AZ139,$B$12-SUM(BE139:BI139)-SUM(BA139:BD139)))</f>
        <v>0</v>
      </c>
      <c r="BK139" s="27" t="n">
        <f aca="false">MIN(AO138*(1+H$8),MAX(BA139,$B$12-SUM(BE139:BJ139)-SUM(BB139:BD139)))</f>
        <v>0</v>
      </c>
      <c r="BL139" s="27" t="n">
        <f aca="false">MIN(AP138*(1+I$8),MAX(BB139,$B$12-SUM(BE139:BK139)-SUM(BC139:BD139)))</f>
        <v>0</v>
      </c>
      <c r="BM139" s="27" t="n">
        <f aca="false">MIN(AQ138*(1+J$8),MAX(BC139,$B$12-SUM(BE139:BL139)-SUM(BD139:BD139)))</f>
        <v>0</v>
      </c>
      <c r="BN139" s="27" t="n">
        <f aca="false">MIN(AR138*(1+K$8),MAX(BD139,$B$12-SUM(BE139:BM139)))</f>
        <v>0</v>
      </c>
    </row>
    <row r="140" customFormat="false" ht="15" hidden="false" customHeight="false" outlineLevel="0" collapsed="false">
      <c r="A140" s="0" t="n">
        <v>126</v>
      </c>
      <c r="B140" s="27" t="n">
        <f aca="false">ROUND(MAX(0,B139*(1+B$8)-X140),2)</f>
        <v>0</v>
      </c>
      <c r="C140" s="27" t="n">
        <f aca="false">ROUND(MAX(0,C139*(1+C$8)-Y140),2)</f>
        <v>0</v>
      </c>
      <c r="D140" s="27" t="n">
        <f aca="false">ROUND(MAX(0,D139*(1+D$8)-Z140),2)</f>
        <v>0</v>
      </c>
      <c r="E140" s="27" t="n">
        <f aca="false">ROUND(MAX(0,E139*(1+E$8)-AA140),2)</f>
        <v>0</v>
      </c>
      <c r="F140" s="27" t="n">
        <f aca="false">ROUND(MAX(0,F139*(1+F$8)-AB140),2)</f>
        <v>0</v>
      </c>
      <c r="G140" s="27" t="n">
        <f aca="false">ROUND(MAX(0,G139*(1+G$8)-AC140),2)</f>
        <v>0</v>
      </c>
      <c r="H140" s="27" t="n">
        <f aca="false">ROUND(MAX(0,H139*(1+H$8)-AD140),2)</f>
        <v>0</v>
      </c>
      <c r="I140" s="27" t="n">
        <f aca="false">ROUND(MAX(0,I139*(1+I$8)-AE140),2)</f>
        <v>0</v>
      </c>
      <c r="J140" s="27" t="n">
        <f aca="false">ROUND(MAX(0,J139*(1+J$8)-AF140),2)</f>
        <v>0</v>
      </c>
      <c r="K140" s="27" t="n">
        <f aca="false">ROUND(MAX(0,K139*(1+K$8)-AG140),2)</f>
        <v>0</v>
      </c>
      <c r="L140" s="30" t="n">
        <f aca="false">SUM(B140:K140)</f>
        <v>0</v>
      </c>
      <c r="M140" s="27" t="n">
        <f aca="false">SUMPRODUCT(B139:K139,$B$8:$K$8)</f>
        <v>0</v>
      </c>
      <c r="N140" s="27" t="n">
        <f aca="false">MIN(B139*(1+B$8),B$9)</f>
        <v>0</v>
      </c>
      <c r="O140" s="27" t="n">
        <f aca="false">MIN(C139*(1+C$8),C$9)</f>
        <v>0</v>
      </c>
      <c r="P140" s="27" t="n">
        <f aca="false">MIN(D139*(1+D$8),D$9)</f>
        <v>0</v>
      </c>
      <c r="Q140" s="27" t="n">
        <f aca="false">MIN(E139*(1+E$8),E$9)</f>
        <v>0</v>
      </c>
      <c r="R140" s="27" t="n">
        <f aca="false">MIN(F139*(1+F$8),F$9)</f>
        <v>0</v>
      </c>
      <c r="S140" s="27" t="n">
        <f aca="false">MIN(G139*(1+G$8),G$9)</f>
        <v>0</v>
      </c>
      <c r="T140" s="27" t="n">
        <f aca="false">MIN(H139*(1+H$8),H$9)</f>
        <v>0</v>
      </c>
      <c r="U140" s="27" t="n">
        <f aca="false">MIN(I139*(1+I$8),I$9)</f>
        <v>0</v>
      </c>
      <c r="V140" s="27" t="n">
        <f aca="false">MIN(J139*(1+J$8),J$9)</f>
        <v>0</v>
      </c>
      <c r="W140" s="27" t="n">
        <f aca="false">MIN(K139*(1+K$8),K$9)</f>
        <v>0</v>
      </c>
      <c r="X140" s="27" t="n">
        <f aca="false">MIN(B139*(1+B$8),MAX(N140,$B$11-SUM(O140:W140)))</f>
        <v>0</v>
      </c>
      <c r="Y140" s="27" t="n">
        <f aca="false">MIN(C139*(1+C$8),MAX(O140,$B$11-SUM(X140:X140)-SUM(P140:W140)))</f>
        <v>0</v>
      </c>
      <c r="Z140" s="27" t="n">
        <f aca="false">MIN(D139*(1+D$8),MAX(P140,$B$11-SUM(X140:Y140)-SUM(Q140:W140)))</f>
        <v>0</v>
      </c>
      <c r="AA140" s="27" t="n">
        <f aca="false">MIN(E139*(1+E$8),MAX(Q140,$B$11-SUM(X140:Z140)-SUM(R140:W140)))</f>
        <v>0</v>
      </c>
      <c r="AB140" s="27" t="n">
        <f aca="false">MIN(F139*(1+F$8),MAX(R140,$B$11-SUM(X140:AA140)-SUM(S140:W140)))</f>
        <v>0</v>
      </c>
      <c r="AC140" s="27" t="n">
        <f aca="false">MIN(G139*(1+G$8),MAX(S140,$B$11-SUM(X140:AB140)-SUM(T140:W140)))</f>
        <v>0</v>
      </c>
      <c r="AD140" s="27" t="n">
        <f aca="false">MIN(H139*(1+H$8),MAX(T140,$B$11-SUM(X140:AC140)-SUM(U140:W140)))</f>
        <v>0</v>
      </c>
      <c r="AE140" s="27" t="n">
        <f aca="false">MIN(I139*(1+I$8),MAX(U140,$B$11-SUM(X140:AD140)-SUM(V140:W140)))</f>
        <v>0</v>
      </c>
      <c r="AF140" s="27" t="n">
        <f aca="false">MIN(J139*(1+J$8),MAX(V140,$B$11-SUM(X140:AE140)-SUM(W140:W140)))</f>
        <v>0</v>
      </c>
      <c r="AG140" s="27" t="n">
        <f aca="false">MIN(K139*(1+K$8),MAX(W140,$B$11-SUM(X140:AF140)))</f>
        <v>0</v>
      </c>
      <c r="AI140" s="27" t="n">
        <f aca="false">ROUND(MAX(0,AI139*(1+B$8)-BE140),2)</f>
        <v>0</v>
      </c>
      <c r="AJ140" s="27" t="n">
        <f aca="false">ROUND(MAX(0,AJ139*(1+C$8)-BF140),2)</f>
        <v>0</v>
      </c>
      <c r="AK140" s="27" t="n">
        <f aca="false">ROUND(MAX(0,AK139*(1+D$8)-BG140),2)</f>
        <v>0</v>
      </c>
      <c r="AL140" s="27" t="n">
        <f aca="false">ROUND(MAX(0,AL139*(1+E$8)-BH140),2)</f>
        <v>0</v>
      </c>
      <c r="AM140" s="27" t="n">
        <f aca="false">ROUND(MAX(0,AM139*(1+F$8)-BI140),2)</f>
        <v>0</v>
      </c>
      <c r="AN140" s="27" t="n">
        <f aca="false">ROUND(MAX(0,AN139*(1+G$8)-BJ140),2)</f>
        <v>0</v>
      </c>
      <c r="AO140" s="27" t="n">
        <f aca="false">ROUND(MAX(0,AO139*(1+H$8)-BK140),2)</f>
        <v>0</v>
      </c>
      <c r="AP140" s="27" t="n">
        <f aca="false">ROUND(MAX(0,AP139*(1+I$8)-BL140),2)</f>
        <v>0</v>
      </c>
      <c r="AQ140" s="27" t="n">
        <f aca="false">ROUND(MAX(0,AQ139*(1+J$8)-BM140),2)</f>
        <v>0</v>
      </c>
      <c r="AR140" s="27" t="n">
        <f aca="false">ROUND(MAX(0,AR139*(1+K$8)-BN140),2)</f>
        <v>0</v>
      </c>
      <c r="AS140" s="27" t="n">
        <f aca="false">SUM(AI140:AR140)</f>
        <v>0</v>
      </c>
      <c r="AT140" s="27" t="n">
        <f aca="false">SUMPRODUCT(AI139:AR139,$B$8:$K$8)</f>
        <v>0</v>
      </c>
      <c r="AU140" s="27" t="n">
        <f aca="false">MIN(AI139*(1+B$8),B$9)</f>
        <v>0</v>
      </c>
      <c r="AV140" s="27" t="n">
        <f aca="false">MIN(AJ139*(1+C$8),C$9)</f>
        <v>0</v>
      </c>
      <c r="AW140" s="27" t="n">
        <f aca="false">MIN(AK139*(1+D$8),D$9)</f>
        <v>0</v>
      </c>
      <c r="AX140" s="27" t="n">
        <f aca="false">MIN(AL139*(1+E$8),E$9)</f>
        <v>0</v>
      </c>
      <c r="AY140" s="27" t="n">
        <f aca="false">MIN(AM139*(1+F$8),F$9)</f>
        <v>0</v>
      </c>
      <c r="AZ140" s="27" t="n">
        <f aca="false">MIN(AN139*(1+G$8),G$9)</f>
        <v>0</v>
      </c>
      <c r="BA140" s="27" t="n">
        <f aca="false">MIN(AO139*(1+H$8),H$9)</f>
        <v>0</v>
      </c>
      <c r="BB140" s="27" t="n">
        <f aca="false">MIN(AP139*(1+I$8),I$9)</f>
        <v>0</v>
      </c>
      <c r="BC140" s="27" t="n">
        <f aca="false">MIN(AQ139*(1+J$8),J$9)</f>
        <v>0</v>
      </c>
      <c r="BD140" s="27" t="n">
        <f aca="false">MIN(AR139*(1+K$8),K$9)</f>
        <v>0</v>
      </c>
      <c r="BE140" s="27" t="n">
        <f aca="false">MIN(AI139*(1+B$8),MAX(AU140,$B$12-SUM(AV140:BD140)))</f>
        <v>0</v>
      </c>
      <c r="BF140" s="27" t="n">
        <f aca="false">MIN(AJ139*(1+C$8),MAX(AV140,$B$12-SUM(BE140:BE140)-SUM(AW140:BD140)))</f>
        <v>0</v>
      </c>
      <c r="BG140" s="27" t="n">
        <f aca="false">MIN(AK139*(1+D$8),MAX(AW140,$B$12-SUM(BE140:BF140)-SUM(AX140:BD140)))</f>
        <v>0</v>
      </c>
      <c r="BH140" s="27" t="n">
        <f aca="false">MIN(AL139*(1+E$8),MAX(AX140,$B$12-SUM(BE140:BG140)-SUM(AY140:BD140)))</f>
        <v>0</v>
      </c>
      <c r="BI140" s="27" t="n">
        <f aca="false">MIN(AM139*(1+F$8),MAX(AY140,$B$12-SUM(BE140:BH140)-SUM(AZ140:BD140)))</f>
        <v>0</v>
      </c>
      <c r="BJ140" s="27" t="n">
        <f aca="false">MIN(AN139*(1+G$8),MAX(AZ140,$B$12-SUM(BE140:BI140)-SUM(BA140:BD140)))</f>
        <v>0</v>
      </c>
      <c r="BK140" s="27" t="n">
        <f aca="false">MIN(AO139*(1+H$8),MAX(BA140,$B$12-SUM(BE140:BJ140)-SUM(BB140:BD140)))</f>
        <v>0</v>
      </c>
      <c r="BL140" s="27" t="n">
        <f aca="false">MIN(AP139*(1+I$8),MAX(BB140,$B$12-SUM(BE140:BK140)-SUM(BC140:BD140)))</f>
        <v>0</v>
      </c>
      <c r="BM140" s="27" t="n">
        <f aca="false">MIN(AQ139*(1+J$8),MAX(BC140,$B$12-SUM(BE140:BL140)-SUM(BD140:BD140)))</f>
        <v>0</v>
      </c>
      <c r="BN140" s="27" t="n">
        <f aca="false">MIN(AR139*(1+K$8),MAX(BD140,$B$12-SUM(BE140:BM140)))</f>
        <v>0</v>
      </c>
    </row>
    <row r="141" customFormat="false" ht="15" hidden="false" customHeight="false" outlineLevel="0" collapsed="false">
      <c r="A141" s="0" t="n">
        <v>127</v>
      </c>
      <c r="B141" s="27" t="n">
        <f aca="false">ROUND(MAX(0,B140*(1+B$8)-X141),2)</f>
        <v>0</v>
      </c>
      <c r="C141" s="27" t="n">
        <f aca="false">ROUND(MAX(0,C140*(1+C$8)-Y141),2)</f>
        <v>0</v>
      </c>
      <c r="D141" s="27" t="n">
        <f aca="false">ROUND(MAX(0,D140*(1+D$8)-Z141),2)</f>
        <v>0</v>
      </c>
      <c r="E141" s="27" t="n">
        <f aca="false">ROUND(MAX(0,E140*(1+E$8)-AA141),2)</f>
        <v>0</v>
      </c>
      <c r="F141" s="27" t="n">
        <f aca="false">ROUND(MAX(0,F140*(1+F$8)-AB141),2)</f>
        <v>0</v>
      </c>
      <c r="G141" s="27" t="n">
        <f aca="false">ROUND(MAX(0,G140*(1+G$8)-AC141),2)</f>
        <v>0</v>
      </c>
      <c r="H141" s="27" t="n">
        <f aca="false">ROUND(MAX(0,H140*(1+H$8)-AD141),2)</f>
        <v>0</v>
      </c>
      <c r="I141" s="27" t="n">
        <f aca="false">ROUND(MAX(0,I140*(1+I$8)-AE141),2)</f>
        <v>0</v>
      </c>
      <c r="J141" s="27" t="n">
        <f aca="false">ROUND(MAX(0,J140*(1+J$8)-AF141),2)</f>
        <v>0</v>
      </c>
      <c r="K141" s="27" t="n">
        <f aca="false">ROUND(MAX(0,K140*(1+K$8)-AG141),2)</f>
        <v>0</v>
      </c>
      <c r="L141" s="30" t="n">
        <f aca="false">SUM(B141:K141)</f>
        <v>0</v>
      </c>
      <c r="M141" s="27" t="n">
        <f aca="false">SUMPRODUCT(B140:K140,$B$8:$K$8)</f>
        <v>0</v>
      </c>
      <c r="N141" s="27" t="n">
        <f aca="false">MIN(B140*(1+B$8),B$9)</f>
        <v>0</v>
      </c>
      <c r="O141" s="27" t="n">
        <f aca="false">MIN(C140*(1+C$8),C$9)</f>
        <v>0</v>
      </c>
      <c r="P141" s="27" t="n">
        <f aca="false">MIN(D140*(1+D$8),D$9)</f>
        <v>0</v>
      </c>
      <c r="Q141" s="27" t="n">
        <f aca="false">MIN(E140*(1+E$8),E$9)</f>
        <v>0</v>
      </c>
      <c r="R141" s="27" t="n">
        <f aca="false">MIN(F140*(1+F$8),F$9)</f>
        <v>0</v>
      </c>
      <c r="S141" s="27" t="n">
        <f aca="false">MIN(G140*(1+G$8),G$9)</f>
        <v>0</v>
      </c>
      <c r="T141" s="27" t="n">
        <f aca="false">MIN(H140*(1+H$8),H$9)</f>
        <v>0</v>
      </c>
      <c r="U141" s="27" t="n">
        <f aca="false">MIN(I140*(1+I$8),I$9)</f>
        <v>0</v>
      </c>
      <c r="V141" s="27" t="n">
        <f aca="false">MIN(J140*(1+J$8),J$9)</f>
        <v>0</v>
      </c>
      <c r="W141" s="27" t="n">
        <f aca="false">MIN(K140*(1+K$8),K$9)</f>
        <v>0</v>
      </c>
      <c r="X141" s="27" t="n">
        <f aca="false">MIN(B140*(1+B$8),MAX(N141,$B$11-SUM(O141:W141)))</f>
        <v>0</v>
      </c>
      <c r="Y141" s="27" t="n">
        <f aca="false">MIN(C140*(1+C$8),MAX(O141,$B$11-SUM(X141:X141)-SUM(P141:W141)))</f>
        <v>0</v>
      </c>
      <c r="Z141" s="27" t="n">
        <f aca="false">MIN(D140*(1+D$8),MAX(P141,$B$11-SUM(X141:Y141)-SUM(Q141:W141)))</f>
        <v>0</v>
      </c>
      <c r="AA141" s="27" t="n">
        <f aca="false">MIN(E140*(1+E$8),MAX(Q141,$B$11-SUM(X141:Z141)-SUM(R141:W141)))</f>
        <v>0</v>
      </c>
      <c r="AB141" s="27" t="n">
        <f aca="false">MIN(F140*(1+F$8),MAX(R141,$B$11-SUM(X141:AA141)-SUM(S141:W141)))</f>
        <v>0</v>
      </c>
      <c r="AC141" s="27" t="n">
        <f aca="false">MIN(G140*(1+G$8),MAX(S141,$B$11-SUM(X141:AB141)-SUM(T141:W141)))</f>
        <v>0</v>
      </c>
      <c r="AD141" s="27" t="n">
        <f aca="false">MIN(H140*(1+H$8),MAX(T141,$B$11-SUM(X141:AC141)-SUM(U141:W141)))</f>
        <v>0</v>
      </c>
      <c r="AE141" s="27" t="n">
        <f aca="false">MIN(I140*(1+I$8),MAX(U141,$B$11-SUM(X141:AD141)-SUM(V141:W141)))</f>
        <v>0</v>
      </c>
      <c r="AF141" s="27" t="n">
        <f aca="false">MIN(J140*(1+J$8),MAX(V141,$B$11-SUM(X141:AE141)-SUM(W141:W141)))</f>
        <v>0</v>
      </c>
      <c r="AG141" s="27" t="n">
        <f aca="false">MIN(K140*(1+K$8),MAX(W141,$B$11-SUM(X141:AF141)))</f>
        <v>0</v>
      </c>
      <c r="AI141" s="27" t="n">
        <f aca="false">ROUND(MAX(0,AI140*(1+B$8)-BE141),2)</f>
        <v>0</v>
      </c>
      <c r="AJ141" s="27" t="n">
        <f aca="false">ROUND(MAX(0,AJ140*(1+C$8)-BF141),2)</f>
        <v>0</v>
      </c>
      <c r="AK141" s="27" t="n">
        <f aca="false">ROUND(MAX(0,AK140*(1+D$8)-BG141),2)</f>
        <v>0</v>
      </c>
      <c r="AL141" s="27" t="n">
        <f aca="false">ROUND(MAX(0,AL140*(1+E$8)-BH141),2)</f>
        <v>0</v>
      </c>
      <c r="AM141" s="27" t="n">
        <f aca="false">ROUND(MAX(0,AM140*(1+F$8)-BI141),2)</f>
        <v>0</v>
      </c>
      <c r="AN141" s="27" t="n">
        <f aca="false">ROUND(MAX(0,AN140*(1+G$8)-BJ141),2)</f>
        <v>0</v>
      </c>
      <c r="AO141" s="27" t="n">
        <f aca="false">ROUND(MAX(0,AO140*(1+H$8)-BK141),2)</f>
        <v>0</v>
      </c>
      <c r="AP141" s="27" t="n">
        <f aca="false">ROUND(MAX(0,AP140*(1+I$8)-BL141),2)</f>
        <v>0</v>
      </c>
      <c r="AQ141" s="27" t="n">
        <f aca="false">ROUND(MAX(0,AQ140*(1+J$8)-BM141),2)</f>
        <v>0</v>
      </c>
      <c r="AR141" s="27" t="n">
        <f aca="false">ROUND(MAX(0,AR140*(1+K$8)-BN141),2)</f>
        <v>0</v>
      </c>
      <c r="AS141" s="27" t="n">
        <f aca="false">SUM(AI141:AR141)</f>
        <v>0</v>
      </c>
      <c r="AT141" s="27" t="n">
        <f aca="false">SUMPRODUCT(AI140:AR140,$B$8:$K$8)</f>
        <v>0</v>
      </c>
      <c r="AU141" s="27" t="n">
        <f aca="false">MIN(AI140*(1+B$8),B$9)</f>
        <v>0</v>
      </c>
      <c r="AV141" s="27" t="n">
        <f aca="false">MIN(AJ140*(1+C$8),C$9)</f>
        <v>0</v>
      </c>
      <c r="AW141" s="27" t="n">
        <f aca="false">MIN(AK140*(1+D$8),D$9)</f>
        <v>0</v>
      </c>
      <c r="AX141" s="27" t="n">
        <f aca="false">MIN(AL140*(1+E$8),E$9)</f>
        <v>0</v>
      </c>
      <c r="AY141" s="27" t="n">
        <f aca="false">MIN(AM140*(1+F$8),F$9)</f>
        <v>0</v>
      </c>
      <c r="AZ141" s="27" t="n">
        <f aca="false">MIN(AN140*(1+G$8),G$9)</f>
        <v>0</v>
      </c>
      <c r="BA141" s="27" t="n">
        <f aca="false">MIN(AO140*(1+H$8),H$9)</f>
        <v>0</v>
      </c>
      <c r="BB141" s="27" t="n">
        <f aca="false">MIN(AP140*(1+I$8),I$9)</f>
        <v>0</v>
      </c>
      <c r="BC141" s="27" t="n">
        <f aca="false">MIN(AQ140*(1+J$8),J$9)</f>
        <v>0</v>
      </c>
      <c r="BD141" s="27" t="n">
        <f aca="false">MIN(AR140*(1+K$8),K$9)</f>
        <v>0</v>
      </c>
      <c r="BE141" s="27" t="n">
        <f aca="false">MIN(AI140*(1+B$8),MAX(AU141,$B$12-SUM(AV141:BD141)))</f>
        <v>0</v>
      </c>
      <c r="BF141" s="27" t="n">
        <f aca="false">MIN(AJ140*(1+C$8),MAX(AV141,$B$12-SUM(BE141:BE141)-SUM(AW141:BD141)))</f>
        <v>0</v>
      </c>
      <c r="BG141" s="27" t="n">
        <f aca="false">MIN(AK140*(1+D$8),MAX(AW141,$B$12-SUM(BE141:BF141)-SUM(AX141:BD141)))</f>
        <v>0</v>
      </c>
      <c r="BH141" s="27" t="n">
        <f aca="false">MIN(AL140*(1+E$8),MAX(AX141,$B$12-SUM(BE141:BG141)-SUM(AY141:BD141)))</f>
        <v>0</v>
      </c>
      <c r="BI141" s="27" t="n">
        <f aca="false">MIN(AM140*(1+F$8),MAX(AY141,$B$12-SUM(BE141:BH141)-SUM(AZ141:BD141)))</f>
        <v>0</v>
      </c>
      <c r="BJ141" s="27" t="n">
        <f aca="false">MIN(AN140*(1+G$8),MAX(AZ141,$B$12-SUM(BE141:BI141)-SUM(BA141:BD141)))</f>
        <v>0</v>
      </c>
      <c r="BK141" s="27" t="n">
        <f aca="false">MIN(AO140*(1+H$8),MAX(BA141,$B$12-SUM(BE141:BJ141)-SUM(BB141:BD141)))</f>
        <v>0</v>
      </c>
      <c r="BL141" s="27" t="n">
        <f aca="false">MIN(AP140*(1+I$8),MAX(BB141,$B$12-SUM(BE141:BK141)-SUM(BC141:BD141)))</f>
        <v>0</v>
      </c>
      <c r="BM141" s="27" t="n">
        <f aca="false">MIN(AQ140*(1+J$8),MAX(BC141,$B$12-SUM(BE141:BL141)-SUM(BD141:BD141)))</f>
        <v>0</v>
      </c>
      <c r="BN141" s="27" t="n">
        <f aca="false">MIN(AR140*(1+K$8),MAX(BD141,$B$12-SUM(BE141:BM141)))</f>
        <v>0</v>
      </c>
    </row>
    <row r="142" customFormat="false" ht="15" hidden="false" customHeight="false" outlineLevel="0" collapsed="false">
      <c r="A142" s="0" t="n">
        <v>128</v>
      </c>
      <c r="B142" s="27" t="n">
        <f aca="false">ROUND(MAX(0,B141*(1+B$8)-X142),2)</f>
        <v>0</v>
      </c>
      <c r="C142" s="27" t="n">
        <f aca="false">ROUND(MAX(0,C141*(1+C$8)-Y142),2)</f>
        <v>0</v>
      </c>
      <c r="D142" s="27" t="n">
        <f aca="false">ROUND(MAX(0,D141*(1+D$8)-Z142),2)</f>
        <v>0</v>
      </c>
      <c r="E142" s="27" t="n">
        <f aca="false">ROUND(MAX(0,E141*(1+E$8)-AA142),2)</f>
        <v>0</v>
      </c>
      <c r="F142" s="27" t="n">
        <f aca="false">ROUND(MAX(0,F141*(1+F$8)-AB142),2)</f>
        <v>0</v>
      </c>
      <c r="G142" s="27" t="n">
        <f aca="false">ROUND(MAX(0,G141*(1+G$8)-AC142),2)</f>
        <v>0</v>
      </c>
      <c r="H142" s="27" t="n">
        <f aca="false">ROUND(MAX(0,H141*(1+H$8)-AD142),2)</f>
        <v>0</v>
      </c>
      <c r="I142" s="27" t="n">
        <f aca="false">ROUND(MAX(0,I141*(1+I$8)-AE142),2)</f>
        <v>0</v>
      </c>
      <c r="J142" s="27" t="n">
        <f aca="false">ROUND(MAX(0,J141*(1+J$8)-AF142),2)</f>
        <v>0</v>
      </c>
      <c r="K142" s="27" t="n">
        <f aca="false">ROUND(MAX(0,K141*(1+K$8)-AG142),2)</f>
        <v>0</v>
      </c>
      <c r="L142" s="30" t="n">
        <f aca="false">SUM(B142:K142)</f>
        <v>0</v>
      </c>
      <c r="M142" s="27" t="n">
        <f aca="false">SUMPRODUCT(B141:K141,$B$8:$K$8)</f>
        <v>0</v>
      </c>
      <c r="N142" s="27" t="n">
        <f aca="false">MIN(B141*(1+B$8),B$9)</f>
        <v>0</v>
      </c>
      <c r="O142" s="27" t="n">
        <f aca="false">MIN(C141*(1+C$8),C$9)</f>
        <v>0</v>
      </c>
      <c r="P142" s="27" t="n">
        <f aca="false">MIN(D141*(1+D$8),D$9)</f>
        <v>0</v>
      </c>
      <c r="Q142" s="27" t="n">
        <f aca="false">MIN(E141*(1+E$8),E$9)</f>
        <v>0</v>
      </c>
      <c r="R142" s="27" t="n">
        <f aca="false">MIN(F141*(1+F$8),F$9)</f>
        <v>0</v>
      </c>
      <c r="S142" s="27" t="n">
        <f aca="false">MIN(G141*(1+G$8),G$9)</f>
        <v>0</v>
      </c>
      <c r="T142" s="27" t="n">
        <f aca="false">MIN(H141*(1+H$8),H$9)</f>
        <v>0</v>
      </c>
      <c r="U142" s="27" t="n">
        <f aca="false">MIN(I141*(1+I$8),I$9)</f>
        <v>0</v>
      </c>
      <c r="V142" s="27" t="n">
        <f aca="false">MIN(J141*(1+J$8),J$9)</f>
        <v>0</v>
      </c>
      <c r="W142" s="27" t="n">
        <f aca="false">MIN(K141*(1+K$8),K$9)</f>
        <v>0</v>
      </c>
      <c r="X142" s="27" t="n">
        <f aca="false">MIN(B141*(1+B$8),MAX(N142,$B$11-SUM(O142:W142)))</f>
        <v>0</v>
      </c>
      <c r="Y142" s="27" t="n">
        <f aca="false">MIN(C141*(1+C$8),MAX(O142,$B$11-SUM(X142:X142)-SUM(P142:W142)))</f>
        <v>0</v>
      </c>
      <c r="Z142" s="27" t="n">
        <f aca="false">MIN(D141*(1+D$8),MAX(P142,$B$11-SUM(X142:Y142)-SUM(Q142:W142)))</f>
        <v>0</v>
      </c>
      <c r="AA142" s="27" t="n">
        <f aca="false">MIN(E141*(1+E$8),MAX(Q142,$B$11-SUM(X142:Z142)-SUM(R142:W142)))</f>
        <v>0</v>
      </c>
      <c r="AB142" s="27" t="n">
        <f aca="false">MIN(F141*(1+F$8),MAX(R142,$B$11-SUM(X142:AA142)-SUM(S142:W142)))</f>
        <v>0</v>
      </c>
      <c r="AC142" s="27" t="n">
        <f aca="false">MIN(G141*(1+G$8),MAX(S142,$B$11-SUM(X142:AB142)-SUM(T142:W142)))</f>
        <v>0</v>
      </c>
      <c r="AD142" s="27" t="n">
        <f aca="false">MIN(H141*(1+H$8),MAX(T142,$B$11-SUM(X142:AC142)-SUM(U142:W142)))</f>
        <v>0</v>
      </c>
      <c r="AE142" s="27" t="n">
        <f aca="false">MIN(I141*(1+I$8),MAX(U142,$B$11-SUM(X142:AD142)-SUM(V142:W142)))</f>
        <v>0</v>
      </c>
      <c r="AF142" s="27" t="n">
        <f aca="false">MIN(J141*(1+J$8),MAX(V142,$B$11-SUM(X142:AE142)-SUM(W142:W142)))</f>
        <v>0</v>
      </c>
      <c r="AG142" s="27" t="n">
        <f aca="false">MIN(K141*(1+K$8),MAX(W142,$B$11-SUM(X142:AF142)))</f>
        <v>0</v>
      </c>
      <c r="AI142" s="27" t="n">
        <f aca="false">ROUND(MAX(0,AI141*(1+B$8)-BE142),2)</f>
        <v>0</v>
      </c>
      <c r="AJ142" s="27" t="n">
        <f aca="false">ROUND(MAX(0,AJ141*(1+C$8)-BF142),2)</f>
        <v>0</v>
      </c>
      <c r="AK142" s="27" t="n">
        <f aca="false">ROUND(MAX(0,AK141*(1+D$8)-BG142),2)</f>
        <v>0</v>
      </c>
      <c r="AL142" s="27" t="n">
        <f aca="false">ROUND(MAX(0,AL141*(1+E$8)-BH142),2)</f>
        <v>0</v>
      </c>
      <c r="AM142" s="27" t="n">
        <f aca="false">ROUND(MAX(0,AM141*(1+F$8)-BI142),2)</f>
        <v>0</v>
      </c>
      <c r="AN142" s="27" t="n">
        <f aca="false">ROUND(MAX(0,AN141*(1+G$8)-BJ142),2)</f>
        <v>0</v>
      </c>
      <c r="AO142" s="27" t="n">
        <f aca="false">ROUND(MAX(0,AO141*(1+H$8)-BK142),2)</f>
        <v>0</v>
      </c>
      <c r="AP142" s="27" t="n">
        <f aca="false">ROUND(MAX(0,AP141*(1+I$8)-BL142),2)</f>
        <v>0</v>
      </c>
      <c r="AQ142" s="27" t="n">
        <f aca="false">ROUND(MAX(0,AQ141*(1+J$8)-BM142),2)</f>
        <v>0</v>
      </c>
      <c r="AR142" s="27" t="n">
        <f aca="false">ROUND(MAX(0,AR141*(1+K$8)-BN142),2)</f>
        <v>0</v>
      </c>
      <c r="AS142" s="27" t="n">
        <f aca="false">SUM(AI142:AR142)</f>
        <v>0</v>
      </c>
      <c r="AT142" s="27" t="n">
        <f aca="false">SUMPRODUCT(AI141:AR141,$B$8:$K$8)</f>
        <v>0</v>
      </c>
      <c r="AU142" s="27" t="n">
        <f aca="false">MIN(AI141*(1+B$8),B$9)</f>
        <v>0</v>
      </c>
      <c r="AV142" s="27" t="n">
        <f aca="false">MIN(AJ141*(1+C$8),C$9)</f>
        <v>0</v>
      </c>
      <c r="AW142" s="27" t="n">
        <f aca="false">MIN(AK141*(1+D$8),D$9)</f>
        <v>0</v>
      </c>
      <c r="AX142" s="27" t="n">
        <f aca="false">MIN(AL141*(1+E$8),E$9)</f>
        <v>0</v>
      </c>
      <c r="AY142" s="27" t="n">
        <f aca="false">MIN(AM141*(1+F$8),F$9)</f>
        <v>0</v>
      </c>
      <c r="AZ142" s="27" t="n">
        <f aca="false">MIN(AN141*(1+G$8),G$9)</f>
        <v>0</v>
      </c>
      <c r="BA142" s="27" t="n">
        <f aca="false">MIN(AO141*(1+H$8),H$9)</f>
        <v>0</v>
      </c>
      <c r="BB142" s="27" t="n">
        <f aca="false">MIN(AP141*(1+I$8),I$9)</f>
        <v>0</v>
      </c>
      <c r="BC142" s="27" t="n">
        <f aca="false">MIN(AQ141*(1+J$8),J$9)</f>
        <v>0</v>
      </c>
      <c r="BD142" s="27" t="n">
        <f aca="false">MIN(AR141*(1+K$8),K$9)</f>
        <v>0</v>
      </c>
      <c r="BE142" s="27" t="n">
        <f aca="false">MIN(AI141*(1+B$8),MAX(AU142,$B$12-SUM(AV142:BD142)))</f>
        <v>0</v>
      </c>
      <c r="BF142" s="27" t="n">
        <f aca="false">MIN(AJ141*(1+C$8),MAX(AV142,$B$12-SUM(BE142:BE142)-SUM(AW142:BD142)))</f>
        <v>0</v>
      </c>
      <c r="BG142" s="27" t="n">
        <f aca="false">MIN(AK141*(1+D$8),MAX(AW142,$B$12-SUM(BE142:BF142)-SUM(AX142:BD142)))</f>
        <v>0</v>
      </c>
      <c r="BH142" s="27" t="n">
        <f aca="false">MIN(AL141*(1+E$8),MAX(AX142,$B$12-SUM(BE142:BG142)-SUM(AY142:BD142)))</f>
        <v>0</v>
      </c>
      <c r="BI142" s="27" t="n">
        <f aca="false">MIN(AM141*(1+F$8),MAX(AY142,$B$12-SUM(BE142:BH142)-SUM(AZ142:BD142)))</f>
        <v>0</v>
      </c>
      <c r="BJ142" s="27" t="n">
        <f aca="false">MIN(AN141*(1+G$8),MAX(AZ142,$B$12-SUM(BE142:BI142)-SUM(BA142:BD142)))</f>
        <v>0</v>
      </c>
      <c r="BK142" s="27" t="n">
        <f aca="false">MIN(AO141*(1+H$8),MAX(BA142,$B$12-SUM(BE142:BJ142)-SUM(BB142:BD142)))</f>
        <v>0</v>
      </c>
      <c r="BL142" s="27" t="n">
        <f aca="false">MIN(AP141*(1+I$8),MAX(BB142,$B$12-SUM(BE142:BK142)-SUM(BC142:BD142)))</f>
        <v>0</v>
      </c>
      <c r="BM142" s="27" t="n">
        <f aca="false">MIN(AQ141*(1+J$8),MAX(BC142,$B$12-SUM(BE142:BL142)-SUM(BD142:BD142)))</f>
        <v>0</v>
      </c>
      <c r="BN142" s="27" t="n">
        <f aca="false">MIN(AR141*(1+K$8),MAX(BD142,$B$12-SUM(BE142:BM142)))</f>
        <v>0</v>
      </c>
    </row>
    <row r="143" customFormat="false" ht="15" hidden="false" customHeight="false" outlineLevel="0" collapsed="false">
      <c r="A143" s="0" t="n">
        <v>129</v>
      </c>
      <c r="B143" s="27" t="n">
        <f aca="false">ROUND(MAX(0,B142*(1+B$8)-X143),2)</f>
        <v>0</v>
      </c>
      <c r="C143" s="27" t="n">
        <f aca="false">ROUND(MAX(0,C142*(1+C$8)-Y143),2)</f>
        <v>0</v>
      </c>
      <c r="D143" s="27" t="n">
        <f aca="false">ROUND(MAX(0,D142*(1+D$8)-Z143),2)</f>
        <v>0</v>
      </c>
      <c r="E143" s="27" t="n">
        <f aca="false">ROUND(MAX(0,E142*(1+E$8)-AA143),2)</f>
        <v>0</v>
      </c>
      <c r="F143" s="27" t="n">
        <f aca="false">ROUND(MAX(0,F142*(1+F$8)-AB143),2)</f>
        <v>0</v>
      </c>
      <c r="G143" s="27" t="n">
        <f aca="false">ROUND(MAX(0,G142*(1+G$8)-AC143),2)</f>
        <v>0</v>
      </c>
      <c r="H143" s="27" t="n">
        <f aca="false">ROUND(MAX(0,H142*(1+H$8)-AD143),2)</f>
        <v>0</v>
      </c>
      <c r="I143" s="27" t="n">
        <f aca="false">ROUND(MAX(0,I142*(1+I$8)-AE143),2)</f>
        <v>0</v>
      </c>
      <c r="J143" s="27" t="n">
        <f aca="false">ROUND(MAX(0,J142*(1+J$8)-AF143),2)</f>
        <v>0</v>
      </c>
      <c r="K143" s="27" t="n">
        <f aca="false">ROUND(MAX(0,K142*(1+K$8)-AG143),2)</f>
        <v>0</v>
      </c>
      <c r="L143" s="30" t="n">
        <f aca="false">SUM(B143:K143)</f>
        <v>0</v>
      </c>
      <c r="M143" s="27" t="n">
        <f aca="false">SUMPRODUCT(B142:K142,$B$8:$K$8)</f>
        <v>0</v>
      </c>
      <c r="N143" s="27" t="n">
        <f aca="false">MIN(B142*(1+B$8),B$9)</f>
        <v>0</v>
      </c>
      <c r="O143" s="27" t="n">
        <f aca="false">MIN(C142*(1+C$8),C$9)</f>
        <v>0</v>
      </c>
      <c r="P143" s="27" t="n">
        <f aca="false">MIN(D142*(1+D$8),D$9)</f>
        <v>0</v>
      </c>
      <c r="Q143" s="27" t="n">
        <f aca="false">MIN(E142*(1+E$8),E$9)</f>
        <v>0</v>
      </c>
      <c r="R143" s="27" t="n">
        <f aca="false">MIN(F142*(1+F$8),F$9)</f>
        <v>0</v>
      </c>
      <c r="S143" s="27" t="n">
        <f aca="false">MIN(G142*(1+G$8),G$9)</f>
        <v>0</v>
      </c>
      <c r="T143" s="27" t="n">
        <f aca="false">MIN(H142*(1+H$8),H$9)</f>
        <v>0</v>
      </c>
      <c r="U143" s="27" t="n">
        <f aca="false">MIN(I142*(1+I$8),I$9)</f>
        <v>0</v>
      </c>
      <c r="V143" s="27" t="n">
        <f aca="false">MIN(J142*(1+J$8),J$9)</f>
        <v>0</v>
      </c>
      <c r="W143" s="27" t="n">
        <f aca="false">MIN(K142*(1+K$8),K$9)</f>
        <v>0</v>
      </c>
      <c r="X143" s="27" t="n">
        <f aca="false">MIN(B142*(1+B$8),MAX(N143,$B$11-SUM(O143:W143)))</f>
        <v>0</v>
      </c>
      <c r="Y143" s="27" t="n">
        <f aca="false">MIN(C142*(1+C$8),MAX(O143,$B$11-SUM(X143:X143)-SUM(P143:W143)))</f>
        <v>0</v>
      </c>
      <c r="Z143" s="27" t="n">
        <f aca="false">MIN(D142*(1+D$8),MAX(P143,$B$11-SUM(X143:Y143)-SUM(Q143:W143)))</f>
        <v>0</v>
      </c>
      <c r="AA143" s="27" t="n">
        <f aca="false">MIN(E142*(1+E$8),MAX(Q143,$B$11-SUM(X143:Z143)-SUM(R143:W143)))</f>
        <v>0</v>
      </c>
      <c r="AB143" s="27" t="n">
        <f aca="false">MIN(F142*(1+F$8),MAX(R143,$B$11-SUM(X143:AA143)-SUM(S143:W143)))</f>
        <v>0</v>
      </c>
      <c r="AC143" s="27" t="n">
        <f aca="false">MIN(G142*(1+G$8),MAX(S143,$B$11-SUM(X143:AB143)-SUM(T143:W143)))</f>
        <v>0</v>
      </c>
      <c r="AD143" s="27" t="n">
        <f aca="false">MIN(H142*(1+H$8),MAX(T143,$B$11-SUM(X143:AC143)-SUM(U143:W143)))</f>
        <v>0</v>
      </c>
      <c r="AE143" s="27" t="n">
        <f aca="false">MIN(I142*(1+I$8),MAX(U143,$B$11-SUM(X143:AD143)-SUM(V143:W143)))</f>
        <v>0</v>
      </c>
      <c r="AF143" s="27" t="n">
        <f aca="false">MIN(J142*(1+J$8),MAX(V143,$B$11-SUM(X143:AE143)-SUM(W143:W143)))</f>
        <v>0</v>
      </c>
      <c r="AG143" s="27" t="n">
        <f aca="false">MIN(K142*(1+K$8),MAX(W143,$B$11-SUM(X143:AF143)))</f>
        <v>0</v>
      </c>
      <c r="AI143" s="27" t="n">
        <f aca="false">ROUND(MAX(0,AI142*(1+B$8)-BE143),2)</f>
        <v>0</v>
      </c>
      <c r="AJ143" s="27" t="n">
        <f aca="false">ROUND(MAX(0,AJ142*(1+C$8)-BF143),2)</f>
        <v>0</v>
      </c>
      <c r="AK143" s="27" t="n">
        <f aca="false">ROUND(MAX(0,AK142*(1+D$8)-BG143),2)</f>
        <v>0</v>
      </c>
      <c r="AL143" s="27" t="n">
        <f aca="false">ROUND(MAX(0,AL142*(1+E$8)-BH143),2)</f>
        <v>0</v>
      </c>
      <c r="AM143" s="27" t="n">
        <f aca="false">ROUND(MAX(0,AM142*(1+F$8)-BI143),2)</f>
        <v>0</v>
      </c>
      <c r="AN143" s="27" t="n">
        <f aca="false">ROUND(MAX(0,AN142*(1+G$8)-BJ143),2)</f>
        <v>0</v>
      </c>
      <c r="AO143" s="27" t="n">
        <f aca="false">ROUND(MAX(0,AO142*(1+H$8)-BK143),2)</f>
        <v>0</v>
      </c>
      <c r="AP143" s="27" t="n">
        <f aca="false">ROUND(MAX(0,AP142*(1+I$8)-BL143),2)</f>
        <v>0</v>
      </c>
      <c r="AQ143" s="27" t="n">
        <f aca="false">ROUND(MAX(0,AQ142*(1+J$8)-BM143),2)</f>
        <v>0</v>
      </c>
      <c r="AR143" s="27" t="n">
        <f aca="false">ROUND(MAX(0,AR142*(1+K$8)-BN143),2)</f>
        <v>0</v>
      </c>
      <c r="AS143" s="27" t="n">
        <f aca="false">SUM(AI143:AR143)</f>
        <v>0</v>
      </c>
      <c r="AT143" s="27" t="n">
        <f aca="false">SUMPRODUCT(AI142:AR142,$B$8:$K$8)</f>
        <v>0</v>
      </c>
      <c r="AU143" s="27" t="n">
        <f aca="false">MIN(AI142*(1+B$8),B$9)</f>
        <v>0</v>
      </c>
      <c r="AV143" s="27" t="n">
        <f aca="false">MIN(AJ142*(1+C$8),C$9)</f>
        <v>0</v>
      </c>
      <c r="AW143" s="27" t="n">
        <f aca="false">MIN(AK142*(1+D$8),D$9)</f>
        <v>0</v>
      </c>
      <c r="AX143" s="27" t="n">
        <f aca="false">MIN(AL142*(1+E$8),E$9)</f>
        <v>0</v>
      </c>
      <c r="AY143" s="27" t="n">
        <f aca="false">MIN(AM142*(1+F$8),F$9)</f>
        <v>0</v>
      </c>
      <c r="AZ143" s="27" t="n">
        <f aca="false">MIN(AN142*(1+G$8),G$9)</f>
        <v>0</v>
      </c>
      <c r="BA143" s="27" t="n">
        <f aca="false">MIN(AO142*(1+H$8),H$9)</f>
        <v>0</v>
      </c>
      <c r="BB143" s="27" t="n">
        <f aca="false">MIN(AP142*(1+I$8),I$9)</f>
        <v>0</v>
      </c>
      <c r="BC143" s="27" t="n">
        <f aca="false">MIN(AQ142*(1+J$8),J$9)</f>
        <v>0</v>
      </c>
      <c r="BD143" s="27" t="n">
        <f aca="false">MIN(AR142*(1+K$8),K$9)</f>
        <v>0</v>
      </c>
      <c r="BE143" s="27" t="n">
        <f aca="false">MIN(AI142*(1+B$8),MAX(AU143,$B$12-SUM(AV143:BD143)))</f>
        <v>0</v>
      </c>
      <c r="BF143" s="27" t="n">
        <f aca="false">MIN(AJ142*(1+C$8),MAX(AV143,$B$12-SUM(BE143:BE143)-SUM(AW143:BD143)))</f>
        <v>0</v>
      </c>
      <c r="BG143" s="27" t="n">
        <f aca="false">MIN(AK142*(1+D$8),MAX(AW143,$B$12-SUM(BE143:BF143)-SUM(AX143:BD143)))</f>
        <v>0</v>
      </c>
      <c r="BH143" s="27" t="n">
        <f aca="false">MIN(AL142*(1+E$8),MAX(AX143,$B$12-SUM(BE143:BG143)-SUM(AY143:BD143)))</f>
        <v>0</v>
      </c>
      <c r="BI143" s="27" t="n">
        <f aca="false">MIN(AM142*(1+F$8),MAX(AY143,$B$12-SUM(BE143:BH143)-SUM(AZ143:BD143)))</f>
        <v>0</v>
      </c>
      <c r="BJ143" s="27" t="n">
        <f aca="false">MIN(AN142*(1+G$8),MAX(AZ143,$B$12-SUM(BE143:BI143)-SUM(BA143:BD143)))</f>
        <v>0</v>
      </c>
      <c r="BK143" s="27" t="n">
        <f aca="false">MIN(AO142*(1+H$8),MAX(BA143,$B$12-SUM(BE143:BJ143)-SUM(BB143:BD143)))</f>
        <v>0</v>
      </c>
      <c r="BL143" s="27" t="n">
        <f aca="false">MIN(AP142*(1+I$8),MAX(BB143,$B$12-SUM(BE143:BK143)-SUM(BC143:BD143)))</f>
        <v>0</v>
      </c>
      <c r="BM143" s="27" t="n">
        <f aca="false">MIN(AQ142*(1+J$8),MAX(BC143,$B$12-SUM(BE143:BL143)-SUM(BD143:BD143)))</f>
        <v>0</v>
      </c>
      <c r="BN143" s="27" t="n">
        <f aca="false">MIN(AR142*(1+K$8),MAX(BD143,$B$12-SUM(BE143:BM143)))</f>
        <v>0</v>
      </c>
    </row>
    <row r="144" customFormat="false" ht="15" hidden="false" customHeight="false" outlineLevel="0" collapsed="false">
      <c r="A144" s="0" t="n">
        <v>130</v>
      </c>
      <c r="B144" s="27" t="n">
        <f aca="false">ROUND(MAX(0,B143*(1+B$8)-X144),2)</f>
        <v>0</v>
      </c>
      <c r="C144" s="27" t="n">
        <f aca="false">ROUND(MAX(0,C143*(1+C$8)-Y144),2)</f>
        <v>0</v>
      </c>
      <c r="D144" s="27" t="n">
        <f aca="false">ROUND(MAX(0,D143*(1+D$8)-Z144),2)</f>
        <v>0</v>
      </c>
      <c r="E144" s="27" t="n">
        <f aca="false">ROUND(MAX(0,E143*(1+E$8)-AA144),2)</f>
        <v>0</v>
      </c>
      <c r="F144" s="27" t="n">
        <f aca="false">ROUND(MAX(0,F143*(1+F$8)-AB144),2)</f>
        <v>0</v>
      </c>
      <c r="G144" s="27" t="n">
        <f aca="false">ROUND(MAX(0,G143*(1+G$8)-AC144),2)</f>
        <v>0</v>
      </c>
      <c r="H144" s="27" t="n">
        <f aca="false">ROUND(MAX(0,H143*(1+H$8)-AD144),2)</f>
        <v>0</v>
      </c>
      <c r="I144" s="27" t="n">
        <f aca="false">ROUND(MAX(0,I143*(1+I$8)-AE144),2)</f>
        <v>0</v>
      </c>
      <c r="J144" s="27" t="n">
        <f aca="false">ROUND(MAX(0,J143*(1+J$8)-AF144),2)</f>
        <v>0</v>
      </c>
      <c r="K144" s="27" t="n">
        <f aca="false">ROUND(MAX(0,K143*(1+K$8)-AG144),2)</f>
        <v>0</v>
      </c>
      <c r="L144" s="30" t="n">
        <f aca="false">SUM(B144:K144)</f>
        <v>0</v>
      </c>
      <c r="M144" s="27" t="n">
        <f aca="false">SUMPRODUCT(B143:K143,$B$8:$K$8)</f>
        <v>0</v>
      </c>
      <c r="N144" s="27" t="n">
        <f aca="false">MIN(B143*(1+B$8),B$9)</f>
        <v>0</v>
      </c>
      <c r="O144" s="27" t="n">
        <f aca="false">MIN(C143*(1+C$8),C$9)</f>
        <v>0</v>
      </c>
      <c r="P144" s="27" t="n">
        <f aca="false">MIN(D143*(1+D$8),D$9)</f>
        <v>0</v>
      </c>
      <c r="Q144" s="27" t="n">
        <f aca="false">MIN(E143*(1+E$8),E$9)</f>
        <v>0</v>
      </c>
      <c r="R144" s="27" t="n">
        <f aca="false">MIN(F143*(1+F$8),F$9)</f>
        <v>0</v>
      </c>
      <c r="S144" s="27" t="n">
        <f aca="false">MIN(G143*(1+G$8),G$9)</f>
        <v>0</v>
      </c>
      <c r="T144" s="27" t="n">
        <f aca="false">MIN(H143*(1+H$8),H$9)</f>
        <v>0</v>
      </c>
      <c r="U144" s="27" t="n">
        <f aca="false">MIN(I143*(1+I$8),I$9)</f>
        <v>0</v>
      </c>
      <c r="V144" s="27" t="n">
        <f aca="false">MIN(J143*(1+J$8),J$9)</f>
        <v>0</v>
      </c>
      <c r="W144" s="27" t="n">
        <f aca="false">MIN(K143*(1+K$8),K$9)</f>
        <v>0</v>
      </c>
      <c r="X144" s="27" t="n">
        <f aca="false">MIN(B143*(1+B$8),MAX(N144,$B$11-SUM(O144:W144)))</f>
        <v>0</v>
      </c>
      <c r="Y144" s="27" t="n">
        <f aca="false">MIN(C143*(1+C$8),MAX(O144,$B$11-SUM(X144:X144)-SUM(P144:W144)))</f>
        <v>0</v>
      </c>
      <c r="Z144" s="27" t="n">
        <f aca="false">MIN(D143*(1+D$8),MAX(P144,$B$11-SUM(X144:Y144)-SUM(Q144:W144)))</f>
        <v>0</v>
      </c>
      <c r="AA144" s="27" t="n">
        <f aca="false">MIN(E143*(1+E$8),MAX(Q144,$B$11-SUM(X144:Z144)-SUM(R144:W144)))</f>
        <v>0</v>
      </c>
      <c r="AB144" s="27" t="n">
        <f aca="false">MIN(F143*(1+F$8),MAX(R144,$B$11-SUM(X144:AA144)-SUM(S144:W144)))</f>
        <v>0</v>
      </c>
      <c r="AC144" s="27" t="n">
        <f aca="false">MIN(G143*(1+G$8),MAX(S144,$B$11-SUM(X144:AB144)-SUM(T144:W144)))</f>
        <v>0</v>
      </c>
      <c r="AD144" s="27" t="n">
        <f aca="false">MIN(H143*(1+H$8),MAX(T144,$B$11-SUM(X144:AC144)-SUM(U144:W144)))</f>
        <v>0</v>
      </c>
      <c r="AE144" s="27" t="n">
        <f aca="false">MIN(I143*(1+I$8),MAX(U144,$B$11-SUM(X144:AD144)-SUM(V144:W144)))</f>
        <v>0</v>
      </c>
      <c r="AF144" s="27" t="n">
        <f aca="false">MIN(J143*(1+J$8),MAX(V144,$B$11-SUM(X144:AE144)-SUM(W144:W144)))</f>
        <v>0</v>
      </c>
      <c r="AG144" s="27" t="n">
        <f aca="false">MIN(K143*(1+K$8),MAX(W144,$B$11-SUM(X144:AF144)))</f>
        <v>0</v>
      </c>
      <c r="AI144" s="27" t="n">
        <f aca="false">ROUND(MAX(0,AI143*(1+B$8)-BE144),2)</f>
        <v>0</v>
      </c>
      <c r="AJ144" s="27" t="n">
        <f aca="false">ROUND(MAX(0,AJ143*(1+C$8)-BF144),2)</f>
        <v>0</v>
      </c>
      <c r="AK144" s="27" t="n">
        <f aca="false">ROUND(MAX(0,AK143*(1+D$8)-BG144),2)</f>
        <v>0</v>
      </c>
      <c r="AL144" s="27" t="n">
        <f aca="false">ROUND(MAX(0,AL143*(1+E$8)-BH144),2)</f>
        <v>0</v>
      </c>
      <c r="AM144" s="27" t="n">
        <f aca="false">ROUND(MAX(0,AM143*(1+F$8)-BI144),2)</f>
        <v>0</v>
      </c>
      <c r="AN144" s="27" t="n">
        <f aca="false">ROUND(MAX(0,AN143*(1+G$8)-BJ144),2)</f>
        <v>0</v>
      </c>
      <c r="AO144" s="27" t="n">
        <f aca="false">ROUND(MAX(0,AO143*(1+H$8)-BK144),2)</f>
        <v>0</v>
      </c>
      <c r="AP144" s="27" t="n">
        <f aca="false">ROUND(MAX(0,AP143*(1+I$8)-BL144),2)</f>
        <v>0</v>
      </c>
      <c r="AQ144" s="27" t="n">
        <f aca="false">ROUND(MAX(0,AQ143*(1+J$8)-BM144),2)</f>
        <v>0</v>
      </c>
      <c r="AR144" s="27" t="n">
        <f aca="false">ROUND(MAX(0,AR143*(1+K$8)-BN144),2)</f>
        <v>0</v>
      </c>
      <c r="AS144" s="27" t="n">
        <f aca="false">SUM(AI144:AR144)</f>
        <v>0</v>
      </c>
      <c r="AT144" s="27" t="n">
        <f aca="false">SUMPRODUCT(AI143:AR143,$B$8:$K$8)</f>
        <v>0</v>
      </c>
      <c r="AU144" s="27" t="n">
        <f aca="false">MIN(AI143*(1+B$8),B$9)</f>
        <v>0</v>
      </c>
      <c r="AV144" s="27" t="n">
        <f aca="false">MIN(AJ143*(1+C$8),C$9)</f>
        <v>0</v>
      </c>
      <c r="AW144" s="27" t="n">
        <f aca="false">MIN(AK143*(1+D$8),D$9)</f>
        <v>0</v>
      </c>
      <c r="AX144" s="27" t="n">
        <f aca="false">MIN(AL143*(1+E$8),E$9)</f>
        <v>0</v>
      </c>
      <c r="AY144" s="27" t="n">
        <f aca="false">MIN(AM143*(1+F$8),F$9)</f>
        <v>0</v>
      </c>
      <c r="AZ144" s="27" t="n">
        <f aca="false">MIN(AN143*(1+G$8),G$9)</f>
        <v>0</v>
      </c>
      <c r="BA144" s="27" t="n">
        <f aca="false">MIN(AO143*(1+H$8),H$9)</f>
        <v>0</v>
      </c>
      <c r="BB144" s="27" t="n">
        <f aca="false">MIN(AP143*(1+I$8),I$9)</f>
        <v>0</v>
      </c>
      <c r="BC144" s="27" t="n">
        <f aca="false">MIN(AQ143*(1+J$8),J$9)</f>
        <v>0</v>
      </c>
      <c r="BD144" s="27" t="n">
        <f aca="false">MIN(AR143*(1+K$8),K$9)</f>
        <v>0</v>
      </c>
      <c r="BE144" s="27" t="n">
        <f aca="false">MIN(AI143*(1+B$8),MAX(AU144,$B$12-SUM(AV144:BD144)))</f>
        <v>0</v>
      </c>
      <c r="BF144" s="27" t="n">
        <f aca="false">MIN(AJ143*(1+C$8),MAX(AV144,$B$12-SUM(BE144:BE144)-SUM(AW144:BD144)))</f>
        <v>0</v>
      </c>
      <c r="BG144" s="27" t="n">
        <f aca="false">MIN(AK143*(1+D$8),MAX(AW144,$B$12-SUM(BE144:BF144)-SUM(AX144:BD144)))</f>
        <v>0</v>
      </c>
      <c r="BH144" s="27" t="n">
        <f aca="false">MIN(AL143*(1+E$8),MAX(AX144,$B$12-SUM(BE144:BG144)-SUM(AY144:BD144)))</f>
        <v>0</v>
      </c>
      <c r="BI144" s="27" t="n">
        <f aca="false">MIN(AM143*(1+F$8),MAX(AY144,$B$12-SUM(BE144:BH144)-SUM(AZ144:BD144)))</f>
        <v>0</v>
      </c>
      <c r="BJ144" s="27" t="n">
        <f aca="false">MIN(AN143*(1+G$8),MAX(AZ144,$B$12-SUM(BE144:BI144)-SUM(BA144:BD144)))</f>
        <v>0</v>
      </c>
      <c r="BK144" s="27" t="n">
        <f aca="false">MIN(AO143*(1+H$8),MAX(BA144,$B$12-SUM(BE144:BJ144)-SUM(BB144:BD144)))</f>
        <v>0</v>
      </c>
      <c r="BL144" s="27" t="n">
        <f aca="false">MIN(AP143*(1+I$8),MAX(BB144,$B$12-SUM(BE144:BK144)-SUM(BC144:BD144)))</f>
        <v>0</v>
      </c>
      <c r="BM144" s="27" t="n">
        <f aca="false">MIN(AQ143*(1+J$8),MAX(BC144,$B$12-SUM(BE144:BL144)-SUM(BD144:BD144)))</f>
        <v>0</v>
      </c>
      <c r="BN144" s="27" t="n">
        <f aca="false">MIN(AR143*(1+K$8),MAX(BD144,$B$12-SUM(BE144:BM144)))</f>
        <v>0</v>
      </c>
    </row>
    <row r="145" customFormat="false" ht="15" hidden="false" customHeight="false" outlineLevel="0" collapsed="false">
      <c r="A145" s="0" t="n">
        <v>131</v>
      </c>
      <c r="B145" s="27" t="n">
        <f aca="false">ROUND(MAX(0,B144*(1+B$8)-X145),2)</f>
        <v>0</v>
      </c>
      <c r="C145" s="27" t="n">
        <f aca="false">ROUND(MAX(0,C144*(1+C$8)-Y145),2)</f>
        <v>0</v>
      </c>
      <c r="D145" s="27" t="n">
        <f aca="false">ROUND(MAX(0,D144*(1+D$8)-Z145),2)</f>
        <v>0</v>
      </c>
      <c r="E145" s="27" t="n">
        <f aca="false">ROUND(MAX(0,E144*(1+E$8)-AA145),2)</f>
        <v>0</v>
      </c>
      <c r="F145" s="27" t="n">
        <f aca="false">ROUND(MAX(0,F144*(1+F$8)-AB145),2)</f>
        <v>0</v>
      </c>
      <c r="G145" s="27" t="n">
        <f aca="false">ROUND(MAX(0,G144*(1+G$8)-AC145),2)</f>
        <v>0</v>
      </c>
      <c r="H145" s="27" t="n">
        <f aca="false">ROUND(MAX(0,H144*(1+H$8)-AD145),2)</f>
        <v>0</v>
      </c>
      <c r="I145" s="27" t="n">
        <f aca="false">ROUND(MAX(0,I144*(1+I$8)-AE145),2)</f>
        <v>0</v>
      </c>
      <c r="J145" s="27" t="n">
        <f aca="false">ROUND(MAX(0,J144*(1+J$8)-AF145),2)</f>
        <v>0</v>
      </c>
      <c r="K145" s="27" t="n">
        <f aca="false">ROUND(MAX(0,K144*(1+K$8)-AG145),2)</f>
        <v>0</v>
      </c>
      <c r="L145" s="30" t="n">
        <f aca="false">SUM(B145:K145)</f>
        <v>0</v>
      </c>
      <c r="M145" s="27" t="n">
        <f aca="false">SUMPRODUCT(B144:K144,$B$8:$K$8)</f>
        <v>0</v>
      </c>
      <c r="N145" s="27" t="n">
        <f aca="false">MIN(B144*(1+B$8),B$9)</f>
        <v>0</v>
      </c>
      <c r="O145" s="27" t="n">
        <f aca="false">MIN(C144*(1+C$8),C$9)</f>
        <v>0</v>
      </c>
      <c r="P145" s="27" t="n">
        <f aca="false">MIN(D144*(1+D$8),D$9)</f>
        <v>0</v>
      </c>
      <c r="Q145" s="27" t="n">
        <f aca="false">MIN(E144*(1+E$8),E$9)</f>
        <v>0</v>
      </c>
      <c r="R145" s="27" t="n">
        <f aca="false">MIN(F144*(1+F$8),F$9)</f>
        <v>0</v>
      </c>
      <c r="S145" s="27" t="n">
        <f aca="false">MIN(G144*(1+G$8),G$9)</f>
        <v>0</v>
      </c>
      <c r="T145" s="27" t="n">
        <f aca="false">MIN(H144*(1+H$8),H$9)</f>
        <v>0</v>
      </c>
      <c r="U145" s="27" t="n">
        <f aca="false">MIN(I144*(1+I$8),I$9)</f>
        <v>0</v>
      </c>
      <c r="V145" s="27" t="n">
        <f aca="false">MIN(J144*(1+J$8),J$9)</f>
        <v>0</v>
      </c>
      <c r="W145" s="27" t="n">
        <f aca="false">MIN(K144*(1+K$8),K$9)</f>
        <v>0</v>
      </c>
      <c r="X145" s="27" t="n">
        <f aca="false">MIN(B144*(1+B$8),MAX(N145,$B$11-SUM(O145:W145)))</f>
        <v>0</v>
      </c>
      <c r="Y145" s="27" t="n">
        <f aca="false">MIN(C144*(1+C$8),MAX(O145,$B$11-SUM(X145:X145)-SUM(P145:W145)))</f>
        <v>0</v>
      </c>
      <c r="Z145" s="27" t="n">
        <f aca="false">MIN(D144*(1+D$8),MAX(P145,$B$11-SUM(X145:Y145)-SUM(Q145:W145)))</f>
        <v>0</v>
      </c>
      <c r="AA145" s="27" t="n">
        <f aca="false">MIN(E144*(1+E$8),MAX(Q145,$B$11-SUM(X145:Z145)-SUM(R145:W145)))</f>
        <v>0</v>
      </c>
      <c r="AB145" s="27" t="n">
        <f aca="false">MIN(F144*(1+F$8),MAX(R145,$B$11-SUM(X145:AA145)-SUM(S145:W145)))</f>
        <v>0</v>
      </c>
      <c r="AC145" s="27" t="n">
        <f aca="false">MIN(G144*(1+G$8),MAX(S145,$B$11-SUM(X145:AB145)-SUM(T145:W145)))</f>
        <v>0</v>
      </c>
      <c r="AD145" s="27" t="n">
        <f aca="false">MIN(H144*(1+H$8),MAX(T145,$B$11-SUM(X145:AC145)-SUM(U145:W145)))</f>
        <v>0</v>
      </c>
      <c r="AE145" s="27" t="n">
        <f aca="false">MIN(I144*(1+I$8),MAX(U145,$B$11-SUM(X145:AD145)-SUM(V145:W145)))</f>
        <v>0</v>
      </c>
      <c r="AF145" s="27" t="n">
        <f aca="false">MIN(J144*(1+J$8),MAX(V145,$B$11-SUM(X145:AE145)-SUM(W145:W145)))</f>
        <v>0</v>
      </c>
      <c r="AG145" s="27" t="n">
        <f aca="false">MIN(K144*(1+K$8),MAX(W145,$B$11-SUM(X145:AF145)))</f>
        <v>0</v>
      </c>
      <c r="AI145" s="27" t="n">
        <f aca="false">ROUND(MAX(0,AI144*(1+B$8)-BE145),2)</f>
        <v>0</v>
      </c>
      <c r="AJ145" s="27" t="n">
        <f aca="false">ROUND(MAX(0,AJ144*(1+C$8)-BF145),2)</f>
        <v>0</v>
      </c>
      <c r="AK145" s="27" t="n">
        <f aca="false">ROUND(MAX(0,AK144*(1+D$8)-BG145),2)</f>
        <v>0</v>
      </c>
      <c r="AL145" s="27" t="n">
        <f aca="false">ROUND(MAX(0,AL144*(1+E$8)-BH145),2)</f>
        <v>0</v>
      </c>
      <c r="AM145" s="27" t="n">
        <f aca="false">ROUND(MAX(0,AM144*(1+F$8)-BI145),2)</f>
        <v>0</v>
      </c>
      <c r="AN145" s="27" t="n">
        <f aca="false">ROUND(MAX(0,AN144*(1+G$8)-BJ145),2)</f>
        <v>0</v>
      </c>
      <c r="AO145" s="27" t="n">
        <f aca="false">ROUND(MAX(0,AO144*(1+H$8)-BK145),2)</f>
        <v>0</v>
      </c>
      <c r="AP145" s="27" t="n">
        <f aca="false">ROUND(MAX(0,AP144*(1+I$8)-BL145),2)</f>
        <v>0</v>
      </c>
      <c r="AQ145" s="27" t="n">
        <f aca="false">ROUND(MAX(0,AQ144*(1+J$8)-BM145),2)</f>
        <v>0</v>
      </c>
      <c r="AR145" s="27" t="n">
        <f aca="false">ROUND(MAX(0,AR144*(1+K$8)-BN145),2)</f>
        <v>0</v>
      </c>
      <c r="AS145" s="27" t="n">
        <f aca="false">SUM(AI145:AR145)</f>
        <v>0</v>
      </c>
      <c r="AT145" s="27" t="n">
        <f aca="false">SUMPRODUCT(AI144:AR144,$B$8:$K$8)</f>
        <v>0</v>
      </c>
      <c r="AU145" s="27" t="n">
        <f aca="false">MIN(AI144*(1+B$8),B$9)</f>
        <v>0</v>
      </c>
      <c r="AV145" s="27" t="n">
        <f aca="false">MIN(AJ144*(1+C$8),C$9)</f>
        <v>0</v>
      </c>
      <c r="AW145" s="27" t="n">
        <f aca="false">MIN(AK144*(1+D$8),D$9)</f>
        <v>0</v>
      </c>
      <c r="AX145" s="27" t="n">
        <f aca="false">MIN(AL144*(1+E$8),E$9)</f>
        <v>0</v>
      </c>
      <c r="AY145" s="27" t="n">
        <f aca="false">MIN(AM144*(1+F$8),F$9)</f>
        <v>0</v>
      </c>
      <c r="AZ145" s="27" t="n">
        <f aca="false">MIN(AN144*(1+G$8),G$9)</f>
        <v>0</v>
      </c>
      <c r="BA145" s="27" t="n">
        <f aca="false">MIN(AO144*(1+H$8),H$9)</f>
        <v>0</v>
      </c>
      <c r="BB145" s="27" t="n">
        <f aca="false">MIN(AP144*(1+I$8),I$9)</f>
        <v>0</v>
      </c>
      <c r="BC145" s="27" t="n">
        <f aca="false">MIN(AQ144*(1+J$8),J$9)</f>
        <v>0</v>
      </c>
      <c r="BD145" s="27" t="n">
        <f aca="false">MIN(AR144*(1+K$8),K$9)</f>
        <v>0</v>
      </c>
      <c r="BE145" s="27" t="n">
        <f aca="false">MIN(AI144*(1+B$8),MAX(AU145,$B$12-SUM(AV145:BD145)))</f>
        <v>0</v>
      </c>
      <c r="BF145" s="27" t="n">
        <f aca="false">MIN(AJ144*(1+C$8),MAX(AV145,$B$12-SUM(BE145:BE145)-SUM(AW145:BD145)))</f>
        <v>0</v>
      </c>
      <c r="BG145" s="27" t="n">
        <f aca="false">MIN(AK144*(1+D$8),MAX(AW145,$B$12-SUM(BE145:BF145)-SUM(AX145:BD145)))</f>
        <v>0</v>
      </c>
      <c r="BH145" s="27" t="n">
        <f aca="false">MIN(AL144*(1+E$8),MAX(AX145,$B$12-SUM(BE145:BG145)-SUM(AY145:BD145)))</f>
        <v>0</v>
      </c>
      <c r="BI145" s="27" t="n">
        <f aca="false">MIN(AM144*(1+F$8),MAX(AY145,$B$12-SUM(BE145:BH145)-SUM(AZ145:BD145)))</f>
        <v>0</v>
      </c>
      <c r="BJ145" s="27" t="n">
        <f aca="false">MIN(AN144*(1+G$8),MAX(AZ145,$B$12-SUM(BE145:BI145)-SUM(BA145:BD145)))</f>
        <v>0</v>
      </c>
      <c r="BK145" s="27" t="n">
        <f aca="false">MIN(AO144*(1+H$8),MAX(BA145,$B$12-SUM(BE145:BJ145)-SUM(BB145:BD145)))</f>
        <v>0</v>
      </c>
      <c r="BL145" s="27" t="n">
        <f aca="false">MIN(AP144*(1+I$8),MAX(BB145,$B$12-SUM(BE145:BK145)-SUM(BC145:BD145)))</f>
        <v>0</v>
      </c>
      <c r="BM145" s="27" t="n">
        <f aca="false">MIN(AQ144*(1+J$8),MAX(BC145,$B$12-SUM(BE145:BL145)-SUM(BD145:BD145)))</f>
        <v>0</v>
      </c>
      <c r="BN145" s="27" t="n">
        <f aca="false">MIN(AR144*(1+K$8),MAX(BD145,$B$12-SUM(BE145:BM145)))</f>
        <v>0</v>
      </c>
    </row>
    <row r="146" customFormat="false" ht="15" hidden="false" customHeight="false" outlineLevel="0" collapsed="false">
      <c r="A146" s="0" t="n">
        <v>132</v>
      </c>
      <c r="B146" s="27" t="n">
        <f aca="false">ROUND(MAX(0,B145*(1+B$8)-X146),2)</f>
        <v>0</v>
      </c>
      <c r="C146" s="27" t="n">
        <f aca="false">ROUND(MAX(0,C145*(1+C$8)-Y146),2)</f>
        <v>0</v>
      </c>
      <c r="D146" s="27" t="n">
        <f aca="false">ROUND(MAX(0,D145*(1+D$8)-Z146),2)</f>
        <v>0</v>
      </c>
      <c r="E146" s="27" t="n">
        <f aca="false">ROUND(MAX(0,E145*(1+E$8)-AA146),2)</f>
        <v>0</v>
      </c>
      <c r="F146" s="27" t="n">
        <f aca="false">ROUND(MAX(0,F145*(1+F$8)-AB146),2)</f>
        <v>0</v>
      </c>
      <c r="G146" s="27" t="n">
        <f aca="false">ROUND(MAX(0,G145*(1+G$8)-AC146),2)</f>
        <v>0</v>
      </c>
      <c r="H146" s="27" t="n">
        <f aca="false">ROUND(MAX(0,H145*(1+H$8)-AD146),2)</f>
        <v>0</v>
      </c>
      <c r="I146" s="27" t="n">
        <f aca="false">ROUND(MAX(0,I145*(1+I$8)-AE146),2)</f>
        <v>0</v>
      </c>
      <c r="J146" s="27" t="n">
        <f aca="false">ROUND(MAX(0,J145*(1+J$8)-AF146),2)</f>
        <v>0</v>
      </c>
      <c r="K146" s="27" t="n">
        <f aca="false">ROUND(MAX(0,K145*(1+K$8)-AG146),2)</f>
        <v>0</v>
      </c>
      <c r="L146" s="30" t="n">
        <f aca="false">SUM(B146:K146)</f>
        <v>0</v>
      </c>
      <c r="M146" s="27" t="n">
        <f aca="false">SUMPRODUCT(B145:K145,$B$8:$K$8)</f>
        <v>0</v>
      </c>
      <c r="N146" s="27" t="n">
        <f aca="false">MIN(B145*(1+B$8),B$9)</f>
        <v>0</v>
      </c>
      <c r="O146" s="27" t="n">
        <f aca="false">MIN(C145*(1+C$8),C$9)</f>
        <v>0</v>
      </c>
      <c r="P146" s="27" t="n">
        <f aca="false">MIN(D145*(1+D$8),D$9)</f>
        <v>0</v>
      </c>
      <c r="Q146" s="27" t="n">
        <f aca="false">MIN(E145*(1+E$8),E$9)</f>
        <v>0</v>
      </c>
      <c r="R146" s="27" t="n">
        <f aca="false">MIN(F145*(1+F$8),F$9)</f>
        <v>0</v>
      </c>
      <c r="S146" s="27" t="n">
        <f aca="false">MIN(G145*(1+G$8),G$9)</f>
        <v>0</v>
      </c>
      <c r="T146" s="27" t="n">
        <f aca="false">MIN(H145*(1+H$8),H$9)</f>
        <v>0</v>
      </c>
      <c r="U146" s="27" t="n">
        <f aca="false">MIN(I145*(1+I$8),I$9)</f>
        <v>0</v>
      </c>
      <c r="V146" s="27" t="n">
        <f aca="false">MIN(J145*(1+J$8),J$9)</f>
        <v>0</v>
      </c>
      <c r="W146" s="27" t="n">
        <f aca="false">MIN(K145*(1+K$8),K$9)</f>
        <v>0</v>
      </c>
      <c r="X146" s="27" t="n">
        <f aca="false">MIN(B145*(1+B$8),MAX(N146,$B$11-SUM(O146:W146)))</f>
        <v>0</v>
      </c>
      <c r="Y146" s="27" t="n">
        <f aca="false">MIN(C145*(1+C$8),MAX(O146,$B$11-SUM(X146:X146)-SUM(P146:W146)))</f>
        <v>0</v>
      </c>
      <c r="Z146" s="27" t="n">
        <f aca="false">MIN(D145*(1+D$8),MAX(P146,$B$11-SUM(X146:Y146)-SUM(Q146:W146)))</f>
        <v>0</v>
      </c>
      <c r="AA146" s="27" t="n">
        <f aca="false">MIN(E145*(1+E$8),MAX(Q146,$B$11-SUM(X146:Z146)-SUM(R146:W146)))</f>
        <v>0</v>
      </c>
      <c r="AB146" s="27" t="n">
        <f aca="false">MIN(F145*(1+F$8),MAX(R146,$B$11-SUM(X146:AA146)-SUM(S146:W146)))</f>
        <v>0</v>
      </c>
      <c r="AC146" s="27" t="n">
        <f aca="false">MIN(G145*(1+G$8),MAX(S146,$B$11-SUM(X146:AB146)-SUM(T146:W146)))</f>
        <v>0</v>
      </c>
      <c r="AD146" s="27" t="n">
        <f aca="false">MIN(H145*(1+H$8),MAX(T146,$B$11-SUM(X146:AC146)-SUM(U146:W146)))</f>
        <v>0</v>
      </c>
      <c r="AE146" s="27" t="n">
        <f aca="false">MIN(I145*(1+I$8),MAX(U146,$B$11-SUM(X146:AD146)-SUM(V146:W146)))</f>
        <v>0</v>
      </c>
      <c r="AF146" s="27" t="n">
        <f aca="false">MIN(J145*(1+J$8),MAX(V146,$B$11-SUM(X146:AE146)-SUM(W146:W146)))</f>
        <v>0</v>
      </c>
      <c r="AG146" s="27" t="n">
        <f aca="false">MIN(K145*(1+K$8),MAX(W146,$B$11-SUM(X146:AF146)))</f>
        <v>0</v>
      </c>
      <c r="AI146" s="27" t="n">
        <f aca="false">ROUND(MAX(0,AI145*(1+B$8)-BE146),2)</f>
        <v>0</v>
      </c>
      <c r="AJ146" s="27" t="n">
        <f aca="false">ROUND(MAX(0,AJ145*(1+C$8)-BF146),2)</f>
        <v>0</v>
      </c>
      <c r="AK146" s="27" t="n">
        <f aca="false">ROUND(MAX(0,AK145*(1+D$8)-BG146),2)</f>
        <v>0</v>
      </c>
      <c r="AL146" s="27" t="n">
        <f aca="false">ROUND(MAX(0,AL145*(1+E$8)-BH146),2)</f>
        <v>0</v>
      </c>
      <c r="AM146" s="27" t="n">
        <f aca="false">ROUND(MAX(0,AM145*(1+F$8)-BI146),2)</f>
        <v>0</v>
      </c>
      <c r="AN146" s="27" t="n">
        <f aca="false">ROUND(MAX(0,AN145*(1+G$8)-BJ146),2)</f>
        <v>0</v>
      </c>
      <c r="AO146" s="27" t="n">
        <f aca="false">ROUND(MAX(0,AO145*(1+H$8)-BK146),2)</f>
        <v>0</v>
      </c>
      <c r="AP146" s="27" t="n">
        <f aca="false">ROUND(MAX(0,AP145*(1+I$8)-BL146),2)</f>
        <v>0</v>
      </c>
      <c r="AQ146" s="27" t="n">
        <f aca="false">ROUND(MAX(0,AQ145*(1+J$8)-BM146),2)</f>
        <v>0</v>
      </c>
      <c r="AR146" s="27" t="n">
        <f aca="false">ROUND(MAX(0,AR145*(1+K$8)-BN146),2)</f>
        <v>0</v>
      </c>
      <c r="AS146" s="27" t="n">
        <f aca="false">SUM(AI146:AR146)</f>
        <v>0</v>
      </c>
      <c r="AT146" s="27" t="n">
        <f aca="false">SUMPRODUCT(AI145:AR145,$B$8:$K$8)</f>
        <v>0</v>
      </c>
      <c r="AU146" s="27" t="n">
        <f aca="false">MIN(AI145*(1+B$8),B$9)</f>
        <v>0</v>
      </c>
      <c r="AV146" s="27" t="n">
        <f aca="false">MIN(AJ145*(1+C$8),C$9)</f>
        <v>0</v>
      </c>
      <c r="AW146" s="27" t="n">
        <f aca="false">MIN(AK145*(1+D$8),D$9)</f>
        <v>0</v>
      </c>
      <c r="AX146" s="27" t="n">
        <f aca="false">MIN(AL145*(1+E$8),E$9)</f>
        <v>0</v>
      </c>
      <c r="AY146" s="27" t="n">
        <f aca="false">MIN(AM145*(1+F$8),F$9)</f>
        <v>0</v>
      </c>
      <c r="AZ146" s="27" t="n">
        <f aca="false">MIN(AN145*(1+G$8),G$9)</f>
        <v>0</v>
      </c>
      <c r="BA146" s="27" t="n">
        <f aca="false">MIN(AO145*(1+H$8),H$9)</f>
        <v>0</v>
      </c>
      <c r="BB146" s="27" t="n">
        <f aca="false">MIN(AP145*(1+I$8),I$9)</f>
        <v>0</v>
      </c>
      <c r="BC146" s="27" t="n">
        <f aca="false">MIN(AQ145*(1+J$8),J$9)</f>
        <v>0</v>
      </c>
      <c r="BD146" s="27" t="n">
        <f aca="false">MIN(AR145*(1+K$8),K$9)</f>
        <v>0</v>
      </c>
      <c r="BE146" s="27" t="n">
        <f aca="false">MIN(AI145*(1+B$8),MAX(AU146,$B$12-SUM(AV146:BD146)))</f>
        <v>0</v>
      </c>
      <c r="BF146" s="27" t="n">
        <f aca="false">MIN(AJ145*(1+C$8),MAX(AV146,$B$12-SUM(BE146:BE146)-SUM(AW146:BD146)))</f>
        <v>0</v>
      </c>
      <c r="BG146" s="27" t="n">
        <f aca="false">MIN(AK145*(1+D$8),MAX(AW146,$B$12-SUM(BE146:BF146)-SUM(AX146:BD146)))</f>
        <v>0</v>
      </c>
      <c r="BH146" s="27" t="n">
        <f aca="false">MIN(AL145*(1+E$8),MAX(AX146,$B$12-SUM(BE146:BG146)-SUM(AY146:BD146)))</f>
        <v>0</v>
      </c>
      <c r="BI146" s="27" t="n">
        <f aca="false">MIN(AM145*(1+F$8),MAX(AY146,$B$12-SUM(BE146:BH146)-SUM(AZ146:BD146)))</f>
        <v>0</v>
      </c>
      <c r="BJ146" s="27" t="n">
        <f aca="false">MIN(AN145*(1+G$8),MAX(AZ146,$B$12-SUM(BE146:BI146)-SUM(BA146:BD146)))</f>
        <v>0</v>
      </c>
      <c r="BK146" s="27" t="n">
        <f aca="false">MIN(AO145*(1+H$8),MAX(BA146,$B$12-SUM(BE146:BJ146)-SUM(BB146:BD146)))</f>
        <v>0</v>
      </c>
      <c r="BL146" s="27" t="n">
        <f aca="false">MIN(AP145*(1+I$8),MAX(BB146,$B$12-SUM(BE146:BK146)-SUM(BC146:BD146)))</f>
        <v>0</v>
      </c>
      <c r="BM146" s="27" t="n">
        <f aca="false">MIN(AQ145*(1+J$8),MAX(BC146,$B$12-SUM(BE146:BL146)-SUM(BD146:BD146)))</f>
        <v>0</v>
      </c>
      <c r="BN146" s="27" t="n">
        <f aca="false">MIN(AR145*(1+K$8),MAX(BD146,$B$12-SUM(BE146:BM146)))</f>
        <v>0</v>
      </c>
    </row>
    <row r="147" customFormat="false" ht="15" hidden="false" customHeight="false" outlineLevel="0" collapsed="false">
      <c r="A147" s="0" t="n">
        <v>133</v>
      </c>
      <c r="B147" s="27" t="n">
        <f aca="false">ROUND(MAX(0,B146*(1+B$8)-X147),2)</f>
        <v>0</v>
      </c>
      <c r="C147" s="27" t="n">
        <f aca="false">ROUND(MAX(0,C146*(1+C$8)-Y147),2)</f>
        <v>0</v>
      </c>
      <c r="D147" s="27" t="n">
        <f aca="false">ROUND(MAX(0,D146*(1+D$8)-Z147),2)</f>
        <v>0</v>
      </c>
      <c r="E147" s="27" t="n">
        <f aca="false">ROUND(MAX(0,E146*(1+E$8)-AA147),2)</f>
        <v>0</v>
      </c>
      <c r="F147" s="27" t="n">
        <f aca="false">ROUND(MAX(0,F146*(1+F$8)-AB147),2)</f>
        <v>0</v>
      </c>
      <c r="G147" s="27" t="n">
        <f aca="false">ROUND(MAX(0,G146*(1+G$8)-AC147),2)</f>
        <v>0</v>
      </c>
      <c r="H147" s="27" t="n">
        <f aca="false">ROUND(MAX(0,H146*(1+H$8)-AD147),2)</f>
        <v>0</v>
      </c>
      <c r="I147" s="27" t="n">
        <f aca="false">ROUND(MAX(0,I146*(1+I$8)-AE147),2)</f>
        <v>0</v>
      </c>
      <c r="J147" s="27" t="n">
        <f aca="false">ROUND(MAX(0,J146*(1+J$8)-AF147),2)</f>
        <v>0</v>
      </c>
      <c r="K147" s="27" t="n">
        <f aca="false">ROUND(MAX(0,K146*(1+K$8)-AG147),2)</f>
        <v>0</v>
      </c>
      <c r="L147" s="30" t="n">
        <f aca="false">SUM(B147:K147)</f>
        <v>0</v>
      </c>
      <c r="M147" s="27" t="n">
        <f aca="false">SUMPRODUCT(B146:K146,$B$8:$K$8)</f>
        <v>0</v>
      </c>
      <c r="N147" s="27" t="n">
        <f aca="false">MIN(B146*(1+B$8),B$9)</f>
        <v>0</v>
      </c>
      <c r="O147" s="27" t="n">
        <f aca="false">MIN(C146*(1+C$8),C$9)</f>
        <v>0</v>
      </c>
      <c r="P147" s="27" t="n">
        <f aca="false">MIN(D146*(1+D$8),D$9)</f>
        <v>0</v>
      </c>
      <c r="Q147" s="27" t="n">
        <f aca="false">MIN(E146*(1+E$8),E$9)</f>
        <v>0</v>
      </c>
      <c r="R147" s="27" t="n">
        <f aca="false">MIN(F146*(1+F$8),F$9)</f>
        <v>0</v>
      </c>
      <c r="S147" s="27" t="n">
        <f aca="false">MIN(G146*(1+G$8),G$9)</f>
        <v>0</v>
      </c>
      <c r="T147" s="27" t="n">
        <f aca="false">MIN(H146*(1+H$8),H$9)</f>
        <v>0</v>
      </c>
      <c r="U147" s="27" t="n">
        <f aca="false">MIN(I146*(1+I$8),I$9)</f>
        <v>0</v>
      </c>
      <c r="V147" s="27" t="n">
        <f aca="false">MIN(J146*(1+J$8),J$9)</f>
        <v>0</v>
      </c>
      <c r="W147" s="27" t="n">
        <f aca="false">MIN(K146*(1+K$8),K$9)</f>
        <v>0</v>
      </c>
      <c r="X147" s="27" t="n">
        <f aca="false">MIN(B146*(1+B$8),MAX(N147,$B$11-SUM(O147:W147)))</f>
        <v>0</v>
      </c>
      <c r="Y147" s="27" t="n">
        <f aca="false">MIN(C146*(1+C$8),MAX(O147,$B$11-SUM(X147:X147)-SUM(P147:W147)))</f>
        <v>0</v>
      </c>
      <c r="Z147" s="27" t="n">
        <f aca="false">MIN(D146*(1+D$8),MAX(P147,$B$11-SUM(X147:Y147)-SUM(Q147:W147)))</f>
        <v>0</v>
      </c>
      <c r="AA147" s="27" t="n">
        <f aca="false">MIN(E146*(1+E$8),MAX(Q147,$B$11-SUM(X147:Z147)-SUM(R147:W147)))</f>
        <v>0</v>
      </c>
      <c r="AB147" s="27" t="n">
        <f aca="false">MIN(F146*(1+F$8),MAX(R147,$B$11-SUM(X147:AA147)-SUM(S147:W147)))</f>
        <v>0</v>
      </c>
      <c r="AC147" s="27" t="n">
        <f aca="false">MIN(G146*(1+G$8),MAX(S147,$B$11-SUM(X147:AB147)-SUM(T147:W147)))</f>
        <v>0</v>
      </c>
      <c r="AD147" s="27" t="n">
        <f aca="false">MIN(H146*(1+H$8),MAX(T147,$B$11-SUM(X147:AC147)-SUM(U147:W147)))</f>
        <v>0</v>
      </c>
      <c r="AE147" s="27" t="n">
        <f aca="false">MIN(I146*(1+I$8),MAX(U147,$B$11-SUM(X147:AD147)-SUM(V147:W147)))</f>
        <v>0</v>
      </c>
      <c r="AF147" s="27" t="n">
        <f aca="false">MIN(J146*(1+J$8),MAX(V147,$B$11-SUM(X147:AE147)-SUM(W147:W147)))</f>
        <v>0</v>
      </c>
      <c r="AG147" s="27" t="n">
        <f aca="false">MIN(K146*(1+K$8),MAX(W147,$B$11-SUM(X147:AF147)))</f>
        <v>0</v>
      </c>
      <c r="AI147" s="27" t="n">
        <f aca="false">ROUND(MAX(0,AI146*(1+B$8)-BE147),2)</f>
        <v>0</v>
      </c>
      <c r="AJ147" s="27" t="n">
        <f aca="false">ROUND(MAX(0,AJ146*(1+C$8)-BF147),2)</f>
        <v>0</v>
      </c>
      <c r="AK147" s="27" t="n">
        <f aca="false">ROUND(MAX(0,AK146*(1+D$8)-BG147),2)</f>
        <v>0</v>
      </c>
      <c r="AL147" s="27" t="n">
        <f aca="false">ROUND(MAX(0,AL146*(1+E$8)-BH147),2)</f>
        <v>0</v>
      </c>
      <c r="AM147" s="27" t="n">
        <f aca="false">ROUND(MAX(0,AM146*(1+F$8)-BI147),2)</f>
        <v>0</v>
      </c>
      <c r="AN147" s="27" t="n">
        <f aca="false">ROUND(MAX(0,AN146*(1+G$8)-BJ147),2)</f>
        <v>0</v>
      </c>
      <c r="AO147" s="27" t="n">
        <f aca="false">ROUND(MAX(0,AO146*(1+H$8)-BK147),2)</f>
        <v>0</v>
      </c>
      <c r="AP147" s="27" t="n">
        <f aca="false">ROUND(MAX(0,AP146*(1+I$8)-BL147),2)</f>
        <v>0</v>
      </c>
      <c r="AQ147" s="27" t="n">
        <f aca="false">ROUND(MAX(0,AQ146*(1+J$8)-BM147),2)</f>
        <v>0</v>
      </c>
      <c r="AR147" s="27" t="n">
        <f aca="false">ROUND(MAX(0,AR146*(1+K$8)-BN147),2)</f>
        <v>0</v>
      </c>
      <c r="AS147" s="27" t="n">
        <f aca="false">SUM(AI147:AR147)</f>
        <v>0</v>
      </c>
      <c r="AT147" s="27" t="n">
        <f aca="false">SUMPRODUCT(AI146:AR146,$B$8:$K$8)</f>
        <v>0</v>
      </c>
      <c r="AU147" s="27" t="n">
        <f aca="false">MIN(AI146*(1+B$8),B$9)</f>
        <v>0</v>
      </c>
      <c r="AV147" s="27" t="n">
        <f aca="false">MIN(AJ146*(1+C$8),C$9)</f>
        <v>0</v>
      </c>
      <c r="AW147" s="27" t="n">
        <f aca="false">MIN(AK146*(1+D$8),D$9)</f>
        <v>0</v>
      </c>
      <c r="AX147" s="27" t="n">
        <f aca="false">MIN(AL146*(1+E$8),E$9)</f>
        <v>0</v>
      </c>
      <c r="AY147" s="27" t="n">
        <f aca="false">MIN(AM146*(1+F$8),F$9)</f>
        <v>0</v>
      </c>
      <c r="AZ147" s="27" t="n">
        <f aca="false">MIN(AN146*(1+G$8),G$9)</f>
        <v>0</v>
      </c>
      <c r="BA147" s="27" t="n">
        <f aca="false">MIN(AO146*(1+H$8),H$9)</f>
        <v>0</v>
      </c>
      <c r="BB147" s="27" t="n">
        <f aca="false">MIN(AP146*(1+I$8),I$9)</f>
        <v>0</v>
      </c>
      <c r="BC147" s="27" t="n">
        <f aca="false">MIN(AQ146*(1+J$8),J$9)</f>
        <v>0</v>
      </c>
      <c r="BD147" s="27" t="n">
        <f aca="false">MIN(AR146*(1+K$8),K$9)</f>
        <v>0</v>
      </c>
      <c r="BE147" s="27" t="n">
        <f aca="false">MIN(AI146*(1+B$8),MAX(AU147,$B$12-SUM(AV147:BD147)))</f>
        <v>0</v>
      </c>
      <c r="BF147" s="27" t="n">
        <f aca="false">MIN(AJ146*(1+C$8),MAX(AV147,$B$12-SUM(BE147:BE147)-SUM(AW147:BD147)))</f>
        <v>0</v>
      </c>
      <c r="BG147" s="27" t="n">
        <f aca="false">MIN(AK146*(1+D$8),MAX(AW147,$B$12-SUM(BE147:BF147)-SUM(AX147:BD147)))</f>
        <v>0</v>
      </c>
      <c r="BH147" s="27" t="n">
        <f aca="false">MIN(AL146*(1+E$8),MAX(AX147,$B$12-SUM(BE147:BG147)-SUM(AY147:BD147)))</f>
        <v>0</v>
      </c>
      <c r="BI147" s="27" t="n">
        <f aca="false">MIN(AM146*(1+F$8),MAX(AY147,$B$12-SUM(BE147:BH147)-SUM(AZ147:BD147)))</f>
        <v>0</v>
      </c>
      <c r="BJ147" s="27" t="n">
        <f aca="false">MIN(AN146*(1+G$8),MAX(AZ147,$B$12-SUM(BE147:BI147)-SUM(BA147:BD147)))</f>
        <v>0</v>
      </c>
      <c r="BK147" s="27" t="n">
        <f aca="false">MIN(AO146*(1+H$8),MAX(BA147,$B$12-SUM(BE147:BJ147)-SUM(BB147:BD147)))</f>
        <v>0</v>
      </c>
      <c r="BL147" s="27" t="n">
        <f aca="false">MIN(AP146*(1+I$8),MAX(BB147,$B$12-SUM(BE147:BK147)-SUM(BC147:BD147)))</f>
        <v>0</v>
      </c>
      <c r="BM147" s="27" t="n">
        <f aca="false">MIN(AQ146*(1+J$8),MAX(BC147,$B$12-SUM(BE147:BL147)-SUM(BD147:BD147)))</f>
        <v>0</v>
      </c>
      <c r="BN147" s="27" t="n">
        <f aca="false">MIN(AR146*(1+K$8),MAX(BD147,$B$12-SUM(BE147:BM147)))</f>
        <v>0</v>
      </c>
    </row>
    <row r="148" customFormat="false" ht="15" hidden="false" customHeight="false" outlineLevel="0" collapsed="false">
      <c r="A148" s="0" t="n">
        <v>134</v>
      </c>
      <c r="B148" s="27" t="n">
        <f aca="false">ROUND(MAX(0,B147*(1+B$8)-X148),2)</f>
        <v>0</v>
      </c>
      <c r="C148" s="27" t="n">
        <f aca="false">ROUND(MAX(0,C147*(1+C$8)-Y148),2)</f>
        <v>0</v>
      </c>
      <c r="D148" s="27" t="n">
        <f aca="false">ROUND(MAX(0,D147*(1+D$8)-Z148),2)</f>
        <v>0</v>
      </c>
      <c r="E148" s="27" t="n">
        <f aca="false">ROUND(MAX(0,E147*(1+E$8)-AA148),2)</f>
        <v>0</v>
      </c>
      <c r="F148" s="27" t="n">
        <f aca="false">ROUND(MAX(0,F147*(1+F$8)-AB148),2)</f>
        <v>0</v>
      </c>
      <c r="G148" s="27" t="n">
        <f aca="false">ROUND(MAX(0,G147*(1+G$8)-AC148),2)</f>
        <v>0</v>
      </c>
      <c r="H148" s="27" t="n">
        <f aca="false">ROUND(MAX(0,H147*(1+H$8)-AD148),2)</f>
        <v>0</v>
      </c>
      <c r="I148" s="27" t="n">
        <f aca="false">ROUND(MAX(0,I147*(1+I$8)-AE148),2)</f>
        <v>0</v>
      </c>
      <c r="J148" s="27" t="n">
        <f aca="false">ROUND(MAX(0,J147*(1+J$8)-AF148),2)</f>
        <v>0</v>
      </c>
      <c r="K148" s="27" t="n">
        <f aca="false">ROUND(MAX(0,K147*(1+K$8)-AG148),2)</f>
        <v>0</v>
      </c>
      <c r="L148" s="30" t="n">
        <f aca="false">SUM(B148:K148)</f>
        <v>0</v>
      </c>
      <c r="M148" s="27" t="n">
        <f aca="false">SUMPRODUCT(B147:K147,$B$8:$K$8)</f>
        <v>0</v>
      </c>
      <c r="N148" s="27" t="n">
        <f aca="false">MIN(B147*(1+B$8),B$9)</f>
        <v>0</v>
      </c>
      <c r="O148" s="27" t="n">
        <f aca="false">MIN(C147*(1+C$8),C$9)</f>
        <v>0</v>
      </c>
      <c r="P148" s="27" t="n">
        <f aca="false">MIN(D147*(1+D$8),D$9)</f>
        <v>0</v>
      </c>
      <c r="Q148" s="27" t="n">
        <f aca="false">MIN(E147*(1+E$8),E$9)</f>
        <v>0</v>
      </c>
      <c r="R148" s="27" t="n">
        <f aca="false">MIN(F147*(1+F$8),F$9)</f>
        <v>0</v>
      </c>
      <c r="S148" s="27" t="n">
        <f aca="false">MIN(G147*(1+G$8),G$9)</f>
        <v>0</v>
      </c>
      <c r="T148" s="27" t="n">
        <f aca="false">MIN(H147*(1+H$8),H$9)</f>
        <v>0</v>
      </c>
      <c r="U148" s="27" t="n">
        <f aca="false">MIN(I147*(1+I$8),I$9)</f>
        <v>0</v>
      </c>
      <c r="V148" s="27" t="n">
        <f aca="false">MIN(J147*(1+J$8),J$9)</f>
        <v>0</v>
      </c>
      <c r="W148" s="27" t="n">
        <f aca="false">MIN(K147*(1+K$8),K$9)</f>
        <v>0</v>
      </c>
      <c r="X148" s="27" t="n">
        <f aca="false">MIN(B147*(1+B$8),MAX(N148,$B$11-SUM(O148:W148)))</f>
        <v>0</v>
      </c>
      <c r="Y148" s="27" t="n">
        <f aca="false">MIN(C147*(1+C$8),MAX(O148,$B$11-SUM(X148:X148)-SUM(P148:W148)))</f>
        <v>0</v>
      </c>
      <c r="Z148" s="27" t="n">
        <f aca="false">MIN(D147*(1+D$8),MAX(P148,$B$11-SUM(X148:Y148)-SUM(Q148:W148)))</f>
        <v>0</v>
      </c>
      <c r="AA148" s="27" t="n">
        <f aca="false">MIN(E147*(1+E$8),MAX(Q148,$B$11-SUM(X148:Z148)-SUM(R148:W148)))</f>
        <v>0</v>
      </c>
      <c r="AB148" s="27" t="n">
        <f aca="false">MIN(F147*(1+F$8),MAX(R148,$B$11-SUM(X148:AA148)-SUM(S148:W148)))</f>
        <v>0</v>
      </c>
      <c r="AC148" s="27" t="n">
        <f aca="false">MIN(G147*(1+G$8),MAX(S148,$B$11-SUM(X148:AB148)-SUM(T148:W148)))</f>
        <v>0</v>
      </c>
      <c r="AD148" s="27" t="n">
        <f aca="false">MIN(H147*(1+H$8),MAX(T148,$B$11-SUM(X148:AC148)-SUM(U148:W148)))</f>
        <v>0</v>
      </c>
      <c r="AE148" s="27" t="n">
        <f aca="false">MIN(I147*(1+I$8),MAX(U148,$B$11-SUM(X148:AD148)-SUM(V148:W148)))</f>
        <v>0</v>
      </c>
      <c r="AF148" s="27" t="n">
        <f aca="false">MIN(J147*(1+J$8),MAX(V148,$B$11-SUM(X148:AE148)-SUM(W148:W148)))</f>
        <v>0</v>
      </c>
      <c r="AG148" s="27" t="n">
        <f aca="false">MIN(K147*(1+K$8),MAX(W148,$B$11-SUM(X148:AF148)))</f>
        <v>0</v>
      </c>
      <c r="AI148" s="27" t="n">
        <f aca="false">ROUND(MAX(0,AI147*(1+B$8)-BE148),2)</f>
        <v>0</v>
      </c>
      <c r="AJ148" s="27" t="n">
        <f aca="false">ROUND(MAX(0,AJ147*(1+C$8)-BF148),2)</f>
        <v>0</v>
      </c>
      <c r="AK148" s="27" t="n">
        <f aca="false">ROUND(MAX(0,AK147*(1+D$8)-BG148),2)</f>
        <v>0</v>
      </c>
      <c r="AL148" s="27" t="n">
        <f aca="false">ROUND(MAX(0,AL147*(1+E$8)-BH148),2)</f>
        <v>0</v>
      </c>
      <c r="AM148" s="27" t="n">
        <f aca="false">ROUND(MAX(0,AM147*(1+F$8)-BI148),2)</f>
        <v>0</v>
      </c>
      <c r="AN148" s="27" t="n">
        <f aca="false">ROUND(MAX(0,AN147*(1+G$8)-BJ148),2)</f>
        <v>0</v>
      </c>
      <c r="AO148" s="27" t="n">
        <f aca="false">ROUND(MAX(0,AO147*(1+H$8)-BK148),2)</f>
        <v>0</v>
      </c>
      <c r="AP148" s="27" t="n">
        <f aca="false">ROUND(MAX(0,AP147*(1+I$8)-BL148),2)</f>
        <v>0</v>
      </c>
      <c r="AQ148" s="27" t="n">
        <f aca="false">ROUND(MAX(0,AQ147*(1+J$8)-BM148),2)</f>
        <v>0</v>
      </c>
      <c r="AR148" s="27" t="n">
        <f aca="false">ROUND(MAX(0,AR147*(1+K$8)-BN148),2)</f>
        <v>0</v>
      </c>
      <c r="AS148" s="27" t="n">
        <f aca="false">SUM(AI148:AR148)</f>
        <v>0</v>
      </c>
      <c r="AT148" s="27" t="n">
        <f aca="false">SUMPRODUCT(AI147:AR147,$B$8:$K$8)</f>
        <v>0</v>
      </c>
      <c r="AU148" s="27" t="n">
        <f aca="false">MIN(AI147*(1+B$8),B$9)</f>
        <v>0</v>
      </c>
      <c r="AV148" s="27" t="n">
        <f aca="false">MIN(AJ147*(1+C$8),C$9)</f>
        <v>0</v>
      </c>
      <c r="AW148" s="27" t="n">
        <f aca="false">MIN(AK147*(1+D$8),D$9)</f>
        <v>0</v>
      </c>
      <c r="AX148" s="27" t="n">
        <f aca="false">MIN(AL147*(1+E$8),E$9)</f>
        <v>0</v>
      </c>
      <c r="AY148" s="27" t="n">
        <f aca="false">MIN(AM147*(1+F$8),F$9)</f>
        <v>0</v>
      </c>
      <c r="AZ148" s="27" t="n">
        <f aca="false">MIN(AN147*(1+G$8),G$9)</f>
        <v>0</v>
      </c>
      <c r="BA148" s="27" t="n">
        <f aca="false">MIN(AO147*(1+H$8),H$9)</f>
        <v>0</v>
      </c>
      <c r="BB148" s="27" t="n">
        <f aca="false">MIN(AP147*(1+I$8),I$9)</f>
        <v>0</v>
      </c>
      <c r="BC148" s="27" t="n">
        <f aca="false">MIN(AQ147*(1+J$8),J$9)</f>
        <v>0</v>
      </c>
      <c r="BD148" s="27" t="n">
        <f aca="false">MIN(AR147*(1+K$8),K$9)</f>
        <v>0</v>
      </c>
      <c r="BE148" s="27" t="n">
        <f aca="false">MIN(AI147*(1+B$8),MAX(AU148,$B$12-SUM(AV148:BD148)))</f>
        <v>0</v>
      </c>
      <c r="BF148" s="27" t="n">
        <f aca="false">MIN(AJ147*(1+C$8),MAX(AV148,$B$12-SUM(BE148:BE148)-SUM(AW148:BD148)))</f>
        <v>0</v>
      </c>
      <c r="BG148" s="27" t="n">
        <f aca="false">MIN(AK147*(1+D$8),MAX(AW148,$B$12-SUM(BE148:BF148)-SUM(AX148:BD148)))</f>
        <v>0</v>
      </c>
      <c r="BH148" s="27" t="n">
        <f aca="false">MIN(AL147*(1+E$8),MAX(AX148,$B$12-SUM(BE148:BG148)-SUM(AY148:BD148)))</f>
        <v>0</v>
      </c>
      <c r="BI148" s="27" t="n">
        <f aca="false">MIN(AM147*(1+F$8),MAX(AY148,$B$12-SUM(BE148:BH148)-SUM(AZ148:BD148)))</f>
        <v>0</v>
      </c>
      <c r="BJ148" s="27" t="n">
        <f aca="false">MIN(AN147*(1+G$8),MAX(AZ148,$B$12-SUM(BE148:BI148)-SUM(BA148:BD148)))</f>
        <v>0</v>
      </c>
      <c r="BK148" s="27" t="n">
        <f aca="false">MIN(AO147*(1+H$8),MAX(BA148,$B$12-SUM(BE148:BJ148)-SUM(BB148:BD148)))</f>
        <v>0</v>
      </c>
      <c r="BL148" s="27" t="n">
        <f aca="false">MIN(AP147*(1+I$8),MAX(BB148,$B$12-SUM(BE148:BK148)-SUM(BC148:BD148)))</f>
        <v>0</v>
      </c>
      <c r="BM148" s="27" t="n">
        <f aca="false">MIN(AQ147*(1+J$8),MAX(BC148,$B$12-SUM(BE148:BL148)-SUM(BD148:BD148)))</f>
        <v>0</v>
      </c>
      <c r="BN148" s="27" t="n">
        <f aca="false">MIN(AR147*(1+K$8),MAX(BD148,$B$12-SUM(BE148:BM148)))</f>
        <v>0</v>
      </c>
    </row>
    <row r="149" customFormat="false" ht="15" hidden="false" customHeight="false" outlineLevel="0" collapsed="false">
      <c r="A149" s="0" t="n">
        <v>135</v>
      </c>
      <c r="B149" s="27" t="n">
        <f aca="false">ROUND(MAX(0,B148*(1+B$8)-X149),2)</f>
        <v>0</v>
      </c>
      <c r="C149" s="27" t="n">
        <f aca="false">ROUND(MAX(0,C148*(1+C$8)-Y149),2)</f>
        <v>0</v>
      </c>
      <c r="D149" s="27" t="n">
        <f aca="false">ROUND(MAX(0,D148*(1+D$8)-Z149),2)</f>
        <v>0</v>
      </c>
      <c r="E149" s="27" t="n">
        <f aca="false">ROUND(MAX(0,E148*(1+E$8)-AA149),2)</f>
        <v>0</v>
      </c>
      <c r="F149" s="27" t="n">
        <f aca="false">ROUND(MAX(0,F148*(1+F$8)-AB149),2)</f>
        <v>0</v>
      </c>
      <c r="G149" s="27" t="n">
        <f aca="false">ROUND(MAX(0,G148*(1+G$8)-AC149),2)</f>
        <v>0</v>
      </c>
      <c r="H149" s="27" t="n">
        <f aca="false">ROUND(MAX(0,H148*(1+H$8)-AD149),2)</f>
        <v>0</v>
      </c>
      <c r="I149" s="27" t="n">
        <f aca="false">ROUND(MAX(0,I148*(1+I$8)-AE149),2)</f>
        <v>0</v>
      </c>
      <c r="J149" s="27" t="n">
        <f aca="false">ROUND(MAX(0,J148*(1+J$8)-AF149),2)</f>
        <v>0</v>
      </c>
      <c r="K149" s="27" t="n">
        <f aca="false">ROUND(MAX(0,K148*(1+K$8)-AG149),2)</f>
        <v>0</v>
      </c>
      <c r="L149" s="30" t="n">
        <f aca="false">SUM(B149:K149)</f>
        <v>0</v>
      </c>
      <c r="M149" s="27" t="n">
        <f aca="false">SUMPRODUCT(B148:K148,$B$8:$K$8)</f>
        <v>0</v>
      </c>
      <c r="N149" s="27" t="n">
        <f aca="false">MIN(B148*(1+B$8),B$9)</f>
        <v>0</v>
      </c>
      <c r="O149" s="27" t="n">
        <f aca="false">MIN(C148*(1+C$8),C$9)</f>
        <v>0</v>
      </c>
      <c r="P149" s="27" t="n">
        <f aca="false">MIN(D148*(1+D$8),D$9)</f>
        <v>0</v>
      </c>
      <c r="Q149" s="27" t="n">
        <f aca="false">MIN(E148*(1+E$8),E$9)</f>
        <v>0</v>
      </c>
      <c r="R149" s="27" t="n">
        <f aca="false">MIN(F148*(1+F$8),F$9)</f>
        <v>0</v>
      </c>
      <c r="S149" s="27" t="n">
        <f aca="false">MIN(G148*(1+G$8),G$9)</f>
        <v>0</v>
      </c>
      <c r="T149" s="27" t="n">
        <f aca="false">MIN(H148*(1+H$8),H$9)</f>
        <v>0</v>
      </c>
      <c r="U149" s="27" t="n">
        <f aca="false">MIN(I148*(1+I$8),I$9)</f>
        <v>0</v>
      </c>
      <c r="V149" s="27" t="n">
        <f aca="false">MIN(J148*(1+J$8),J$9)</f>
        <v>0</v>
      </c>
      <c r="W149" s="27" t="n">
        <f aca="false">MIN(K148*(1+K$8),K$9)</f>
        <v>0</v>
      </c>
      <c r="X149" s="27" t="n">
        <f aca="false">MIN(B148*(1+B$8),MAX(N149,$B$11-SUM(O149:W149)))</f>
        <v>0</v>
      </c>
      <c r="Y149" s="27" t="n">
        <f aca="false">MIN(C148*(1+C$8),MAX(O149,$B$11-SUM(X149:X149)-SUM(P149:W149)))</f>
        <v>0</v>
      </c>
      <c r="Z149" s="27" t="n">
        <f aca="false">MIN(D148*(1+D$8),MAX(P149,$B$11-SUM(X149:Y149)-SUM(Q149:W149)))</f>
        <v>0</v>
      </c>
      <c r="AA149" s="27" t="n">
        <f aca="false">MIN(E148*(1+E$8),MAX(Q149,$B$11-SUM(X149:Z149)-SUM(R149:W149)))</f>
        <v>0</v>
      </c>
      <c r="AB149" s="27" t="n">
        <f aca="false">MIN(F148*(1+F$8),MAX(R149,$B$11-SUM(X149:AA149)-SUM(S149:W149)))</f>
        <v>0</v>
      </c>
      <c r="AC149" s="27" t="n">
        <f aca="false">MIN(G148*(1+G$8),MAX(S149,$B$11-SUM(X149:AB149)-SUM(T149:W149)))</f>
        <v>0</v>
      </c>
      <c r="AD149" s="27" t="n">
        <f aca="false">MIN(H148*(1+H$8),MAX(T149,$B$11-SUM(X149:AC149)-SUM(U149:W149)))</f>
        <v>0</v>
      </c>
      <c r="AE149" s="27" t="n">
        <f aca="false">MIN(I148*(1+I$8),MAX(U149,$B$11-SUM(X149:AD149)-SUM(V149:W149)))</f>
        <v>0</v>
      </c>
      <c r="AF149" s="27" t="n">
        <f aca="false">MIN(J148*(1+J$8),MAX(V149,$B$11-SUM(X149:AE149)-SUM(W149:W149)))</f>
        <v>0</v>
      </c>
      <c r="AG149" s="27" t="n">
        <f aca="false">MIN(K148*(1+K$8),MAX(W149,$B$11-SUM(X149:AF149)))</f>
        <v>0</v>
      </c>
      <c r="AI149" s="27" t="n">
        <f aca="false">ROUND(MAX(0,AI148*(1+B$8)-BE149),2)</f>
        <v>0</v>
      </c>
      <c r="AJ149" s="27" t="n">
        <f aca="false">ROUND(MAX(0,AJ148*(1+C$8)-BF149),2)</f>
        <v>0</v>
      </c>
      <c r="AK149" s="27" t="n">
        <f aca="false">ROUND(MAX(0,AK148*(1+D$8)-BG149),2)</f>
        <v>0</v>
      </c>
      <c r="AL149" s="27" t="n">
        <f aca="false">ROUND(MAX(0,AL148*(1+E$8)-BH149),2)</f>
        <v>0</v>
      </c>
      <c r="AM149" s="27" t="n">
        <f aca="false">ROUND(MAX(0,AM148*(1+F$8)-BI149),2)</f>
        <v>0</v>
      </c>
      <c r="AN149" s="27" t="n">
        <f aca="false">ROUND(MAX(0,AN148*(1+G$8)-BJ149),2)</f>
        <v>0</v>
      </c>
      <c r="AO149" s="27" t="n">
        <f aca="false">ROUND(MAX(0,AO148*(1+H$8)-BK149),2)</f>
        <v>0</v>
      </c>
      <c r="AP149" s="27" t="n">
        <f aca="false">ROUND(MAX(0,AP148*(1+I$8)-BL149),2)</f>
        <v>0</v>
      </c>
      <c r="AQ149" s="27" t="n">
        <f aca="false">ROUND(MAX(0,AQ148*(1+J$8)-BM149),2)</f>
        <v>0</v>
      </c>
      <c r="AR149" s="27" t="n">
        <f aca="false">ROUND(MAX(0,AR148*(1+K$8)-BN149),2)</f>
        <v>0</v>
      </c>
      <c r="AS149" s="27" t="n">
        <f aca="false">SUM(AI149:AR149)</f>
        <v>0</v>
      </c>
      <c r="AT149" s="27" t="n">
        <f aca="false">SUMPRODUCT(AI148:AR148,$B$8:$K$8)</f>
        <v>0</v>
      </c>
      <c r="AU149" s="27" t="n">
        <f aca="false">MIN(AI148*(1+B$8),B$9)</f>
        <v>0</v>
      </c>
      <c r="AV149" s="27" t="n">
        <f aca="false">MIN(AJ148*(1+C$8),C$9)</f>
        <v>0</v>
      </c>
      <c r="AW149" s="27" t="n">
        <f aca="false">MIN(AK148*(1+D$8),D$9)</f>
        <v>0</v>
      </c>
      <c r="AX149" s="27" t="n">
        <f aca="false">MIN(AL148*(1+E$8),E$9)</f>
        <v>0</v>
      </c>
      <c r="AY149" s="27" t="n">
        <f aca="false">MIN(AM148*(1+F$8),F$9)</f>
        <v>0</v>
      </c>
      <c r="AZ149" s="27" t="n">
        <f aca="false">MIN(AN148*(1+G$8),G$9)</f>
        <v>0</v>
      </c>
      <c r="BA149" s="27" t="n">
        <f aca="false">MIN(AO148*(1+H$8),H$9)</f>
        <v>0</v>
      </c>
      <c r="BB149" s="27" t="n">
        <f aca="false">MIN(AP148*(1+I$8),I$9)</f>
        <v>0</v>
      </c>
      <c r="BC149" s="27" t="n">
        <f aca="false">MIN(AQ148*(1+J$8),J$9)</f>
        <v>0</v>
      </c>
      <c r="BD149" s="27" t="n">
        <f aca="false">MIN(AR148*(1+K$8),K$9)</f>
        <v>0</v>
      </c>
      <c r="BE149" s="27" t="n">
        <f aca="false">MIN(AI148*(1+B$8),MAX(AU149,$B$12-SUM(AV149:BD149)))</f>
        <v>0</v>
      </c>
      <c r="BF149" s="27" t="n">
        <f aca="false">MIN(AJ148*(1+C$8),MAX(AV149,$B$12-SUM(BE149:BE149)-SUM(AW149:BD149)))</f>
        <v>0</v>
      </c>
      <c r="BG149" s="27" t="n">
        <f aca="false">MIN(AK148*(1+D$8),MAX(AW149,$B$12-SUM(BE149:BF149)-SUM(AX149:BD149)))</f>
        <v>0</v>
      </c>
      <c r="BH149" s="27" t="n">
        <f aca="false">MIN(AL148*(1+E$8),MAX(AX149,$B$12-SUM(BE149:BG149)-SUM(AY149:BD149)))</f>
        <v>0</v>
      </c>
      <c r="BI149" s="27" t="n">
        <f aca="false">MIN(AM148*(1+F$8),MAX(AY149,$B$12-SUM(BE149:BH149)-SUM(AZ149:BD149)))</f>
        <v>0</v>
      </c>
      <c r="BJ149" s="27" t="n">
        <f aca="false">MIN(AN148*(1+G$8),MAX(AZ149,$B$12-SUM(BE149:BI149)-SUM(BA149:BD149)))</f>
        <v>0</v>
      </c>
      <c r="BK149" s="27" t="n">
        <f aca="false">MIN(AO148*(1+H$8),MAX(BA149,$B$12-SUM(BE149:BJ149)-SUM(BB149:BD149)))</f>
        <v>0</v>
      </c>
      <c r="BL149" s="27" t="n">
        <f aca="false">MIN(AP148*(1+I$8),MAX(BB149,$B$12-SUM(BE149:BK149)-SUM(BC149:BD149)))</f>
        <v>0</v>
      </c>
      <c r="BM149" s="27" t="n">
        <f aca="false">MIN(AQ148*(1+J$8),MAX(BC149,$B$12-SUM(BE149:BL149)-SUM(BD149:BD149)))</f>
        <v>0</v>
      </c>
      <c r="BN149" s="27" t="n">
        <f aca="false">MIN(AR148*(1+K$8),MAX(BD149,$B$12-SUM(BE149:BM149)))</f>
        <v>0</v>
      </c>
    </row>
    <row r="150" customFormat="false" ht="15" hidden="false" customHeight="false" outlineLevel="0" collapsed="false">
      <c r="A150" s="0" t="n">
        <v>136</v>
      </c>
      <c r="B150" s="27" t="n">
        <f aca="false">ROUND(MAX(0,B149*(1+B$8)-X150),2)</f>
        <v>0</v>
      </c>
      <c r="C150" s="27" t="n">
        <f aca="false">ROUND(MAX(0,C149*(1+C$8)-Y150),2)</f>
        <v>0</v>
      </c>
      <c r="D150" s="27" t="n">
        <f aca="false">ROUND(MAX(0,D149*(1+D$8)-Z150),2)</f>
        <v>0</v>
      </c>
      <c r="E150" s="27" t="n">
        <f aca="false">ROUND(MAX(0,E149*(1+E$8)-AA150),2)</f>
        <v>0</v>
      </c>
      <c r="F150" s="27" t="n">
        <f aca="false">ROUND(MAX(0,F149*(1+F$8)-AB150),2)</f>
        <v>0</v>
      </c>
      <c r="G150" s="27" t="n">
        <f aca="false">ROUND(MAX(0,G149*(1+G$8)-AC150),2)</f>
        <v>0</v>
      </c>
      <c r="H150" s="27" t="n">
        <f aca="false">ROUND(MAX(0,H149*(1+H$8)-AD150),2)</f>
        <v>0</v>
      </c>
      <c r="I150" s="27" t="n">
        <f aca="false">ROUND(MAX(0,I149*(1+I$8)-AE150),2)</f>
        <v>0</v>
      </c>
      <c r="J150" s="27" t="n">
        <f aca="false">ROUND(MAX(0,J149*(1+J$8)-AF150),2)</f>
        <v>0</v>
      </c>
      <c r="K150" s="27" t="n">
        <f aca="false">ROUND(MAX(0,K149*(1+K$8)-AG150),2)</f>
        <v>0</v>
      </c>
      <c r="L150" s="30" t="n">
        <f aca="false">SUM(B150:K150)</f>
        <v>0</v>
      </c>
      <c r="M150" s="27" t="n">
        <f aca="false">SUMPRODUCT(B149:K149,$B$8:$K$8)</f>
        <v>0</v>
      </c>
      <c r="N150" s="27" t="n">
        <f aca="false">MIN(B149*(1+B$8),B$9)</f>
        <v>0</v>
      </c>
      <c r="O150" s="27" t="n">
        <f aca="false">MIN(C149*(1+C$8),C$9)</f>
        <v>0</v>
      </c>
      <c r="P150" s="27" t="n">
        <f aca="false">MIN(D149*(1+D$8),D$9)</f>
        <v>0</v>
      </c>
      <c r="Q150" s="27" t="n">
        <f aca="false">MIN(E149*(1+E$8),E$9)</f>
        <v>0</v>
      </c>
      <c r="R150" s="27" t="n">
        <f aca="false">MIN(F149*(1+F$8),F$9)</f>
        <v>0</v>
      </c>
      <c r="S150" s="27" t="n">
        <f aca="false">MIN(G149*(1+G$8),G$9)</f>
        <v>0</v>
      </c>
      <c r="T150" s="27" t="n">
        <f aca="false">MIN(H149*(1+H$8),H$9)</f>
        <v>0</v>
      </c>
      <c r="U150" s="27" t="n">
        <f aca="false">MIN(I149*(1+I$8),I$9)</f>
        <v>0</v>
      </c>
      <c r="V150" s="27" t="n">
        <f aca="false">MIN(J149*(1+J$8),J$9)</f>
        <v>0</v>
      </c>
      <c r="W150" s="27" t="n">
        <f aca="false">MIN(K149*(1+K$8),K$9)</f>
        <v>0</v>
      </c>
      <c r="X150" s="27" t="n">
        <f aca="false">MIN(B149*(1+B$8),MAX(N150,$B$11-SUM(O150:W150)))</f>
        <v>0</v>
      </c>
      <c r="Y150" s="27" t="n">
        <f aca="false">MIN(C149*(1+C$8),MAX(O150,$B$11-SUM(X150:X150)-SUM(P150:W150)))</f>
        <v>0</v>
      </c>
      <c r="Z150" s="27" t="n">
        <f aca="false">MIN(D149*(1+D$8),MAX(P150,$B$11-SUM(X150:Y150)-SUM(Q150:W150)))</f>
        <v>0</v>
      </c>
      <c r="AA150" s="27" t="n">
        <f aca="false">MIN(E149*(1+E$8),MAX(Q150,$B$11-SUM(X150:Z150)-SUM(R150:W150)))</f>
        <v>0</v>
      </c>
      <c r="AB150" s="27" t="n">
        <f aca="false">MIN(F149*(1+F$8),MAX(R150,$B$11-SUM(X150:AA150)-SUM(S150:W150)))</f>
        <v>0</v>
      </c>
      <c r="AC150" s="27" t="n">
        <f aca="false">MIN(G149*(1+G$8),MAX(S150,$B$11-SUM(X150:AB150)-SUM(T150:W150)))</f>
        <v>0</v>
      </c>
      <c r="AD150" s="27" t="n">
        <f aca="false">MIN(H149*(1+H$8),MAX(T150,$B$11-SUM(X150:AC150)-SUM(U150:W150)))</f>
        <v>0</v>
      </c>
      <c r="AE150" s="27" t="n">
        <f aca="false">MIN(I149*(1+I$8),MAX(U150,$B$11-SUM(X150:AD150)-SUM(V150:W150)))</f>
        <v>0</v>
      </c>
      <c r="AF150" s="27" t="n">
        <f aca="false">MIN(J149*(1+J$8),MAX(V150,$B$11-SUM(X150:AE150)-SUM(W150:W150)))</f>
        <v>0</v>
      </c>
      <c r="AG150" s="27" t="n">
        <f aca="false">MIN(K149*(1+K$8),MAX(W150,$B$11-SUM(X150:AF150)))</f>
        <v>0</v>
      </c>
      <c r="AI150" s="27" t="n">
        <f aca="false">ROUND(MAX(0,AI149*(1+B$8)-BE150),2)</f>
        <v>0</v>
      </c>
      <c r="AJ150" s="27" t="n">
        <f aca="false">ROUND(MAX(0,AJ149*(1+C$8)-BF150),2)</f>
        <v>0</v>
      </c>
      <c r="AK150" s="27" t="n">
        <f aca="false">ROUND(MAX(0,AK149*(1+D$8)-BG150),2)</f>
        <v>0</v>
      </c>
      <c r="AL150" s="27" t="n">
        <f aca="false">ROUND(MAX(0,AL149*(1+E$8)-BH150),2)</f>
        <v>0</v>
      </c>
      <c r="AM150" s="27" t="n">
        <f aca="false">ROUND(MAX(0,AM149*(1+F$8)-BI150),2)</f>
        <v>0</v>
      </c>
      <c r="AN150" s="27" t="n">
        <f aca="false">ROUND(MAX(0,AN149*(1+G$8)-BJ150),2)</f>
        <v>0</v>
      </c>
      <c r="AO150" s="27" t="n">
        <f aca="false">ROUND(MAX(0,AO149*(1+H$8)-BK150),2)</f>
        <v>0</v>
      </c>
      <c r="AP150" s="27" t="n">
        <f aca="false">ROUND(MAX(0,AP149*(1+I$8)-BL150),2)</f>
        <v>0</v>
      </c>
      <c r="AQ150" s="27" t="n">
        <f aca="false">ROUND(MAX(0,AQ149*(1+J$8)-BM150),2)</f>
        <v>0</v>
      </c>
      <c r="AR150" s="27" t="n">
        <f aca="false">ROUND(MAX(0,AR149*(1+K$8)-BN150),2)</f>
        <v>0</v>
      </c>
      <c r="AS150" s="27" t="n">
        <f aca="false">SUM(AI150:AR150)</f>
        <v>0</v>
      </c>
      <c r="AT150" s="27" t="n">
        <f aca="false">SUMPRODUCT(AI149:AR149,$B$8:$K$8)</f>
        <v>0</v>
      </c>
      <c r="AU150" s="27" t="n">
        <f aca="false">MIN(AI149*(1+B$8),B$9)</f>
        <v>0</v>
      </c>
      <c r="AV150" s="27" t="n">
        <f aca="false">MIN(AJ149*(1+C$8),C$9)</f>
        <v>0</v>
      </c>
      <c r="AW150" s="27" t="n">
        <f aca="false">MIN(AK149*(1+D$8),D$9)</f>
        <v>0</v>
      </c>
      <c r="AX150" s="27" t="n">
        <f aca="false">MIN(AL149*(1+E$8),E$9)</f>
        <v>0</v>
      </c>
      <c r="AY150" s="27" t="n">
        <f aca="false">MIN(AM149*(1+F$8),F$9)</f>
        <v>0</v>
      </c>
      <c r="AZ150" s="27" t="n">
        <f aca="false">MIN(AN149*(1+G$8),G$9)</f>
        <v>0</v>
      </c>
      <c r="BA150" s="27" t="n">
        <f aca="false">MIN(AO149*(1+H$8),H$9)</f>
        <v>0</v>
      </c>
      <c r="BB150" s="27" t="n">
        <f aca="false">MIN(AP149*(1+I$8),I$9)</f>
        <v>0</v>
      </c>
      <c r="BC150" s="27" t="n">
        <f aca="false">MIN(AQ149*(1+J$8),J$9)</f>
        <v>0</v>
      </c>
      <c r="BD150" s="27" t="n">
        <f aca="false">MIN(AR149*(1+K$8),K$9)</f>
        <v>0</v>
      </c>
      <c r="BE150" s="27" t="n">
        <f aca="false">MIN(AI149*(1+B$8),MAX(AU150,$B$12-SUM(AV150:BD150)))</f>
        <v>0</v>
      </c>
      <c r="BF150" s="27" t="n">
        <f aca="false">MIN(AJ149*(1+C$8),MAX(AV150,$B$12-SUM(BE150:BE150)-SUM(AW150:BD150)))</f>
        <v>0</v>
      </c>
      <c r="BG150" s="27" t="n">
        <f aca="false">MIN(AK149*(1+D$8),MAX(AW150,$B$12-SUM(BE150:BF150)-SUM(AX150:BD150)))</f>
        <v>0</v>
      </c>
      <c r="BH150" s="27" t="n">
        <f aca="false">MIN(AL149*(1+E$8),MAX(AX150,$B$12-SUM(BE150:BG150)-SUM(AY150:BD150)))</f>
        <v>0</v>
      </c>
      <c r="BI150" s="27" t="n">
        <f aca="false">MIN(AM149*(1+F$8),MAX(AY150,$B$12-SUM(BE150:BH150)-SUM(AZ150:BD150)))</f>
        <v>0</v>
      </c>
      <c r="BJ150" s="27" t="n">
        <f aca="false">MIN(AN149*(1+G$8),MAX(AZ150,$B$12-SUM(BE150:BI150)-SUM(BA150:BD150)))</f>
        <v>0</v>
      </c>
      <c r="BK150" s="27" t="n">
        <f aca="false">MIN(AO149*(1+H$8),MAX(BA150,$B$12-SUM(BE150:BJ150)-SUM(BB150:BD150)))</f>
        <v>0</v>
      </c>
      <c r="BL150" s="27" t="n">
        <f aca="false">MIN(AP149*(1+I$8),MAX(BB150,$B$12-SUM(BE150:BK150)-SUM(BC150:BD150)))</f>
        <v>0</v>
      </c>
      <c r="BM150" s="27" t="n">
        <f aca="false">MIN(AQ149*(1+J$8),MAX(BC150,$B$12-SUM(BE150:BL150)-SUM(BD150:BD150)))</f>
        <v>0</v>
      </c>
      <c r="BN150" s="27" t="n">
        <f aca="false">MIN(AR149*(1+K$8),MAX(BD150,$B$12-SUM(BE150:BM150)))</f>
        <v>0</v>
      </c>
    </row>
    <row r="151" customFormat="false" ht="15" hidden="false" customHeight="false" outlineLevel="0" collapsed="false">
      <c r="A151" s="0" t="n">
        <v>137</v>
      </c>
      <c r="B151" s="27" t="n">
        <f aca="false">ROUND(MAX(0,B150*(1+B$8)-X151),2)</f>
        <v>0</v>
      </c>
      <c r="C151" s="27" t="n">
        <f aca="false">ROUND(MAX(0,C150*(1+C$8)-Y151),2)</f>
        <v>0</v>
      </c>
      <c r="D151" s="27" t="n">
        <f aca="false">ROUND(MAX(0,D150*(1+D$8)-Z151),2)</f>
        <v>0</v>
      </c>
      <c r="E151" s="27" t="n">
        <f aca="false">ROUND(MAX(0,E150*(1+E$8)-AA151),2)</f>
        <v>0</v>
      </c>
      <c r="F151" s="27" t="n">
        <f aca="false">ROUND(MAX(0,F150*(1+F$8)-AB151),2)</f>
        <v>0</v>
      </c>
      <c r="G151" s="27" t="n">
        <f aca="false">ROUND(MAX(0,G150*(1+G$8)-AC151),2)</f>
        <v>0</v>
      </c>
      <c r="H151" s="27" t="n">
        <f aca="false">ROUND(MAX(0,H150*(1+H$8)-AD151),2)</f>
        <v>0</v>
      </c>
      <c r="I151" s="27" t="n">
        <f aca="false">ROUND(MAX(0,I150*(1+I$8)-AE151),2)</f>
        <v>0</v>
      </c>
      <c r="J151" s="27" t="n">
        <f aca="false">ROUND(MAX(0,J150*(1+J$8)-AF151),2)</f>
        <v>0</v>
      </c>
      <c r="K151" s="27" t="n">
        <f aca="false">ROUND(MAX(0,K150*(1+K$8)-AG151),2)</f>
        <v>0</v>
      </c>
      <c r="L151" s="30" t="n">
        <f aca="false">SUM(B151:K151)</f>
        <v>0</v>
      </c>
      <c r="M151" s="27" t="n">
        <f aca="false">SUMPRODUCT(B150:K150,$B$8:$K$8)</f>
        <v>0</v>
      </c>
      <c r="N151" s="27" t="n">
        <f aca="false">MIN(B150*(1+B$8),B$9)</f>
        <v>0</v>
      </c>
      <c r="O151" s="27" t="n">
        <f aca="false">MIN(C150*(1+C$8),C$9)</f>
        <v>0</v>
      </c>
      <c r="P151" s="27" t="n">
        <f aca="false">MIN(D150*(1+D$8),D$9)</f>
        <v>0</v>
      </c>
      <c r="Q151" s="27" t="n">
        <f aca="false">MIN(E150*(1+E$8),E$9)</f>
        <v>0</v>
      </c>
      <c r="R151" s="27" t="n">
        <f aca="false">MIN(F150*(1+F$8),F$9)</f>
        <v>0</v>
      </c>
      <c r="S151" s="27" t="n">
        <f aca="false">MIN(G150*(1+G$8),G$9)</f>
        <v>0</v>
      </c>
      <c r="T151" s="27" t="n">
        <f aca="false">MIN(H150*(1+H$8),H$9)</f>
        <v>0</v>
      </c>
      <c r="U151" s="27" t="n">
        <f aca="false">MIN(I150*(1+I$8),I$9)</f>
        <v>0</v>
      </c>
      <c r="V151" s="27" t="n">
        <f aca="false">MIN(J150*(1+J$8),J$9)</f>
        <v>0</v>
      </c>
      <c r="W151" s="27" t="n">
        <f aca="false">MIN(K150*(1+K$8),K$9)</f>
        <v>0</v>
      </c>
      <c r="X151" s="27" t="n">
        <f aca="false">MIN(B150*(1+B$8),MAX(N151,$B$11-SUM(O151:W151)))</f>
        <v>0</v>
      </c>
      <c r="Y151" s="27" t="n">
        <f aca="false">MIN(C150*(1+C$8),MAX(O151,$B$11-SUM(X151:X151)-SUM(P151:W151)))</f>
        <v>0</v>
      </c>
      <c r="Z151" s="27" t="n">
        <f aca="false">MIN(D150*(1+D$8),MAX(P151,$B$11-SUM(X151:Y151)-SUM(Q151:W151)))</f>
        <v>0</v>
      </c>
      <c r="AA151" s="27" t="n">
        <f aca="false">MIN(E150*(1+E$8),MAX(Q151,$B$11-SUM(X151:Z151)-SUM(R151:W151)))</f>
        <v>0</v>
      </c>
      <c r="AB151" s="27" t="n">
        <f aca="false">MIN(F150*(1+F$8),MAX(R151,$B$11-SUM(X151:AA151)-SUM(S151:W151)))</f>
        <v>0</v>
      </c>
      <c r="AC151" s="27" t="n">
        <f aca="false">MIN(G150*(1+G$8),MAX(S151,$B$11-SUM(X151:AB151)-SUM(T151:W151)))</f>
        <v>0</v>
      </c>
      <c r="AD151" s="27" t="n">
        <f aca="false">MIN(H150*(1+H$8),MAX(T151,$B$11-SUM(X151:AC151)-SUM(U151:W151)))</f>
        <v>0</v>
      </c>
      <c r="AE151" s="27" t="n">
        <f aca="false">MIN(I150*(1+I$8),MAX(U151,$B$11-SUM(X151:AD151)-SUM(V151:W151)))</f>
        <v>0</v>
      </c>
      <c r="AF151" s="27" t="n">
        <f aca="false">MIN(J150*(1+J$8),MAX(V151,$B$11-SUM(X151:AE151)-SUM(W151:W151)))</f>
        <v>0</v>
      </c>
      <c r="AG151" s="27" t="n">
        <f aca="false">MIN(K150*(1+K$8),MAX(W151,$B$11-SUM(X151:AF151)))</f>
        <v>0</v>
      </c>
      <c r="AI151" s="27" t="n">
        <f aca="false">ROUND(MAX(0,AI150*(1+B$8)-BE151),2)</f>
        <v>0</v>
      </c>
      <c r="AJ151" s="27" t="n">
        <f aca="false">ROUND(MAX(0,AJ150*(1+C$8)-BF151),2)</f>
        <v>0</v>
      </c>
      <c r="AK151" s="27" t="n">
        <f aca="false">ROUND(MAX(0,AK150*(1+D$8)-BG151),2)</f>
        <v>0</v>
      </c>
      <c r="AL151" s="27" t="n">
        <f aca="false">ROUND(MAX(0,AL150*(1+E$8)-BH151),2)</f>
        <v>0</v>
      </c>
      <c r="AM151" s="27" t="n">
        <f aca="false">ROUND(MAX(0,AM150*(1+F$8)-BI151),2)</f>
        <v>0</v>
      </c>
      <c r="AN151" s="27" t="n">
        <f aca="false">ROUND(MAX(0,AN150*(1+G$8)-BJ151),2)</f>
        <v>0</v>
      </c>
      <c r="AO151" s="27" t="n">
        <f aca="false">ROUND(MAX(0,AO150*(1+H$8)-BK151),2)</f>
        <v>0</v>
      </c>
      <c r="AP151" s="27" t="n">
        <f aca="false">ROUND(MAX(0,AP150*(1+I$8)-BL151),2)</f>
        <v>0</v>
      </c>
      <c r="AQ151" s="27" t="n">
        <f aca="false">ROUND(MAX(0,AQ150*(1+J$8)-BM151),2)</f>
        <v>0</v>
      </c>
      <c r="AR151" s="27" t="n">
        <f aca="false">ROUND(MAX(0,AR150*(1+K$8)-BN151),2)</f>
        <v>0</v>
      </c>
      <c r="AS151" s="27" t="n">
        <f aca="false">SUM(AI151:AR151)</f>
        <v>0</v>
      </c>
      <c r="AT151" s="27" t="n">
        <f aca="false">SUMPRODUCT(AI150:AR150,$B$8:$K$8)</f>
        <v>0</v>
      </c>
      <c r="AU151" s="27" t="n">
        <f aca="false">MIN(AI150*(1+B$8),B$9)</f>
        <v>0</v>
      </c>
      <c r="AV151" s="27" t="n">
        <f aca="false">MIN(AJ150*(1+C$8),C$9)</f>
        <v>0</v>
      </c>
      <c r="AW151" s="27" t="n">
        <f aca="false">MIN(AK150*(1+D$8),D$9)</f>
        <v>0</v>
      </c>
      <c r="AX151" s="27" t="n">
        <f aca="false">MIN(AL150*(1+E$8),E$9)</f>
        <v>0</v>
      </c>
      <c r="AY151" s="27" t="n">
        <f aca="false">MIN(AM150*(1+F$8),F$9)</f>
        <v>0</v>
      </c>
      <c r="AZ151" s="27" t="n">
        <f aca="false">MIN(AN150*(1+G$8),G$9)</f>
        <v>0</v>
      </c>
      <c r="BA151" s="27" t="n">
        <f aca="false">MIN(AO150*(1+H$8),H$9)</f>
        <v>0</v>
      </c>
      <c r="BB151" s="27" t="n">
        <f aca="false">MIN(AP150*(1+I$8),I$9)</f>
        <v>0</v>
      </c>
      <c r="BC151" s="27" t="n">
        <f aca="false">MIN(AQ150*(1+J$8),J$9)</f>
        <v>0</v>
      </c>
      <c r="BD151" s="27" t="n">
        <f aca="false">MIN(AR150*(1+K$8),K$9)</f>
        <v>0</v>
      </c>
      <c r="BE151" s="27" t="n">
        <f aca="false">MIN(AI150*(1+B$8),MAX(AU151,$B$12-SUM(AV151:BD151)))</f>
        <v>0</v>
      </c>
      <c r="BF151" s="27" t="n">
        <f aca="false">MIN(AJ150*(1+C$8),MAX(AV151,$B$12-SUM(BE151:BE151)-SUM(AW151:BD151)))</f>
        <v>0</v>
      </c>
      <c r="BG151" s="27" t="n">
        <f aca="false">MIN(AK150*(1+D$8),MAX(AW151,$B$12-SUM(BE151:BF151)-SUM(AX151:BD151)))</f>
        <v>0</v>
      </c>
      <c r="BH151" s="27" t="n">
        <f aca="false">MIN(AL150*(1+E$8),MAX(AX151,$B$12-SUM(BE151:BG151)-SUM(AY151:BD151)))</f>
        <v>0</v>
      </c>
      <c r="BI151" s="27" t="n">
        <f aca="false">MIN(AM150*(1+F$8),MAX(AY151,$B$12-SUM(BE151:BH151)-SUM(AZ151:BD151)))</f>
        <v>0</v>
      </c>
      <c r="BJ151" s="27" t="n">
        <f aca="false">MIN(AN150*(1+G$8),MAX(AZ151,$B$12-SUM(BE151:BI151)-SUM(BA151:BD151)))</f>
        <v>0</v>
      </c>
      <c r="BK151" s="27" t="n">
        <f aca="false">MIN(AO150*(1+H$8),MAX(BA151,$B$12-SUM(BE151:BJ151)-SUM(BB151:BD151)))</f>
        <v>0</v>
      </c>
      <c r="BL151" s="27" t="n">
        <f aca="false">MIN(AP150*(1+I$8),MAX(BB151,$B$12-SUM(BE151:BK151)-SUM(BC151:BD151)))</f>
        <v>0</v>
      </c>
      <c r="BM151" s="27" t="n">
        <f aca="false">MIN(AQ150*(1+J$8),MAX(BC151,$B$12-SUM(BE151:BL151)-SUM(BD151:BD151)))</f>
        <v>0</v>
      </c>
      <c r="BN151" s="27" t="n">
        <f aca="false">MIN(AR150*(1+K$8),MAX(BD151,$B$12-SUM(BE151:BM151)))</f>
        <v>0</v>
      </c>
    </row>
    <row r="152" customFormat="false" ht="15" hidden="false" customHeight="false" outlineLevel="0" collapsed="false">
      <c r="A152" s="0" t="n">
        <v>138</v>
      </c>
      <c r="B152" s="27" t="n">
        <f aca="false">ROUND(MAX(0,B151*(1+B$8)-X152),2)</f>
        <v>0</v>
      </c>
      <c r="C152" s="27" t="n">
        <f aca="false">ROUND(MAX(0,C151*(1+C$8)-Y152),2)</f>
        <v>0</v>
      </c>
      <c r="D152" s="27" t="n">
        <f aca="false">ROUND(MAX(0,D151*(1+D$8)-Z152),2)</f>
        <v>0</v>
      </c>
      <c r="E152" s="27" t="n">
        <f aca="false">ROUND(MAX(0,E151*(1+E$8)-AA152),2)</f>
        <v>0</v>
      </c>
      <c r="F152" s="27" t="n">
        <f aca="false">ROUND(MAX(0,F151*(1+F$8)-AB152),2)</f>
        <v>0</v>
      </c>
      <c r="G152" s="27" t="n">
        <f aca="false">ROUND(MAX(0,G151*(1+G$8)-AC152),2)</f>
        <v>0</v>
      </c>
      <c r="H152" s="27" t="n">
        <f aca="false">ROUND(MAX(0,H151*(1+H$8)-AD152),2)</f>
        <v>0</v>
      </c>
      <c r="I152" s="27" t="n">
        <f aca="false">ROUND(MAX(0,I151*(1+I$8)-AE152),2)</f>
        <v>0</v>
      </c>
      <c r="J152" s="27" t="n">
        <f aca="false">ROUND(MAX(0,J151*(1+J$8)-AF152),2)</f>
        <v>0</v>
      </c>
      <c r="K152" s="27" t="n">
        <f aca="false">ROUND(MAX(0,K151*(1+K$8)-AG152),2)</f>
        <v>0</v>
      </c>
      <c r="L152" s="30" t="n">
        <f aca="false">SUM(B152:K152)</f>
        <v>0</v>
      </c>
      <c r="M152" s="27" t="n">
        <f aca="false">SUMPRODUCT(B151:K151,$B$8:$K$8)</f>
        <v>0</v>
      </c>
      <c r="N152" s="27" t="n">
        <f aca="false">MIN(B151*(1+B$8),B$9)</f>
        <v>0</v>
      </c>
      <c r="O152" s="27" t="n">
        <f aca="false">MIN(C151*(1+C$8),C$9)</f>
        <v>0</v>
      </c>
      <c r="P152" s="27" t="n">
        <f aca="false">MIN(D151*(1+D$8),D$9)</f>
        <v>0</v>
      </c>
      <c r="Q152" s="27" t="n">
        <f aca="false">MIN(E151*(1+E$8),E$9)</f>
        <v>0</v>
      </c>
      <c r="R152" s="27" t="n">
        <f aca="false">MIN(F151*(1+F$8),F$9)</f>
        <v>0</v>
      </c>
      <c r="S152" s="27" t="n">
        <f aca="false">MIN(G151*(1+G$8),G$9)</f>
        <v>0</v>
      </c>
      <c r="T152" s="27" t="n">
        <f aca="false">MIN(H151*(1+H$8),H$9)</f>
        <v>0</v>
      </c>
      <c r="U152" s="27" t="n">
        <f aca="false">MIN(I151*(1+I$8),I$9)</f>
        <v>0</v>
      </c>
      <c r="V152" s="27" t="n">
        <f aca="false">MIN(J151*(1+J$8),J$9)</f>
        <v>0</v>
      </c>
      <c r="W152" s="27" t="n">
        <f aca="false">MIN(K151*(1+K$8),K$9)</f>
        <v>0</v>
      </c>
      <c r="X152" s="27" t="n">
        <f aca="false">MIN(B151*(1+B$8),MAX(N152,$B$11-SUM(O152:W152)))</f>
        <v>0</v>
      </c>
      <c r="Y152" s="27" t="n">
        <f aca="false">MIN(C151*(1+C$8),MAX(O152,$B$11-SUM(X152:X152)-SUM(P152:W152)))</f>
        <v>0</v>
      </c>
      <c r="Z152" s="27" t="n">
        <f aca="false">MIN(D151*(1+D$8),MAX(P152,$B$11-SUM(X152:Y152)-SUM(Q152:W152)))</f>
        <v>0</v>
      </c>
      <c r="AA152" s="27" t="n">
        <f aca="false">MIN(E151*(1+E$8),MAX(Q152,$B$11-SUM(X152:Z152)-SUM(R152:W152)))</f>
        <v>0</v>
      </c>
      <c r="AB152" s="27" t="n">
        <f aca="false">MIN(F151*(1+F$8),MAX(R152,$B$11-SUM(X152:AA152)-SUM(S152:W152)))</f>
        <v>0</v>
      </c>
      <c r="AC152" s="27" t="n">
        <f aca="false">MIN(G151*(1+G$8),MAX(S152,$B$11-SUM(X152:AB152)-SUM(T152:W152)))</f>
        <v>0</v>
      </c>
      <c r="AD152" s="27" t="n">
        <f aca="false">MIN(H151*(1+H$8),MAX(T152,$B$11-SUM(X152:AC152)-SUM(U152:W152)))</f>
        <v>0</v>
      </c>
      <c r="AE152" s="27" t="n">
        <f aca="false">MIN(I151*(1+I$8),MAX(U152,$B$11-SUM(X152:AD152)-SUM(V152:W152)))</f>
        <v>0</v>
      </c>
      <c r="AF152" s="27" t="n">
        <f aca="false">MIN(J151*(1+J$8),MAX(V152,$B$11-SUM(X152:AE152)-SUM(W152:W152)))</f>
        <v>0</v>
      </c>
      <c r="AG152" s="27" t="n">
        <f aca="false">MIN(K151*(1+K$8),MAX(W152,$B$11-SUM(X152:AF152)))</f>
        <v>0</v>
      </c>
      <c r="AI152" s="27" t="n">
        <f aca="false">ROUND(MAX(0,AI151*(1+B$8)-BE152),2)</f>
        <v>0</v>
      </c>
      <c r="AJ152" s="27" t="n">
        <f aca="false">ROUND(MAX(0,AJ151*(1+C$8)-BF152),2)</f>
        <v>0</v>
      </c>
      <c r="AK152" s="27" t="n">
        <f aca="false">ROUND(MAX(0,AK151*(1+D$8)-BG152),2)</f>
        <v>0</v>
      </c>
      <c r="AL152" s="27" t="n">
        <f aca="false">ROUND(MAX(0,AL151*(1+E$8)-BH152),2)</f>
        <v>0</v>
      </c>
      <c r="AM152" s="27" t="n">
        <f aca="false">ROUND(MAX(0,AM151*(1+F$8)-BI152),2)</f>
        <v>0</v>
      </c>
      <c r="AN152" s="27" t="n">
        <f aca="false">ROUND(MAX(0,AN151*(1+G$8)-BJ152),2)</f>
        <v>0</v>
      </c>
      <c r="AO152" s="27" t="n">
        <f aca="false">ROUND(MAX(0,AO151*(1+H$8)-BK152),2)</f>
        <v>0</v>
      </c>
      <c r="AP152" s="27" t="n">
        <f aca="false">ROUND(MAX(0,AP151*(1+I$8)-BL152),2)</f>
        <v>0</v>
      </c>
      <c r="AQ152" s="27" t="n">
        <f aca="false">ROUND(MAX(0,AQ151*(1+J$8)-BM152),2)</f>
        <v>0</v>
      </c>
      <c r="AR152" s="27" t="n">
        <f aca="false">ROUND(MAX(0,AR151*(1+K$8)-BN152),2)</f>
        <v>0</v>
      </c>
      <c r="AS152" s="27" t="n">
        <f aca="false">SUM(AI152:AR152)</f>
        <v>0</v>
      </c>
      <c r="AT152" s="27" t="n">
        <f aca="false">SUMPRODUCT(AI151:AR151,$B$8:$K$8)</f>
        <v>0</v>
      </c>
      <c r="AU152" s="27" t="n">
        <f aca="false">MIN(AI151*(1+B$8),B$9)</f>
        <v>0</v>
      </c>
      <c r="AV152" s="27" t="n">
        <f aca="false">MIN(AJ151*(1+C$8),C$9)</f>
        <v>0</v>
      </c>
      <c r="AW152" s="27" t="n">
        <f aca="false">MIN(AK151*(1+D$8),D$9)</f>
        <v>0</v>
      </c>
      <c r="AX152" s="27" t="n">
        <f aca="false">MIN(AL151*(1+E$8),E$9)</f>
        <v>0</v>
      </c>
      <c r="AY152" s="27" t="n">
        <f aca="false">MIN(AM151*(1+F$8),F$9)</f>
        <v>0</v>
      </c>
      <c r="AZ152" s="27" t="n">
        <f aca="false">MIN(AN151*(1+G$8),G$9)</f>
        <v>0</v>
      </c>
      <c r="BA152" s="27" t="n">
        <f aca="false">MIN(AO151*(1+H$8),H$9)</f>
        <v>0</v>
      </c>
      <c r="BB152" s="27" t="n">
        <f aca="false">MIN(AP151*(1+I$8),I$9)</f>
        <v>0</v>
      </c>
      <c r="BC152" s="27" t="n">
        <f aca="false">MIN(AQ151*(1+J$8),J$9)</f>
        <v>0</v>
      </c>
      <c r="BD152" s="27" t="n">
        <f aca="false">MIN(AR151*(1+K$8),K$9)</f>
        <v>0</v>
      </c>
      <c r="BE152" s="27" t="n">
        <f aca="false">MIN(AI151*(1+B$8),MAX(AU152,$B$12-SUM(AV152:BD152)))</f>
        <v>0</v>
      </c>
      <c r="BF152" s="27" t="n">
        <f aca="false">MIN(AJ151*(1+C$8),MAX(AV152,$B$12-SUM(BE152:BE152)-SUM(AW152:BD152)))</f>
        <v>0</v>
      </c>
      <c r="BG152" s="27" t="n">
        <f aca="false">MIN(AK151*(1+D$8),MAX(AW152,$B$12-SUM(BE152:BF152)-SUM(AX152:BD152)))</f>
        <v>0</v>
      </c>
      <c r="BH152" s="27" t="n">
        <f aca="false">MIN(AL151*(1+E$8),MAX(AX152,$B$12-SUM(BE152:BG152)-SUM(AY152:BD152)))</f>
        <v>0</v>
      </c>
      <c r="BI152" s="27" t="n">
        <f aca="false">MIN(AM151*(1+F$8),MAX(AY152,$B$12-SUM(BE152:BH152)-SUM(AZ152:BD152)))</f>
        <v>0</v>
      </c>
      <c r="BJ152" s="27" t="n">
        <f aca="false">MIN(AN151*(1+G$8),MAX(AZ152,$B$12-SUM(BE152:BI152)-SUM(BA152:BD152)))</f>
        <v>0</v>
      </c>
      <c r="BK152" s="27" t="n">
        <f aca="false">MIN(AO151*(1+H$8),MAX(BA152,$B$12-SUM(BE152:BJ152)-SUM(BB152:BD152)))</f>
        <v>0</v>
      </c>
      <c r="BL152" s="27" t="n">
        <f aca="false">MIN(AP151*(1+I$8),MAX(BB152,$B$12-SUM(BE152:BK152)-SUM(BC152:BD152)))</f>
        <v>0</v>
      </c>
      <c r="BM152" s="27" t="n">
        <f aca="false">MIN(AQ151*(1+J$8),MAX(BC152,$B$12-SUM(BE152:BL152)-SUM(BD152:BD152)))</f>
        <v>0</v>
      </c>
      <c r="BN152" s="27" t="n">
        <f aca="false">MIN(AR151*(1+K$8),MAX(BD152,$B$12-SUM(BE152:BM152)))</f>
        <v>0</v>
      </c>
    </row>
    <row r="153" customFormat="false" ht="15" hidden="false" customHeight="false" outlineLevel="0" collapsed="false">
      <c r="A153" s="0" t="n">
        <v>139</v>
      </c>
      <c r="B153" s="27" t="n">
        <f aca="false">ROUND(MAX(0,B152*(1+B$8)-X153),2)</f>
        <v>0</v>
      </c>
      <c r="C153" s="27" t="n">
        <f aca="false">ROUND(MAX(0,C152*(1+C$8)-Y153),2)</f>
        <v>0</v>
      </c>
      <c r="D153" s="27" t="n">
        <f aca="false">ROUND(MAX(0,D152*(1+D$8)-Z153),2)</f>
        <v>0</v>
      </c>
      <c r="E153" s="27" t="n">
        <f aca="false">ROUND(MAX(0,E152*(1+E$8)-AA153),2)</f>
        <v>0</v>
      </c>
      <c r="F153" s="27" t="n">
        <f aca="false">ROUND(MAX(0,F152*(1+F$8)-AB153),2)</f>
        <v>0</v>
      </c>
      <c r="G153" s="27" t="n">
        <f aca="false">ROUND(MAX(0,G152*(1+G$8)-AC153),2)</f>
        <v>0</v>
      </c>
      <c r="H153" s="27" t="n">
        <f aca="false">ROUND(MAX(0,H152*(1+H$8)-AD153),2)</f>
        <v>0</v>
      </c>
      <c r="I153" s="27" t="n">
        <f aca="false">ROUND(MAX(0,I152*(1+I$8)-AE153),2)</f>
        <v>0</v>
      </c>
      <c r="J153" s="27" t="n">
        <f aca="false">ROUND(MAX(0,J152*(1+J$8)-AF153),2)</f>
        <v>0</v>
      </c>
      <c r="K153" s="27" t="n">
        <f aca="false">ROUND(MAX(0,K152*(1+K$8)-AG153),2)</f>
        <v>0</v>
      </c>
      <c r="L153" s="30" t="n">
        <f aca="false">SUM(B153:K153)</f>
        <v>0</v>
      </c>
      <c r="M153" s="27" t="n">
        <f aca="false">SUMPRODUCT(B152:K152,$B$8:$K$8)</f>
        <v>0</v>
      </c>
      <c r="N153" s="27" t="n">
        <f aca="false">MIN(B152*(1+B$8),B$9)</f>
        <v>0</v>
      </c>
      <c r="O153" s="27" t="n">
        <f aca="false">MIN(C152*(1+C$8),C$9)</f>
        <v>0</v>
      </c>
      <c r="P153" s="27" t="n">
        <f aca="false">MIN(D152*(1+D$8),D$9)</f>
        <v>0</v>
      </c>
      <c r="Q153" s="27" t="n">
        <f aca="false">MIN(E152*(1+E$8),E$9)</f>
        <v>0</v>
      </c>
      <c r="R153" s="27" t="n">
        <f aca="false">MIN(F152*(1+F$8),F$9)</f>
        <v>0</v>
      </c>
      <c r="S153" s="27" t="n">
        <f aca="false">MIN(G152*(1+G$8),G$9)</f>
        <v>0</v>
      </c>
      <c r="T153" s="27" t="n">
        <f aca="false">MIN(H152*(1+H$8),H$9)</f>
        <v>0</v>
      </c>
      <c r="U153" s="27" t="n">
        <f aca="false">MIN(I152*(1+I$8),I$9)</f>
        <v>0</v>
      </c>
      <c r="V153" s="27" t="n">
        <f aca="false">MIN(J152*(1+J$8),J$9)</f>
        <v>0</v>
      </c>
      <c r="W153" s="27" t="n">
        <f aca="false">MIN(K152*(1+K$8),K$9)</f>
        <v>0</v>
      </c>
      <c r="X153" s="27" t="n">
        <f aca="false">MIN(B152*(1+B$8),MAX(N153,$B$11-SUM(O153:W153)))</f>
        <v>0</v>
      </c>
      <c r="Y153" s="27" t="n">
        <f aca="false">MIN(C152*(1+C$8),MAX(O153,$B$11-SUM(X153:X153)-SUM(P153:W153)))</f>
        <v>0</v>
      </c>
      <c r="Z153" s="27" t="n">
        <f aca="false">MIN(D152*(1+D$8),MAX(P153,$B$11-SUM(X153:Y153)-SUM(Q153:W153)))</f>
        <v>0</v>
      </c>
      <c r="AA153" s="27" t="n">
        <f aca="false">MIN(E152*(1+E$8),MAX(Q153,$B$11-SUM(X153:Z153)-SUM(R153:W153)))</f>
        <v>0</v>
      </c>
      <c r="AB153" s="27" t="n">
        <f aca="false">MIN(F152*(1+F$8),MAX(R153,$B$11-SUM(X153:AA153)-SUM(S153:W153)))</f>
        <v>0</v>
      </c>
      <c r="AC153" s="27" t="n">
        <f aca="false">MIN(G152*(1+G$8),MAX(S153,$B$11-SUM(X153:AB153)-SUM(T153:W153)))</f>
        <v>0</v>
      </c>
      <c r="AD153" s="27" t="n">
        <f aca="false">MIN(H152*(1+H$8),MAX(T153,$B$11-SUM(X153:AC153)-SUM(U153:W153)))</f>
        <v>0</v>
      </c>
      <c r="AE153" s="27" t="n">
        <f aca="false">MIN(I152*(1+I$8),MAX(U153,$B$11-SUM(X153:AD153)-SUM(V153:W153)))</f>
        <v>0</v>
      </c>
      <c r="AF153" s="27" t="n">
        <f aca="false">MIN(J152*(1+J$8),MAX(V153,$B$11-SUM(X153:AE153)-SUM(W153:W153)))</f>
        <v>0</v>
      </c>
      <c r="AG153" s="27" t="n">
        <f aca="false">MIN(K152*(1+K$8),MAX(W153,$B$11-SUM(X153:AF153)))</f>
        <v>0</v>
      </c>
      <c r="AI153" s="27" t="n">
        <f aca="false">ROUND(MAX(0,AI152*(1+B$8)-BE153),2)</f>
        <v>0</v>
      </c>
      <c r="AJ153" s="27" t="n">
        <f aca="false">ROUND(MAX(0,AJ152*(1+C$8)-BF153),2)</f>
        <v>0</v>
      </c>
      <c r="AK153" s="27" t="n">
        <f aca="false">ROUND(MAX(0,AK152*(1+D$8)-BG153),2)</f>
        <v>0</v>
      </c>
      <c r="AL153" s="27" t="n">
        <f aca="false">ROUND(MAX(0,AL152*(1+E$8)-BH153),2)</f>
        <v>0</v>
      </c>
      <c r="AM153" s="27" t="n">
        <f aca="false">ROUND(MAX(0,AM152*(1+F$8)-BI153),2)</f>
        <v>0</v>
      </c>
      <c r="AN153" s="27" t="n">
        <f aca="false">ROUND(MAX(0,AN152*(1+G$8)-BJ153),2)</f>
        <v>0</v>
      </c>
      <c r="AO153" s="27" t="n">
        <f aca="false">ROUND(MAX(0,AO152*(1+H$8)-BK153),2)</f>
        <v>0</v>
      </c>
      <c r="AP153" s="27" t="n">
        <f aca="false">ROUND(MAX(0,AP152*(1+I$8)-BL153),2)</f>
        <v>0</v>
      </c>
      <c r="AQ153" s="27" t="n">
        <f aca="false">ROUND(MAX(0,AQ152*(1+J$8)-BM153),2)</f>
        <v>0</v>
      </c>
      <c r="AR153" s="27" t="n">
        <f aca="false">ROUND(MAX(0,AR152*(1+K$8)-BN153),2)</f>
        <v>0</v>
      </c>
      <c r="AS153" s="27" t="n">
        <f aca="false">SUM(AI153:AR153)</f>
        <v>0</v>
      </c>
      <c r="AT153" s="27" t="n">
        <f aca="false">SUMPRODUCT(AI152:AR152,$B$8:$K$8)</f>
        <v>0</v>
      </c>
      <c r="AU153" s="27" t="n">
        <f aca="false">MIN(AI152*(1+B$8),B$9)</f>
        <v>0</v>
      </c>
      <c r="AV153" s="27" t="n">
        <f aca="false">MIN(AJ152*(1+C$8),C$9)</f>
        <v>0</v>
      </c>
      <c r="AW153" s="27" t="n">
        <f aca="false">MIN(AK152*(1+D$8),D$9)</f>
        <v>0</v>
      </c>
      <c r="AX153" s="27" t="n">
        <f aca="false">MIN(AL152*(1+E$8),E$9)</f>
        <v>0</v>
      </c>
      <c r="AY153" s="27" t="n">
        <f aca="false">MIN(AM152*(1+F$8),F$9)</f>
        <v>0</v>
      </c>
      <c r="AZ153" s="27" t="n">
        <f aca="false">MIN(AN152*(1+G$8),G$9)</f>
        <v>0</v>
      </c>
      <c r="BA153" s="27" t="n">
        <f aca="false">MIN(AO152*(1+H$8),H$9)</f>
        <v>0</v>
      </c>
      <c r="BB153" s="27" t="n">
        <f aca="false">MIN(AP152*(1+I$8),I$9)</f>
        <v>0</v>
      </c>
      <c r="BC153" s="27" t="n">
        <f aca="false">MIN(AQ152*(1+J$8),J$9)</f>
        <v>0</v>
      </c>
      <c r="BD153" s="27" t="n">
        <f aca="false">MIN(AR152*(1+K$8),K$9)</f>
        <v>0</v>
      </c>
      <c r="BE153" s="27" t="n">
        <f aca="false">MIN(AI152*(1+B$8),MAX(AU153,$B$12-SUM(AV153:BD153)))</f>
        <v>0</v>
      </c>
      <c r="BF153" s="27" t="n">
        <f aca="false">MIN(AJ152*(1+C$8),MAX(AV153,$B$12-SUM(BE153:BE153)-SUM(AW153:BD153)))</f>
        <v>0</v>
      </c>
      <c r="BG153" s="27" t="n">
        <f aca="false">MIN(AK152*(1+D$8),MAX(AW153,$B$12-SUM(BE153:BF153)-SUM(AX153:BD153)))</f>
        <v>0</v>
      </c>
      <c r="BH153" s="27" t="n">
        <f aca="false">MIN(AL152*(1+E$8),MAX(AX153,$B$12-SUM(BE153:BG153)-SUM(AY153:BD153)))</f>
        <v>0</v>
      </c>
      <c r="BI153" s="27" t="n">
        <f aca="false">MIN(AM152*(1+F$8),MAX(AY153,$B$12-SUM(BE153:BH153)-SUM(AZ153:BD153)))</f>
        <v>0</v>
      </c>
      <c r="BJ153" s="27" t="n">
        <f aca="false">MIN(AN152*(1+G$8),MAX(AZ153,$B$12-SUM(BE153:BI153)-SUM(BA153:BD153)))</f>
        <v>0</v>
      </c>
      <c r="BK153" s="27" t="n">
        <f aca="false">MIN(AO152*(1+H$8),MAX(BA153,$B$12-SUM(BE153:BJ153)-SUM(BB153:BD153)))</f>
        <v>0</v>
      </c>
      <c r="BL153" s="27" t="n">
        <f aca="false">MIN(AP152*(1+I$8),MAX(BB153,$B$12-SUM(BE153:BK153)-SUM(BC153:BD153)))</f>
        <v>0</v>
      </c>
      <c r="BM153" s="27" t="n">
        <f aca="false">MIN(AQ152*(1+J$8),MAX(BC153,$B$12-SUM(BE153:BL153)-SUM(BD153:BD153)))</f>
        <v>0</v>
      </c>
      <c r="BN153" s="27" t="n">
        <f aca="false">MIN(AR152*(1+K$8),MAX(BD153,$B$12-SUM(BE153:BM153)))</f>
        <v>0</v>
      </c>
    </row>
    <row r="154" customFormat="false" ht="15" hidden="false" customHeight="false" outlineLevel="0" collapsed="false">
      <c r="A154" s="0" t="n">
        <v>140</v>
      </c>
      <c r="B154" s="27" t="n">
        <f aca="false">ROUND(MAX(0,B153*(1+B$8)-X154),2)</f>
        <v>0</v>
      </c>
      <c r="C154" s="27" t="n">
        <f aca="false">ROUND(MAX(0,C153*(1+C$8)-Y154),2)</f>
        <v>0</v>
      </c>
      <c r="D154" s="27" t="n">
        <f aca="false">ROUND(MAX(0,D153*(1+D$8)-Z154),2)</f>
        <v>0</v>
      </c>
      <c r="E154" s="27" t="n">
        <f aca="false">ROUND(MAX(0,E153*(1+E$8)-AA154),2)</f>
        <v>0</v>
      </c>
      <c r="F154" s="27" t="n">
        <f aca="false">ROUND(MAX(0,F153*(1+F$8)-AB154),2)</f>
        <v>0</v>
      </c>
      <c r="G154" s="27" t="n">
        <f aca="false">ROUND(MAX(0,G153*(1+G$8)-AC154),2)</f>
        <v>0</v>
      </c>
      <c r="H154" s="27" t="n">
        <f aca="false">ROUND(MAX(0,H153*(1+H$8)-AD154),2)</f>
        <v>0</v>
      </c>
      <c r="I154" s="27" t="n">
        <f aca="false">ROUND(MAX(0,I153*(1+I$8)-AE154),2)</f>
        <v>0</v>
      </c>
      <c r="J154" s="27" t="n">
        <f aca="false">ROUND(MAX(0,J153*(1+J$8)-AF154),2)</f>
        <v>0</v>
      </c>
      <c r="K154" s="27" t="n">
        <f aca="false">ROUND(MAX(0,K153*(1+K$8)-AG154),2)</f>
        <v>0</v>
      </c>
      <c r="L154" s="30" t="n">
        <f aca="false">SUM(B154:K154)</f>
        <v>0</v>
      </c>
      <c r="M154" s="27" t="n">
        <f aca="false">SUMPRODUCT(B153:K153,$B$8:$K$8)</f>
        <v>0</v>
      </c>
      <c r="N154" s="27" t="n">
        <f aca="false">MIN(B153*(1+B$8),B$9)</f>
        <v>0</v>
      </c>
      <c r="O154" s="27" t="n">
        <f aca="false">MIN(C153*(1+C$8),C$9)</f>
        <v>0</v>
      </c>
      <c r="P154" s="27" t="n">
        <f aca="false">MIN(D153*(1+D$8),D$9)</f>
        <v>0</v>
      </c>
      <c r="Q154" s="27" t="n">
        <f aca="false">MIN(E153*(1+E$8),E$9)</f>
        <v>0</v>
      </c>
      <c r="R154" s="27" t="n">
        <f aca="false">MIN(F153*(1+F$8),F$9)</f>
        <v>0</v>
      </c>
      <c r="S154" s="27" t="n">
        <f aca="false">MIN(G153*(1+G$8),G$9)</f>
        <v>0</v>
      </c>
      <c r="T154" s="27" t="n">
        <f aca="false">MIN(H153*(1+H$8),H$9)</f>
        <v>0</v>
      </c>
      <c r="U154" s="27" t="n">
        <f aca="false">MIN(I153*(1+I$8),I$9)</f>
        <v>0</v>
      </c>
      <c r="V154" s="27" t="n">
        <f aca="false">MIN(J153*(1+J$8),J$9)</f>
        <v>0</v>
      </c>
      <c r="W154" s="27" t="n">
        <f aca="false">MIN(K153*(1+K$8),K$9)</f>
        <v>0</v>
      </c>
      <c r="X154" s="27" t="n">
        <f aca="false">MIN(B153*(1+B$8),MAX(N154,$B$11-SUM(O154:W154)))</f>
        <v>0</v>
      </c>
      <c r="Y154" s="27" t="n">
        <f aca="false">MIN(C153*(1+C$8),MAX(O154,$B$11-SUM(X154:X154)-SUM(P154:W154)))</f>
        <v>0</v>
      </c>
      <c r="Z154" s="27" t="n">
        <f aca="false">MIN(D153*(1+D$8),MAX(P154,$B$11-SUM(X154:Y154)-SUM(Q154:W154)))</f>
        <v>0</v>
      </c>
      <c r="AA154" s="27" t="n">
        <f aca="false">MIN(E153*(1+E$8),MAX(Q154,$B$11-SUM(X154:Z154)-SUM(R154:W154)))</f>
        <v>0</v>
      </c>
      <c r="AB154" s="27" t="n">
        <f aca="false">MIN(F153*(1+F$8),MAX(R154,$B$11-SUM(X154:AA154)-SUM(S154:W154)))</f>
        <v>0</v>
      </c>
      <c r="AC154" s="27" t="n">
        <f aca="false">MIN(G153*(1+G$8),MAX(S154,$B$11-SUM(X154:AB154)-SUM(T154:W154)))</f>
        <v>0</v>
      </c>
      <c r="AD154" s="27" t="n">
        <f aca="false">MIN(H153*(1+H$8),MAX(T154,$B$11-SUM(X154:AC154)-SUM(U154:W154)))</f>
        <v>0</v>
      </c>
      <c r="AE154" s="27" t="n">
        <f aca="false">MIN(I153*(1+I$8),MAX(U154,$B$11-SUM(X154:AD154)-SUM(V154:W154)))</f>
        <v>0</v>
      </c>
      <c r="AF154" s="27" t="n">
        <f aca="false">MIN(J153*(1+J$8),MAX(V154,$B$11-SUM(X154:AE154)-SUM(W154:W154)))</f>
        <v>0</v>
      </c>
      <c r="AG154" s="27" t="n">
        <f aca="false">MIN(K153*(1+K$8),MAX(W154,$B$11-SUM(X154:AF154)))</f>
        <v>0</v>
      </c>
      <c r="AI154" s="27" t="n">
        <f aca="false">ROUND(MAX(0,AI153*(1+B$8)-BE154),2)</f>
        <v>0</v>
      </c>
      <c r="AJ154" s="27" t="n">
        <f aca="false">ROUND(MAX(0,AJ153*(1+C$8)-BF154),2)</f>
        <v>0</v>
      </c>
      <c r="AK154" s="27" t="n">
        <f aca="false">ROUND(MAX(0,AK153*(1+D$8)-BG154),2)</f>
        <v>0</v>
      </c>
      <c r="AL154" s="27" t="n">
        <f aca="false">ROUND(MAX(0,AL153*(1+E$8)-BH154),2)</f>
        <v>0</v>
      </c>
      <c r="AM154" s="27" t="n">
        <f aca="false">ROUND(MAX(0,AM153*(1+F$8)-BI154),2)</f>
        <v>0</v>
      </c>
      <c r="AN154" s="27" t="n">
        <f aca="false">ROUND(MAX(0,AN153*(1+G$8)-BJ154),2)</f>
        <v>0</v>
      </c>
      <c r="AO154" s="27" t="n">
        <f aca="false">ROUND(MAX(0,AO153*(1+H$8)-BK154),2)</f>
        <v>0</v>
      </c>
      <c r="AP154" s="27" t="n">
        <f aca="false">ROUND(MAX(0,AP153*(1+I$8)-BL154),2)</f>
        <v>0</v>
      </c>
      <c r="AQ154" s="27" t="n">
        <f aca="false">ROUND(MAX(0,AQ153*(1+J$8)-BM154),2)</f>
        <v>0</v>
      </c>
      <c r="AR154" s="27" t="n">
        <f aca="false">ROUND(MAX(0,AR153*(1+K$8)-BN154),2)</f>
        <v>0</v>
      </c>
      <c r="AS154" s="27" t="n">
        <f aca="false">SUM(AI154:AR154)</f>
        <v>0</v>
      </c>
      <c r="AT154" s="27" t="n">
        <f aca="false">SUMPRODUCT(AI153:AR153,$B$8:$K$8)</f>
        <v>0</v>
      </c>
      <c r="AU154" s="27" t="n">
        <f aca="false">MIN(AI153*(1+B$8),B$9)</f>
        <v>0</v>
      </c>
      <c r="AV154" s="27" t="n">
        <f aca="false">MIN(AJ153*(1+C$8),C$9)</f>
        <v>0</v>
      </c>
      <c r="AW154" s="27" t="n">
        <f aca="false">MIN(AK153*(1+D$8),D$9)</f>
        <v>0</v>
      </c>
      <c r="AX154" s="27" t="n">
        <f aca="false">MIN(AL153*(1+E$8),E$9)</f>
        <v>0</v>
      </c>
      <c r="AY154" s="27" t="n">
        <f aca="false">MIN(AM153*(1+F$8),F$9)</f>
        <v>0</v>
      </c>
      <c r="AZ154" s="27" t="n">
        <f aca="false">MIN(AN153*(1+G$8),G$9)</f>
        <v>0</v>
      </c>
      <c r="BA154" s="27" t="n">
        <f aca="false">MIN(AO153*(1+H$8),H$9)</f>
        <v>0</v>
      </c>
      <c r="BB154" s="27" t="n">
        <f aca="false">MIN(AP153*(1+I$8),I$9)</f>
        <v>0</v>
      </c>
      <c r="BC154" s="27" t="n">
        <f aca="false">MIN(AQ153*(1+J$8),J$9)</f>
        <v>0</v>
      </c>
      <c r="BD154" s="27" t="n">
        <f aca="false">MIN(AR153*(1+K$8),K$9)</f>
        <v>0</v>
      </c>
      <c r="BE154" s="27" t="n">
        <f aca="false">MIN(AI153*(1+B$8),MAX(AU154,$B$12-SUM(AV154:BD154)))</f>
        <v>0</v>
      </c>
      <c r="BF154" s="27" t="n">
        <f aca="false">MIN(AJ153*(1+C$8),MAX(AV154,$B$12-SUM(BE154:BE154)-SUM(AW154:BD154)))</f>
        <v>0</v>
      </c>
      <c r="BG154" s="27" t="n">
        <f aca="false">MIN(AK153*(1+D$8),MAX(AW154,$B$12-SUM(BE154:BF154)-SUM(AX154:BD154)))</f>
        <v>0</v>
      </c>
      <c r="BH154" s="27" t="n">
        <f aca="false">MIN(AL153*(1+E$8),MAX(AX154,$B$12-SUM(BE154:BG154)-SUM(AY154:BD154)))</f>
        <v>0</v>
      </c>
      <c r="BI154" s="27" t="n">
        <f aca="false">MIN(AM153*(1+F$8),MAX(AY154,$B$12-SUM(BE154:BH154)-SUM(AZ154:BD154)))</f>
        <v>0</v>
      </c>
      <c r="BJ154" s="27" t="n">
        <f aca="false">MIN(AN153*(1+G$8),MAX(AZ154,$B$12-SUM(BE154:BI154)-SUM(BA154:BD154)))</f>
        <v>0</v>
      </c>
      <c r="BK154" s="27" t="n">
        <f aca="false">MIN(AO153*(1+H$8),MAX(BA154,$B$12-SUM(BE154:BJ154)-SUM(BB154:BD154)))</f>
        <v>0</v>
      </c>
      <c r="BL154" s="27" t="n">
        <f aca="false">MIN(AP153*(1+I$8),MAX(BB154,$B$12-SUM(BE154:BK154)-SUM(BC154:BD154)))</f>
        <v>0</v>
      </c>
      <c r="BM154" s="27" t="n">
        <f aca="false">MIN(AQ153*(1+J$8),MAX(BC154,$B$12-SUM(BE154:BL154)-SUM(BD154:BD154)))</f>
        <v>0</v>
      </c>
      <c r="BN154" s="27" t="n">
        <f aca="false">MIN(AR153*(1+K$8),MAX(BD154,$B$12-SUM(BE154:BM154)))</f>
        <v>0</v>
      </c>
    </row>
    <row r="155" customFormat="false" ht="15" hidden="false" customHeight="false" outlineLevel="0" collapsed="false">
      <c r="A155" s="0" t="n">
        <v>141</v>
      </c>
      <c r="B155" s="27" t="n">
        <f aca="false">ROUND(MAX(0,B154*(1+B$8)-X155),2)</f>
        <v>0</v>
      </c>
      <c r="C155" s="27" t="n">
        <f aca="false">ROUND(MAX(0,C154*(1+C$8)-Y155),2)</f>
        <v>0</v>
      </c>
      <c r="D155" s="27" t="n">
        <f aca="false">ROUND(MAX(0,D154*(1+D$8)-Z155),2)</f>
        <v>0</v>
      </c>
      <c r="E155" s="27" t="n">
        <f aca="false">ROUND(MAX(0,E154*(1+E$8)-AA155),2)</f>
        <v>0</v>
      </c>
      <c r="F155" s="27" t="n">
        <f aca="false">ROUND(MAX(0,F154*(1+F$8)-AB155),2)</f>
        <v>0</v>
      </c>
      <c r="G155" s="27" t="n">
        <f aca="false">ROUND(MAX(0,G154*(1+G$8)-AC155),2)</f>
        <v>0</v>
      </c>
      <c r="H155" s="27" t="n">
        <f aca="false">ROUND(MAX(0,H154*(1+H$8)-AD155),2)</f>
        <v>0</v>
      </c>
      <c r="I155" s="27" t="n">
        <f aca="false">ROUND(MAX(0,I154*(1+I$8)-AE155),2)</f>
        <v>0</v>
      </c>
      <c r="J155" s="27" t="n">
        <f aca="false">ROUND(MAX(0,J154*(1+J$8)-AF155),2)</f>
        <v>0</v>
      </c>
      <c r="K155" s="27" t="n">
        <f aca="false">ROUND(MAX(0,K154*(1+K$8)-AG155),2)</f>
        <v>0</v>
      </c>
      <c r="L155" s="30" t="n">
        <f aca="false">SUM(B155:K155)</f>
        <v>0</v>
      </c>
      <c r="M155" s="27" t="n">
        <f aca="false">SUMPRODUCT(B154:K154,$B$8:$K$8)</f>
        <v>0</v>
      </c>
      <c r="N155" s="27" t="n">
        <f aca="false">MIN(B154*(1+B$8),B$9)</f>
        <v>0</v>
      </c>
      <c r="O155" s="27" t="n">
        <f aca="false">MIN(C154*(1+C$8),C$9)</f>
        <v>0</v>
      </c>
      <c r="P155" s="27" t="n">
        <f aca="false">MIN(D154*(1+D$8),D$9)</f>
        <v>0</v>
      </c>
      <c r="Q155" s="27" t="n">
        <f aca="false">MIN(E154*(1+E$8),E$9)</f>
        <v>0</v>
      </c>
      <c r="R155" s="27" t="n">
        <f aca="false">MIN(F154*(1+F$8),F$9)</f>
        <v>0</v>
      </c>
      <c r="S155" s="27" t="n">
        <f aca="false">MIN(G154*(1+G$8),G$9)</f>
        <v>0</v>
      </c>
      <c r="T155" s="27" t="n">
        <f aca="false">MIN(H154*(1+H$8),H$9)</f>
        <v>0</v>
      </c>
      <c r="U155" s="27" t="n">
        <f aca="false">MIN(I154*(1+I$8),I$9)</f>
        <v>0</v>
      </c>
      <c r="V155" s="27" t="n">
        <f aca="false">MIN(J154*(1+J$8),J$9)</f>
        <v>0</v>
      </c>
      <c r="W155" s="27" t="n">
        <f aca="false">MIN(K154*(1+K$8),K$9)</f>
        <v>0</v>
      </c>
      <c r="X155" s="27" t="n">
        <f aca="false">MIN(B154*(1+B$8),MAX(N155,$B$11-SUM(O155:W155)))</f>
        <v>0</v>
      </c>
      <c r="Y155" s="27" t="n">
        <f aca="false">MIN(C154*(1+C$8),MAX(O155,$B$11-SUM(X155:X155)-SUM(P155:W155)))</f>
        <v>0</v>
      </c>
      <c r="Z155" s="27" t="n">
        <f aca="false">MIN(D154*(1+D$8),MAX(P155,$B$11-SUM(X155:Y155)-SUM(Q155:W155)))</f>
        <v>0</v>
      </c>
      <c r="AA155" s="27" t="n">
        <f aca="false">MIN(E154*(1+E$8),MAX(Q155,$B$11-SUM(X155:Z155)-SUM(R155:W155)))</f>
        <v>0</v>
      </c>
      <c r="AB155" s="27" t="n">
        <f aca="false">MIN(F154*(1+F$8),MAX(R155,$B$11-SUM(X155:AA155)-SUM(S155:W155)))</f>
        <v>0</v>
      </c>
      <c r="AC155" s="27" t="n">
        <f aca="false">MIN(G154*(1+G$8),MAX(S155,$B$11-SUM(X155:AB155)-SUM(T155:W155)))</f>
        <v>0</v>
      </c>
      <c r="AD155" s="27" t="n">
        <f aca="false">MIN(H154*(1+H$8),MAX(T155,$B$11-SUM(X155:AC155)-SUM(U155:W155)))</f>
        <v>0</v>
      </c>
      <c r="AE155" s="27" t="n">
        <f aca="false">MIN(I154*(1+I$8),MAX(U155,$B$11-SUM(X155:AD155)-SUM(V155:W155)))</f>
        <v>0</v>
      </c>
      <c r="AF155" s="27" t="n">
        <f aca="false">MIN(J154*(1+J$8),MAX(V155,$B$11-SUM(X155:AE155)-SUM(W155:W155)))</f>
        <v>0</v>
      </c>
      <c r="AG155" s="27" t="n">
        <f aca="false">MIN(K154*(1+K$8),MAX(W155,$B$11-SUM(X155:AF155)))</f>
        <v>0</v>
      </c>
      <c r="AI155" s="27" t="n">
        <f aca="false">ROUND(MAX(0,AI154*(1+B$8)-BE155),2)</f>
        <v>0</v>
      </c>
      <c r="AJ155" s="27" t="n">
        <f aca="false">ROUND(MAX(0,AJ154*(1+C$8)-BF155),2)</f>
        <v>0</v>
      </c>
      <c r="AK155" s="27" t="n">
        <f aca="false">ROUND(MAX(0,AK154*(1+D$8)-BG155),2)</f>
        <v>0</v>
      </c>
      <c r="AL155" s="27" t="n">
        <f aca="false">ROUND(MAX(0,AL154*(1+E$8)-BH155),2)</f>
        <v>0</v>
      </c>
      <c r="AM155" s="27" t="n">
        <f aca="false">ROUND(MAX(0,AM154*(1+F$8)-BI155),2)</f>
        <v>0</v>
      </c>
      <c r="AN155" s="27" t="n">
        <f aca="false">ROUND(MAX(0,AN154*(1+G$8)-BJ155),2)</f>
        <v>0</v>
      </c>
      <c r="AO155" s="27" t="n">
        <f aca="false">ROUND(MAX(0,AO154*(1+H$8)-BK155),2)</f>
        <v>0</v>
      </c>
      <c r="AP155" s="27" t="n">
        <f aca="false">ROUND(MAX(0,AP154*(1+I$8)-BL155),2)</f>
        <v>0</v>
      </c>
      <c r="AQ155" s="27" t="n">
        <f aca="false">ROUND(MAX(0,AQ154*(1+J$8)-BM155),2)</f>
        <v>0</v>
      </c>
      <c r="AR155" s="27" t="n">
        <f aca="false">ROUND(MAX(0,AR154*(1+K$8)-BN155),2)</f>
        <v>0</v>
      </c>
      <c r="AS155" s="27" t="n">
        <f aca="false">SUM(AI155:AR155)</f>
        <v>0</v>
      </c>
      <c r="AT155" s="27" t="n">
        <f aca="false">SUMPRODUCT(AI154:AR154,$B$8:$K$8)</f>
        <v>0</v>
      </c>
      <c r="AU155" s="27" t="n">
        <f aca="false">MIN(AI154*(1+B$8),B$9)</f>
        <v>0</v>
      </c>
      <c r="AV155" s="27" t="n">
        <f aca="false">MIN(AJ154*(1+C$8),C$9)</f>
        <v>0</v>
      </c>
      <c r="AW155" s="27" t="n">
        <f aca="false">MIN(AK154*(1+D$8),D$9)</f>
        <v>0</v>
      </c>
      <c r="AX155" s="27" t="n">
        <f aca="false">MIN(AL154*(1+E$8),E$9)</f>
        <v>0</v>
      </c>
      <c r="AY155" s="27" t="n">
        <f aca="false">MIN(AM154*(1+F$8),F$9)</f>
        <v>0</v>
      </c>
      <c r="AZ155" s="27" t="n">
        <f aca="false">MIN(AN154*(1+G$8),G$9)</f>
        <v>0</v>
      </c>
      <c r="BA155" s="27" t="n">
        <f aca="false">MIN(AO154*(1+H$8),H$9)</f>
        <v>0</v>
      </c>
      <c r="BB155" s="27" t="n">
        <f aca="false">MIN(AP154*(1+I$8),I$9)</f>
        <v>0</v>
      </c>
      <c r="BC155" s="27" t="n">
        <f aca="false">MIN(AQ154*(1+J$8),J$9)</f>
        <v>0</v>
      </c>
      <c r="BD155" s="27" t="n">
        <f aca="false">MIN(AR154*(1+K$8),K$9)</f>
        <v>0</v>
      </c>
      <c r="BE155" s="27" t="n">
        <f aca="false">MIN(AI154*(1+B$8),MAX(AU155,$B$12-SUM(AV155:BD155)))</f>
        <v>0</v>
      </c>
      <c r="BF155" s="27" t="n">
        <f aca="false">MIN(AJ154*(1+C$8),MAX(AV155,$B$12-SUM(BE155:BE155)-SUM(AW155:BD155)))</f>
        <v>0</v>
      </c>
      <c r="BG155" s="27" t="n">
        <f aca="false">MIN(AK154*(1+D$8),MAX(AW155,$B$12-SUM(BE155:BF155)-SUM(AX155:BD155)))</f>
        <v>0</v>
      </c>
      <c r="BH155" s="27" t="n">
        <f aca="false">MIN(AL154*(1+E$8),MAX(AX155,$B$12-SUM(BE155:BG155)-SUM(AY155:BD155)))</f>
        <v>0</v>
      </c>
      <c r="BI155" s="27" t="n">
        <f aca="false">MIN(AM154*(1+F$8),MAX(AY155,$B$12-SUM(BE155:BH155)-SUM(AZ155:BD155)))</f>
        <v>0</v>
      </c>
      <c r="BJ155" s="27" t="n">
        <f aca="false">MIN(AN154*(1+G$8),MAX(AZ155,$B$12-SUM(BE155:BI155)-SUM(BA155:BD155)))</f>
        <v>0</v>
      </c>
      <c r="BK155" s="27" t="n">
        <f aca="false">MIN(AO154*(1+H$8),MAX(BA155,$B$12-SUM(BE155:BJ155)-SUM(BB155:BD155)))</f>
        <v>0</v>
      </c>
      <c r="BL155" s="27" t="n">
        <f aca="false">MIN(AP154*(1+I$8),MAX(BB155,$B$12-SUM(BE155:BK155)-SUM(BC155:BD155)))</f>
        <v>0</v>
      </c>
      <c r="BM155" s="27" t="n">
        <f aca="false">MIN(AQ154*(1+J$8),MAX(BC155,$B$12-SUM(BE155:BL155)-SUM(BD155:BD155)))</f>
        <v>0</v>
      </c>
      <c r="BN155" s="27" t="n">
        <f aca="false">MIN(AR154*(1+K$8),MAX(BD155,$B$12-SUM(BE155:BM155)))</f>
        <v>0</v>
      </c>
    </row>
    <row r="156" customFormat="false" ht="15" hidden="false" customHeight="false" outlineLevel="0" collapsed="false">
      <c r="A156" s="0" t="n">
        <v>142</v>
      </c>
      <c r="B156" s="27" t="n">
        <f aca="false">ROUND(MAX(0,B155*(1+B$8)-X156),2)</f>
        <v>0</v>
      </c>
      <c r="C156" s="27" t="n">
        <f aca="false">ROUND(MAX(0,C155*(1+C$8)-Y156),2)</f>
        <v>0</v>
      </c>
      <c r="D156" s="27" t="n">
        <f aca="false">ROUND(MAX(0,D155*(1+D$8)-Z156),2)</f>
        <v>0</v>
      </c>
      <c r="E156" s="27" t="n">
        <f aca="false">ROUND(MAX(0,E155*(1+E$8)-AA156),2)</f>
        <v>0</v>
      </c>
      <c r="F156" s="27" t="n">
        <f aca="false">ROUND(MAX(0,F155*(1+F$8)-AB156),2)</f>
        <v>0</v>
      </c>
      <c r="G156" s="27" t="n">
        <f aca="false">ROUND(MAX(0,G155*(1+G$8)-AC156),2)</f>
        <v>0</v>
      </c>
      <c r="H156" s="27" t="n">
        <f aca="false">ROUND(MAX(0,H155*(1+H$8)-AD156),2)</f>
        <v>0</v>
      </c>
      <c r="I156" s="27" t="n">
        <f aca="false">ROUND(MAX(0,I155*(1+I$8)-AE156),2)</f>
        <v>0</v>
      </c>
      <c r="J156" s="27" t="n">
        <f aca="false">ROUND(MAX(0,J155*(1+J$8)-AF156),2)</f>
        <v>0</v>
      </c>
      <c r="K156" s="27" t="n">
        <f aca="false">ROUND(MAX(0,K155*(1+K$8)-AG156),2)</f>
        <v>0</v>
      </c>
      <c r="L156" s="30" t="n">
        <f aca="false">SUM(B156:K156)</f>
        <v>0</v>
      </c>
      <c r="M156" s="27" t="n">
        <f aca="false">SUMPRODUCT(B155:K155,$B$8:$K$8)</f>
        <v>0</v>
      </c>
      <c r="N156" s="27" t="n">
        <f aca="false">MIN(B155*(1+B$8),B$9)</f>
        <v>0</v>
      </c>
      <c r="O156" s="27" t="n">
        <f aca="false">MIN(C155*(1+C$8),C$9)</f>
        <v>0</v>
      </c>
      <c r="P156" s="27" t="n">
        <f aca="false">MIN(D155*(1+D$8),D$9)</f>
        <v>0</v>
      </c>
      <c r="Q156" s="27" t="n">
        <f aca="false">MIN(E155*(1+E$8),E$9)</f>
        <v>0</v>
      </c>
      <c r="R156" s="27" t="n">
        <f aca="false">MIN(F155*(1+F$8),F$9)</f>
        <v>0</v>
      </c>
      <c r="S156" s="27" t="n">
        <f aca="false">MIN(G155*(1+G$8),G$9)</f>
        <v>0</v>
      </c>
      <c r="T156" s="27" t="n">
        <f aca="false">MIN(H155*(1+H$8),H$9)</f>
        <v>0</v>
      </c>
      <c r="U156" s="27" t="n">
        <f aca="false">MIN(I155*(1+I$8),I$9)</f>
        <v>0</v>
      </c>
      <c r="V156" s="27" t="n">
        <f aca="false">MIN(J155*(1+J$8),J$9)</f>
        <v>0</v>
      </c>
      <c r="W156" s="27" t="n">
        <f aca="false">MIN(K155*(1+K$8),K$9)</f>
        <v>0</v>
      </c>
      <c r="X156" s="27" t="n">
        <f aca="false">MIN(B155*(1+B$8),MAX(N156,$B$11-SUM(O156:W156)))</f>
        <v>0</v>
      </c>
      <c r="Y156" s="27" t="n">
        <f aca="false">MIN(C155*(1+C$8),MAX(O156,$B$11-SUM(X156:X156)-SUM(P156:W156)))</f>
        <v>0</v>
      </c>
      <c r="Z156" s="27" t="n">
        <f aca="false">MIN(D155*(1+D$8),MAX(P156,$B$11-SUM(X156:Y156)-SUM(Q156:W156)))</f>
        <v>0</v>
      </c>
      <c r="AA156" s="27" t="n">
        <f aca="false">MIN(E155*(1+E$8),MAX(Q156,$B$11-SUM(X156:Z156)-SUM(R156:W156)))</f>
        <v>0</v>
      </c>
      <c r="AB156" s="27" t="n">
        <f aca="false">MIN(F155*(1+F$8),MAX(R156,$B$11-SUM(X156:AA156)-SUM(S156:W156)))</f>
        <v>0</v>
      </c>
      <c r="AC156" s="27" t="n">
        <f aca="false">MIN(G155*(1+G$8),MAX(S156,$B$11-SUM(X156:AB156)-SUM(T156:W156)))</f>
        <v>0</v>
      </c>
      <c r="AD156" s="27" t="n">
        <f aca="false">MIN(H155*(1+H$8),MAX(T156,$B$11-SUM(X156:AC156)-SUM(U156:W156)))</f>
        <v>0</v>
      </c>
      <c r="AE156" s="27" t="n">
        <f aca="false">MIN(I155*(1+I$8),MAX(U156,$B$11-SUM(X156:AD156)-SUM(V156:W156)))</f>
        <v>0</v>
      </c>
      <c r="AF156" s="27" t="n">
        <f aca="false">MIN(J155*(1+J$8),MAX(V156,$B$11-SUM(X156:AE156)-SUM(W156:W156)))</f>
        <v>0</v>
      </c>
      <c r="AG156" s="27" t="n">
        <f aca="false">MIN(K155*(1+K$8),MAX(W156,$B$11-SUM(X156:AF156)))</f>
        <v>0</v>
      </c>
      <c r="AI156" s="27" t="n">
        <f aca="false">ROUND(MAX(0,AI155*(1+B$8)-BE156),2)</f>
        <v>0</v>
      </c>
      <c r="AJ156" s="27" t="n">
        <f aca="false">ROUND(MAX(0,AJ155*(1+C$8)-BF156),2)</f>
        <v>0</v>
      </c>
      <c r="AK156" s="27" t="n">
        <f aca="false">ROUND(MAX(0,AK155*(1+D$8)-BG156),2)</f>
        <v>0</v>
      </c>
      <c r="AL156" s="27" t="n">
        <f aca="false">ROUND(MAX(0,AL155*(1+E$8)-BH156),2)</f>
        <v>0</v>
      </c>
      <c r="AM156" s="27" t="n">
        <f aca="false">ROUND(MAX(0,AM155*(1+F$8)-BI156),2)</f>
        <v>0</v>
      </c>
      <c r="AN156" s="27" t="n">
        <f aca="false">ROUND(MAX(0,AN155*(1+G$8)-BJ156),2)</f>
        <v>0</v>
      </c>
      <c r="AO156" s="27" t="n">
        <f aca="false">ROUND(MAX(0,AO155*(1+H$8)-BK156),2)</f>
        <v>0</v>
      </c>
      <c r="AP156" s="27" t="n">
        <f aca="false">ROUND(MAX(0,AP155*(1+I$8)-BL156),2)</f>
        <v>0</v>
      </c>
      <c r="AQ156" s="27" t="n">
        <f aca="false">ROUND(MAX(0,AQ155*(1+J$8)-BM156),2)</f>
        <v>0</v>
      </c>
      <c r="AR156" s="27" t="n">
        <f aca="false">ROUND(MAX(0,AR155*(1+K$8)-BN156),2)</f>
        <v>0</v>
      </c>
      <c r="AS156" s="27" t="n">
        <f aca="false">SUM(AI156:AR156)</f>
        <v>0</v>
      </c>
      <c r="AT156" s="27" t="n">
        <f aca="false">SUMPRODUCT(AI155:AR155,$B$8:$K$8)</f>
        <v>0</v>
      </c>
      <c r="AU156" s="27" t="n">
        <f aca="false">MIN(AI155*(1+B$8),B$9)</f>
        <v>0</v>
      </c>
      <c r="AV156" s="27" t="n">
        <f aca="false">MIN(AJ155*(1+C$8),C$9)</f>
        <v>0</v>
      </c>
      <c r="AW156" s="27" t="n">
        <f aca="false">MIN(AK155*(1+D$8),D$9)</f>
        <v>0</v>
      </c>
      <c r="AX156" s="27" t="n">
        <f aca="false">MIN(AL155*(1+E$8),E$9)</f>
        <v>0</v>
      </c>
      <c r="AY156" s="27" t="n">
        <f aca="false">MIN(AM155*(1+F$8),F$9)</f>
        <v>0</v>
      </c>
      <c r="AZ156" s="27" t="n">
        <f aca="false">MIN(AN155*(1+G$8),G$9)</f>
        <v>0</v>
      </c>
      <c r="BA156" s="27" t="n">
        <f aca="false">MIN(AO155*(1+H$8),H$9)</f>
        <v>0</v>
      </c>
      <c r="BB156" s="27" t="n">
        <f aca="false">MIN(AP155*(1+I$8),I$9)</f>
        <v>0</v>
      </c>
      <c r="BC156" s="27" t="n">
        <f aca="false">MIN(AQ155*(1+J$8),J$9)</f>
        <v>0</v>
      </c>
      <c r="BD156" s="27" t="n">
        <f aca="false">MIN(AR155*(1+K$8),K$9)</f>
        <v>0</v>
      </c>
      <c r="BE156" s="27" t="n">
        <f aca="false">MIN(AI155*(1+B$8),MAX(AU156,$B$12-SUM(AV156:BD156)))</f>
        <v>0</v>
      </c>
      <c r="BF156" s="27" t="n">
        <f aca="false">MIN(AJ155*(1+C$8),MAX(AV156,$B$12-SUM(BE156:BE156)-SUM(AW156:BD156)))</f>
        <v>0</v>
      </c>
      <c r="BG156" s="27" t="n">
        <f aca="false">MIN(AK155*(1+D$8),MAX(AW156,$B$12-SUM(BE156:BF156)-SUM(AX156:BD156)))</f>
        <v>0</v>
      </c>
      <c r="BH156" s="27" t="n">
        <f aca="false">MIN(AL155*(1+E$8),MAX(AX156,$B$12-SUM(BE156:BG156)-SUM(AY156:BD156)))</f>
        <v>0</v>
      </c>
      <c r="BI156" s="27" t="n">
        <f aca="false">MIN(AM155*(1+F$8),MAX(AY156,$B$12-SUM(BE156:BH156)-SUM(AZ156:BD156)))</f>
        <v>0</v>
      </c>
      <c r="BJ156" s="27" t="n">
        <f aca="false">MIN(AN155*(1+G$8),MAX(AZ156,$B$12-SUM(BE156:BI156)-SUM(BA156:BD156)))</f>
        <v>0</v>
      </c>
      <c r="BK156" s="27" t="n">
        <f aca="false">MIN(AO155*(1+H$8),MAX(BA156,$B$12-SUM(BE156:BJ156)-SUM(BB156:BD156)))</f>
        <v>0</v>
      </c>
      <c r="BL156" s="27" t="n">
        <f aca="false">MIN(AP155*(1+I$8),MAX(BB156,$B$12-SUM(BE156:BK156)-SUM(BC156:BD156)))</f>
        <v>0</v>
      </c>
      <c r="BM156" s="27" t="n">
        <f aca="false">MIN(AQ155*(1+J$8),MAX(BC156,$B$12-SUM(BE156:BL156)-SUM(BD156:BD156)))</f>
        <v>0</v>
      </c>
      <c r="BN156" s="27" t="n">
        <f aca="false">MIN(AR155*(1+K$8),MAX(BD156,$B$12-SUM(BE156:BM156)))</f>
        <v>0</v>
      </c>
    </row>
    <row r="157" customFormat="false" ht="15" hidden="false" customHeight="false" outlineLevel="0" collapsed="false">
      <c r="A157" s="0" t="n">
        <v>143</v>
      </c>
      <c r="B157" s="27" t="n">
        <f aca="false">ROUND(MAX(0,B156*(1+B$8)-X157),2)</f>
        <v>0</v>
      </c>
      <c r="C157" s="27" t="n">
        <f aca="false">ROUND(MAX(0,C156*(1+C$8)-Y157),2)</f>
        <v>0</v>
      </c>
      <c r="D157" s="27" t="n">
        <f aca="false">ROUND(MAX(0,D156*(1+D$8)-Z157),2)</f>
        <v>0</v>
      </c>
      <c r="E157" s="27" t="n">
        <f aca="false">ROUND(MAX(0,E156*(1+E$8)-AA157),2)</f>
        <v>0</v>
      </c>
      <c r="F157" s="27" t="n">
        <f aca="false">ROUND(MAX(0,F156*(1+F$8)-AB157),2)</f>
        <v>0</v>
      </c>
      <c r="G157" s="27" t="n">
        <f aca="false">ROUND(MAX(0,G156*(1+G$8)-AC157),2)</f>
        <v>0</v>
      </c>
      <c r="H157" s="27" t="n">
        <f aca="false">ROUND(MAX(0,H156*(1+H$8)-AD157),2)</f>
        <v>0</v>
      </c>
      <c r="I157" s="27" t="n">
        <f aca="false">ROUND(MAX(0,I156*(1+I$8)-AE157),2)</f>
        <v>0</v>
      </c>
      <c r="J157" s="27" t="n">
        <f aca="false">ROUND(MAX(0,J156*(1+J$8)-AF157),2)</f>
        <v>0</v>
      </c>
      <c r="K157" s="27" t="n">
        <f aca="false">ROUND(MAX(0,K156*(1+K$8)-AG157),2)</f>
        <v>0</v>
      </c>
      <c r="L157" s="30" t="n">
        <f aca="false">SUM(B157:K157)</f>
        <v>0</v>
      </c>
      <c r="M157" s="27" t="n">
        <f aca="false">SUMPRODUCT(B156:K156,$B$8:$K$8)</f>
        <v>0</v>
      </c>
      <c r="N157" s="27" t="n">
        <f aca="false">MIN(B156*(1+B$8),B$9)</f>
        <v>0</v>
      </c>
      <c r="O157" s="27" t="n">
        <f aca="false">MIN(C156*(1+C$8),C$9)</f>
        <v>0</v>
      </c>
      <c r="P157" s="27" t="n">
        <f aca="false">MIN(D156*(1+D$8),D$9)</f>
        <v>0</v>
      </c>
      <c r="Q157" s="27" t="n">
        <f aca="false">MIN(E156*(1+E$8),E$9)</f>
        <v>0</v>
      </c>
      <c r="R157" s="27" t="n">
        <f aca="false">MIN(F156*(1+F$8),F$9)</f>
        <v>0</v>
      </c>
      <c r="S157" s="27" t="n">
        <f aca="false">MIN(G156*(1+G$8),G$9)</f>
        <v>0</v>
      </c>
      <c r="T157" s="27" t="n">
        <f aca="false">MIN(H156*(1+H$8),H$9)</f>
        <v>0</v>
      </c>
      <c r="U157" s="27" t="n">
        <f aca="false">MIN(I156*(1+I$8),I$9)</f>
        <v>0</v>
      </c>
      <c r="V157" s="27" t="n">
        <f aca="false">MIN(J156*(1+J$8),J$9)</f>
        <v>0</v>
      </c>
      <c r="W157" s="27" t="n">
        <f aca="false">MIN(K156*(1+K$8),K$9)</f>
        <v>0</v>
      </c>
      <c r="X157" s="27" t="n">
        <f aca="false">MIN(B156*(1+B$8),MAX(N157,$B$11-SUM(O157:W157)))</f>
        <v>0</v>
      </c>
      <c r="Y157" s="27" t="n">
        <f aca="false">MIN(C156*(1+C$8),MAX(O157,$B$11-SUM(X157:X157)-SUM(P157:W157)))</f>
        <v>0</v>
      </c>
      <c r="Z157" s="27" t="n">
        <f aca="false">MIN(D156*(1+D$8),MAX(P157,$B$11-SUM(X157:Y157)-SUM(Q157:W157)))</f>
        <v>0</v>
      </c>
      <c r="AA157" s="27" t="n">
        <f aca="false">MIN(E156*(1+E$8),MAX(Q157,$B$11-SUM(X157:Z157)-SUM(R157:W157)))</f>
        <v>0</v>
      </c>
      <c r="AB157" s="27" t="n">
        <f aca="false">MIN(F156*(1+F$8),MAX(R157,$B$11-SUM(X157:AA157)-SUM(S157:W157)))</f>
        <v>0</v>
      </c>
      <c r="AC157" s="27" t="n">
        <f aca="false">MIN(G156*(1+G$8),MAX(S157,$B$11-SUM(X157:AB157)-SUM(T157:W157)))</f>
        <v>0</v>
      </c>
      <c r="AD157" s="27" t="n">
        <f aca="false">MIN(H156*(1+H$8),MAX(T157,$B$11-SUM(X157:AC157)-SUM(U157:W157)))</f>
        <v>0</v>
      </c>
      <c r="AE157" s="27" t="n">
        <f aca="false">MIN(I156*(1+I$8),MAX(U157,$B$11-SUM(X157:AD157)-SUM(V157:W157)))</f>
        <v>0</v>
      </c>
      <c r="AF157" s="27" t="n">
        <f aca="false">MIN(J156*(1+J$8),MAX(V157,$B$11-SUM(X157:AE157)-SUM(W157:W157)))</f>
        <v>0</v>
      </c>
      <c r="AG157" s="27" t="n">
        <f aca="false">MIN(K156*(1+K$8),MAX(W157,$B$11-SUM(X157:AF157)))</f>
        <v>0</v>
      </c>
      <c r="AI157" s="27" t="n">
        <f aca="false">ROUND(MAX(0,AI156*(1+B$8)-BE157),2)</f>
        <v>0</v>
      </c>
      <c r="AJ157" s="27" t="n">
        <f aca="false">ROUND(MAX(0,AJ156*(1+C$8)-BF157),2)</f>
        <v>0</v>
      </c>
      <c r="AK157" s="27" t="n">
        <f aca="false">ROUND(MAX(0,AK156*(1+D$8)-BG157),2)</f>
        <v>0</v>
      </c>
      <c r="AL157" s="27" t="n">
        <f aca="false">ROUND(MAX(0,AL156*(1+E$8)-BH157),2)</f>
        <v>0</v>
      </c>
      <c r="AM157" s="27" t="n">
        <f aca="false">ROUND(MAX(0,AM156*(1+F$8)-BI157),2)</f>
        <v>0</v>
      </c>
      <c r="AN157" s="27" t="n">
        <f aca="false">ROUND(MAX(0,AN156*(1+G$8)-BJ157),2)</f>
        <v>0</v>
      </c>
      <c r="AO157" s="27" t="n">
        <f aca="false">ROUND(MAX(0,AO156*(1+H$8)-BK157),2)</f>
        <v>0</v>
      </c>
      <c r="AP157" s="27" t="n">
        <f aca="false">ROUND(MAX(0,AP156*(1+I$8)-BL157),2)</f>
        <v>0</v>
      </c>
      <c r="AQ157" s="27" t="n">
        <f aca="false">ROUND(MAX(0,AQ156*(1+J$8)-BM157),2)</f>
        <v>0</v>
      </c>
      <c r="AR157" s="27" t="n">
        <f aca="false">ROUND(MAX(0,AR156*(1+K$8)-BN157),2)</f>
        <v>0</v>
      </c>
      <c r="AS157" s="27" t="n">
        <f aca="false">SUM(AI157:AR157)</f>
        <v>0</v>
      </c>
      <c r="AT157" s="27" t="n">
        <f aca="false">SUMPRODUCT(AI156:AR156,$B$8:$K$8)</f>
        <v>0</v>
      </c>
      <c r="AU157" s="27" t="n">
        <f aca="false">MIN(AI156*(1+B$8),B$9)</f>
        <v>0</v>
      </c>
      <c r="AV157" s="27" t="n">
        <f aca="false">MIN(AJ156*(1+C$8),C$9)</f>
        <v>0</v>
      </c>
      <c r="AW157" s="27" t="n">
        <f aca="false">MIN(AK156*(1+D$8),D$9)</f>
        <v>0</v>
      </c>
      <c r="AX157" s="27" t="n">
        <f aca="false">MIN(AL156*(1+E$8),E$9)</f>
        <v>0</v>
      </c>
      <c r="AY157" s="27" t="n">
        <f aca="false">MIN(AM156*(1+F$8),F$9)</f>
        <v>0</v>
      </c>
      <c r="AZ157" s="27" t="n">
        <f aca="false">MIN(AN156*(1+G$8),G$9)</f>
        <v>0</v>
      </c>
      <c r="BA157" s="27" t="n">
        <f aca="false">MIN(AO156*(1+H$8),H$9)</f>
        <v>0</v>
      </c>
      <c r="BB157" s="27" t="n">
        <f aca="false">MIN(AP156*(1+I$8),I$9)</f>
        <v>0</v>
      </c>
      <c r="BC157" s="27" t="n">
        <f aca="false">MIN(AQ156*(1+J$8),J$9)</f>
        <v>0</v>
      </c>
      <c r="BD157" s="27" t="n">
        <f aca="false">MIN(AR156*(1+K$8),K$9)</f>
        <v>0</v>
      </c>
      <c r="BE157" s="27" t="n">
        <f aca="false">MIN(AI156*(1+B$8),MAX(AU157,$B$12-SUM(AV157:BD157)))</f>
        <v>0</v>
      </c>
      <c r="BF157" s="27" t="n">
        <f aca="false">MIN(AJ156*(1+C$8),MAX(AV157,$B$12-SUM(BE157:BE157)-SUM(AW157:BD157)))</f>
        <v>0</v>
      </c>
      <c r="BG157" s="27" t="n">
        <f aca="false">MIN(AK156*(1+D$8),MAX(AW157,$B$12-SUM(BE157:BF157)-SUM(AX157:BD157)))</f>
        <v>0</v>
      </c>
      <c r="BH157" s="27" t="n">
        <f aca="false">MIN(AL156*(1+E$8),MAX(AX157,$B$12-SUM(BE157:BG157)-SUM(AY157:BD157)))</f>
        <v>0</v>
      </c>
      <c r="BI157" s="27" t="n">
        <f aca="false">MIN(AM156*(1+F$8),MAX(AY157,$B$12-SUM(BE157:BH157)-SUM(AZ157:BD157)))</f>
        <v>0</v>
      </c>
      <c r="BJ157" s="27" t="n">
        <f aca="false">MIN(AN156*(1+G$8),MAX(AZ157,$B$12-SUM(BE157:BI157)-SUM(BA157:BD157)))</f>
        <v>0</v>
      </c>
      <c r="BK157" s="27" t="n">
        <f aca="false">MIN(AO156*(1+H$8),MAX(BA157,$B$12-SUM(BE157:BJ157)-SUM(BB157:BD157)))</f>
        <v>0</v>
      </c>
      <c r="BL157" s="27" t="n">
        <f aca="false">MIN(AP156*(1+I$8),MAX(BB157,$B$12-SUM(BE157:BK157)-SUM(BC157:BD157)))</f>
        <v>0</v>
      </c>
      <c r="BM157" s="27" t="n">
        <f aca="false">MIN(AQ156*(1+J$8),MAX(BC157,$B$12-SUM(BE157:BL157)-SUM(BD157:BD157)))</f>
        <v>0</v>
      </c>
      <c r="BN157" s="27" t="n">
        <f aca="false">MIN(AR156*(1+K$8),MAX(BD157,$B$12-SUM(BE157:BM157)))</f>
        <v>0</v>
      </c>
    </row>
    <row r="158" customFormat="false" ht="15" hidden="false" customHeight="false" outlineLevel="0" collapsed="false">
      <c r="A158" s="0" t="n">
        <v>144</v>
      </c>
      <c r="B158" s="27" t="n">
        <f aca="false">ROUND(MAX(0,B157*(1+B$8)-X158),2)</f>
        <v>0</v>
      </c>
      <c r="C158" s="27" t="n">
        <f aca="false">ROUND(MAX(0,C157*(1+C$8)-Y158),2)</f>
        <v>0</v>
      </c>
      <c r="D158" s="27" t="n">
        <f aca="false">ROUND(MAX(0,D157*(1+D$8)-Z158),2)</f>
        <v>0</v>
      </c>
      <c r="E158" s="27" t="n">
        <f aca="false">ROUND(MAX(0,E157*(1+E$8)-AA158),2)</f>
        <v>0</v>
      </c>
      <c r="F158" s="27" t="n">
        <f aca="false">ROUND(MAX(0,F157*(1+F$8)-AB158),2)</f>
        <v>0</v>
      </c>
      <c r="G158" s="27" t="n">
        <f aca="false">ROUND(MAX(0,G157*(1+G$8)-AC158),2)</f>
        <v>0</v>
      </c>
      <c r="H158" s="27" t="n">
        <f aca="false">ROUND(MAX(0,H157*(1+H$8)-AD158),2)</f>
        <v>0</v>
      </c>
      <c r="I158" s="27" t="n">
        <f aca="false">ROUND(MAX(0,I157*(1+I$8)-AE158),2)</f>
        <v>0</v>
      </c>
      <c r="J158" s="27" t="n">
        <f aca="false">ROUND(MAX(0,J157*(1+J$8)-AF158),2)</f>
        <v>0</v>
      </c>
      <c r="K158" s="27" t="n">
        <f aca="false">ROUND(MAX(0,K157*(1+K$8)-AG158),2)</f>
        <v>0</v>
      </c>
      <c r="L158" s="30" t="n">
        <f aca="false">SUM(B158:K158)</f>
        <v>0</v>
      </c>
      <c r="M158" s="27" t="n">
        <f aca="false">SUMPRODUCT(B157:K157,$B$8:$K$8)</f>
        <v>0</v>
      </c>
      <c r="N158" s="27" t="n">
        <f aca="false">MIN(B157*(1+B$8),B$9)</f>
        <v>0</v>
      </c>
      <c r="O158" s="27" t="n">
        <f aca="false">MIN(C157*(1+C$8),C$9)</f>
        <v>0</v>
      </c>
      <c r="P158" s="27" t="n">
        <f aca="false">MIN(D157*(1+D$8),D$9)</f>
        <v>0</v>
      </c>
      <c r="Q158" s="27" t="n">
        <f aca="false">MIN(E157*(1+E$8),E$9)</f>
        <v>0</v>
      </c>
      <c r="R158" s="27" t="n">
        <f aca="false">MIN(F157*(1+F$8),F$9)</f>
        <v>0</v>
      </c>
      <c r="S158" s="27" t="n">
        <f aca="false">MIN(G157*(1+G$8),G$9)</f>
        <v>0</v>
      </c>
      <c r="T158" s="27" t="n">
        <f aca="false">MIN(H157*(1+H$8),H$9)</f>
        <v>0</v>
      </c>
      <c r="U158" s="27" t="n">
        <f aca="false">MIN(I157*(1+I$8),I$9)</f>
        <v>0</v>
      </c>
      <c r="V158" s="27" t="n">
        <f aca="false">MIN(J157*(1+J$8),J$9)</f>
        <v>0</v>
      </c>
      <c r="W158" s="27" t="n">
        <f aca="false">MIN(K157*(1+K$8),K$9)</f>
        <v>0</v>
      </c>
      <c r="X158" s="27" t="n">
        <f aca="false">MIN(B157*(1+B$8),MAX(N158,$B$11-SUM(O158:W158)))</f>
        <v>0</v>
      </c>
      <c r="Y158" s="27" t="n">
        <f aca="false">MIN(C157*(1+C$8),MAX(O158,$B$11-SUM(X158:X158)-SUM(P158:W158)))</f>
        <v>0</v>
      </c>
      <c r="Z158" s="27" t="n">
        <f aca="false">MIN(D157*(1+D$8),MAX(P158,$B$11-SUM(X158:Y158)-SUM(Q158:W158)))</f>
        <v>0</v>
      </c>
      <c r="AA158" s="27" t="n">
        <f aca="false">MIN(E157*(1+E$8),MAX(Q158,$B$11-SUM(X158:Z158)-SUM(R158:W158)))</f>
        <v>0</v>
      </c>
      <c r="AB158" s="27" t="n">
        <f aca="false">MIN(F157*(1+F$8),MAX(R158,$B$11-SUM(X158:AA158)-SUM(S158:W158)))</f>
        <v>0</v>
      </c>
      <c r="AC158" s="27" t="n">
        <f aca="false">MIN(G157*(1+G$8),MAX(S158,$B$11-SUM(X158:AB158)-SUM(T158:W158)))</f>
        <v>0</v>
      </c>
      <c r="AD158" s="27" t="n">
        <f aca="false">MIN(H157*(1+H$8),MAX(T158,$B$11-SUM(X158:AC158)-SUM(U158:W158)))</f>
        <v>0</v>
      </c>
      <c r="AE158" s="27" t="n">
        <f aca="false">MIN(I157*(1+I$8),MAX(U158,$B$11-SUM(X158:AD158)-SUM(V158:W158)))</f>
        <v>0</v>
      </c>
      <c r="AF158" s="27" t="n">
        <f aca="false">MIN(J157*(1+J$8),MAX(V158,$B$11-SUM(X158:AE158)-SUM(W158:W158)))</f>
        <v>0</v>
      </c>
      <c r="AG158" s="27" t="n">
        <f aca="false">MIN(K157*(1+K$8),MAX(W158,$B$11-SUM(X158:AF158)))</f>
        <v>0</v>
      </c>
      <c r="AI158" s="27" t="n">
        <f aca="false">ROUND(MAX(0,AI157*(1+B$8)-BE158),2)</f>
        <v>0</v>
      </c>
      <c r="AJ158" s="27" t="n">
        <f aca="false">ROUND(MAX(0,AJ157*(1+C$8)-BF158),2)</f>
        <v>0</v>
      </c>
      <c r="AK158" s="27" t="n">
        <f aca="false">ROUND(MAX(0,AK157*(1+D$8)-BG158),2)</f>
        <v>0</v>
      </c>
      <c r="AL158" s="27" t="n">
        <f aca="false">ROUND(MAX(0,AL157*(1+E$8)-BH158),2)</f>
        <v>0</v>
      </c>
      <c r="AM158" s="27" t="n">
        <f aca="false">ROUND(MAX(0,AM157*(1+F$8)-BI158),2)</f>
        <v>0</v>
      </c>
      <c r="AN158" s="27" t="n">
        <f aca="false">ROUND(MAX(0,AN157*(1+G$8)-BJ158),2)</f>
        <v>0</v>
      </c>
      <c r="AO158" s="27" t="n">
        <f aca="false">ROUND(MAX(0,AO157*(1+H$8)-BK158),2)</f>
        <v>0</v>
      </c>
      <c r="AP158" s="27" t="n">
        <f aca="false">ROUND(MAX(0,AP157*(1+I$8)-BL158),2)</f>
        <v>0</v>
      </c>
      <c r="AQ158" s="27" t="n">
        <f aca="false">ROUND(MAX(0,AQ157*(1+J$8)-BM158),2)</f>
        <v>0</v>
      </c>
      <c r="AR158" s="27" t="n">
        <f aca="false">ROUND(MAX(0,AR157*(1+K$8)-BN158),2)</f>
        <v>0</v>
      </c>
      <c r="AS158" s="27" t="n">
        <f aca="false">SUM(AI158:AR158)</f>
        <v>0</v>
      </c>
      <c r="AT158" s="27" t="n">
        <f aca="false">SUMPRODUCT(AI157:AR157,$B$8:$K$8)</f>
        <v>0</v>
      </c>
      <c r="AU158" s="27" t="n">
        <f aca="false">MIN(AI157*(1+B$8),B$9)</f>
        <v>0</v>
      </c>
      <c r="AV158" s="27" t="n">
        <f aca="false">MIN(AJ157*(1+C$8),C$9)</f>
        <v>0</v>
      </c>
      <c r="AW158" s="27" t="n">
        <f aca="false">MIN(AK157*(1+D$8),D$9)</f>
        <v>0</v>
      </c>
      <c r="AX158" s="27" t="n">
        <f aca="false">MIN(AL157*(1+E$8),E$9)</f>
        <v>0</v>
      </c>
      <c r="AY158" s="27" t="n">
        <f aca="false">MIN(AM157*(1+F$8),F$9)</f>
        <v>0</v>
      </c>
      <c r="AZ158" s="27" t="n">
        <f aca="false">MIN(AN157*(1+G$8),G$9)</f>
        <v>0</v>
      </c>
      <c r="BA158" s="27" t="n">
        <f aca="false">MIN(AO157*(1+H$8),H$9)</f>
        <v>0</v>
      </c>
      <c r="BB158" s="27" t="n">
        <f aca="false">MIN(AP157*(1+I$8),I$9)</f>
        <v>0</v>
      </c>
      <c r="BC158" s="27" t="n">
        <f aca="false">MIN(AQ157*(1+J$8),J$9)</f>
        <v>0</v>
      </c>
      <c r="BD158" s="27" t="n">
        <f aca="false">MIN(AR157*(1+K$8),K$9)</f>
        <v>0</v>
      </c>
      <c r="BE158" s="27" t="n">
        <f aca="false">MIN(AI157*(1+B$8),MAX(AU158,$B$12-SUM(AV158:BD158)))</f>
        <v>0</v>
      </c>
      <c r="BF158" s="27" t="n">
        <f aca="false">MIN(AJ157*(1+C$8),MAX(AV158,$B$12-SUM(BE158:BE158)-SUM(AW158:BD158)))</f>
        <v>0</v>
      </c>
      <c r="BG158" s="27" t="n">
        <f aca="false">MIN(AK157*(1+D$8),MAX(AW158,$B$12-SUM(BE158:BF158)-SUM(AX158:BD158)))</f>
        <v>0</v>
      </c>
      <c r="BH158" s="27" t="n">
        <f aca="false">MIN(AL157*(1+E$8),MAX(AX158,$B$12-SUM(BE158:BG158)-SUM(AY158:BD158)))</f>
        <v>0</v>
      </c>
      <c r="BI158" s="27" t="n">
        <f aca="false">MIN(AM157*(1+F$8),MAX(AY158,$B$12-SUM(BE158:BH158)-SUM(AZ158:BD158)))</f>
        <v>0</v>
      </c>
      <c r="BJ158" s="27" t="n">
        <f aca="false">MIN(AN157*(1+G$8),MAX(AZ158,$B$12-SUM(BE158:BI158)-SUM(BA158:BD158)))</f>
        <v>0</v>
      </c>
      <c r="BK158" s="27" t="n">
        <f aca="false">MIN(AO157*(1+H$8),MAX(BA158,$B$12-SUM(BE158:BJ158)-SUM(BB158:BD158)))</f>
        <v>0</v>
      </c>
      <c r="BL158" s="27" t="n">
        <f aca="false">MIN(AP157*(1+I$8),MAX(BB158,$B$12-SUM(BE158:BK158)-SUM(BC158:BD158)))</f>
        <v>0</v>
      </c>
      <c r="BM158" s="27" t="n">
        <f aca="false">MIN(AQ157*(1+J$8),MAX(BC158,$B$12-SUM(BE158:BL158)-SUM(BD158:BD158)))</f>
        <v>0</v>
      </c>
      <c r="BN158" s="27" t="n">
        <f aca="false">MIN(AR157*(1+K$8),MAX(BD158,$B$12-SUM(BE158:BM158)))</f>
        <v>0</v>
      </c>
    </row>
    <row r="159" customFormat="false" ht="15" hidden="false" customHeight="false" outlineLevel="0" collapsed="false">
      <c r="A159" s="0" t="n">
        <v>145</v>
      </c>
      <c r="B159" s="27" t="n">
        <f aca="false">ROUND(MAX(0,B158*(1+B$8)-X159),2)</f>
        <v>0</v>
      </c>
      <c r="C159" s="27" t="n">
        <f aca="false">ROUND(MAX(0,C158*(1+C$8)-Y159),2)</f>
        <v>0</v>
      </c>
      <c r="D159" s="27" t="n">
        <f aca="false">ROUND(MAX(0,D158*(1+D$8)-Z159),2)</f>
        <v>0</v>
      </c>
      <c r="E159" s="27" t="n">
        <f aca="false">ROUND(MAX(0,E158*(1+E$8)-AA159),2)</f>
        <v>0</v>
      </c>
      <c r="F159" s="27" t="n">
        <f aca="false">ROUND(MAX(0,F158*(1+F$8)-AB159),2)</f>
        <v>0</v>
      </c>
      <c r="G159" s="27" t="n">
        <f aca="false">ROUND(MAX(0,G158*(1+G$8)-AC159),2)</f>
        <v>0</v>
      </c>
      <c r="H159" s="27" t="n">
        <f aca="false">ROUND(MAX(0,H158*(1+H$8)-AD159),2)</f>
        <v>0</v>
      </c>
      <c r="I159" s="27" t="n">
        <f aca="false">ROUND(MAX(0,I158*(1+I$8)-AE159),2)</f>
        <v>0</v>
      </c>
      <c r="J159" s="27" t="n">
        <f aca="false">ROUND(MAX(0,J158*(1+J$8)-AF159),2)</f>
        <v>0</v>
      </c>
      <c r="K159" s="27" t="n">
        <f aca="false">ROUND(MAX(0,K158*(1+K$8)-AG159),2)</f>
        <v>0</v>
      </c>
      <c r="L159" s="30" t="n">
        <f aca="false">SUM(B159:K159)</f>
        <v>0</v>
      </c>
      <c r="M159" s="27" t="n">
        <f aca="false">SUMPRODUCT(B158:K158,$B$8:$K$8)</f>
        <v>0</v>
      </c>
      <c r="N159" s="27" t="n">
        <f aca="false">MIN(B158*(1+B$8),B$9)</f>
        <v>0</v>
      </c>
      <c r="O159" s="27" t="n">
        <f aca="false">MIN(C158*(1+C$8),C$9)</f>
        <v>0</v>
      </c>
      <c r="P159" s="27" t="n">
        <f aca="false">MIN(D158*(1+D$8),D$9)</f>
        <v>0</v>
      </c>
      <c r="Q159" s="27" t="n">
        <f aca="false">MIN(E158*(1+E$8),E$9)</f>
        <v>0</v>
      </c>
      <c r="R159" s="27" t="n">
        <f aca="false">MIN(F158*(1+F$8),F$9)</f>
        <v>0</v>
      </c>
      <c r="S159" s="27" t="n">
        <f aca="false">MIN(G158*(1+G$8),G$9)</f>
        <v>0</v>
      </c>
      <c r="T159" s="27" t="n">
        <f aca="false">MIN(H158*(1+H$8),H$9)</f>
        <v>0</v>
      </c>
      <c r="U159" s="27" t="n">
        <f aca="false">MIN(I158*(1+I$8),I$9)</f>
        <v>0</v>
      </c>
      <c r="V159" s="27" t="n">
        <f aca="false">MIN(J158*(1+J$8),J$9)</f>
        <v>0</v>
      </c>
      <c r="W159" s="27" t="n">
        <f aca="false">MIN(K158*(1+K$8),K$9)</f>
        <v>0</v>
      </c>
      <c r="X159" s="27" t="n">
        <f aca="false">MIN(B158*(1+B$8),MAX(N159,$B$11-SUM(O159:W159)))</f>
        <v>0</v>
      </c>
      <c r="Y159" s="27" t="n">
        <f aca="false">MIN(C158*(1+C$8),MAX(O159,$B$11-SUM(X159:X159)-SUM(P159:W159)))</f>
        <v>0</v>
      </c>
      <c r="Z159" s="27" t="n">
        <f aca="false">MIN(D158*(1+D$8),MAX(P159,$B$11-SUM(X159:Y159)-SUM(Q159:W159)))</f>
        <v>0</v>
      </c>
      <c r="AA159" s="27" t="n">
        <f aca="false">MIN(E158*(1+E$8),MAX(Q159,$B$11-SUM(X159:Z159)-SUM(R159:W159)))</f>
        <v>0</v>
      </c>
      <c r="AB159" s="27" t="n">
        <f aca="false">MIN(F158*(1+F$8),MAX(R159,$B$11-SUM(X159:AA159)-SUM(S159:W159)))</f>
        <v>0</v>
      </c>
      <c r="AC159" s="27" t="n">
        <f aca="false">MIN(G158*(1+G$8),MAX(S159,$B$11-SUM(X159:AB159)-SUM(T159:W159)))</f>
        <v>0</v>
      </c>
      <c r="AD159" s="27" t="n">
        <f aca="false">MIN(H158*(1+H$8),MAX(T159,$B$11-SUM(X159:AC159)-SUM(U159:W159)))</f>
        <v>0</v>
      </c>
      <c r="AE159" s="27" t="n">
        <f aca="false">MIN(I158*(1+I$8),MAX(U159,$B$11-SUM(X159:AD159)-SUM(V159:W159)))</f>
        <v>0</v>
      </c>
      <c r="AF159" s="27" t="n">
        <f aca="false">MIN(J158*(1+J$8),MAX(V159,$B$11-SUM(X159:AE159)-SUM(W159:W159)))</f>
        <v>0</v>
      </c>
      <c r="AG159" s="27" t="n">
        <f aca="false">MIN(K158*(1+K$8),MAX(W159,$B$11-SUM(X159:AF159)))</f>
        <v>0</v>
      </c>
      <c r="AI159" s="27" t="n">
        <f aca="false">ROUND(MAX(0,AI158*(1+B$8)-BE159),2)</f>
        <v>0</v>
      </c>
      <c r="AJ159" s="27" t="n">
        <f aca="false">ROUND(MAX(0,AJ158*(1+C$8)-BF159),2)</f>
        <v>0</v>
      </c>
      <c r="AK159" s="27" t="n">
        <f aca="false">ROUND(MAX(0,AK158*(1+D$8)-BG159),2)</f>
        <v>0</v>
      </c>
      <c r="AL159" s="27" t="n">
        <f aca="false">ROUND(MAX(0,AL158*(1+E$8)-BH159),2)</f>
        <v>0</v>
      </c>
      <c r="AM159" s="27" t="n">
        <f aca="false">ROUND(MAX(0,AM158*(1+F$8)-BI159),2)</f>
        <v>0</v>
      </c>
      <c r="AN159" s="27" t="n">
        <f aca="false">ROUND(MAX(0,AN158*(1+G$8)-BJ159),2)</f>
        <v>0</v>
      </c>
      <c r="AO159" s="27" t="n">
        <f aca="false">ROUND(MAX(0,AO158*(1+H$8)-BK159),2)</f>
        <v>0</v>
      </c>
      <c r="AP159" s="27" t="n">
        <f aca="false">ROUND(MAX(0,AP158*(1+I$8)-BL159),2)</f>
        <v>0</v>
      </c>
      <c r="AQ159" s="27" t="n">
        <f aca="false">ROUND(MAX(0,AQ158*(1+J$8)-BM159),2)</f>
        <v>0</v>
      </c>
      <c r="AR159" s="27" t="n">
        <f aca="false">ROUND(MAX(0,AR158*(1+K$8)-BN159),2)</f>
        <v>0</v>
      </c>
      <c r="AS159" s="27" t="n">
        <f aca="false">SUM(AI159:AR159)</f>
        <v>0</v>
      </c>
      <c r="AT159" s="27" t="n">
        <f aca="false">SUMPRODUCT(AI158:AR158,$B$8:$K$8)</f>
        <v>0</v>
      </c>
      <c r="AU159" s="27" t="n">
        <f aca="false">MIN(AI158*(1+B$8),B$9)</f>
        <v>0</v>
      </c>
      <c r="AV159" s="27" t="n">
        <f aca="false">MIN(AJ158*(1+C$8),C$9)</f>
        <v>0</v>
      </c>
      <c r="AW159" s="27" t="n">
        <f aca="false">MIN(AK158*(1+D$8),D$9)</f>
        <v>0</v>
      </c>
      <c r="AX159" s="27" t="n">
        <f aca="false">MIN(AL158*(1+E$8),E$9)</f>
        <v>0</v>
      </c>
      <c r="AY159" s="27" t="n">
        <f aca="false">MIN(AM158*(1+F$8),F$9)</f>
        <v>0</v>
      </c>
      <c r="AZ159" s="27" t="n">
        <f aca="false">MIN(AN158*(1+G$8),G$9)</f>
        <v>0</v>
      </c>
      <c r="BA159" s="27" t="n">
        <f aca="false">MIN(AO158*(1+H$8),H$9)</f>
        <v>0</v>
      </c>
      <c r="BB159" s="27" t="n">
        <f aca="false">MIN(AP158*(1+I$8),I$9)</f>
        <v>0</v>
      </c>
      <c r="BC159" s="27" t="n">
        <f aca="false">MIN(AQ158*(1+J$8),J$9)</f>
        <v>0</v>
      </c>
      <c r="BD159" s="27" t="n">
        <f aca="false">MIN(AR158*(1+K$8),K$9)</f>
        <v>0</v>
      </c>
      <c r="BE159" s="27" t="n">
        <f aca="false">MIN(AI158*(1+B$8),MAX(AU159,$B$12-SUM(AV159:BD159)))</f>
        <v>0</v>
      </c>
      <c r="BF159" s="27" t="n">
        <f aca="false">MIN(AJ158*(1+C$8),MAX(AV159,$B$12-SUM(BE159:BE159)-SUM(AW159:BD159)))</f>
        <v>0</v>
      </c>
      <c r="BG159" s="27" t="n">
        <f aca="false">MIN(AK158*(1+D$8),MAX(AW159,$B$12-SUM(BE159:BF159)-SUM(AX159:BD159)))</f>
        <v>0</v>
      </c>
      <c r="BH159" s="27" t="n">
        <f aca="false">MIN(AL158*(1+E$8),MAX(AX159,$B$12-SUM(BE159:BG159)-SUM(AY159:BD159)))</f>
        <v>0</v>
      </c>
      <c r="BI159" s="27" t="n">
        <f aca="false">MIN(AM158*(1+F$8),MAX(AY159,$B$12-SUM(BE159:BH159)-SUM(AZ159:BD159)))</f>
        <v>0</v>
      </c>
      <c r="BJ159" s="27" t="n">
        <f aca="false">MIN(AN158*(1+G$8),MAX(AZ159,$B$12-SUM(BE159:BI159)-SUM(BA159:BD159)))</f>
        <v>0</v>
      </c>
      <c r="BK159" s="27" t="n">
        <f aca="false">MIN(AO158*(1+H$8),MAX(BA159,$B$12-SUM(BE159:BJ159)-SUM(BB159:BD159)))</f>
        <v>0</v>
      </c>
      <c r="BL159" s="27" t="n">
        <f aca="false">MIN(AP158*(1+I$8),MAX(BB159,$B$12-SUM(BE159:BK159)-SUM(BC159:BD159)))</f>
        <v>0</v>
      </c>
      <c r="BM159" s="27" t="n">
        <f aca="false">MIN(AQ158*(1+J$8),MAX(BC159,$B$12-SUM(BE159:BL159)-SUM(BD159:BD159)))</f>
        <v>0</v>
      </c>
      <c r="BN159" s="27" t="n">
        <f aca="false">MIN(AR158*(1+K$8),MAX(BD159,$B$12-SUM(BE159:BM159)))</f>
        <v>0</v>
      </c>
    </row>
    <row r="160" customFormat="false" ht="15" hidden="false" customHeight="false" outlineLevel="0" collapsed="false">
      <c r="A160" s="0" t="n">
        <v>146</v>
      </c>
      <c r="B160" s="27" t="n">
        <f aca="false">ROUND(MAX(0,B159*(1+B$8)-X160),2)</f>
        <v>0</v>
      </c>
      <c r="C160" s="27" t="n">
        <f aca="false">ROUND(MAX(0,C159*(1+C$8)-Y160),2)</f>
        <v>0</v>
      </c>
      <c r="D160" s="27" t="n">
        <f aca="false">ROUND(MAX(0,D159*(1+D$8)-Z160),2)</f>
        <v>0</v>
      </c>
      <c r="E160" s="27" t="n">
        <f aca="false">ROUND(MAX(0,E159*(1+E$8)-AA160),2)</f>
        <v>0</v>
      </c>
      <c r="F160" s="27" t="n">
        <f aca="false">ROUND(MAX(0,F159*(1+F$8)-AB160),2)</f>
        <v>0</v>
      </c>
      <c r="G160" s="27" t="n">
        <f aca="false">ROUND(MAX(0,G159*(1+G$8)-AC160),2)</f>
        <v>0</v>
      </c>
      <c r="H160" s="27" t="n">
        <f aca="false">ROUND(MAX(0,H159*(1+H$8)-AD160),2)</f>
        <v>0</v>
      </c>
      <c r="I160" s="27" t="n">
        <f aca="false">ROUND(MAX(0,I159*(1+I$8)-AE160),2)</f>
        <v>0</v>
      </c>
      <c r="J160" s="27" t="n">
        <f aca="false">ROUND(MAX(0,J159*(1+J$8)-AF160),2)</f>
        <v>0</v>
      </c>
      <c r="K160" s="27" t="n">
        <f aca="false">ROUND(MAX(0,K159*(1+K$8)-AG160),2)</f>
        <v>0</v>
      </c>
      <c r="L160" s="30" t="n">
        <f aca="false">SUM(B160:K160)</f>
        <v>0</v>
      </c>
      <c r="M160" s="27" t="n">
        <f aca="false">SUMPRODUCT(B159:K159,$B$8:$K$8)</f>
        <v>0</v>
      </c>
      <c r="N160" s="27" t="n">
        <f aca="false">MIN(B159*(1+B$8),B$9)</f>
        <v>0</v>
      </c>
      <c r="O160" s="27" t="n">
        <f aca="false">MIN(C159*(1+C$8),C$9)</f>
        <v>0</v>
      </c>
      <c r="P160" s="27" t="n">
        <f aca="false">MIN(D159*(1+D$8),D$9)</f>
        <v>0</v>
      </c>
      <c r="Q160" s="27" t="n">
        <f aca="false">MIN(E159*(1+E$8),E$9)</f>
        <v>0</v>
      </c>
      <c r="R160" s="27" t="n">
        <f aca="false">MIN(F159*(1+F$8),F$9)</f>
        <v>0</v>
      </c>
      <c r="S160" s="27" t="n">
        <f aca="false">MIN(G159*(1+G$8),G$9)</f>
        <v>0</v>
      </c>
      <c r="T160" s="27" t="n">
        <f aca="false">MIN(H159*(1+H$8),H$9)</f>
        <v>0</v>
      </c>
      <c r="U160" s="27" t="n">
        <f aca="false">MIN(I159*(1+I$8),I$9)</f>
        <v>0</v>
      </c>
      <c r="V160" s="27" t="n">
        <f aca="false">MIN(J159*(1+J$8),J$9)</f>
        <v>0</v>
      </c>
      <c r="W160" s="27" t="n">
        <f aca="false">MIN(K159*(1+K$8),K$9)</f>
        <v>0</v>
      </c>
      <c r="X160" s="27" t="n">
        <f aca="false">MIN(B159*(1+B$8),MAX(N160,$B$11-SUM(O160:W160)))</f>
        <v>0</v>
      </c>
      <c r="Y160" s="27" t="n">
        <f aca="false">MIN(C159*(1+C$8),MAX(O160,$B$11-SUM(X160:X160)-SUM(P160:W160)))</f>
        <v>0</v>
      </c>
      <c r="Z160" s="27" t="n">
        <f aca="false">MIN(D159*(1+D$8),MAX(P160,$B$11-SUM(X160:Y160)-SUM(Q160:W160)))</f>
        <v>0</v>
      </c>
      <c r="AA160" s="27" t="n">
        <f aca="false">MIN(E159*(1+E$8),MAX(Q160,$B$11-SUM(X160:Z160)-SUM(R160:W160)))</f>
        <v>0</v>
      </c>
      <c r="AB160" s="27" t="n">
        <f aca="false">MIN(F159*(1+F$8),MAX(R160,$B$11-SUM(X160:AA160)-SUM(S160:W160)))</f>
        <v>0</v>
      </c>
      <c r="AC160" s="27" t="n">
        <f aca="false">MIN(G159*(1+G$8),MAX(S160,$B$11-SUM(X160:AB160)-SUM(T160:W160)))</f>
        <v>0</v>
      </c>
      <c r="AD160" s="27" t="n">
        <f aca="false">MIN(H159*(1+H$8),MAX(T160,$B$11-SUM(X160:AC160)-SUM(U160:W160)))</f>
        <v>0</v>
      </c>
      <c r="AE160" s="27" t="n">
        <f aca="false">MIN(I159*(1+I$8),MAX(U160,$B$11-SUM(X160:AD160)-SUM(V160:W160)))</f>
        <v>0</v>
      </c>
      <c r="AF160" s="27" t="n">
        <f aca="false">MIN(J159*(1+J$8),MAX(V160,$B$11-SUM(X160:AE160)-SUM(W160:W160)))</f>
        <v>0</v>
      </c>
      <c r="AG160" s="27" t="n">
        <f aca="false">MIN(K159*(1+K$8),MAX(W160,$B$11-SUM(X160:AF160)))</f>
        <v>0</v>
      </c>
      <c r="AI160" s="27" t="n">
        <f aca="false">ROUND(MAX(0,AI159*(1+B$8)-BE160),2)</f>
        <v>0</v>
      </c>
      <c r="AJ160" s="27" t="n">
        <f aca="false">ROUND(MAX(0,AJ159*(1+C$8)-BF160),2)</f>
        <v>0</v>
      </c>
      <c r="AK160" s="27" t="n">
        <f aca="false">ROUND(MAX(0,AK159*(1+D$8)-BG160),2)</f>
        <v>0</v>
      </c>
      <c r="AL160" s="27" t="n">
        <f aca="false">ROUND(MAX(0,AL159*(1+E$8)-BH160),2)</f>
        <v>0</v>
      </c>
      <c r="AM160" s="27" t="n">
        <f aca="false">ROUND(MAX(0,AM159*(1+F$8)-BI160),2)</f>
        <v>0</v>
      </c>
      <c r="AN160" s="27" t="n">
        <f aca="false">ROUND(MAX(0,AN159*(1+G$8)-BJ160),2)</f>
        <v>0</v>
      </c>
      <c r="AO160" s="27" t="n">
        <f aca="false">ROUND(MAX(0,AO159*(1+H$8)-BK160),2)</f>
        <v>0</v>
      </c>
      <c r="AP160" s="27" t="n">
        <f aca="false">ROUND(MAX(0,AP159*(1+I$8)-BL160),2)</f>
        <v>0</v>
      </c>
      <c r="AQ160" s="27" t="n">
        <f aca="false">ROUND(MAX(0,AQ159*(1+J$8)-BM160),2)</f>
        <v>0</v>
      </c>
      <c r="AR160" s="27" t="n">
        <f aca="false">ROUND(MAX(0,AR159*(1+K$8)-BN160),2)</f>
        <v>0</v>
      </c>
      <c r="AS160" s="27" t="n">
        <f aca="false">SUM(AI160:AR160)</f>
        <v>0</v>
      </c>
      <c r="AT160" s="27" t="n">
        <f aca="false">SUMPRODUCT(AI159:AR159,$B$8:$K$8)</f>
        <v>0</v>
      </c>
      <c r="AU160" s="27" t="n">
        <f aca="false">MIN(AI159*(1+B$8),B$9)</f>
        <v>0</v>
      </c>
      <c r="AV160" s="27" t="n">
        <f aca="false">MIN(AJ159*(1+C$8),C$9)</f>
        <v>0</v>
      </c>
      <c r="AW160" s="27" t="n">
        <f aca="false">MIN(AK159*(1+D$8),D$9)</f>
        <v>0</v>
      </c>
      <c r="AX160" s="27" t="n">
        <f aca="false">MIN(AL159*(1+E$8),E$9)</f>
        <v>0</v>
      </c>
      <c r="AY160" s="27" t="n">
        <f aca="false">MIN(AM159*(1+F$8),F$9)</f>
        <v>0</v>
      </c>
      <c r="AZ160" s="27" t="n">
        <f aca="false">MIN(AN159*(1+G$8),G$9)</f>
        <v>0</v>
      </c>
      <c r="BA160" s="27" t="n">
        <f aca="false">MIN(AO159*(1+H$8),H$9)</f>
        <v>0</v>
      </c>
      <c r="BB160" s="27" t="n">
        <f aca="false">MIN(AP159*(1+I$8),I$9)</f>
        <v>0</v>
      </c>
      <c r="BC160" s="27" t="n">
        <f aca="false">MIN(AQ159*(1+J$8),J$9)</f>
        <v>0</v>
      </c>
      <c r="BD160" s="27" t="n">
        <f aca="false">MIN(AR159*(1+K$8),K$9)</f>
        <v>0</v>
      </c>
      <c r="BE160" s="27" t="n">
        <f aca="false">MIN(AI159*(1+B$8),MAX(AU160,$B$12-SUM(AV160:BD160)))</f>
        <v>0</v>
      </c>
      <c r="BF160" s="27" t="n">
        <f aca="false">MIN(AJ159*(1+C$8),MAX(AV160,$B$12-SUM(BE160:BE160)-SUM(AW160:BD160)))</f>
        <v>0</v>
      </c>
      <c r="BG160" s="27" t="n">
        <f aca="false">MIN(AK159*(1+D$8),MAX(AW160,$B$12-SUM(BE160:BF160)-SUM(AX160:BD160)))</f>
        <v>0</v>
      </c>
      <c r="BH160" s="27" t="n">
        <f aca="false">MIN(AL159*(1+E$8),MAX(AX160,$B$12-SUM(BE160:BG160)-SUM(AY160:BD160)))</f>
        <v>0</v>
      </c>
      <c r="BI160" s="27" t="n">
        <f aca="false">MIN(AM159*(1+F$8),MAX(AY160,$B$12-SUM(BE160:BH160)-SUM(AZ160:BD160)))</f>
        <v>0</v>
      </c>
      <c r="BJ160" s="27" t="n">
        <f aca="false">MIN(AN159*(1+G$8),MAX(AZ160,$B$12-SUM(BE160:BI160)-SUM(BA160:BD160)))</f>
        <v>0</v>
      </c>
      <c r="BK160" s="27" t="n">
        <f aca="false">MIN(AO159*(1+H$8),MAX(BA160,$B$12-SUM(BE160:BJ160)-SUM(BB160:BD160)))</f>
        <v>0</v>
      </c>
      <c r="BL160" s="27" t="n">
        <f aca="false">MIN(AP159*(1+I$8),MAX(BB160,$B$12-SUM(BE160:BK160)-SUM(BC160:BD160)))</f>
        <v>0</v>
      </c>
      <c r="BM160" s="27" t="n">
        <f aca="false">MIN(AQ159*(1+J$8),MAX(BC160,$B$12-SUM(BE160:BL160)-SUM(BD160:BD160)))</f>
        <v>0</v>
      </c>
      <c r="BN160" s="27" t="n">
        <f aca="false">MIN(AR159*(1+K$8),MAX(BD160,$B$12-SUM(BE160:BM160)))</f>
        <v>0</v>
      </c>
    </row>
    <row r="161" customFormat="false" ht="15" hidden="false" customHeight="false" outlineLevel="0" collapsed="false">
      <c r="A161" s="0" t="n">
        <v>147</v>
      </c>
      <c r="B161" s="27" t="n">
        <f aca="false">ROUND(MAX(0,B160*(1+B$8)-X161),2)</f>
        <v>0</v>
      </c>
      <c r="C161" s="27" t="n">
        <f aca="false">ROUND(MAX(0,C160*(1+C$8)-Y161),2)</f>
        <v>0</v>
      </c>
      <c r="D161" s="27" t="n">
        <f aca="false">ROUND(MAX(0,D160*(1+D$8)-Z161),2)</f>
        <v>0</v>
      </c>
      <c r="E161" s="27" t="n">
        <f aca="false">ROUND(MAX(0,E160*(1+E$8)-AA161),2)</f>
        <v>0</v>
      </c>
      <c r="F161" s="27" t="n">
        <f aca="false">ROUND(MAX(0,F160*(1+F$8)-AB161),2)</f>
        <v>0</v>
      </c>
      <c r="G161" s="27" t="n">
        <f aca="false">ROUND(MAX(0,G160*(1+G$8)-AC161),2)</f>
        <v>0</v>
      </c>
      <c r="H161" s="27" t="n">
        <f aca="false">ROUND(MAX(0,H160*(1+H$8)-AD161),2)</f>
        <v>0</v>
      </c>
      <c r="I161" s="27" t="n">
        <f aca="false">ROUND(MAX(0,I160*(1+I$8)-AE161),2)</f>
        <v>0</v>
      </c>
      <c r="J161" s="27" t="n">
        <f aca="false">ROUND(MAX(0,J160*(1+J$8)-AF161),2)</f>
        <v>0</v>
      </c>
      <c r="K161" s="27" t="n">
        <f aca="false">ROUND(MAX(0,K160*(1+K$8)-AG161),2)</f>
        <v>0</v>
      </c>
      <c r="L161" s="30" t="n">
        <f aca="false">SUM(B161:K161)</f>
        <v>0</v>
      </c>
      <c r="M161" s="27" t="n">
        <f aca="false">SUMPRODUCT(B160:K160,$B$8:$K$8)</f>
        <v>0</v>
      </c>
      <c r="N161" s="27" t="n">
        <f aca="false">MIN(B160*(1+B$8),B$9)</f>
        <v>0</v>
      </c>
      <c r="O161" s="27" t="n">
        <f aca="false">MIN(C160*(1+C$8),C$9)</f>
        <v>0</v>
      </c>
      <c r="P161" s="27" t="n">
        <f aca="false">MIN(D160*(1+D$8),D$9)</f>
        <v>0</v>
      </c>
      <c r="Q161" s="27" t="n">
        <f aca="false">MIN(E160*(1+E$8),E$9)</f>
        <v>0</v>
      </c>
      <c r="R161" s="27" t="n">
        <f aca="false">MIN(F160*(1+F$8),F$9)</f>
        <v>0</v>
      </c>
      <c r="S161" s="27" t="n">
        <f aca="false">MIN(G160*(1+G$8),G$9)</f>
        <v>0</v>
      </c>
      <c r="T161" s="27" t="n">
        <f aca="false">MIN(H160*(1+H$8),H$9)</f>
        <v>0</v>
      </c>
      <c r="U161" s="27" t="n">
        <f aca="false">MIN(I160*(1+I$8),I$9)</f>
        <v>0</v>
      </c>
      <c r="V161" s="27" t="n">
        <f aca="false">MIN(J160*(1+J$8),J$9)</f>
        <v>0</v>
      </c>
      <c r="W161" s="27" t="n">
        <f aca="false">MIN(K160*(1+K$8),K$9)</f>
        <v>0</v>
      </c>
      <c r="X161" s="27" t="n">
        <f aca="false">MIN(B160*(1+B$8),MAX(N161,$B$11-SUM(O161:W161)))</f>
        <v>0</v>
      </c>
      <c r="Y161" s="27" t="n">
        <f aca="false">MIN(C160*(1+C$8),MAX(O161,$B$11-SUM(X161:X161)-SUM(P161:W161)))</f>
        <v>0</v>
      </c>
      <c r="Z161" s="27" t="n">
        <f aca="false">MIN(D160*(1+D$8),MAX(P161,$B$11-SUM(X161:Y161)-SUM(Q161:W161)))</f>
        <v>0</v>
      </c>
      <c r="AA161" s="27" t="n">
        <f aca="false">MIN(E160*(1+E$8),MAX(Q161,$B$11-SUM(X161:Z161)-SUM(R161:W161)))</f>
        <v>0</v>
      </c>
      <c r="AB161" s="27" t="n">
        <f aca="false">MIN(F160*(1+F$8),MAX(R161,$B$11-SUM(X161:AA161)-SUM(S161:W161)))</f>
        <v>0</v>
      </c>
      <c r="AC161" s="27" t="n">
        <f aca="false">MIN(G160*(1+G$8),MAX(S161,$B$11-SUM(X161:AB161)-SUM(T161:W161)))</f>
        <v>0</v>
      </c>
      <c r="AD161" s="27" t="n">
        <f aca="false">MIN(H160*(1+H$8),MAX(T161,$B$11-SUM(X161:AC161)-SUM(U161:W161)))</f>
        <v>0</v>
      </c>
      <c r="AE161" s="27" t="n">
        <f aca="false">MIN(I160*(1+I$8),MAX(U161,$B$11-SUM(X161:AD161)-SUM(V161:W161)))</f>
        <v>0</v>
      </c>
      <c r="AF161" s="27" t="n">
        <f aca="false">MIN(J160*(1+J$8),MAX(V161,$B$11-SUM(X161:AE161)-SUM(W161:W161)))</f>
        <v>0</v>
      </c>
      <c r="AG161" s="27" t="n">
        <f aca="false">MIN(K160*(1+K$8),MAX(W161,$B$11-SUM(X161:AF161)))</f>
        <v>0</v>
      </c>
      <c r="AI161" s="27" t="n">
        <f aca="false">ROUND(MAX(0,AI160*(1+B$8)-BE161),2)</f>
        <v>0</v>
      </c>
      <c r="AJ161" s="27" t="n">
        <f aca="false">ROUND(MAX(0,AJ160*(1+C$8)-BF161),2)</f>
        <v>0</v>
      </c>
      <c r="AK161" s="27" t="n">
        <f aca="false">ROUND(MAX(0,AK160*(1+D$8)-BG161),2)</f>
        <v>0</v>
      </c>
      <c r="AL161" s="27" t="n">
        <f aca="false">ROUND(MAX(0,AL160*(1+E$8)-BH161),2)</f>
        <v>0</v>
      </c>
      <c r="AM161" s="27" t="n">
        <f aca="false">ROUND(MAX(0,AM160*(1+F$8)-BI161),2)</f>
        <v>0</v>
      </c>
      <c r="AN161" s="27" t="n">
        <f aca="false">ROUND(MAX(0,AN160*(1+G$8)-BJ161),2)</f>
        <v>0</v>
      </c>
      <c r="AO161" s="27" t="n">
        <f aca="false">ROUND(MAX(0,AO160*(1+H$8)-BK161),2)</f>
        <v>0</v>
      </c>
      <c r="AP161" s="27" t="n">
        <f aca="false">ROUND(MAX(0,AP160*(1+I$8)-BL161),2)</f>
        <v>0</v>
      </c>
      <c r="AQ161" s="27" t="n">
        <f aca="false">ROUND(MAX(0,AQ160*(1+J$8)-BM161),2)</f>
        <v>0</v>
      </c>
      <c r="AR161" s="27" t="n">
        <f aca="false">ROUND(MAX(0,AR160*(1+K$8)-BN161),2)</f>
        <v>0</v>
      </c>
      <c r="AS161" s="27" t="n">
        <f aca="false">SUM(AI161:AR161)</f>
        <v>0</v>
      </c>
      <c r="AT161" s="27" t="n">
        <f aca="false">SUMPRODUCT(AI160:AR160,$B$8:$K$8)</f>
        <v>0</v>
      </c>
      <c r="AU161" s="27" t="n">
        <f aca="false">MIN(AI160*(1+B$8),B$9)</f>
        <v>0</v>
      </c>
      <c r="AV161" s="27" t="n">
        <f aca="false">MIN(AJ160*(1+C$8),C$9)</f>
        <v>0</v>
      </c>
      <c r="AW161" s="27" t="n">
        <f aca="false">MIN(AK160*(1+D$8),D$9)</f>
        <v>0</v>
      </c>
      <c r="AX161" s="27" t="n">
        <f aca="false">MIN(AL160*(1+E$8),E$9)</f>
        <v>0</v>
      </c>
      <c r="AY161" s="27" t="n">
        <f aca="false">MIN(AM160*(1+F$8),F$9)</f>
        <v>0</v>
      </c>
      <c r="AZ161" s="27" t="n">
        <f aca="false">MIN(AN160*(1+G$8),G$9)</f>
        <v>0</v>
      </c>
      <c r="BA161" s="27" t="n">
        <f aca="false">MIN(AO160*(1+H$8),H$9)</f>
        <v>0</v>
      </c>
      <c r="BB161" s="27" t="n">
        <f aca="false">MIN(AP160*(1+I$8),I$9)</f>
        <v>0</v>
      </c>
      <c r="BC161" s="27" t="n">
        <f aca="false">MIN(AQ160*(1+J$8),J$9)</f>
        <v>0</v>
      </c>
      <c r="BD161" s="27" t="n">
        <f aca="false">MIN(AR160*(1+K$8),K$9)</f>
        <v>0</v>
      </c>
      <c r="BE161" s="27" t="n">
        <f aca="false">MIN(AI160*(1+B$8),MAX(AU161,$B$12-SUM(AV161:BD161)))</f>
        <v>0</v>
      </c>
      <c r="BF161" s="27" t="n">
        <f aca="false">MIN(AJ160*(1+C$8),MAX(AV161,$B$12-SUM(BE161:BE161)-SUM(AW161:BD161)))</f>
        <v>0</v>
      </c>
      <c r="BG161" s="27" t="n">
        <f aca="false">MIN(AK160*(1+D$8),MAX(AW161,$B$12-SUM(BE161:BF161)-SUM(AX161:BD161)))</f>
        <v>0</v>
      </c>
      <c r="BH161" s="27" t="n">
        <f aca="false">MIN(AL160*(1+E$8),MAX(AX161,$B$12-SUM(BE161:BG161)-SUM(AY161:BD161)))</f>
        <v>0</v>
      </c>
      <c r="BI161" s="27" t="n">
        <f aca="false">MIN(AM160*(1+F$8),MAX(AY161,$B$12-SUM(BE161:BH161)-SUM(AZ161:BD161)))</f>
        <v>0</v>
      </c>
      <c r="BJ161" s="27" t="n">
        <f aca="false">MIN(AN160*(1+G$8),MAX(AZ161,$B$12-SUM(BE161:BI161)-SUM(BA161:BD161)))</f>
        <v>0</v>
      </c>
      <c r="BK161" s="27" t="n">
        <f aca="false">MIN(AO160*(1+H$8),MAX(BA161,$B$12-SUM(BE161:BJ161)-SUM(BB161:BD161)))</f>
        <v>0</v>
      </c>
      <c r="BL161" s="27" t="n">
        <f aca="false">MIN(AP160*(1+I$8),MAX(BB161,$B$12-SUM(BE161:BK161)-SUM(BC161:BD161)))</f>
        <v>0</v>
      </c>
      <c r="BM161" s="27" t="n">
        <f aca="false">MIN(AQ160*(1+J$8),MAX(BC161,$B$12-SUM(BE161:BL161)-SUM(BD161:BD161)))</f>
        <v>0</v>
      </c>
      <c r="BN161" s="27" t="n">
        <f aca="false">MIN(AR160*(1+K$8),MAX(BD161,$B$12-SUM(BE161:BM161)))</f>
        <v>0</v>
      </c>
    </row>
    <row r="162" customFormat="false" ht="15" hidden="false" customHeight="false" outlineLevel="0" collapsed="false">
      <c r="A162" s="0" t="n">
        <v>148</v>
      </c>
      <c r="B162" s="27" t="n">
        <f aca="false">ROUND(MAX(0,B161*(1+B$8)-X162),2)</f>
        <v>0</v>
      </c>
      <c r="C162" s="27" t="n">
        <f aca="false">ROUND(MAX(0,C161*(1+C$8)-Y162),2)</f>
        <v>0</v>
      </c>
      <c r="D162" s="27" t="n">
        <f aca="false">ROUND(MAX(0,D161*(1+D$8)-Z162),2)</f>
        <v>0</v>
      </c>
      <c r="E162" s="27" t="n">
        <f aca="false">ROUND(MAX(0,E161*(1+E$8)-AA162),2)</f>
        <v>0</v>
      </c>
      <c r="F162" s="27" t="n">
        <f aca="false">ROUND(MAX(0,F161*(1+F$8)-AB162),2)</f>
        <v>0</v>
      </c>
      <c r="G162" s="27" t="n">
        <f aca="false">ROUND(MAX(0,G161*(1+G$8)-AC162),2)</f>
        <v>0</v>
      </c>
      <c r="H162" s="27" t="n">
        <f aca="false">ROUND(MAX(0,H161*(1+H$8)-AD162),2)</f>
        <v>0</v>
      </c>
      <c r="I162" s="27" t="n">
        <f aca="false">ROUND(MAX(0,I161*(1+I$8)-AE162),2)</f>
        <v>0</v>
      </c>
      <c r="J162" s="27" t="n">
        <f aca="false">ROUND(MAX(0,J161*(1+J$8)-AF162),2)</f>
        <v>0</v>
      </c>
      <c r="K162" s="27" t="n">
        <f aca="false">ROUND(MAX(0,K161*(1+K$8)-AG162),2)</f>
        <v>0</v>
      </c>
      <c r="L162" s="30" t="n">
        <f aca="false">SUM(B162:K162)</f>
        <v>0</v>
      </c>
      <c r="M162" s="27" t="n">
        <f aca="false">SUMPRODUCT(B161:K161,$B$8:$K$8)</f>
        <v>0</v>
      </c>
      <c r="N162" s="27" t="n">
        <f aca="false">MIN(B161*(1+B$8),B$9)</f>
        <v>0</v>
      </c>
      <c r="O162" s="27" t="n">
        <f aca="false">MIN(C161*(1+C$8),C$9)</f>
        <v>0</v>
      </c>
      <c r="P162" s="27" t="n">
        <f aca="false">MIN(D161*(1+D$8),D$9)</f>
        <v>0</v>
      </c>
      <c r="Q162" s="27" t="n">
        <f aca="false">MIN(E161*(1+E$8),E$9)</f>
        <v>0</v>
      </c>
      <c r="R162" s="27" t="n">
        <f aca="false">MIN(F161*(1+F$8),F$9)</f>
        <v>0</v>
      </c>
      <c r="S162" s="27" t="n">
        <f aca="false">MIN(G161*(1+G$8),G$9)</f>
        <v>0</v>
      </c>
      <c r="T162" s="27" t="n">
        <f aca="false">MIN(H161*(1+H$8),H$9)</f>
        <v>0</v>
      </c>
      <c r="U162" s="27" t="n">
        <f aca="false">MIN(I161*(1+I$8),I$9)</f>
        <v>0</v>
      </c>
      <c r="V162" s="27" t="n">
        <f aca="false">MIN(J161*(1+J$8),J$9)</f>
        <v>0</v>
      </c>
      <c r="W162" s="27" t="n">
        <f aca="false">MIN(K161*(1+K$8),K$9)</f>
        <v>0</v>
      </c>
      <c r="X162" s="27" t="n">
        <f aca="false">MIN(B161*(1+B$8),MAX(N162,$B$11-SUM(O162:W162)))</f>
        <v>0</v>
      </c>
      <c r="Y162" s="27" t="n">
        <f aca="false">MIN(C161*(1+C$8),MAX(O162,$B$11-SUM(X162:X162)-SUM(P162:W162)))</f>
        <v>0</v>
      </c>
      <c r="Z162" s="27" t="n">
        <f aca="false">MIN(D161*(1+D$8),MAX(P162,$B$11-SUM(X162:Y162)-SUM(Q162:W162)))</f>
        <v>0</v>
      </c>
      <c r="AA162" s="27" t="n">
        <f aca="false">MIN(E161*(1+E$8),MAX(Q162,$B$11-SUM(X162:Z162)-SUM(R162:W162)))</f>
        <v>0</v>
      </c>
      <c r="AB162" s="27" t="n">
        <f aca="false">MIN(F161*(1+F$8),MAX(R162,$B$11-SUM(X162:AA162)-SUM(S162:W162)))</f>
        <v>0</v>
      </c>
      <c r="AC162" s="27" t="n">
        <f aca="false">MIN(G161*(1+G$8),MAX(S162,$B$11-SUM(X162:AB162)-SUM(T162:W162)))</f>
        <v>0</v>
      </c>
      <c r="AD162" s="27" t="n">
        <f aca="false">MIN(H161*(1+H$8),MAX(T162,$B$11-SUM(X162:AC162)-SUM(U162:W162)))</f>
        <v>0</v>
      </c>
      <c r="AE162" s="27" t="n">
        <f aca="false">MIN(I161*(1+I$8),MAX(U162,$B$11-SUM(X162:AD162)-SUM(V162:W162)))</f>
        <v>0</v>
      </c>
      <c r="AF162" s="27" t="n">
        <f aca="false">MIN(J161*(1+J$8),MAX(V162,$B$11-SUM(X162:AE162)-SUM(W162:W162)))</f>
        <v>0</v>
      </c>
      <c r="AG162" s="27" t="n">
        <f aca="false">MIN(K161*(1+K$8),MAX(W162,$B$11-SUM(X162:AF162)))</f>
        <v>0</v>
      </c>
      <c r="AI162" s="27" t="n">
        <f aca="false">ROUND(MAX(0,AI161*(1+B$8)-BE162),2)</f>
        <v>0</v>
      </c>
      <c r="AJ162" s="27" t="n">
        <f aca="false">ROUND(MAX(0,AJ161*(1+C$8)-BF162),2)</f>
        <v>0</v>
      </c>
      <c r="AK162" s="27" t="n">
        <f aca="false">ROUND(MAX(0,AK161*(1+D$8)-BG162),2)</f>
        <v>0</v>
      </c>
      <c r="AL162" s="27" t="n">
        <f aca="false">ROUND(MAX(0,AL161*(1+E$8)-BH162),2)</f>
        <v>0</v>
      </c>
      <c r="AM162" s="27" t="n">
        <f aca="false">ROUND(MAX(0,AM161*(1+F$8)-BI162),2)</f>
        <v>0</v>
      </c>
      <c r="AN162" s="27" t="n">
        <f aca="false">ROUND(MAX(0,AN161*(1+G$8)-BJ162),2)</f>
        <v>0</v>
      </c>
      <c r="AO162" s="27" t="n">
        <f aca="false">ROUND(MAX(0,AO161*(1+H$8)-BK162),2)</f>
        <v>0</v>
      </c>
      <c r="AP162" s="27" t="n">
        <f aca="false">ROUND(MAX(0,AP161*(1+I$8)-BL162),2)</f>
        <v>0</v>
      </c>
      <c r="AQ162" s="27" t="n">
        <f aca="false">ROUND(MAX(0,AQ161*(1+J$8)-BM162),2)</f>
        <v>0</v>
      </c>
      <c r="AR162" s="27" t="n">
        <f aca="false">ROUND(MAX(0,AR161*(1+K$8)-BN162),2)</f>
        <v>0</v>
      </c>
      <c r="AS162" s="27" t="n">
        <f aca="false">SUM(AI162:AR162)</f>
        <v>0</v>
      </c>
      <c r="AT162" s="27" t="n">
        <f aca="false">SUMPRODUCT(AI161:AR161,$B$8:$K$8)</f>
        <v>0</v>
      </c>
      <c r="AU162" s="27" t="n">
        <f aca="false">MIN(AI161*(1+B$8),B$9)</f>
        <v>0</v>
      </c>
      <c r="AV162" s="27" t="n">
        <f aca="false">MIN(AJ161*(1+C$8),C$9)</f>
        <v>0</v>
      </c>
      <c r="AW162" s="27" t="n">
        <f aca="false">MIN(AK161*(1+D$8),D$9)</f>
        <v>0</v>
      </c>
      <c r="AX162" s="27" t="n">
        <f aca="false">MIN(AL161*(1+E$8),E$9)</f>
        <v>0</v>
      </c>
      <c r="AY162" s="27" t="n">
        <f aca="false">MIN(AM161*(1+F$8),F$9)</f>
        <v>0</v>
      </c>
      <c r="AZ162" s="27" t="n">
        <f aca="false">MIN(AN161*(1+G$8),G$9)</f>
        <v>0</v>
      </c>
      <c r="BA162" s="27" t="n">
        <f aca="false">MIN(AO161*(1+H$8),H$9)</f>
        <v>0</v>
      </c>
      <c r="BB162" s="27" t="n">
        <f aca="false">MIN(AP161*(1+I$8),I$9)</f>
        <v>0</v>
      </c>
      <c r="BC162" s="27" t="n">
        <f aca="false">MIN(AQ161*(1+J$8),J$9)</f>
        <v>0</v>
      </c>
      <c r="BD162" s="27" t="n">
        <f aca="false">MIN(AR161*(1+K$8),K$9)</f>
        <v>0</v>
      </c>
      <c r="BE162" s="27" t="n">
        <f aca="false">MIN(AI161*(1+B$8),MAX(AU162,$B$12-SUM(AV162:BD162)))</f>
        <v>0</v>
      </c>
      <c r="BF162" s="27" t="n">
        <f aca="false">MIN(AJ161*(1+C$8),MAX(AV162,$B$12-SUM(BE162:BE162)-SUM(AW162:BD162)))</f>
        <v>0</v>
      </c>
      <c r="BG162" s="27" t="n">
        <f aca="false">MIN(AK161*(1+D$8),MAX(AW162,$B$12-SUM(BE162:BF162)-SUM(AX162:BD162)))</f>
        <v>0</v>
      </c>
      <c r="BH162" s="27" t="n">
        <f aca="false">MIN(AL161*(1+E$8),MAX(AX162,$B$12-SUM(BE162:BG162)-SUM(AY162:BD162)))</f>
        <v>0</v>
      </c>
      <c r="BI162" s="27" t="n">
        <f aca="false">MIN(AM161*(1+F$8),MAX(AY162,$B$12-SUM(BE162:BH162)-SUM(AZ162:BD162)))</f>
        <v>0</v>
      </c>
      <c r="BJ162" s="27" t="n">
        <f aca="false">MIN(AN161*(1+G$8),MAX(AZ162,$B$12-SUM(BE162:BI162)-SUM(BA162:BD162)))</f>
        <v>0</v>
      </c>
      <c r="BK162" s="27" t="n">
        <f aca="false">MIN(AO161*(1+H$8),MAX(BA162,$B$12-SUM(BE162:BJ162)-SUM(BB162:BD162)))</f>
        <v>0</v>
      </c>
      <c r="BL162" s="27" t="n">
        <f aca="false">MIN(AP161*(1+I$8),MAX(BB162,$B$12-SUM(BE162:BK162)-SUM(BC162:BD162)))</f>
        <v>0</v>
      </c>
      <c r="BM162" s="27" t="n">
        <f aca="false">MIN(AQ161*(1+J$8),MAX(BC162,$B$12-SUM(BE162:BL162)-SUM(BD162:BD162)))</f>
        <v>0</v>
      </c>
      <c r="BN162" s="27" t="n">
        <f aca="false">MIN(AR161*(1+K$8),MAX(BD162,$B$12-SUM(BE162:BM162)))</f>
        <v>0</v>
      </c>
    </row>
    <row r="163" customFormat="false" ht="15" hidden="false" customHeight="false" outlineLevel="0" collapsed="false">
      <c r="A163" s="0" t="n">
        <v>149</v>
      </c>
      <c r="B163" s="27" t="n">
        <f aca="false">ROUND(MAX(0,B162*(1+B$8)-X163),2)</f>
        <v>0</v>
      </c>
      <c r="C163" s="27" t="n">
        <f aca="false">ROUND(MAX(0,C162*(1+C$8)-Y163),2)</f>
        <v>0</v>
      </c>
      <c r="D163" s="27" t="n">
        <f aca="false">ROUND(MAX(0,D162*(1+D$8)-Z163),2)</f>
        <v>0</v>
      </c>
      <c r="E163" s="27" t="n">
        <f aca="false">ROUND(MAX(0,E162*(1+E$8)-AA163),2)</f>
        <v>0</v>
      </c>
      <c r="F163" s="27" t="n">
        <f aca="false">ROUND(MAX(0,F162*(1+F$8)-AB163),2)</f>
        <v>0</v>
      </c>
      <c r="G163" s="27" t="n">
        <f aca="false">ROUND(MAX(0,G162*(1+G$8)-AC163),2)</f>
        <v>0</v>
      </c>
      <c r="H163" s="27" t="n">
        <f aca="false">ROUND(MAX(0,H162*(1+H$8)-AD163),2)</f>
        <v>0</v>
      </c>
      <c r="I163" s="27" t="n">
        <f aca="false">ROUND(MAX(0,I162*(1+I$8)-AE163),2)</f>
        <v>0</v>
      </c>
      <c r="J163" s="27" t="n">
        <f aca="false">ROUND(MAX(0,J162*(1+J$8)-AF163),2)</f>
        <v>0</v>
      </c>
      <c r="K163" s="27" t="n">
        <f aca="false">ROUND(MAX(0,K162*(1+K$8)-AG163),2)</f>
        <v>0</v>
      </c>
      <c r="L163" s="30" t="n">
        <f aca="false">SUM(B163:K163)</f>
        <v>0</v>
      </c>
      <c r="M163" s="27" t="n">
        <f aca="false">SUMPRODUCT(B162:K162,$B$8:$K$8)</f>
        <v>0</v>
      </c>
      <c r="N163" s="27" t="n">
        <f aca="false">MIN(B162*(1+B$8),B$9)</f>
        <v>0</v>
      </c>
      <c r="O163" s="27" t="n">
        <f aca="false">MIN(C162*(1+C$8),C$9)</f>
        <v>0</v>
      </c>
      <c r="P163" s="27" t="n">
        <f aca="false">MIN(D162*(1+D$8),D$9)</f>
        <v>0</v>
      </c>
      <c r="Q163" s="27" t="n">
        <f aca="false">MIN(E162*(1+E$8),E$9)</f>
        <v>0</v>
      </c>
      <c r="R163" s="27" t="n">
        <f aca="false">MIN(F162*(1+F$8),F$9)</f>
        <v>0</v>
      </c>
      <c r="S163" s="27" t="n">
        <f aca="false">MIN(G162*(1+G$8),G$9)</f>
        <v>0</v>
      </c>
      <c r="T163" s="27" t="n">
        <f aca="false">MIN(H162*(1+H$8),H$9)</f>
        <v>0</v>
      </c>
      <c r="U163" s="27" t="n">
        <f aca="false">MIN(I162*(1+I$8),I$9)</f>
        <v>0</v>
      </c>
      <c r="V163" s="27" t="n">
        <f aca="false">MIN(J162*(1+J$8),J$9)</f>
        <v>0</v>
      </c>
      <c r="W163" s="27" t="n">
        <f aca="false">MIN(K162*(1+K$8),K$9)</f>
        <v>0</v>
      </c>
      <c r="X163" s="27" t="n">
        <f aca="false">MIN(B162*(1+B$8),MAX(N163,$B$11-SUM(O163:W163)))</f>
        <v>0</v>
      </c>
      <c r="Y163" s="27" t="n">
        <f aca="false">MIN(C162*(1+C$8),MAX(O163,$B$11-SUM(X163:X163)-SUM(P163:W163)))</f>
        <v>0</v>
      </c>
      <c r="Z163" s="27" t="n">
        <f aca="false">MIN(D162*(1+D$8),MAX(P163,$B$11-SUM(X163:Y163)-SUM(Q163:W163)))</f>
        <v>0</v>
      </c>
      <c r="AA163" s="27" t="n">
        <f aca="false">MIN(E162*(1+E$8),MAX(Q163,$B$11-SUM(X163:Z163)-SUM(R163:W163)))</f>
        <v>0</v>
      </c>
      <c r="AB163" s="27" t="n">
        <f aca="false">MIN(F162*(1+F$8),MAX(R163,$B$11-SUM(X163:AA163)-SUM(S163:W163)))</f>
        <v>0</v>
      </c>
      <c r="AC163" s="27" t="n">
        <f aca="false">MIN(G162*(1+G$8),MAX(S163,$B$11-SUM(X163:AB163)-SUM(T163:W163)))</f>
        <v>0</v>
      </c>
      <c r="AD163" s="27" t="n">
        <f aca="false">MIN(H162*(1+H$8),MAX(T163,$B$11-SUM(X163:AC163)-SUM(U163:W163)))</f>
        <v>0</v>
      </c>
      <c r="AE163" s="27" t="n">
        <f aca="false">MIN(I162*(1+I$8),MAX(U163,$B$11-SUM(X163:AD163)-SUM(V163:W163)))</f>
        <v>0</v>
      </c>
      <c r="AF163" s="27" t="n">
        <f aca="false">MIN(J162*(1+J$8),MAX(V163,$B$11-SUM(X163:AE163)-SUM(W163:W163)))</f>
        <v>0</v>
      </c>
      <c r="AG163" s="27" t="n">
        <f aca="false">MIN(K162*(1+K$8),MAX(W163,$B$11-SUM(X163:AF163)))</f>
        <v>0</v>
      </c>
      <c r="AI163" s="27" t="n">
        <f aca="false">ROUND(MAX(0,AI162*(1+B$8)-BE163),2)</f>
        <v>0</v>
      </c>
      <c r="AJ163" s="27" t="n">
        <f aca="false">ROUND(MAX(0,AJ162*(1+C$8)-BF163),2)</f>
        <v>0</v>
      </c>
      <c r="AK163" s="27" t="n">
        <f aca="false">ROUND(MAX(0,AK162*(1+D$8)-BG163),2)</f>
        <v>0</v>
      </c>
      <c r="AL163" s="27" t="n">
        <f aca="false">ROUND(MAX(0,AL162*(1+E$8)-BH163),2)</f>
        <v>0</v>
      </c>
      <c r="AM163" s="27" t="n">
        <f aca="false">ROUND(MAX(0,AM162*(1+F$8)-BI163),2)</f>
        <v>0</v>
      </c>
      <c r="AN163" s="27" t="n">
        <f aca="false">ROUND(MAX(0,AN162*(1+G$8)-BJ163),2)</f>
        <v>0</v>
      </c>
      <c r="AO163" s="27" t="n">
        <f aca="false">ROUND(MAX(0,AO162*(1+H$8)-BK163),2)</f>
        <v>0</v>
      </c>
      <c r="AP163" s="27" t="n">
        <f aca="false">ROUND(MAX(0,AP162*(1+I$8)-BL163),2)</f>
        <v>0</v>
      </c>
      <c r="AQ163" s="27" t="n">
        <f aca="false">ROUND(MAX(0,AQ162*(1+J$8)-BM163),2)</f>
        <v>0</v>
      </c>
      <c r="AR163" s="27" t="n">
        <f aca="false">ROUND(MAX(0,AR162*(1+K$8)-BN163),2)</f>
        <v>0</v>
      </c>
      <c r="AS163" s="27" t="n">
        <f aca="false">SUM(AI163:AR163)</f>
        <v>0</v>
      </c>
      <c r="AT163" s="27" t="n">
        <f aca="false">SUMPRODUCT(AI162:AR162,$B$8:$K$8)</f>
        <v>0</v>
      </c>
      <c r="AU163" s="27" t="n">
        <f aca="false">MIN(AI162*(1+B$8),B$9)</f>
        <v>0</v>
      </c>
      <c r="AV163" s="27" t="n">
        <f aca="false">MIN(AJ162*(1+C$8),C$9)</f>
        <v>0</v>
      </c>
      <c r="AW163" s="27" t="n">
        <f aca="false">MIN(AK162*(1+D$8),D$9)</f>
        <v>0</v>
      </c>
      <c r="AX163" s="27" t="n">
        <f aca="false">MIN(AL162*(1+E$8),E$9)</f>
        <v>0</v>
      </c>
      <c r="AY163" s="27" t="n">
        <f aca="false">MIN(AM162*(1+F$8),F$9)</f>
        <v>0</v>
      </c>
      <c r="AZ163" s="27" t="n">
        <f aca="false">MIN(AN162*(1+G$8),G$9)</f>
        <v>0</v>
      </c>
      <c r="BA163" s="27" t="n">
        <f aca="false">MIN(AO162*(1+H$8),H$9)</f>
        <v>0</v>
      </c>
      <c r="BB163" s="27" t="n">
        <f aca="false">MIN(AP162*(1+I$8),I$9)</f>
        <v>0</v>
      </c>
      <c r="BC163" s="27" t="n">
        <f aca="false">MIN(AQ162*(1+J$8),J$9)</f>
        <v>0</v>
      </c>
      <c r="BD163" s="27" t="n">
        <f aca="false">MIN(AR162*(1+K$8),K$9)</f>
        <v>0</v>
      </c>
      <c r="BE163" s="27" t="n">
        <f aca="false">MIN(AI162*(1+B$8),MAX(AU163,$B$12-SUM(AV163:BD163)))</f>
        <v>0</v>
      </c>
      <c r="BF163" s="27" t="n">
        <f aca="false">MIN(AJ162*(1+C$8),MAX(AV163,$B$12-SUM(BE163:BE163)-SUM(AW163:BD163)))</f>
        <v>0</v>
      </c>
      <c r="BG163" s="27" t="n">
        <f aca="false">MIN(AK162*(1+D$8),MAX(AW163,$B$12-SUM(BE163:BF163)-SUM(AX163:BD163)))</f>
        <v>0</v>
      </c>
      <c r="BH163" s="27" t="n">
        <f aca="false">MIN(AL162*(1+E$8),MAX(AX163,$B$12-SUM(BE163:BG163)-SUM(AY163:BD163)))</f>
        <v>0</v>
      </c>
      <c r="BI163" s="27" t="n">
        <f aca="false">MIN(AM162*(1+F$8),MAX(AY163,$B$12-SUM(BE163:BH163)-SUM(AZ163:BD163)))</f>
        <v>0</v>
      </c>
      <c r="BJ163" s="27" t="n">
        <f aca="false">MIN(AN162*(1+G$8),MAX(AZ163,$B$12-SUM(BE163:BI163)-SUM(BA163:BD163)))</f>
        <v>0</v>
      </c>
      <c r="BK163" s="27" t="n">
        <f aca="false">MIN(AO162*(1+H$8),MAX(BA163,$B$12-SUM(BE163:BJ163)-SUM(BB163:BD163)))</f>
        <v>0</v>
      </c>
      <c r="BL163" s="27" t="n">
        <f aca="false">MIN(AP162*(1+I$8),MAX(BB163,$B$12-SUM(BE163:BK163)-SUM(BC163:BD163)))</f>
        <v>0</v>
      </c>
      <c r="BM163" s="27" t="n">
        <f aca="false">MIN(AQ162*(1+J$8),MAX(BC163,$B$12-SUM(BE163:BL163)-SUM(BD163:BD163)))</f>
        <v>0</v>
      </c>
      <c r="BN163" s="27" t="n">
        <f aca="false">MIN(AR162*(1+K$8),MAX(BD163,$B$12-SUM(BE163:BM163)))</f>
        <v>0</v>
      </c>
    </row>
    <row r="164" customFormat="false" ht="15" hidden="false" customHeight="false" outlineLevel="0" collapsed="false">
      <c r="A164" s="0" t="n">
        <v>150</v>
      </c>
      <c r="B164" s="27" t="n">
        <f aca="false">ROUND(MAX(0,B163*(1+B$8)-X164),2)</f>
        <v>0</v>
      </c>
      <c r="C164" s="27" t="n">
        <f aca="false">ROUND(MAX(0,C163*(1+C$8)-Y164),2)</f>
        <v>0</v>
      </c>
      <c r="D164" s="27" t="n">
        <f aca="false">ROUND(MAX(0,D163*(1+D$8)-Z164),2)</f>
        <v>0</v>
      </c>
      <c r="E164" s="27" t="n">
        <f aca="false">ROUND(MAX(0,E163*(1+E$8)-AA164),2)</f>
        <v>0</v>
      </c>
      <c r="F164" s="27" t="n">
        <f aca="false">ROUND(MAX(0,F163*(1+F$8)-AB164),2)</f>
        <v>0</v>
      </c>
      <c r="G164" s="27" t="n">
        <f aca="false">ROUND(MAX(0,G163*(1+G$8)-AC164),2)</f>
        <v>0</v>
      </c>
      <c r="H164" s="27" t="n">
        <f aca="false">ROUND(MAX(0,H163*(1+H$8)-AD164),2)</f>
        <v>0</v>
      </c>
      <c r="I164" s="27" t="n">
        <f aca="false">ROUND(MAX(0,I163*(1+I$8)-AE164),2)</f>
        <v>0</v>
      </c>
      <c r="J164" s="27" t="n">
        <f aca="false">ROUND(MAX(0,J163*(1+J$8)-AF164),2)</f>
        <v>0</v>
      </c>
      <c r="K164" s="27" t="n">
        <f aca="false">ROUND(MAX(0,K163*(1+K$8)-AG164),2)</f>
        <v>0</v>
      </c>
      <c r="L164" s="30" t="n">
        <f aca="false">SUM(B164:K164)</f>
        <v>0</v>
      </c>
      <c r="M164" s="27" t="n">
        <f aca="false">SUMPRODUCT(B163:K163,$B$8:$K$8)</f>
        <v>0</v>
      </c>
      <c r="N164" s="27" t="n">
        <f aca="false">MIN(B163*(1+B$8),B$9)</f>
        <v>0</v>
      </c>
      <c r="O164" s="27" t="n">
        <f aca="false">MIN(C163*(1+C$8),C$9)</f>
        <v>0</v>
      </c>
      <c r="P164" s="27" t="n">
        <f aca="false">MIN(D163*(1+D$8),D$9)</f>
        <v>0</v>
      </c>
      <c r="Q164" s="27" t="n">
        <f aca="false">MIN(E163*(1+E$8),E$9)</f>
        <v>0</v>
      </c>
      <c r="R164" s="27" t="n">
        <f aca="false">MIN(F163*(1+F$8),F$9)</f>
        <v>0</v>
      </c>
      <c r="S164" s="27" t="n">
        <f aca="false">MIN(G163*(1+G$8),G$9)</f>
        <v>0</v>
      </c>
      <c r="T164" s="27" t="n">
        <f aca="false">MIN(H163*(1+H$8),H$9)</f>
        <v>0</v>
      </c>
      <c r="U164" s="27" t="n">
        <f aca="false">MIN(I163*(1+I$8),I$9)</f>
        <v>0</v>
      </c>
      <c r="V164" s="27" t="n">
        <f aca="false">MIN(J163*(1+J$8),J$9)</f>
        <v>0</v>
      </c>
      <c r="W164" s="27" t="n">
        <f aca="false">MIN(K163*(1+K$8),K$9)</f>
        <v>0</v>
      </c>
      <c r="X164" s="27" t="n">
        <f aca="false">MIN(B163*(1+B$8),MAX(N164,$B$11-SUM(O164:W164)))</f>
        <v>0</v>
      </c>
      <c r="Y164" s="27" t="n">
        <f aca="false">MIN(C163*(1+C$8),MAX(O164,$B$11-SUM(X164:X164)-SUM(P164:W164)))</f>
        <v>0</v>
      </c>
      <c r="Z164" s="27" t="n">
        <f aca="false">MIN(D163*(1+D$8),MAX(P164,$B$11-SUM(X164:Y164)-SUM(Q164:W164)))</f>
        <v>0</v>
      </c>
      <c r="AA164" s="27" t="n">
        <f aca="false">MIN(E163*(1+E$8),MAX(Q164,$B$11-SUM(X164:Z164)-SUM(R164:W164)))</f>
        <v>0</v>
      </c>
      <c r="AB164" s="27" t="n">
        <f aca="false">MIN(F163*(1+F$8),MAX(R164,$B$11-SUM(X164:AA164)-SUM(S164:W164)))</f>
        <v>0</v>
      </c>
      <c r="AC164" s="27" t="n">
        <f aca="false">MIN(G163*(1+G$8),MAX(S164,$B$11-SUM(X164:AB164)-SUM(T164:W164)))</f>
        <v>0</v>
      </c>
      <c r="AD164" s="27" t="n">
        <f aca="false">MIN(H163*(1+H$8),MAX(T164,$B$11-SUM(X164:AC164)-SUM(U164:W164)))</f>
        <v>0</v>
      </c>
      <c r="AE164" s="27" t="n">
        <f aca="false">MIN(I163*(1+I$8),MAX(U164,$B$11-SUM(X164:AD164)-SUM(V164:W164)))</f>
        <v>0</v>
      </c>
      <c r="AF164" s="27" t="n">
        <f aca="false">MIN(J163*(1+J$8),MAX(V164,$B$11-SUM(X164:AE164)-SUM(W164:W164)))</f>
        <v>0</v>
      </c>
      <c r="AG164" s="27" t="n">
        <f aca="false">MIN(K163*(1+K$8),MAX(W164,$B$11-SUM(X164:AF164)))</f>
        <v>0</v>
      </c>
      <c r="AI164" s="27" t="n">
        <f aca="false">ROUND(MAX(0,AI163*(1+B$8)-BE164),2)</f>
        <v>0</v>
      </c>
      <c r="AJ164" s="27" t="n">
        <f aca="false">ROUND(MAX(0,AJ163*(1+C$8)-BF164),2)</f>
        <v>0</v>
      </c>
      <c r="AK164" s="27" t="n">
        <f aca="false">ROUND(MAX(0,AK163*(1+D$8)-BG164),2)</f>
        <v>0</v>
      </c>
      <c r="AL164" s="27" t="n">
        <f aca="false">ROUND(MAX(0,AL163*(1+E$8)-BH164),2)</f>
        <v>0</v>
      </c>
      <c r="AM164" s="27" t="n">
        <f aca="false">ROUND(MAX(0,AM163*(1+F$8)-BI164),2)</f>
        <v>0</v>
      </c>
      <c r="AN164" s="27" t="n">
        <f aca="false">ROUND(MAX(0,AN163*(1+G$8)-BJ164),2)</f>
        <v>0</v>
      </c>
      <c r="AO164" s="27" t="n">
        <f aca="false">ROUND(MAX(0,AO163*(1+H$8)-BK164),2)</f>
        <v>0</v>
      </c>
      <c r="AP164" s="27" t="n">
        <f aca="false">ROUND(MAX(0,AP163*(1+I$8)-BL164),2)</f>
        <v>0</v>
      </c>
      <c r="AQ164" s="27" t="n">
        <f aca="false">ROUND(MAX(0,AQ163*(1+J$8)-BM164),2)</f>
        <v>0</v>
      </c>
      <c r="AR164" s="27" t="n">
        <f aca="false">ROUND(MAX(0,AR163*(1+K$8)-BN164),2)</f>
        <v>0</v>
      </c>
      <c r="AS164" s="27" t="n">
        <f aca="false">SUM(AI164:AR164)</f>
        <v>0</v>
      </c>
      <c r="AT164" s="27" t="n">
        <f aca="false">SUMPRODUCT(AI163:AR163,$B$8:$K$8)</f>
        <v>0</v>
      </c>
      <c r="AU164" s="27" t="n">
        <f aca="false">MIN(AI163*(1+B$8),B$9)</f>
        <v>0</v>
      </c>
      <c r="AV164" s="27" t="n">
        <f aca="false">MIN(AJ163*(1+C$8),C$9)</f>
        <v>0</v>
      </c>
      <c r="AW164" s="27" t="n">
        <f aca="false">MIN(AK163*(1+D$8),D$9)</f>
        <v>0</v>
      </c>
      <c r="AX164" s="27" t="n">
        <f aca="false">MIN(AL163*(1+E$8),E$9)</f>
        <v>0</v>
      </c>
      <c r="AY164" s="27" t="n">
        <f aca="false">MIN(AM163*(1+F$8),F$9)</f>
        <v>0</v>
      </c>
      <c r="AZ164" s="27" t="n">
        <f aca="false">MIN(AN163*(1+G$8),G$9)</f>
        <v>0</v>
      </c>
      <c r="BA164" s="27" t="n">
        <f aca="false">MIN(AO163*(1+H$8),H$9)</f>
        <v>0</v>
      </c>
      <c r="BB164" s="27" t="n">
        <f aca="false">MIN(AP163*(1+I$8),I$9)</f>
        <v>0</v>
      </c>
      <c r="BC164" s="27" t="n">
        <f aca="false">MIN(AQ163*(1+J$8),J$9)</f>
        <v>0</v>
      </c>
      <c r="BD164" s="27" t="n">
        <f aca="false">MIN(AR163*(1+K$8),K$9)</f>
        <v>0</v>
      </c>
      <c r="BE164" s="27" t="n">
        <f aca="false">MIN(AI163*(1+B$8),MAX(AU164,$B$12-SUM(AV164:BD164)))</f>
        <v>0</v>
      </c>
      <c r="BF164" s="27" t="n">
        <f aca="false">MIN(AJ163*(1+C$8),MAX(AV164,$B$12-SUM(BE164:BE164)-SUM(AW164:BD164)))</f>
        <v>0</v>
      </c>
      <c r="BG164" s="27" t="n">
        <f aca="false">MIN(AK163*(1+D$8),MAX(AW164,$B$12-SUM(BE164:BF164)-SUM(AX164:BD164)))</f>
        <v>0</v>
      </c>
      <c r="BH164" s="27" t="n">
        <f aca="false">MIN(AL163*(1+E$8),MAX(AX164,$B$12-SUM(BE164:BG164)-SUM(AY164:BD164)))</f>
        <v>0</v>
      </c>
      <c r="BI164" s="27" t="n">
        <f aca="false">MIN(AM163*(1+F$8),MAX(AY164,$B$12-SUM(BE164:BH164)-SUM(AZ164:BD164)))</f>
        <v>0</v>
      </c>
      <c r="BJ164" s="27" t="n">
        <f aca="false">MIN(AN163*(1+G$8),MAX(AZ164,$B$12-SUM(BE164:BI164)-SUM(BA164:BD164)))</f>
        <v>0</v>
      </c>
      <c r="BK164" s="27" t="n">
        <f aca="false">MIN(AO163*(1+H$8),MAX(BA164,$B$12-SUM(BE164:BJ164)-SUM(BB164:BD164)))</f>
        <v>0</v>
      </c>
      <c r="BL164" s="27" t="n">
        <f aca="false">MIN(AP163*(1+I$8),MAX(BB164,$B$12-SUM(BE164:BK164)-SUM(BC164:BD164)))</f>
        <v>0</v>
      </c>
      <c r="BM164" s="27" t="n">
        <f aca="false">MIN(AQ163*(1+J$8),MAX(BC164,$B$12-SUM(BE164:BL164)-SUM(BD164:BD164)))</f>
        <v>0</v>
      </c>
      <c r="BN164" s="27" t="n">
        <f aca="false">MIN(AR163*(1+K$8),MAX(BD164,$B$12-SUM(BE164:BM164)))</f>
        <v>0</v>
      </c>
    </row>
    <row r="165" customFormat="false" ht="15" hidden="false" customHeight="false" outlineLevel="0" collapsed="false">
      <c r="A165" s="0" t="n">
        <v>151</v>
      </c>
      <c r="B165" s="27" t="n">
        <f aca="false">ROUND(MAX(0,B164*(1+B$8)-X165),2)</f>
        <v>0</v>
      </c>
      <c r="C165" s="27" t="n">
        <f aca="false">ROUND(MAX(0,C164*(1+C$8)-Y165),2)</f>
        <v>0</v>
      </c>
      <c r="D165" s="27" t="n">
        <f aca="false">ROUND(MAX(0,D164*(1+D$8)-Z165),2)</f>
        <v>0</v>
      </c>
      <c r="E165" s="27" t="n">
        <f aca="false">ROUND(MAX(0,E164*(1+E$8)-AA165),2)</f>
        <v>0</v>
      </c>
      <c r="F165" s="27" t="n">
        <f aca="false">ROUND(MAX(0,F164*(1+F$8)-AB165),2)</f>
        <v>0</v>
      </c>
      <c r="G165" s="27" t="n">
        <f aca="false">ROUND(MAX(0,G164*(1+G$8)-AC165),2)</f>
        <v>0</v>
      </c>
      <c r="H165" s="27" t="n">
        <f aca="false">ROUND(MAX(0,H164*(1+H$8)-AD165),2)</f>
        <v>0</v>
      </c>
      <c r="I165" s="27" t="n">
        <f aca="false">ROUND(MAX(0,I164*(1+I$8)-AE165),2)</f>
        <v>0</v>
      </c>
      <c r="J165" s="27" t="n">
        <f aca="false">ROUND(MAX(0,J164*(1+J$8)-AF165),2)</f>
        <v>0</v>
      </c>
      <c r="K165" s="27" t="n">
        <f aca="false">ROUND(MAX(0,K164*(1+K$8)-AG165),2)</f>
        <v>0</v>
      </c>
      <c r="L165" s="30" t="n">
        <f aca="false">SUM(B165:K165)</f>
        <v>0</v>
      </c>
      <c r="M165" s="27" t="n">
        <f aca="false">SUMPRODUCT(B164:K164,$B$8:$K$8)</f>
        <v>0</v>
      </c>
      <c r="N165" s="27" t="n">
        <f aca="false">MIN(B164*(1+B$8),B$9)</f>
        <v>0</v>
      </c>
      <c r="O165" s="27" t="n">
        <f aca="false">MIN(C164*(1+C$8),C$9)</f>
        <v>0</v>
      </c>
      <c r="P165" s="27" t="n">
        <f aca="false">MIN(D164*(1+D$8),D$9)</f>
        <v>0</v>
      </c>
      <c r="Q165" s="27" t="n">
        <f aca="false">MIN(E164*(1+E$8),E$9)</f>
        <v>0</v>
      </c>
      <c r="R165" s="27" t="n">
        <f aca="false">MIN(F164*(1+F$8),F$9)</f>
        <v>0</v>
      </c>
      <c r="S165" s="27" t="n">
        <f aca="false">MIN(G164*(1+G$8),G$9)</f>
        <v>0</v>
      </c>
      <c r="T165" s="27" t="n">
        <f aca="false">MIN(H164*(1+H$8),H$9)</f>
        <v>0</v>
      </c>
      <c r="U165" s="27" t="n">
        <f aca="false">MIN(I164*(1+I$8),I$9)</f>
        <v>0</v>
      </c>
      <c r="V165" s="27" t="n">
        <f aca="false">MIN(J164*(1+J$8),J$9)</f>
        <v>0</v>
      </c>
      <c r="W165" s="27" t="n">
        <f aca="false">MIN(K164*(1+K$8),K$9)</f>
        <v>0</v>
      </c>
      <c r="X165" s="27" t="n">
        <f aca="false">MIN(B164*(1+B$8),MAX(N165,$B$11-SUM(O165:W165)))</f>
        <v>0</v>
      </c>
      <c r="Y165" s="27" t="n">
        <f aca="false">MIN(C164*(1+C$8),MAX(O165,$B$11-SUM(X165:X165)-SUM(P165:W165)))</f>
        <v>0</v>
      </c>
      <c r="Z165" s="27" t="n">
        <f aca="false">MIN(D164*(1+D$8),MAX(P165,$B$11-SUM(X165:Y165)-SUM(Q165:W165)))</f>
        <v>0</v>
      </c>
      <c r="AA165" s="27" t="n">
        <f aca="false">MIN(E164*(1+E$8),MAX(Q165,$B$11-SUM(X165:Z165)-SUM(R165:W165)))</f>
        <v>0</v>
      </c>
      <c r="AB165" s="27" t="n">
        <f aca="false">MIN(F164*(1+F$8),MAX(R165,$B$11-SUM(X165:AA165)-SUM(S165:W165)))</f>
        <v>0</v>
      </c>
      <c r="AC165" s="27" t="n">
        <f aca="false">MIN(G164*(1+G$8),MAX(S165,$B$11-SUM(X165:AB165)-SUM(T165:W165)))</f>
        <v>0</v>
      </c>
      <c r="AD165" s="27" t="n">
        <f aca="false">MIN(H164*(1+H$8),MAX(T165,$B$11-SUM(X165:AC165)-SUM(U165:W165)))</f>
        <v>0</v>
      </c>
      <c r="AE165" s="27" t="n">
        <f aca="false">MIN(I164*(1+I$8),MAX(U165,$B$11-SUM(X165:AD165)-SUM(V165:W165)))</f>
        <v>0</v>
      </c>
      <c r="AF165" s="27" t="n">
        <f aca="false">MIN(J164*(1+J$8),MAX(V165,$B$11-SUM(X165:AE165)-SUM(W165:W165)))</f>
        <v>0</v>
      </c>
      <c r="AG165" s="27" t="n">
        <f aca="false">MIN(K164*(1+K$8),MAX(W165,$B$11-SUM(X165:AF165)))</f>
        <v>0</v>
      </c>
      <c r="AI165" s="27" t="n">
        <f aca="false">ROUND(MAX(0,AI164*(1+B$8)-BE165),2)</f>
        <v>0</v>
      </c>
      <c r="AJ165" s="27" t="n">
        <f aca="false">ROUND(MAX(0,AJ164*(1+C$8)-BF165),2)</f>
        <v>0</v>
      </c>
      <c r="AK165" s="27" t="n">
        <f aca="false">ROUND(MAX(0,AK164*(1+D$8)-BG165),2)</f>
        <v>0</v>
      </c>
      <c r="AL165" s="27" t="n">
        <f aca="false">ROUND(MAX(0,AL164*(1+E$8)-BH165),2)</f>
        <v>0</v>
      </c>
      <c r="AM165" s="27" t="n">
        <f aca="false">ROUND(MAX(0,AM164*(1+F$8)-BI165),2)</f>
        <v>0</v>
      </c>
      <c r="AN165" s="27" t="n">
        <f aca="false">ROUND(MAX(0,AN164*(1+G$8)-BJ165),2)</f>
        <v>0</v>
      </c>
      <c r="AO165" s="27" t="n">
        <f aca="false">ROUND(MAX(0,AO164*(1+H$8)-BK165),2)</f>
        <v>0</v>
      </c>
      <c r="AP165" s="27" t="n">
        <f aca="false">ROUND(MAX(0,AP164*(1+I$8)-BL165),2)</f>
        <v>0</v>
      </c>
      <c r="AQ165" s="27" t="n">
        <f aca="false">ROUND(MAX(0,AQ164*(1+J$8)-BM165),2)</f>
        <v>0</v>
      </c>
      <c r="AR165" s="27" t="n">
        <f aca="false">ROUND(MAX(0,AR164*(1+K$8)-BN165),2)</f>
        <v>0</v>
      </c>
      <c r="AS165" s="27" t="n">
        <f aca="false">SUM(AI165:AR165)</f>
        <v>0</v>
      </c>
      <c r="AT165" s="27" t="n">
        <f aca="false">SUMPRODUCT(AI164:AR164,$B$8:$K$8)</f>
        <v>0</v>
      </c>
      <c r="AU165" s="27" t="n">
        <f aca="false">MIN(AI164*(1+B$8),B$9)</f>
        <v>0</v>
      </c>
      <c r="AV165" s="27" t="n">
        <f aca="false">MIN(AJ164*(1+C$8),C$9)</f>
        <v>0</v>
      </c>
      <c r="AW165" s="27" t="n">
        <f aca="false">MIN(AK164*(1+D$8),D$9)</f>
        <v>0</v>
      </c>
      <c r="AX165" s="27" t="n">
        <f aca="false">MIN(AL164*(1+E$8),E$9)</f>
        <v>0</v>
      </c>
      <c r="AY165" s="27" t="n">
        <f aca="false">MIN(AM164*(1+F$8),F$9)</f>
        <v>0</v>
      </c>
      <c r="AZ165" s="27" t="n">
        <f aca="false">MIN(AN164*(1+G$8),G$9)</f>
        <v>0</v>
      </c>
      <c r="BA165" s="27" t="n">
        <f aca="false">MIN(AO164*(1+H$8),H$9)</f>
        <v>0</v>
      </c>
      <c r="BB165" s="27" t="n">
        <f aca="false">MIN(AP164*(1+I$8),I$9)</f>
        <v>0</v>
      </c>
      <c r="BC165" s="27" t="n">
        <f aca="false">MIN(AQ164*(1+J$8),J$9)</f>
        <v>0</v>
      </c>
      <c r="BD165" s="27" t="n">
        <f aca="false">MIN(AR164*(1+K$8),K$9)</f>
        <v>0</v>
      </c>
      <c r="BE165" s="27" t="n">
        <f aca="false">MIN(AI164*(1+B$8),MAX(AU165,$B$12-SUM(AV165:BD165)))</f>
        <v>0</v>
      </c>
      <c r="BF165" s="27" t="n">
        <f aca="false">MIN(AJ164*(1+C$8),MAX(AV165,$B$12-SUM(BE165:BE165)-SUM(AW165:BD165)))</f>
        <v>0</v>
      </c>
      <c r="BG165" s="27" t="n">
        <f aca="false">MIN(AK164*(1+D$8),MAX(AW165,$B$12-SUM(BE165:BF165)-SUM(AX165:BD165)))</f>
        <v>0</v>
      </c>
      <c r="BH165" s="27" t="n">
        <f aca="false">MIN(AL164*(1+E$8),MAX(AX165,$B$12-SUM(BE165:BG165)-SUM(AY165:BD165)))</f>
        <v>0</v>
      </c>
      <c r="BI165" s="27" t="n">
        <f aca="false">MIN(AM164*(1+F$8),MAX(AY165,$B$12-SUM(BE165:BH165)-SUM(AZ165:BD165)))</f>
        <v>0</v>
      </c>
      <c r="BJ165" s="27" t="n">
        <f aca="false">MIN(AN164*(1+G$8),MAX(AZ165,$B$12-SUM(BE165:BI165)-SUM(BA165:BD165)))</f>
        <v>0</v>
      </c>
      <c r="BK165" s="27" t="n">
        <f aca="false">MIN(AO164*(1+H$8),MAX(BA165,$B$12-SUM(BE165:BJ165)-SUM(BB165:BD165)))</f>
        <v>0</v>
      </c>
      <c r="BL165" s="27" t="n">
        <f aca="false">MIN(AP164*(1+I$8),MAX(BB165,$B$12-SUM(BE165:BK165)-SUM(BC165:BD165)))</f>
        <v>0</v>
      </c>
      <c r="BM165" s="27" t="n">
        <f aca="false">MIN(AQ164*(1+J$8),MAX(BC165,$B$12-SUM(BE165:BL165)-SUM(BD165:BD165)))</f>
        <v>0</v>
      </c>
      <c r="BN165" s="27" t="n">
        <f aca="false">MIN(AR164*(1+K$8),MAX(BD165,$B$12-SUM(BE165:BM165)))</f>
        <v>0</v>
      </c>
    </row>
    <row r="166" customFormat="false" ht="15" hidden="false" customHeight="false" outlineLevel="0" collapsed="false">
      <c r="A166" s="0" t="n">
        <v>152</v>
      </c>
      <c r="B166" s="27" t="n">
        <f aca="false">ROUND(MAX(0,B165*(1+B$8)-X166),2)</f>
        <v>0</v>
      </c>
      <c r="C166" s="27" t="n">
        <f aca="false">ROUND(MAX(0,C165*(1+C$8)-Y166),2)</f>
        <v>0</v>
      </c>
      <c r="D166" s="27" t="n">
        <f aca="false">ROUND(MAX(0,D165*(1+D$8)-Z166),2)</f>
        <v>0</v>
      </c>
      <c r="E166" s="27" t="n">
        <f aca="false">ROUND(MAX(0,E165*(1+E$8)-AA166),2)</f>
        <v>0</v>
      </c>
      <c r="F166" s="27" t="n">
        <f aca="false">ROUND(MAX(0,F165*(1+F$8)-AB166),2)</f>
        <v>0</v>
      </c>
      <c r="G166" s="27" t="n">
        <f aca="false">ROUND(MAX(0,G165*(1+G$8)-AC166),2)</f>
        <v>0</v>
      </c>
      <c r="H166" s="27" t="n">
        <f aca="false">ROUND(MAX(0,H165*(1+H$8)-AD166),2)</f>
        <v>0</v>
      </c>
      <c r="I166" s="27" t="n">
        <f aca="false">ROUND(MAX(0,I165*(1+I$8)-AE166),2)</f>
        <v>0</v>
      </c>
      <c r="J166" s="27" t="n">
        <f aca="false">ROUND(MAX(0,J165*(1+J$8)-AF166),2)</f>
        <v>0</v>
      </c>
      <c r="K166" s="27" t="n">
        <f aca="false">ROUND(MAX(0,K165*(1+K$8)-AG166),2)</f>
        <v>0</v>
      </c>
      <c r="L166" s="30" t="n">
        <f aca="false">SUM(B166:K166)</f>
        <v>0</v>
      </c>
      <c r="M166" s="27" t="n">
        <f aca="false">SUMPRODUCT(B165:K165,$B$8:$K$8)</f>
        <v>0</v>
      </c>
      <c r="N166" s="27" t="n">
        <f aca="false">MIN(B165*(1+B$8),B$9)</f>
        <v>0</v>
      </c>
      <c r="O166" s="27" t="n">
        <f aca="false">MIN(C165*(1+C$8),C$9)</f>
        <v>0</v>
      </c>
      <c r="P166" s="27" t="n">
        <f aca="false">MIN(D165*(1+D$8),D$9)</f>
        <v>0</v>
      </c>
      <c r="Q166" s="27" t="n">
        <f aca="false">MIN(E165*(1+E$8),E$9)</f>
        <v>0</v>
      </c>
      <c r="R166" s="27" t="n">
        <f aca="false">MIN(F165*(1+F$8),F$9)</f>
        <v>0</v>
      </c>
      <c r="S166" s="27" t="n">
        <f aca="false">MIN(G165*(1+G$8),G$9)</f>
        <v>0</v>
      </c>
      <c r="T166" s="27" t="n">
        <f aca="false">MIN(H165*(1+H$8),H$9)</f>
        <v>0</v>
      </c>
      <c r="U166" s="27" t="n">
        <f aca="false">MIN(I165*(1+I$8),I$9)</f>
        <v>0</v>
      </c>
      <c r="V166" s="27" t="n">
        <f aca="false">MIN(J165*(1+J$8),J$9)</f>
        <v>0</v>
      </c>
      <c r="W166" s="27" t="n">
        <f aca="false">MIN(K165*(1+K$8),K$9)</f>
        <v>0</v>
      </c>
      <c r="X166" s="27" t="n">
        <f aca="false">MIN(B165*(1+B$8),MAX(N166,$B$11-SUM(O166:W166)))</f>
        <v>0</v>
      </c>
      <c r="Y166" s="27" t="n">
        <f aca="false">MIN(C165*(1+C$8),MAX(O166,$B$11-SUM(X166:X166)-SUM(P166:W166)))</f>
        <v>0</v>
      </c>
      <c r="Z166" s="27" t="n">
        <f aca="false">MIN(D165*(1+D$8),MAX(P166,$B$11-SUM(X166:Y166)-SUM(Q166:W166)))</f>
        <v>0</v>
      </c>
      <c r="AA166" s="27" t="n">
        <f aca="false">MIN(E165*(1+E$8),MAX(Q166,$B$11-SUM(X166:Z166)-SUM(R166:W166)))</f>
        <v>0</v>
      </c>
      <c r="AB166" s="27" t="n">
        <f aca="false">MIN(F165*(1+F$8),MAX(R166,$B$11-SUM(X166:AA166)-SUM(S166:W166)))</f>
        <v>0</v>
      </c>
      <c r="AC166" s="27" t="n">
        <f aca="false">MIN(G165*(1+G$8),MAX(S166,$B$11-SUM(X166:AB166)-SUM(T166:W166)))</f>
        <v>0</v>
      </c>
      <c r="AD166" s="27" t="n">
        <f aca="false">MIN(H165*(1+H$8),MAX(T166,$B$11-SUM(X166:AC166)-SUM(U166:W166)))</f>
        <v>0</v>
      </c>
      <c r="AE166" s="27" t="n">
        <f aca="false">MIN(I165*(1+I$8),MAX(U166,$B$11-SUM(X166:AD166)-SUM(V166:W166)))</f>
        <v>0</v>
      </c>
      <c r="AF166" s="27" t="n">
        <f aca="false">MIN(J165*(1+J$8),MAX(V166,$B$11-SUM(X166:AE166)-SUM(W166:W166)))</f>
        <v>0</v>
      </c>
      <c r="AG166" s="27" t="n">
        <f aca="false">MIN(K165*(1+K$8),MAX(W166,$B$11-SUM(X166:AF166)))</f>
        <v>0</v>
      </c>
      <c r="AI166" s="27" t="n">
        <f aca="false">ROUND(MAX(0,AI165*(1+B$8)-BE166),2)</f>
        <v>0</v>
      </c>
      <c r="AJ166" s="27" t="n">
        <f aca="false">ROUND(MAX(0,AJ165*(1+C$8)-BF166),2)</f>
        <v>0</v>
      </c>
      <c r="AK166" s="27" t="n">
        <f aca="false">ROUND(MAX(0,AK165*(1+D$8)-BG166),2)</f>
        <v>0</v>
      </c>
      <c r="AL166" s="27" t="n">
        <f aca="false">ROUND(MAX(0,AL165*(1+E$8)-BH166),2)</f>
        <v>0</v>
      </c>
      <c r="AM166" s="27" t="n">
        <f aca="false">ROUND(MAX(0,AM165*(1+F$8)-BI166),2)</f>
        <v>0</v>
      </c>
      <c r="AN166" s="27" t="n">
        <f aca="false">ROUND(MAX(0,AN165*(1+G$8)-BJ166),2)</f>
        <v>0</v>
      </c>
      <c r="AO166" s="27" t="n">
        <f aca="false">ROUND(MAX(0,AO165*(1+H$8)-BK166),2)</f>
        <v>0</v>
      </c>
      <c r="AP166" s="27" t="n">
        <f aca="false">ROUND(MAX(0,AP165*(1+I$8)-BL166),2)</f>
        <v>0</v>
      </c>
      <c r="AQ166" s="27" t="n">
        <f aca="false">ROUND(MAX(0,AQ165*(1+J$8)-BM166),2)</f>
        <v>0</v>
      </c>
      <c r="AR166" s="27" t="n">
        <f aca="false">ROUND(MAX(0,AR165*(1+K$8)-BN166),2)</f>
        <v>0</v>
      </c>
      <c r="AS166" s="27" t="n">
        <f aca="false">SUM(AI166:AR166)</f>
        <v>0</v>
      </c>
      <c r="AT166" s="27" t="n">
        <f aca="false">SUMPRODUCT(AI165:AR165,$B$8:$K$8)</f>
        <v>0</v>
      </c>
      <c r="AU166" s="27" t="n">
        <f aca="false">MIN(AI165*(1+B$8),B$9)</f>
        <v>0</v>
      </c>
      <c r="AV166" s="27" t="n">
        <f aca="false">MIN(AJ165*(1+C$8),C$9)</f>
        <v>0</v>
      </c>
      <c r="AW166" s="27" t="n">
        <f aca="false">MIN(AK165*(1+D$8),D$9)</f>
        <v>0</v>
      </c>
      <c r="AX166" s="27" t="n">
        <f aca="false">MIN(AL165*(1+E$8),E$9)</f>
        <v>0</v>
      </c>
      <c r="AY166" s="27" t="n">
        <f aca="false">MIN(AM165*(1+F$8),F$9)</f>
        <v>0</v>
      </c>
      <c r="AZ166" s="27" t="n">
        <f aca="false">MIN(AN165*(1+G$8),G$9)</f>
        <v>0</v>
      </c>
      <c r="BA166" s="27" t="n">
        <f aca="false">MIN(AO165*(1+H$8),H$9)</f>
        <v>0</v>
      </c>
      <c r="BB166" s="27" t="n">
        <f aca="false">MIN(AP165*(1+I$8),I$9)</f>
        <v>0</v>
      </c>
      <c r="BC166" s="27" t="n">
        <f aca="false">MIN(AQ165*(1+J$8),J$9)</f>
        <v>0</v>
      </c>
      <c r="BD166" s="27" t="n">
        <f aca="false">MIN(AR165*(1+K$8),K$9)</f>
        <v>0</v>
      </c>
      <c r="BE166" s="27" t="n">
        <f aca="false">MIN(AI165*(1+B$8),MAX(AU166,$B$12-SUM(AV166:BD166)))</f>
        <v>0</v>
      </c>
      <c r="BF166" s="27" t="n">
        <f aca="false">MIN(AJ165*(1+C$8),MAX(AV166,$B$12-SUM(BE166:BE166)-SUM(AW166:BD166)))</f>
        <v>0</v>
      </c>
      <c r="BG166" s="27" t="n">
        <f aca="false">MIN(AK165*(1+D$8),MAX(AW166,$B$12-SUM(BE166:BF166)-SUM(AX166:BD166)))</f>
        <v>0</v>
      </c>
      <c r="BH166" s="27" t="n">
        <f aca="false">MIN(AL165*(1+E$8),MAX(AX166,$B$12-SUM(BE166:BG166)-SUM(AY166:BD166)))</f>
        <v>0</v>
      </c>
      <c r="BI166" s="27" t="n">
        <f aca="false">MIN(AM165*(1+F$8),MAX(AY166,$B$12-SUM(BE166:BH166)-SUM(AZ166:BD166)))</f>
        <v>0</v>
      </c>
      <c r="BJ166" s="27" t="n">
        <f aca="false">MIN(AN165*(1+G$8),MAX(AZ166,$B$12-SUM(BE166:BI166)-SUM(BA166:BD166)))</f>
        <v>0</v>
      </c>
      <c r="BK166" s="27" t="n">
        <f aca="false">MIN(AO165*(1+H$8),MAX(BA166,$B$12-SUM(BE166:BJ166)-SUM(BB166:BD166)))</f>
        <v>0</v>
      </c>
      <c r="BL166" s="27" t="n">
        <f aca="false">MIN(AP165*(1+I$8),MAX(BB166,$B$12-SUM(BE166:BK166)-SUM(BC166:BD166)))</f>
        <v>0</v>
      </c>
      <c r="BM166" s="27" t="n">
        <f aca="false">MIN(AQ165*(1+J$8),MAX(BC166,$B$12-SUM(BE166:BL166)-SUM(BD166:BD166)))</f>
        <v>0</v>
      </c>
      <c r="BN166" s="27" t="n">
        <f aca="false">MIN(AR165*(1+K$8),MAX(BD166,$B$12-SUM(BE166:BM166)))</f>
        <v>0</v>
      </c>
    </row>
    <row r="167" customFormat="false" ht="15" hidden="false" customHeight="false" outlineLevel="0" collapsed="false">
      <c r="A167" s="0" t="n">
        <v>153</v>
      </c>
      <c r="B167" s="27" t="n">
        <f aca="false">ROUND(MAX(0,B166*(1+B$8)-X167),2)</f>
        <v>0</v>
      </c>
      <c r="C167" s="27" t="n">
        <f aca="false">ROUND(MAX(0,C166*(1+C$8)-Y167),2)</f>
        <v>0</v>
      </c>
      <c r="D167" s="27" t="n">
        <f aca="false">ROUND(MAX(0,D166*(1+D$8)-Z167),2)</f>
        <v>0</v>
      </c>
      <c r="E167" s="27" t="n">
        <f aca="false">ROUND(MAX(0,E166*(1+E$8)-AA167),2)</f>
        <v>0</v>
      </c>
      <c r="F167" s="27" t="n">
        <f aca="false">ROUND(MAX(0,F166*(1+F$8)-AB167),2)</f>
        <v>0</v>
      </c>
      <c r="G167" s="27" t="n">
        <f aca="false">ROUND(MAX(0,G166*(1+G$8)-AC167),2)</f>
        <v>0</v>
      </c>
      <c r="H167" s="27" t="n">
        <f aca="false">ROUND(MAX(0,H166*(1+H$8)-AD167),2)</f>
        <v>0</v>
      </c>
      <c r="I167" s="27" t="n">
        <f aca="false">ROUND(MAX(0,I166*(1+I$8)-AE167),2)</f>
        <v>0</v>
      </c>
      <c r="J167" s="27" t="n">
        <f aca="false">ROUND(MAX(0,J166*(1+J$8)-AF167),2)</f>
        <v>0</v>
      </c>
      <c r="K167" s="27" t="n">
        <f aca="false">ROUND(MAX(0,K166*(1+K$8)-AG167),2)</f>
        <v>0</v>
      </c>
      <c r="L167" s="30" t="n">
        <f aca="false">SUM(B167:K167)</f>
        <v>0</v>
      </c>
      <c r="M167" s="27" t="n">
        <f aca="false">SUMPRODUCT(B166:K166,$B$8:$K$8)</f>
        <v>0</v>
      </c>
      <c r="N167" s="27" t="n">
        <f aca="false">MIN(B166*(1+B$8),B$9)</f>
        <v>0</v>
      </c>
      <c r="O167" s="27" t="n">
        <f aca="false">MIN(C166*(1+C$8),C$9)</f>
        <v>0</v>
      </c>
      <c r="P167" s="27" t="n">
        <f aca="false">MIN(D166*(1+D$8),D$9)</f>
        <v>0</v>
      </c>
      <c r="Q167" s="27" t="n">
        <f aca="false">MIN(E166*(1+E$8),E$9)</f>
        <v>0</v>
      </c>
      <c r="R167" s="27" t="n">
        <f aca="false">MIN(F166*(1+F$8),F$9)</f>
        <v>0</v>
      </c>
      <c r="S167" s="27" t="n">
        <f aca="false">MIN(G166*(1+G$8),G$9)</f>
        <v>0</v>
      </c>
      <c r="T167" s="27" t="n">
        <f aca="false">MIN(H166*(1+H$8),H$9)</f>
        <v>0</v>
      </c>
      <c r="U167" s="27" t="n">
        <f aca="false">MIN(I166*(1+I$8),I$9)</f>
        <v>0</v>
      </c>
      <c r="V167" s="27" t="n">
        <f aca="false">MIN(J166*(1+J$8),J$9)</f>
        <v>0</v>
      </c>
      <c r="W167" s="27" t="n">
        <f aca="false">MIN(K166*(1+K$8),K$9)</f>
        <v>0</v>
      </c>
      <c r="X167" s="27" t="n">
        <f aca="false">MIN(B166*(1+B$8),MAX(N167,$B$11-SUM(O167:W167)))</f>
        <v>0</v>
      </c>
      <c r="Y167" s="27" t="n">
        <f aca="false">MIN(C166*(1+C$8),MAX(O167,$B$11-SUM(X167:X167)-SUM(P167:W167)))</f>
        <v>0</v>
      </c>
      <c r="Z167" s="27" t="n">
        <f aca="false">MIN(D166*(1+D$8),MAX(P167,$B$11-SUM(X167:Y167)-SUM(Q167:W167)))</f>
        <v>0</v>
      </c>
      <c r="AA167" s="27" t="n">
        <f aca="false">MIN(E166*(1+E$8),MAX(Q167,$B$11-SUM(X167:Z167)-SUM(R167:W167)))</f>
        <v>0</v>
      </c>
      <c r="AB167" s="27" t="n">
        <f aca="false">MIN(F166*(1+F$8),MAX(R167,$B$11-SUM(X167:AA167)-SUM(S167:W167)))</f>
        <v>0</v>
      </c>
      <c r="AC167" s="27" t="n">
        <f aca="false">MIN(G166*(1+G$8),MAX(S167,$B$11-SUM(X167:AB167)-SUM(T167:W167)))</f>
        <v>0</v>
      </c>
      <c r="AD167" s="27" t="n">
        <f aca="false">MIN(H166*(1+H$8),MAX(T167,$B$11-SUM(X167:AC167)-SUM(U167:W167)))</f>
        <v>0</v>
      </c>
      <c r="AE167" s="27" t="n">
        <f aca="false">MIN(I166*(1+I$8),MAX(U167,$B$11-SUM(X167:AD167)-SUM(V167:W167)))</f>
        <v>0</v>
      </c>
      <c r="AF167" s="27" t="n">
        <f aca="false">MIN(J166*(1+J$8),MAX(V167,$B$11-SUM(X167:AE167)-SUM(W167:W167)))</f>
        <v>0</v>
      </c>
      <c r="AG167" s="27" t="n">
        <f aca="false">MIN(K166*(1+K$8),MAX(W167,$B$11-SUM(X167:AF167)))</f>
        <v>0</v>
      </c>
      <c r="AI167" s="27" t="n">
        <f aca="false">ROUND(MAX(0,AI166*(1+B$8)-BE167),2)</f>
        <v>0</v>
      </c>
      <c r="AJ167" s="27" t="n">
        <f aca="false">ROUND(MAX(0,AJ166*(1+C$8)-BF167),2)</f>
        <v>0</v>
      </c>
      <c r="AK167" s="27" t="n">
        <f aca="false">ROUND(MAX(0,AK166*(1+D$8)-BG167),2)</f>
        <v>0</v>
      </c>
      <c r="AL167" s="27" t="n">
        <f aca="false">ROUND(MAX(0,AL166*(1+E$8)-BH167),2)</f>
        <v>0</v>
      </c>
      <c r="AM167" s="27" t="n">
        <f aca="false">ROUND(MAX(0,AM166*(1+F$8)-BI167),2)</f>
        <v>0</v>
      </c>
      <c r="AN167" s="27" t="n">
        <f aca="false">ROUND(MAX(0,AN166*(1+G$8)-BJ167),2)</f>
        <v>0</v>
      </c>
      <c r="AO167" s="27" t="n">
        <f aca="false">ROUND(MAX(0,AO166*(1+H$8)-BK167),2)</f>
        <v>0</v>
      </c>
      <c r="AP167" s="27" t="n">
        <f aca="false">ROUND(MAX(0,AP166*(1+I$8)-BL167),2)</f>
        <v>0</v>
      </c>
      <c r="AQ167" s="27" t="n">
        <f aca="false">ROUND(MAX(0,AQ166*(1+J$8)-BM167),2)</f>
        <v>0</v>
      </c>
      <c r="AR167" s="27" t="n">
        <f aca="false">ROUND(MAX(0,AR166*(1+K$8)-BN167),2)</f>
        <v>0</v>
      </c>
      <c r="AS167" s="27" t="n">
        <f aca="false">SUM(AI167:AR167)</f>
        <v>0</v>
      </c>
      <c r="AT167" s="27" t="n">
        <f aca="false">SUMPRODUCT(AI166:AR166,$B$8:$K$8)</f>
        <v>0</v>
      </c>
      <c r="AU167" s="27" t="n">
        <f aca="false">MIN(AI166*(1+B$8),B$9)</f>
        <v>0</v>
      </c>
      <c r="AV167" s="27" t="n">
        <f aca="false">MIN(AJ166*(1+C$8),C$9)</f>
        <v>0</v>
      </c>
      <c r="AW167" s="27" t="n">
        <f aca="false">MIN(AK166*(1+D$8),D$9)</f>
        <v>0</v>
      </c>
      <c r="AX167" s="27" t="n">
        <f aca="false">MIN(AL166*(1+E$8),E$9)</f>
        <v>0</v>
      </c>
      <c r="AY167" s="27" t="n">
        <f aca="false">MIN(AM166*(1+F$8),F$9)</f>
        <v>0</v>
      </c>
      <c r="AZ167" s="27" t="n">
        <f aca="false">MIN(AN166*(1+G$8),G$9)</f>
        <v>0</v>
      </c>
      <c r="BA167" s="27" t="n">
        <f aca="false">MIN(AO166*(1+H$8),H$9)</f>
        <v>0</v>
      </c>
      <c r="BB167" s="27" t="n">
        <f aca="false">MIN(AP166*(1+I$8),I$9)</f>
        <v>0</v>
      </c>
      <c r="BC167" s="27" t="n">
        <f aca="false">MIN(AQ166*(1+J$8),J$9)</f>
        <v>0</v>
      </c>
      <c r="BD167" s="27" t="n">
        <f aca="false">MIN(AR166*(1+K$8),K$9)</f>
        <v>0</v>
      </c>
      <c r="BE167" s="27" t="n">
        <f aca="false">MIN(AI166*(1+B$8),MAX(AU167,$B$12-SUM(AV167:BD167)))</f>
        <v>0</v>
      </c>
      <c r="BF167" s="27" t="n">
        <f aca="false">MIN(AJ166*(1+C$8),MAX(AV167,$B$12-SUM(BE167:BE167)-SUM(AW167:BD167)))</f>
        <v>0</v>
      </c>
      <c r="BG167" s="27" t="n">
        <f aca="false">MIN(AK166*(1+D$8),MAX(AW167,$B$12-SUM(BE167:BF167)-SUM(AX167:BD167)))</f>
        <v>0</v>
      </c>
      <c r="BH167" s="27" t="n">
        <f aca="false">MIN(AL166*(1+E$8),MAX(AX167,$B$12-SUM(BE167:BG167)-SUM(AY167:BD167)))</f>
        <v>0</v>
      </c>
      <c r="BI167" s="27" t="n">
        <f aca="false">MIN(AM166*(1+F$8),MAX(AY167,$B$12-SUM(BE167:BH167)-SUM(AZ167:BD167)))</f>
        <v>0</v>
      </c>
      <c r="BJ167" s="27" t="n">
        <f aca="false">MIN(AN166*(1+G$8),MAX(AZ167,$B$12-SUM(BE167:BI167)-SUM(BA167:BD167)))</f>
        <v>0</v>
      </c>
      <c r="BK167" s="27" t="n">
        <f aca="false">MIN(AO166*(1+H$8),MAX(BA167,$B$12-SUM(BE167:BJ167)-SUM(BB167:BD167)))</f>
        <v>0</v>
      </c>
      <c r="BL167" s="27" t="n">
        <f aca="false">MIN(AP166*(1+I$8),MAX(BB167,$B$12-SUM(BE167:BK167)-SUM(BC167:BD167)))</f>
        <v>0</v>
      </c>
      <c r="BM167" s="27" t="n">
        <f aca="false">MIN(AQ166*(1+J$8),MAX(BC167,$B$12-SUM(BE167:BL167)-SUM(BD167:BD167)))</f>
        <v>0</v>
      </c>
      <c r="BN167" s="27" t="n">
        <f aca="false">MIN(AR166*(1+K$8),MAX(BD167,$B$12-SUM(BE167:BM167)))</f>
        <v>0</v>
      </c>
    </row>
    <row r="168" customFormat="false" ht="15" hidden="false" customHeight="false" outlineLevel="0" collapsed="false">
      <c r="A168" s="0" t="n">
        <v>154</v>
      </c>
      <c r="B168" s="27" t="n">
        <f aca="false">ROUND(MAX(0,B167*(1+B$8)-X168),2)</f>
        <v>0</v>
      </c>
      <c r="C168" s="27" t="n">
        <f aca="false">ROUND(MAX(0,C167*(1+C$8)-Y168),2)</f>
        <v>0</v>
      </c>
      <c r="D168" s="27" t="n">
        <f aca="false">ROUND(MAX(0,D167*(1+D$8)-Z168),2)</f>
        <v>0</v>
      </c>
      <c r="E168" s="27" t="n">
        <f aca="false">ROUND(MAX(0,E167*(1+E$8)-AA168),2)</f>
        <v>0</v>
      </c>
      <c r="F168" s="27" t="n">
        <f aca="false">ROUND(MAX(0,F167*(1+F$8)-AB168),2)</f>
        <v>0</v>
      </c>
      <c r="G168" s="27" t="n">
        <f aca="false">ROUND(MAX(0,G167*(1+G$8)-AC168),2)</f>
        <v>0</v>
      </c>
      <c r="H168" s="27" t="n">
        <f aca="false">ROUND(MAX(0,H167*(1+H$8)-AD168),2)</f>
        <v>0</v>
      </c>
      <c r="I168" s="27" t="n">
        <f aca="false">ROUND(MAX(0,I167*(1+I$8)-AE168),2)</f>
        <v>0</v>
      </c>
      <c r="J168" s="27" t="n">
        <f aca="false">ROUND(MAX(0,J167*(1+J$8)-AF168),2)</f>
        <v>0</v>
      </c>
      <c r="K168" s="27" t="n">
        <f aca="false">ROUND(MAX(0,K167*(1+K$8)-AG168),2)</f>
        <v>0</v>
      </c>
      <c r="L168" s="30" t="n">
        <f aca="false">SUM(B168:K168)</f>
        <v>0</v>
      </c>
      <c r="M168" s="27" t="n">
        <f aca="false">SUMPRODUCT(B167:K167,$B$8:$K$8)</f>
        <v>0</v>
      </c>
      <c r="N168" s="27" t="n">
        <f aca="false">MIN(B167*(1+B$8),B$9)</f>
        <v>0</v>
      </c>
      <c r="O168" s="27" t="n">
        <f aca="false">MIN(C167*(1+C$8),C$9)</f>
        <v>0</v>
      </c>
      <c r="P168" s="27" t="n">
        <f aca="false">MIN(D167*(1+D$8),D$9)</f>
        <v>0</v>
      </c>
      <c r="Q168" s="27" t="n">
        <f aca="false">MIN(E167*(1+E$8),E$9)</f>
        <v>0</v>
      </c>
      <c r="R168" s="27" t="n">
        <f aca="false">MIN(F167*(1+F$8),F$9)</f>
        <v>0</v>
      </c>
      <c r="S168" s="27" t="n">
        <f aca="false">MIN(G167*(1+G$8),G$9)</f>
        <v>0</v>
      </c>
      <c r="T168" s="27" t="n">
        <f aca="false">MIN(H167*(1+H$8),H$9)</f>
        <v>0</v>
      </c>
      <c r="U168" s="27" t="n">
        <f aca="false">MIN(I167*(1+I$8),I$9)</f>
        <v>0</v>
      </c>
      <c r="V168" s="27" t="n">
        <f aca="false">MIN(J167*(1+J$8),J$9)</f>
        <v>0</v>
      </c>
      <c r="W168" s="27" t="n">
        <f aca="false">MIN(K167*(1+K$8),K$9)</f>
        <v>0</v>
      </c>
      <c r="X168" s="27" t="n">
        <f aca="false">MIN(B167*(1+B$8),MAX(N168,$B$11-SUM(O168:W168)))</f>
        <v>0</v>
      </c>
      <c r="Y168" s="27" t="n">
        <f aca="false">MIN(C167*(1+C$8),MAX(O168,$B$11-SUM(X168:X168)-SUM(P168:W168)))</f>
        <v>0</v>
      </c>
      <c r="Z168" s="27" t="n">
        <f aca="false">MIN(D167*(1+D$8),MAX(P168,$B$11-SUM(X168:Y168)-SUM(Q168:W168)))</f>
        <v>0</v>
      </c>
      <c r="AA168" s="27" t="n">
        <f aca="false">MIN(E167*(1+E$8),MAX(Q168,$B$11-SUM(X168:Z168)-SUM(R168:W168)))</f>
        <v>0</v>
      </c>
      <c r="AB168" s="27" t="n">
        <f aca="false">MIN(F167*(1+F$8),MAX(R168,$B$11-SUM(X168:AA168)-SUM(S168:W168)))</f>
        <v>0</v>
      </c>
      <c r="AC168" s="27" t="n">
        <f aca="false">MIN(G167*(1+G$8),MAX(S168,$B$11-SUM(X168:AB168)-SUM(T168:W168)))</f>
        <v>0</v>
      </c>
      <c r="AD168" s="27" t="n">
        <f aca="false">MIN(H167*(1+H$8),MAX(T168,$B$11-SUM(X168:AC168)-SUM(U168:W168)))</f>
        <v>0</v>
      </c>
      <c r="AE168" s="27" t="n">
        <f aca="false">MIN(I167*(1+I$8),MAX(U168,$B$11-SUM(X168:AD168)-SUM(V168:W168)))</f>
        <v>0</v>
      </c>
      <c r="AF168" s="27" t="n">
        <f aca="false">MIN(J167*(1+J$8),MAX(V168,$B$11-SUM(X168:AE168)-SUM(W168:W168)))</f>
        <v>0</v>
      </c>
      <c r="AG168" s="27" t="n">
        <f aca="false">MIN(K167*(1+K$8),MAX(W168,$B$11-SUM(X168:AF168)))</f>
        <v>0</v>
      </c>
      <c r="AI168" s="27" t="n">
        <f aca="false">ROUND(MAX(0,AI167*(1+B$8)-BE168),2)</f>
        <v>0</v>
      </c>
      <c r="AJ168" s="27" t="n">
        <f aca="false">ROUND(MAX(0,AJ167*(1+C$8)-BF168),2)</f>
        <v>0</v>
      </c>
      <c r="AK168" s="27" t="n">
        <f aca="false">ROUND(MAX(0,AK167*(1+D$8)-BG168),2)</f>
        <v>0</v>
      </c>
      <c r="AL168" s="27" t="n">
        <f aca="false">ROUND(MAX(0,AL167*(1+E$8)-BH168),2)</f>
        <v>0</v>
      </c>
      <c r="AM168" s="27" t="n">
        <f aca="false">ROUND(MAX(0,AM167*(1+F$8)-BI168),2)</f>
        <v>0</v>
      </c>
      <c r="AN168" s="27" t="n">
        <f aca="false">ROUND(MAX(0,AN167*(1+G$8)-BJ168),2)</f>
        <v>0</v>
      </c>
      <c r="AO168" s="27" t="n">
        <f aca="false">ROUND(MAX(0,AO167*(1+H$8)-BK168),2)</f>
        <v>0</v>
      </c>
      <c r="AP168" s="27" t="n">
        <f aca="false">ROUND(MAX(0,AP167*(1+I$8)-BL168),2)</f>
        <v>0</v>
      </c>
      <c r="AQ168" s="27" t="n">
        <f aca="false">ROUND(MAX(0,AQ167*(1+J$8)-BM168),2)</f>
        <v>0</v>
      </c>
      <c r="AR168" s="27" t="n">
        <f aca="false">ROUND(MAX(0,AR167*(1+K$8)-BN168),2)</f>
        <v>0</v>
      </c>
      <c r="AS168" s="27" t="n">
        <f aca="false">SUM(AI168:AR168)</f>
        <v>0</v>
      </c>
      <c r="AT168" s="27" t="n">
        <f aca="false">SUMPRODUCT(AI167:AR167,$B$8:$K$8)</f>
        <v>0</v>
      </c>
      <c r="AU168" s="27" t="n">
        <f aca="false">MIN(AI167*(1+B$8),B$9)</f>
        <v>0</v>
      </c>
      <c r="AV168" s="27" t="n">
        <f aca="false">MIN(AJ167*(1+C$8),C$9)</f>
        <v>0</v>
      </c>
      <c r="AW168" s="27" t="n">
        <f aca="false">MIN(AK167*(1+D$8),D$9)</f>
        <v>0</v>
      </c>
      <c r="AX168" s="27" t="n">
        <f aca="false">MIN(AL167*(1+E$8),E$9)</f>
        <v>0</v>
      </c>
      <c r="AY168" s="27" t="n">
        <f aca="false">MIN(AM167*(1+F$8),F$9)</f>
        <v>0</v>
      </c>
      <c r="AZ168" s="27" t="n">
        <f aca="false">MIN(AN167*(1+G$8),G$9)</f>
        <v>0</v>
      </c>
      <c r="BA168" s="27" t="n">
        <f aca="false">MIN(AO167*(1+H$8),H$9)</f>
        <v>0</v>
      </c>
      <c r="BB168" s="27" t="n">
        <f aca="false">MIN(AP167*(1+I$8),I$9)</f>
        <v>0</v>
      </c>
      <c r="BC168" s="27" t="n">
        <f aca="false">MIN(AQ167*(1+J$8),J$9)</f>
        <v>0</v>
      </c>
      <c r="BD168" s="27" t="n">
        <f aca="false">MIN(AR167*(1+K$8),K$9)</f>
        <v>0</v>
      </c>
      <c r="BE168" s="27" t="n">
        <f aca="false">MIN(AI167*(1+B$8),MAX(AU168,$B$12-SUM(AV168:BD168)))</f>
        <v>0</v>
      </c>
      <c r="BF168" s="27" t="n">
        <f aca="false">MIN(AJ167*(1+C$8),MAX(AV168,$B$12-SUM(BE168:BE168)-SUM(AW168:BD168)))</f>
        <v>0</v>
      </c>
      <c r="BG168" s="27" t="n">
        <f aca="false">MIN(AK167*(1+D$8),MAX(AW168,$B$12-SUM(BE168:BF168)-SUM(AX168:BD168)))</f>
        <v>0</v>
      </c>
      <c r="BH168" s="27" t="n">
        <f aca="false">MIN(AL167*(1+E$8),MAX(AX168,$B$12-SUM(BE168:BG168)-SUM(AY168:BD168)))</f>
        <v>0</v>
      </c>
      <c r="BI168" s="27" t="n">
        <f aca="false">MIN(AM167*(1+F$8),MAX(AY168,$B$12-SUM(BE168:BH168)-SUM(AZ168:BD168)))</f>
        <v>0</v>
      </c>
      <c r="BJ168" s="27" t="n">
        <f aca="false">MIN(AN167*(1+G$8),MAX(AZ168,$B$12-SUM(BE168:BI168)-SUM(BA168:BD168)))</f>
        <v>0</v>
      </c>
      <c r="BK168" s="27" t="n">
        <f aca="false">MIN(AO167*(1+H$8),MAX(BA168,$B$12-SUM(BE168:BJ168)-SUM(BB168:BD168)))</f>
        <v>0</v>
      </c>
      <c r="BL168" s="27" t="n">
        <f aca="false">MIN(AP167*(1+I$8),MAX(BB168,$B$12-SUM(BE168:BK168)-SUM(BC168:BD168)))</f>
        <v>0</v>
      </c>
      <c r="BM168" s="27" t="n">
        <f aca="false">MIN(AQ167*(1+J$8),MAX(BC168,$B$12-SUM(BE168:BL168)-SUM(BD168:BD168)))</f>
        <v>0</v>
      </c>
      <c r="BN168" s="27" t="n">
        <f aca="false">MIN(AR167*(1+K$8),MAX(BD168,$B$12-SUM(BE168:BM168)))</f>
        <v>0</v>
      </c>
    </row>
    <row r="169" customFormat="false" ht="15" hidden="false" customHeight="false" outlineLevel="0" collapsed="false">
      <c r="A169" s="0" t="n">
        <v>155</v>
      </c>
      <c r="B169" s="27" t="n">
        <f aca="false">ROUND(MAX(0,B168*(1+B$8)-X169),2)</f>
        <v>0</v>
      </c>
      <c r="C169" s="27" t="n">
        <f aca="false">ROUND(MAX(0,C168*(1+C$8)-Y169),2)</f>
        <v>0</v>
      </c>
      <c r="D169" s="27" t="n">
        <f aca="false">ROUND(MAX(0,D168*(1+D$8)-Z169),2)</f>
        <v>0</v>
      </c>
      <c r="E169" s="27" t="n">
        <f aca="false">ROUND(MAX(0,E168*(1+E$8)-AA169),2)</f>
        <v>0</v>
      </c>
      <c r="F169" s="27" t="n">
        <f aca="false">ROUND(MAX(0,F168*(1+F$8)-AB169),2)</f>
        <v>0</v>
      </c>
      <c r="G169" s="27" t="n">
        <f aca="false">ROUND(MAX(0,G168*(1+G$8)-AC169),2)</f>
        <v>0</v>
      </c>
      <c r="H169" s="27" t="n">
        <f aca="false">ROUND(MAX(0,H168*(1+H$8)-AD169),2)</f>
        <v>0</v>
      </c>
      <c r="I169" s="27" t="n">
        <f aca="false">ROUND(MAX(0,I168*(1+I$8)-AE169),2)</f>
        <v>0</v>
      </c>
      <c r="J169" s="27" t="n">
        <f aca="false">ROUND(MAX(0,J168*(1+J$8)-AF169),2)</f>
        <v>0</v>
      </c>
      <c r="K169" s="27" t="n">
        <f aca="false">ROUND(MAX(0,K168*(1+K$8)-AG169),2)</f>
        <v>0</v>
      </c>
      <c r="L169" s="30" t="n">
        <f aca="false">SUM(B169:K169)</f>
        <v>0</v>
      </c>
      <c r="M169" s="27" t="n">
        <f aca="false">SUMPRODUCT(B168:K168,$B$8:$K$8)</f>
        <v>0</v>
      </c>
      <c r="N169" s="27" t="n">
        <f aca="false">MIN(B168*(1+B$8),B$9)</f>
        <v>0</v>
      </c>
      <c r="O169" s="27" t="n">
        <f aca="false">MIN(C168*(1+C$8),C$9)</f>
        <v>0</v>
      </c>
      <c r="P169" s="27" t="n">
        <f aca="false">MIN(D168*(1+D$8),D$9)</f>
        <v>0</v>
      </c>
      <c r="Q169" s="27" t="n">
        <f aca="false">MIN(E168*(1+E$8),E$9)</f>
        <v>0</v>
      </c>
      <c r="R169" s="27" t="n">
        <f aca="false">MIN(F168*(1+F$8),F$9)</f>
        <v>0</v>
      </c>
      <c r="S169" s="27" t="n">
        <f aca="false">MIN(G168*(1+G$8),G$9)</f>
        <v>0</v>
      </c>
      <c r="T169" s="27" t="n">
        <f aca="false">MIN(H168*(1+H$8),H$9)</f>
        <v>0</v>
      </c>
      <c r="U169" s="27" t="n">
        <f aca="false">MIN(I168*(1+I$8),I$9)</f>
        <v>0</v>
      </c>
      <c r="V169" s="27" t="n">
        <f aca="false">MIN(J168*(1+J$8),J$9)</f>
        <v>0</v>
      </c>
      <c r="W169" s="27" t="n">
        <f aca="false">MIN(K168*(1+K$8),K$9)</f>
        <v>0</v>
      </c>
      <c r="X169" s="27" t="n">
        <f aca="false">MIN(B168*(1+B$8),MAX(N169,$B$11-SUM(O169:W169)))</f>
        <v>0</v>
      </c>
      <c r="Y169" s="27" t="n">
        <f aca="false">MIN(C168*(1+C$8),MAX(O169,$B$11-SUM(X169:X169)-SUM(P169:W169)))</f>
        <v>0</v>
      </c>
      <c r="Z169" s="27" t="n">
        <f aca="false">MIN(D168*(1+D$8),MAX(P169,$B$11-SUM(X169:Y169)-SUM(Q169:W169)))</f>
        <v>0</v>
      </c>
      <c r="AA169" s="27" t="n">
        <f aca="false">MIN(E168*(1+E$8),MAX(Q169,$B$11-SUM(X169:Z169)-SUM(R169:W169)))</f>
        <v>0</v>
      </c>
      <c r="AB169" s="27" t="n">
        <f aca="false">MIN(F168*(1+F$8),MAX(R169,$B$11-SUM(X169:AA169)-SUM(S169:W169)))</f>
        <v>0</v>
      </c>
      <c r="AC169" s="27" t="n">
        <f aca="false">MIN(G168*(1+G$8),MAX(S169,$B$11-SUM(X169:AB169)-SUM(T169:W169)))</f>
        <v>0</v>
      </c>
      <c r="AD169" s="27" t="n">
        <f aca="false">MIN(H168*(1+H$8),MAX(T169,$B$11-SUM(X169:AC169)-SUM(U169:W169)))</f>
        <v>0</v>
      </c>
      <c r="AE169" s="27" t="n">
        <f aca="false">MIN(I168*(1+I$8),MAX(U169,$B$11-SUM(X169:AD169)-SUM(V169:W169)))</f>
        <v>0</v>
      </c>
      <c r="AF169" s="27" t="n">
        <f aca="false">MIN(J168*(1+J$8),MAX(V169,$B$11-SUM(X169:AE169)-SUM(W169:W169)))</f>
        <v>0</v>
      </c>
      <c r="AG169" s="27" t="n">
        <f aca="false">MIN(K168*(1+K$8),MAX(W169,$B$11-SUM(X169:AF169)))</f>
        <v>0</v>
      </c>
      <c r="AI169" s="27" t="n">
        <f aca="false">ROUND(MAX(0,AI168*(1+B$8)-BE169),2)</f>
        <v>0</v>
      </c>
      <c r="AJ169" s="27" t="n">
        <f aca="false">ROUND(MAX(0,AJ168*(1+C$8)-BF169),2)</f>
        <v>0</v>
      </c>
      <c r="AK169" s="27" t="n">
        <f aca="false">ROUND(MAX(0,AK168*(1+D$8)-BG169),2)</f>
        <v>0</v>
      </c>
      <c r="AL169" s="27" t="n">
        <f aca="false">ROUND(MAX(0,AL168*(1+E$8)-BH169),2)</f>
        <v>0</v>
      </c>
      <c r="AM169" s="27" t="n">
        <f aca="false">ROUND(MAX(0,AM168*(1+F$8)-BI169),2)</f>
        <v>0</v>
      </c>
      <c r="AN169" s="27" t="n">
        <f aca="false">ROUND(MAX(0,AN168*(1+G$8)-BJ169),2)</f>
        <v>0</v>
      </c>
      <c r="AO169" s="27" t="n">
        <f aca="false">ROUND(MAX(0,AO168*(1+H$8)-BK169),2)</f>
        <v>0</v>
      </c>
      <c r="AP169" s="27" t="n">
        <f aca="false">ROUND(MAX(0,AP168*(1+I$8)-BL169),2)</f>
        <v>0</v>
      </c>
      <c r="AQ169" s="27" t="n">
        <f aca="false">ROUND(MAX(0,AQ168*(1+J$8)-BM169),2)</f>
        <v>0</v>
      </c>
      <c r="AR169" s="27" t="n">
        <f aca="false">ROUND(MAX(0,AR168*(1+K$8)-BN169),2)</f>
        <v>0</v>
      </c>
      <c r="AS169" s="27" t="n">
        <f aca="false">SUM(AI169:AR169)</f>
        <v>0</v>
      </c>
      <c r="AT169" s="27" t="n">
        <f aca="false">SUMPRODUCT(AI168:AR168,$B$8:$K$8)</f>
        <v>0</v>
      </c>
      <c r="AU169" s="27" t="n">
        <f aca="false">MIN(AI168*(1+B$8),B$9)</f>
        <v>0</v>
      </c>
      <c r="AV169" s="27" t="n">
        <f aca="false">MIN(AJ168*(1+C$8),C$9)</f>
        <v>0</v>
      </c>
      <c r="AW169" s="27" t="n">
        <f aca="false">MIN(AK168*(1+D$8),D$9)</f>
        <v>0</v>
      </c>
      <c r="AX169" s="27" t="n">
        <f aca="false">MIN(AL168*(1+E$8),E$9)</f>
        <v>0</v>
      </c>
      <c r="AY169" s="27" t="n">
        <f aca="false">MIN(AM168*(1+F$8),F$9)</f>
        <v>0</v>
      </c>
      <c r="AZ169" s="27" t="n">
        <f aca="false">MIN(AN168*(1+G$8),G$9)</f>
        <v>0</v>
      </c>
      <c r="BA169" s="27" t="n">
        <f aca="false">MIN(AO168*(1+H$8),H$9)</f>
        <v>0</v>
      </c>
      <c r="BB169" s="27" t="n">
        <f aca="false">MIN(AP168*(1+I$8),I$9)</f>
        <v>0</v>
      </c>
      <c r="BC169" s="27" t="n">
        <f aca="false">MIN(AQ168*(1+J$8),J$9)</f>
        <v>0</v>
      </c>
      <c r="BD169" s="27" t="n">
        <f aca="false">MIN(AR168*(1+K$8),K$9)</f>
        <v>0</v>
      </c>
      <c r="BE169" s="27" t="n">
        <f aca="false">MIN(AI168*(1+B$8),MAX(AU169,$B$12-SUM(AV169:BD169)))</f>
        <v>0</v>
      </c>
      <c r="BF169" s="27" t="n">
        <f aca="false">MIN(AJ168*(1+C$8),MAX(AV169,$B$12-SUM(BE169:BE169)-SUM(AW169:BD169)))</f>
        <v>0</v>
      </c>
      <c r="BG169" s="27" t="n">
        <f aca="false">MIN(AK168*(1+D$8),MAX(AW169,$B$12-SUM(BE169:BF169)-SUM(AX169:BD169)))</f>
        <v>0</v>
      </c>
      <c r="BH169" s="27" t="n">
        <f aca="false">MIN(AL168*(1+E$8),MAX(AX169,$B$12-SUM(BE169:BG169)-SUM(AY169:BD169)))</f>
        <v>0</v>
      </c>
      <c r="BI169" s="27" t="n">
        <f aca="false">MIN(AM168*(1+F$8),MAX(AY169,$B$12-SUM(BE169:BH169)-SUM(AZ169:BD169)))</f>
        <v>0</v>
      </c>
      <c r="BJ169" s="27" t="n">
        <f aca="false">MIN(AN168*(1+G$8),MAX(AZ169,$B$12-SUM(BE169:BI169)-SUM(BA169:BD169)))</f>
        <v>0</v>
      </c>
      <c r="BK169" s="27" t="n">
        <f aca="false">MIN(AO168*(1+H$8),MAX(BA169,$B$12-SUM(BE169:BJ169)-SUM(BB169:BD169)))</f>
        <v>0</v>
      </c>
      <c r="BL169" s="27" t="n">
        <f aca="false">MIN(AP168*(1+I$8),MAX(BB169,$B$12-SUM(BE169:BK169)-SUM(BC169:BD169)))</f>
        <v>0</v>
      </c>
      <c r="BM169" s="27" t="n">
        <f aca="false">MIN(AQ168*(1+J$8),MAX(BC169,$B$12-SUM(BE169:BL169)-SUM(BD169:BD169)))</f>
        <v>0</v>
      </c>
      <c r="BN169" s="27" t="n">
        <f aca="false">MIN(AR168*(1+K$8),MAX(BD169,$B$12-SUM(BE169:BM169)))</f>
        <v>0</v>
      </c>
    </row>
    <row r="170" customFormat="false" ht="15" hidden="false" customHeight="false" outlineLevel="0" collapsed="false">
      <c r="A170" s="0" t="n">
        <v>156</v>
      </c>
      <c r="B170" s="27" t="n">
        <f aca="false">ROUND(MAX(0,B169*(1+B$8)-X170),2)</f>
        <v>0</v>
      </c>
      <c r="C170" s="27" t="n">
        <f aca="false">ROUND(MAX(0,C169*(1+C$8)-Y170),2)</f>
        <v>0</v>
      </c>
      <c r="D170" s="27" t="n">
        <f aca="false">ROUND(MAX(0,D169*(1+D$8)-Z170),2)</f>
        <v>0</v>
      </c>
      <c r="E170" s="27" t="n">
        <f aca="false">ROUND(MAX(0,E169*(1+E$8)-AA170),2)</f>
        <v>0</v>
      </c>
      <c r="F170" s="27" t="n">
        <f aca="false">ROUND(MAX(0,F169*(1+F$8)-AB170),2)</f>
        <v>0</v>
      </c>
      <c r="G170" s="27" t="n">
        <f aca="false">ROUND(MAX(0,G169*(1+G$8)-AC170),2)</f>
        <v>0</v>
      </c>
      <c r="H170" s="27" t="n">
        <f aca="false">ROUND(MAX(0,H169*(1+H$8)-AD170),2)</f>
        <v>0</v>
      </c>
      <c r="I170" s="27" t="n">
        <f aca="false">ROUND(MAX(0,I169*(1+I$8)-AE170),2)</f>
        <v>0</v>
      </c>
      <c r="J170" s="27" t="n">
        <f aca="false">ROUND(MAX(0,J169*(1+J$8)-AF170),2)</f>
        <v>0</v>
      </c>
      <c r="K170" s="27" t="n">
        <f aca="false">ROUND(MAX(0,K169*(1+K$8)-AG170),2)</f>
        <v>0</v>
      </c>
      <c r="L170" s="30" t="n">
        <f aca="false">SUM(B170:K170)</f>
        <v>0</v>
      </c>
      <c r="M170" s="27" t="n">
        <f aca="false">SUMPRODUCT(B169:K169,$B$8:$K$8)</f>
        <v>0</v>
      </c>
      <c r="N170" s="27" t="n">
        <f aca="false">MIN(B169*(1+B$8),B$9)</f>
        <v>0</v>
      </c>
      <c r="O170" s="27" t="n">
        <f aca="false">MIN(C169*(1+C$8),C$9)</f>
        <v>0</v>
      </c>
      <c r="P170" s="27" t="n">
        <f aca="false">MIN(D169*(1+D$8),D$9)</f>
        <v>0</v>
      </c>
      <c r="Q170" s="27" t="n">
        <f aca="false">MIN(E169*(1+E$8),E$9)</f>
        <v>0</v>
      </c>
      <c r="R170" s="27" t="n">
        <f aca="false">MIN(F169*(1+F$8),F$9)</f>
        <v>0</v>
      </c>
      <c r="S170" s="27" t="n">
        <f aca="false">MIN(G169*(1+G$8),G$9)</f>
        <v>0</v>
      </c>
      <c r="T170" s="27" t="n">
        <f aca="false">MIN(H169*(1+H$8),H$9)</f>
        <v>0</v>
      </c>
      <c r="U170" s="27" t="n">
        <f aca="false">MIN(I169*(1+I$8),I$9)</f>
        <v>0</v>
      </c>
      <c r="V170" s="27" t="n">
        <f aca="false">MIN(J169*(1+J$8),J$9)</f>
        <v>0</v>
      </c>
      <c r="W170" s="27" t="n">
        <f aca="false">MIN(K169*(1+K$8),K$9)</f>
        <v>0</v>
      </c>
      <c r="X170" s="27" t="n">
        <f aca="false">MIN(B169*(1+B$8),MAX(N170,$B$11-SUM(O170:W170)))</f>
        <v>0</v>
      </c>
      <c r="Y170" s="27" t="n">
        <f aca="false">MIN(C169*(1+C$8),MAX(O170,$B$11-SUM(X170:X170)-SUM(P170:W170)))</f>
        <v>0</v>
      </c>
      <c r="Z170" s="27" t="n">
        <f aca="false">MIN(D169*(1+D$8),MAX(P170,$B$11-SUM(X170:Y170)-SUM(Q170:W170)))</f>
        <v>0</v>
      </c>
      <c r="AA170" s="27" t="n">
        <f aca="false">MIN(E169*(1+E$8),MAX(Q170,$B$11-SUM(X170:Z170)-SUM(R170:W170)))</f>
        <v>0</v>
      </c>
      <c r="AB170" s="27" t="n">
        <f aca="false">MIN(F169*(1+F$8),MAX(R170,$B$11-SUM(X170:AA170)-SUM(S170:W170)))</f>
        <v>0</v>
      </c>
      <c r="AC170" s="27" t="n">
        <f aca="false">MIN(G169*(1+G$8),MAX(S170,$B$11-SUM(X170:AB170)-SUM(T170:W170)))</f>
        <v>0</v>
      </c>
      <c r="AD170" s="27" t="n">
        <f aca="false">MIN(H169*(1+H$8),MAX(T170,$B$11-SUM(X170:AC170)-SUM(U170:W170)))</f>
        <v>0</v>
      </c>
      <c r="AE170" s="27" t="n">
        <f aca="false">MIN(I169*(1+I$8),MAX(U170,$B$11-SUM(X170:AD170)-SUM(V170:W170)))</f>
        <v>0</v>
      </c>
      <c r="AF170" s="27" t="n">
        <f aca="false">MIN(J169*(1+J$8),MAX(V170,$B$11-SUM(X170:AE170)-SUM(W170:W170)))</f>
        <v>0</v>
      </c>
      <c r="AG170" s="27" t="n">
        <f aca="false">MIN(K169*(1+K$8),MAX(W170,$B$11-SUM(X170:AF170)))</f>
        <v>0</v>
      </c>
      <c r="AI170" s="27" t="n">
        <f aca="false">ROUND(MAX(0,AI169*(1+B$8)-BE170),2)</f>
        <v>0</v>
      </c>
      <c r="AJ170" s="27" t="n">
        <f aca="false">ROUND(MAX(0,AJ169*(1+C$8)-BF170),2)</f>
        <v>0</v>
      </c>
      <c r="AK170" s="27" t="n">
        <f aca="false">ROUND(MAX(0,AK169*(1+D$8)-BG170),2)</f>
        <v>0</v>
      </c>
      <c r="AL170" s="27" t="n">
        <f aca="false">ROUND(MAX(0,AL169*(1+E$8)-BH170),2)</f>
        <v>0</v>
      </c>
      <c r="AM170" s="27" t="n">
        <f aca="false">ROUND(MAX(0,AM169*(1+F$8)-BI170),2)</f>
        <v>0</v>
      </c>
      <c r="AN170" s="27" t="n">
        <f aca="false">ROUND(MAX(0,AN169*(1+G$8)-BJ170),2)</f>
        <v>0</v>
      </c>
      <c r="AO170" s="27" t="n">
        <f aca="false">ROUND(MAX(0,AO169*(1+H$8)-BK170),2)</f>
        <v>0</v>
      </c>
      <c r="AP170" s="27" t="n">
        <f aca="false">ROUND(MAX(0,AP169*(1+I$8)-BL170),2)</f>
        <v>0</v>
      </c>
      <c r="AQ170" s="27" t="n">
        <f aca="false">ROUND(MAX(0,AQ169*(1+J$8)-BM170),2)</f>
        <v>0</v>
      </c>
      <c r="AR170" s="27" t="n">
        <f aca="false">ROUND(MAX(0,AR169*(1+K$8)-BN170),2)</f>
        <v>0</v>
      </c>
      <c r="AS170" s="27" t="n">
        <f aca="false">SUM(AI170:AR170)</f>
        <v>0</v>
      </c>
      <c r="AT170" s="27" t="n">
        <f aca="false">SUMPRODUCT(AI169:AR169,$B$8:$K$8)</f>
        <v>0</v>
      </c>
      <c r="AU170" s="27" t="n">
        <f aca="false">MIN(AI169*(1+B$8),B$9)</f>
        <v>0</v>
      </c>
      <c r="AV170" s="27" t="n">
        <f aca="false">MIN(AJ169*(1+C$8),C$9)</f>
        <v>0</v>
      </c>
      <c r="AW170" s="27" t="n">
        <f aca="false">MIN(AK169*(1+D$8),D$9)</f>
        <v>0</v>
      </c>
      <c r="AX170" s="27" t="n">
        <f aca="false">MIN(AL169*(1+E$8),E$9)</f>
        <v>0</v>
      </c>
      <c r="AY170" s="27" t="n">
        <f aca="false">MIN(AM169*(1+F$8),F$9)</f>
        <v>0</v>
      </c>
      <c r="AZ170" s="27" t="n">
        <f aca="false">MIN(AN169*(1+G$8),G$9)</f>
        <v>0</v>
      </c>
      <c r="BA170" s="27" t="n">
        <f aca="false">MIN(AO169*(1+H$8),H$9)</f>
        <v>0</v>
      </c>
      <c r="BB170" s="27" t="n">
        <f aca="false">MIN(AP169*(1+I$8),I$9)</f>
        <v>0</v>
      </c>
      <c r="BC170" s="27" t="n">
        <f aca="false">MIN(AQ169*(1+J$8),J$9)</f>
        <v>0</v>
      </c>
      <c r="BD170" s="27" t="n">
        <f aca="false">MIN(AR169*(1+K$8),K$9)</f>
        <v>0</v>
      </c>
      <c r="BE170" s="27" t="n">
        <f aca="false">MIN(AI169*(1+B$8),MAX(AU170,$B$12-SUM(AV170:BD170)))</f>
        <v>0</v>
      </c>
      <c r="BF170" s="27" t="n">
        <f aca="false">MIN(AJ169*(1+C$8),MAX(AV170,$B$12-SUM(BE170:BE170)-SUM(AW170:BD170)))</f>
        <v>0</v>
      </c>
      <c r="BG170" s="27" t="n">
        <f aca="false">MIN(AK169*(1+D$8),MAX(AW170,$B$12-SUM(BE170:BF170)-SUM(AX170:BD170)))</f>
        <v>0</v>
      </c>
      <c r="BH170" s="27" t="n">
        <f aca="false">MIN(AL169*(1+E$8),MAX(AX170,$B$12-SUM(BE170:BG170)-SUM(AY170:BD170)))</f>
        <v>0</v>
      </c>
      <c r="BI170" s="27" t="n">
        <f aca="false">MIN(AM169*(1+F$8),MAX(AY170,$B$12-SUM(BE170:BH170)-SUM(AZ170:BD170)))</f>
        <v>0</v>
      </c>
      <c r="BJ170" s="27" t="n">
        <f aca="false">MIN(AN169*(1+G$8),MAX(AZ170,$B$12-SUM(BE170:BI170)-SUM(BA170:BD170)))</f>
        <v>0</v>
      </c>
      <c r="BK170" s="27" t="n">
        <f aca="false">MIN(AO169*(1+H$8),MAX(BA170,$B$12-SUM(BE170:BJ170)-SUM(BB170:BD170)))</f>
        <v>0</v>
      </c>
      <c r="BL170" s="27" t="n">
        <f aca="false">MIN(AP169*(1+I$8),MAX(BB170,$B$12-SUM(BE170:BK170)-SUM(BC170:BD170)))</f>
        <v>0</v>
      </c>
      <c r="BM170" s="27" t="n">
        <f aca="false">MIN(AQ169*(1+J$8),MAX(BC170,$B$12-SUM(BE170:BL170)-SUM(BD170:BD170)))</f>
        <v>0</v>
      </c>
      <c r="BN170" s="27" t="n">
        <f aca="false">MIN(AR169*(1+K$8),MAX(BD170,$B$12-SUM(BE170:BM170)))</f>
        <v>0</v>
      </c>
    </row>
    <row r="171" customFormat="false" ht="15" hidden="false" customHeight="false" outlineLevel="0" collapsed="false">
      <c r="A171" s="0" t="n">
        <v>157</v>
      </c>
      <c r="B171" s="27" t="n">
        <f aca="false">ROUND(MAX(0,B170*(1+B$8)-X171),2)</f>
        <v>0</v>
      </c>
      <c r="C171" s="27" t="n">
        <f aca="false">ROUND(MAX(0,C170*(1+C$8)-Y171),2)</f>
        <v>0</v>
      </c>
      <c r="D171" s="27" t="n">
        <f aca="false">ROUND(MAX(0,D170*(1+D$8)-Z171),2)</f>
        <v>0</v>
      </c>
      <c r="E171" s="27" t="n">
        <f aca="false">ROUND(MAX(0,E170*(1+E$8)-AA171),2)</f>
        <v>0</v>
      </c>
      <c r="F171" s="27" t="n">
        <f aca="false">ROUND(MAX(0,F170*(1+F$8)-AB171),2)</f>
        <v>0</v>
      </c>
      <c r="G171" s="27" t="n">
        <f aca="false">ROUND(MAX(0,G170*(1+G$8)-AC171),2)</f>
        <v>0</v>
      </c>
      <c r="H171" s="27" t="n">
        <f aca="false">ROUND(MAX(0,H170*(1+H$8)-AD171),2)</f>
        <v>0</v>
      </c>
      <c r="I171" s="27" t="n">
        <f aca="false">ROUND(MAX(0,I170*(1+I$8)-AE171),2)</f>
        <v>0</v>
      </c>
      <c r="J171" s="27" t="n">
        <f aca="false">ROUND(MAX(0,J170*(1+J$8)-AF171),2)</f>
        <v>0</v>
      </c>
      <c r="K171" s="27" t="n">
        <f aca="false">ROUND(MAX(0,K170*(1+K$8)-AG171),2)</f>
        <v>0</v>
      </c>
      <c r="L171" s="30" t="n">
        <f aca="false">SUM(B171:K171)</f>
        <v>0</v>
      </c>
      <c r="M171" s="27" t="n">
        <f aca="false">SUMPRODUCT(B170:K170,$B$8:$K$8)</f>
        <v>0</v>
      </c>
      <c r="N171" s="27" t="n">
        <f aca="false">MIN(B170*(1+B$8),B$9)</f>
        <v>0</v>
      </c>
      <c r="O171" s="27" t="n">
        <f aca="false">MIN(C170*(1+C$8),C$9)</f>
        <v>0</v>
      </c>
      <c r="P171" s="27" t="n">
        <f aca="false">MIN(D170*(1+D$8),D$9)</f>
        <v>0</v>
      </c>
      <c r="Q171" s="27" t="n">
        <f aca="false">MIN(E170*(1+E$8),E$9)</f>
        <v>0</v>
      </c>
      <c r="R171" s="27" t="n">
        <f aca="false">MIN(F170*(1+F$8),F$9)</f>
        <v>0</v>
      </c>
      <c r="S171" s="27" t="n">
        <f aca="false">MIN(G170*(1+G$8),G$9)</f>
        <v>0</v>
      </c>
      <c r="T171" s="27" t="n">
        <f aca="false">MIN(H170*(1+H$8),H$9)</f>
        <v>0</v>
      </c>
      <c r="U171" s="27" t="n">
        <f aca="false">MIN(I170*(1+I$8),I$9)</f>
        <v>0</v>
      </c>
      <c r="V171" s="27" t="n">
        <f aca="false">MIN(J170*(1+J$8),J$9)</f>
        <v>0</v>
      </c>
      <c r="W171" s="27" t="n">
        <f aca="false">MIN(K170*(1+K$8),K$9)</f>
        <v>0</v>
      </c>
      <c r="X171" s="27" t="n">
        <f aca="false">MIN(B170*(1+B$8),MAX(N171,$B$11-SUM(O171:W171)))</f>
        <v>0</v>
      </c>
      <c r="Y171" s="27" t="n">
        <f aca="false">MIN(C170*(1+C$8),MAX(O171,$B$11-SUM(X171:X171)-SUM(P171:W171)))</f>
        <v>0</v>
      </c>
      <c r="Z171" s="27" t="n">
        <f aca="false">MIN(D170*(1+D$8),MAX(P171,$B$11-SUM(X171:Y171)-SUM(Q171:W171)))</f>
        <v>0</v>
      </c>
      <c r="AA171" s="27" t="n">
        <f aca="false">MIN(E170*(1+E$8),MAX(Q171,$B$11-SUM(X171:Z171)-SUM(R171:W171)))</f>
        <v>0</v>
      </c>
      <c r="AB171" s="27" t="n">
        <f aca="false">MIN(F170*(1+F$8),MAX(R171,$B$11-SUM(X171:AA171)-SUM(S171:W171)))</f>
        <v>0</v>
      </c>
      <c r="AC171" s="27" t="n">
        <f aca="false">MIN(G170*(1+G$8),MAX(S171,$B$11-SUM(X171:AB171)-SUM(T171:W171)))</f>
        <v>0</v>
      </c>
      <c r="AD171" s="27" t="n">
        <f aca="false">MIN(H170*(1+H$8),MAX(T171,$B$11-SUM(X171:AC171)-SUM(U171:W171)))</f>
        <v>0</v>
      </c>
      <c r="AE171" s="27" t="n">
        <f aca="false">MIN(I170*(1+I$8),MAX(U171,$B$11-SUM(X171:AD171)-SUM(V171:W171)))</f>
        <v>0</v>
      </c>
      <c r="AF171" s="27" t="n">
        <f aca="false">MIN(J170*(1+J$8),MAX(V171,$B$11-SUM(X171:AE171)-SUM(W171:W171)))</f>
        <v>0</v>
      </c>
      <c r="AG171" s="27" t="n">
        <f aca="false">MIN(K170*(1+K$8),MAX(W171,$B$11-SUM(X171:AF171)))</f>
        <v>0</v>
      </c>
      <c r="AI171" s="27" t="n">
        <f aca="false">ROUND(MAX(0,AI170*(1+B$8)-BE171),2)</f>
        <v>0</v>
      </c>
      <c r="AJ171" s="27" t="n">
        <f aca="false">ROUND(MAX(0,AJ170*(1+C$8)-BF171),2)</f>
        <v>0</v>
      </c>
      <c r="AK171" s="27" t="n">
        <f aca="false">ROUND(MAX(0,AK170*(1+D$8)-BG171),2)</f>
        <v>0</v>
      </c>
      <c r="AL171" s="27" t="n">
        <f aca="false">ROUND(MAX(0,AL170*(1+E$8)-BH171),2)</f>
        <v>0</v>
      </c>
      <c r="AM171" s="27" t="n">
        <f aca="false">ROUND(MAX(0,AM170*(1+F$8)-BI171),2)</f>
        <v>0</v>
      </c>
      <c r="AN171" s="27" t="n">
        <f aca="false">ROUND(MAX(0,AN170*(1+G$8)-BJ171),2)</f>
        <v>0</v>
      </c>
      <c r="AO171" s="27" t="n">
        <f aca="false">ROUND(MAX(0,AO170*(1+H$8)-BK171),2)</f>
        <v>0</v>
      </c>
      <c r="AP171" s="27" t="n">
        <f aca="false">ROUND(MAX(0,AP170*(1+I$8)-BL171),2)</f>
        <v>0</v>
      </c>
      <c r="AQ171" s="27" t="n">
        <f aca="false">ROUND(MAX(0,AQ170*(1+J$8)-BM171),2)</f>
        <v>0</v>
      </c>
      <c r="AR171" s="27" t="n">
        <f aca="false">ROUND(MAX(0,AR170*(1+K$8)-BN171),2)</f>
        <v>0</v>
      </c>
      <c r="AS171" s="27" t="n">
        <f aca="false">SUM(AI171:AR171)</f>
        <v>0</v>
      </c>
      <c r="AT171" s="27" t="n">
        <f aca="false">SUMPRODUCT(AI170:AR170,$B$8:$K$8)</f>
        <v>0</v>
      </c>
      <c r="AU171" s="27" t="n">
        <f aca="false">MIN(AI170*(1+B$8),B$9)</f>
        <v>0</v>
      </c>
      <c r="AV171" s="27" t="n">
        <f aca="false">MIN(AJ170*(1+C$8),C$9)</f>
        <v>0</v>
      </c>
      <c r="AW171" s="27" t="n">
        <f aca="false">MIN(AK170*(1+D$8),D$9)</f>
        <v>0</v>
      </c>
      <c r="AX171" s="27" t="n">
        <f aca="false">MIN(AL170*(1+E$8),E$9)</f>
        <v>0</v>
      </c>
      <c r="AY171" s="27" t="n">
        <f aca="false">MIN(AM170*(1+F$8),F$9)</f>
        <v>0</v>
      </c>
      <c r="AZ171" s="27" t="n">
        <f aca="false">MIN(AN170*(1+G$8),G$9)</f>
        <v>0</v>
      </c>
      <c r="BA171" s="27" t="n">
        <f aca="false">MIN(AO170*(1+H$8),H$9)</f>
        <v>0</v>
      </c>
      <c r="BB171" s="27" t="n">
        <f aca="false">MIN(AP170*(1+I$8),I$9)</f>
        <v>0</v>
      </c>
      <c r="BC171" s="27" t="n">
        <f aca="false">MIN(AQ170*(1+J$8),J$9)</f>
        <v>0</v>
      </c>
      <c r="BD171" s="27" t="n">
        <f aca="false">MIN(AR170*(1+K$8),K$9)</f>
        <v>0</v>
      </c>
      <c r="BE171" s="27" t="n">
        <f aca="false">MIN(AI170*(1+B$8),MAX(AU171,$B$12-SUM(AV171:BD171)))</f>
        <v>0</v>
      </c>
      <c r="BF171" s="27" t="n">
        <f aca="false">MIN(AJ170*(1+C$8),MAX(AV171,$B$12-SUM(BE171:BE171)-SUM(AW171:BD171)))</f>
        <v>0</v>
      </c>
      <c r="BG171" s="27" t="n">
        <f aca="false">MIN(AK170*(1+D$8),MAX(AW171,$B$12-SUM(BE171:BF171)-SUM(AX171:BD171)))</f>
        <v>0</v>
      </c>
      <c r="BH171" s="27" t="n">
        <f aca="false">MIN(AL170*(1+E$8),MAX(AX171,$B$12-SUM(BE171:BG171)-SUM(AY171:BD171)))</f>
        <v>0</v>
      </c>
      <c r="BI171" s="27" t="n">
        <f aca="false">MIN(AM170*(1+F$8),MAX(AY171,$B$12-SUM(BE171:BH171)-SUM(AZ171:BD171)))</f>
        <v>0</v>
      </c>
      <c r="BJ171" s="27" t="n">
        <f aca="false">MIN(AN170*(1+G$8),MAX(AZ171,$B$12-SUM(BE171:BI171)-SUM(BA171:BD171)))</f>
        <v>0</v>
      </c>
      <c r="BK171" s="27" t="n">
        <f aca="false">MIN(AO170*(1+H$8),MAX(BA171,$B$12-SUM(BE171:BJ171)-SUM(BB171:BD171)))</f>
        <v>0</v>
      </c>
      <c r="BL171" s="27" t="n">
        <f aca="false">MIN(AP170*(1+I$8),MAX(BB171,$B$12-SUM(BE171:BK171)-SUM(BC171:BD171)))</f>
        <v>0</v>
      </c>
      <c r="BM171" s="27" t="n">
        <f aca="false">MIN(AQ170*(1+J$8),MAX(BC171,$B$12-SUM(BE171:BL171)-SUM(BD171:BD171)))</f>
        <v>0</v>
      </c>
      <c r="BN171" s="27" t="n">
        <f aca="false">MIN(AR170*(1+K$8),MAX(BD171,$B$12-SUM(BE171:BM171)))</f>
        <v>0</v>
      </c>
    </row>
    <row r="172" customFormat="false" ht="15" hidden="false" customHeight="false" outlineLevel="0" collapsed="false">
      <c r="A172" s="0" t="n">
        <v>158</v>
      </c>
      <c r="B172" s="27" t="n">
        <f aca="false">ROUND(MAX(0,B171*(1+B$8)-X172),2)</f>
        <v>0</v>
      </c>
      <c r="C172" s="27" t="n">
        <f aca="false">ROUND(MAX(0,C171*(1+C$8)-Y172),2)</f>
        <v>0</v>
      </c>
      <c r="D172" s="27" t="n">
        <f aca="false">ROUND(MAX(0,D171*(1+D$8)-Z172),2)</f>
        <v>0</v>
      </c>
      <c r="E172" s="27" t="n">
        <f aca="false">ROUND(MAX(0,E171*(1+E$8)-AA172),2)</f>
        <v>0</v>
      </c>
      <c r="F172" s="27" t="n">
        <f aca="false">ROUND(MAX(0,F171*(1+F$8)-AB172),2)</f>
        <v>0</v>
      </c>
      <c r="G172" s="27" t="n">
        <f aca="false">ROUND(MAX(0,G171*(1+G$8)-AC172),2)</f>
        <v>0</v>
      </c>
      <c r="H172" s="27" t="n">
        <f aca="false">ROUND(MAX(0,H171*(1+H$8)-AD172),2)</f>
        <v>0</v>
      </c>
      <c r="I172" s="27" t="n">
        <f aca="false">ROUND(MAX(0,I171*(1+I$8)-AE172),2)</f>
        <v>0</v>
      </c>
      <c r="J172" s="27" t="n">
        <f aca="false">ROUND(MAX(0,J171*(1+J$8)-AF172),2)</f>
        <v>0</v>
      </c>
      <c r="K172" s="27" t="n">
        <f aca="false">ROUND(MAX(0,K171*(1+K$8)-AG172),2)</f>
        <v>0</v>
      </c>
      <c r="L172" s="30" t="n">
        <f aca="false">SUM(B172:K172)</f>
        <v>0</v>
      </c>
      <c r="M172" s="27" t="n">
        <f aca="false">SUMPRODUCT(B171:K171,$B$8:$K$8)</f>
        <v>0</v>
      </c>
      <c r="N172" s="27" t="n">
        <f aca="false">MIN(B171*(1+B$8),B$9)</f>
        <v>0</v>
      </c>
      <c r="O172" s="27" t="n">
        <f aca="false">MIN(C171*(1+C$8),C$9)</f>
        <v>0</v>
      </c>
      <c r="P172" s="27" t="n">
        <f aca="false">MIN(D171*(1+D$8),D$9)</f>
        <v>0</v>
      </c>
      <c r="Q172" s="27" t="n">
        <f aca="false">MIN(E171*(1+E$8),E$9)</f>
        <v>0</v>
      </c>
      <c r="R172" s="27" t="n">
        <f aca="false">MIN(F171*(1+F$8),F$9)</f>
        <v>0</v>
      </c>
      <c r="S172" s="27" t="n">
        <f aca="false">MIN(G171*(1+G$8),G$9)</f>
        <v>0</v>
      </c>
      <c r="T172" s="27" t="n">
        <f aca="false">MIN(H171*(1+H$8),H$9)</f>
        <v>0</v>
      </c>
      <c r="U172" s="27" t="n">
        <f aca="false">MIN(I171*(1+I$8),I$9)</f>
        <v>0</v>
      </c>
      <c r="V172" s="27" t="n">
        <f aca="false">MIN(J171*(1+J$8),J$9)</f>
        <v>0</v>
      </c>
      <c r="W172" s="27" t="n">
        <f aca="false">MIN(K171*(1+K$8),K$9)</f>
        <v>0</v>
      </c>
      <c r="X172" s="27" t="n">
        <f aca="false">MIN(B171*(1+B$8),MAX(N172,$B$11-SUM(O172:W172)))</f>
        <v>0</v>
      </c>
      <c r="Y172" s="27" t="n">
        <f aca="false">MIN(C171*(1+C$8),MAX(O172,$B$11-SUM(X172:X172)-SUM(P172:W172)))</f>
        <v>0</v>
      </c>
      <c r="Z172" s="27" t="n">
        <f aca="false">MIN(D171*(1+D$8),MAX(P172,$B$11-SUM(X172:Y172)-SUM(Q172:W172)))</f>
        <v>0</v>
      </c>
      <c r="AA172" s="27" t="n">
        <f aca="false">MIN(E171*(1+E$8),MAX(Q172,$B$11-SUM(X172:Z172)-SUM(R172:W172)))</f>
        <v>0</v>
      </c>
      <c r="AB172" s="27" t="n">
        <f aca="false">MIN(F171*(1+F$8),MAX(R172,$B$11-SUM(X172:AA172)-SUM(S172:W172)))</f>
        <v>0</v>
      </c>
      <c r="AC172" s="27" t="n">
        <f aca="false">MIN(G171*(1+G$8),MAX(S172,$B$11-SUM(X172:AB172)-SUM(T172:W172)))</f>
        <v>0</v>
      </c>
      <c r="AD172" s="27" t="n">
        <f aca="false">MIN(H171*(1+H$8),MAX(T172,$B$11-SUM(X172:AC172)-SUM(U172:W172)))</f>
        <v>0</v>
      </c>
      <c r="AE172" s="27" t="n">
        <f aca="false">MIN(I171*(1+I$8),MAX(U172,$B$11-SUM(X172:AD172)-SUM(V172:W172)))</f>
        <v>0</v>
      </c>
      <c r="AF172" s="27" t="n">
        <f aca="false">MIN(J171*(1+J$8),MAX(V172,$B$11-SUM(X172:AE172)-SUM(W172:W172)))</f>
        <v>0</v>
      </c>
      <c r="AG172" s="27" t="n">
        <f aca="false">MIN(K171*(1+K$8),MAX(W172,$B$11-SUM(X172:AF172)))</f>
        <v>0</v>
      </c>
      <c r="AI172" s="27" t="n">
        <f aca="false">ROUND(MAX(0,AI171*(1+B$8)-BE172),2)</f>
        <v>0</v>
      </c>
      <c r="AJ172" s="27" t="n">
        <f aca="false">ROUND(MAX(0,AJ171*(1+C$8)-BF172),2)</f>
        <v>0</v>
      </c>
      <c r="AK172" s="27" t="n">
        <f aca="false">ROUND(MAX(0,AK171*(1+D$8)-BG172),2)</f>
        <v>0</v>
      </c>
      <c r="AL172" s="27" t="n">
        <f aca="false">ROUND(MAX(0,AL171*(1+E$8)-BH172),2)</f>
        <v>0</v>
      </c>
      <c r="AM172" s="27" t="n">
        <f aca="false">ROUND(MAX(0,AM171*(1+F$8)-BI172),2)</f>
        <v>0</v>
      </c>
      <c r="AN172" s="27" t="n">
        <f aca="false">ROUND(MAX(0,AN171*(1+G$8)-BJ172),2)</f>
        <v>0</v>
      </c>
      <c r="AO172" s="27" t="n">
        <f aca="false">ROUND(MAX(0,AO171*(1+H$8)-BK172),2)</f>
        <v>0</v>
      </c>
      <c r="AP172" s="27" t="n">
        <f aca="false">ROUND(MAX(0,AP171*(1+I$8)-BL172),2)</f>
        <v>0</v>
      </c>
      <c r="AQ172" s="27" t="n">
        <f aca="false">ROUND(MAX(0,AQ171*(1+J$8)-BM172),2)</f>
        <v>0</v>
      </c>
      <c r="AR172" s="27" t="n">
        <f aca="false">ROUND(MAX(0,AR171*(1+K$8)-BN172),2)</f>
        <v>0</v>
      </c>
      <c r="AS172" s="27" t="n">
        <f aca="false">SUM(AI172:AR172)</f>
        <v>0</v>
      </c>
      <c r="AT172" s="27" t="n">
        <f aca="false">SUMPRODUCT(AI171:AR171,$B$8:$K$8)</f>
        <v>0</v>
      </c>
      <c r="AU172" s="27" t="n">
        <f aca="false">MIN(AI171*(1+B$8),B$9)</f>
        <v>0</v>
      </c>
      <c r="AV172" s="27" t="n">
        <f aca="false">MIN(AJ171*(1+C$8),C$9)</f>
        <v>0</v>
      </c>
      <c r="AW172" s="27" t="n">
        <f aca="false">MIN(AK171*(1+D$8),D$9)</f>
        <v>0</v>
      </c>
      <c r="AX172" s="27" t="n">
        <f aca="false">MIN(AL171*(1+E$8),E$9)</f>
        <v>0</v>
      </c>
      <c r="AY172" s="27" t="n">
        <f aca="false">MIN(AM171*(1+F$8),F$9)</f>
        <v>0</v>
      </c>
      <c r="AZ172" s="27" t="n">
        <f aca="false">MIN(AN171*(1+G$8),G$9)</f>
        <v>0</v>
      </c>
      <c r="BA172" s="27" t="n">
        <f aca="false">MIN(AO171*(1+H$8),H$9)</f>
        <v>0</v>
      </c>
      <c r="BB172" s="27" t="n">
        <f aca="false">MIN(AP171*(1+I$8),I$9)</f>
        <v>0</v>
      </c>
      <c r="BC172" s="27" t="n">
        <f aca="false">MIN(AQ171*(1+J$8),J$9)</f>
        <v>0</v>
      </c>
      <c r="BD172" s="27" t="n">
        <f aca="false">MIN(AR171*(1+K$8),K$9)</f>
        <v>0</v>
      </c>
      <c r="BE172" s="27" t="n">
        <f aca="false">MIN(AI171*(1+B$8),MAX(AU172,$B$12-SUM(AV172:BD172)))</f>
        <v>0</v>
      </c>
      <c r="BF172" s="27" t="n">
        <f aca="false">MIN(AJ171*(1+C$8),MAX(AV172,$B$12-SUM(BE172:BE172)-SUM(AW172:BD172)))</f>
        <v>0</v>
      </c>
      <c r="BG172" s="27" t="n">
        <f aca="false">MIN(AK171*(1+D$8),MAX(AW172,$B$12-SUM(BE172:BF172)-SUM(AX172:BD172)))</f>
        <v>0</v>
      </c>
      <c r="BH172" s="27" t="n">
        <f aca="false">MIN(AL171*(1+E$8),MAX(AX172,$B$12-SUM(BE172:BG172)-SUM(AY172:BD172)))</f>
        <v>0</v>
      </c>
      <c r="BI172" s="27" t="n">
        <f aca="false">MIN(AM171*(1+F$8),MAX(AY172,$B$12-SUM(BE172:BH172)-SUM(AZ172:BD172)))</f>
        <v>0</v>
      </c>
      <c r="BJ172" s="27" t="n">
        <f aca="false">MIN(AN171*(1+G$8),MAX(AZ172,$B$12-SUM(BE172:BI172)-SUM(BA172:BD172)))</f>
        <v>0</v>
      </c>
      <c r="BK172" s="27" t="n">
        <f aca="false">MIN(AO171*(1+H$8),MAX(BA172,$B$12-SUM(BE172:BJ172)-SUM(BB172:BD172)))</f>
        <v>0</v>
      </c>
      <c r="BL172" s="27" t="n">
        <f aca="false">MIN(AP171*(1+I$8),MAX(BB172,$B$12-SUM(BE172:BK172)-SUM(BC172:BD172)))</f>
        <v>0</v>
      </c>
      <c r="BM172" s="27" t="n">
        <f aca="false">MIN(AQ171*(1+J$8),MAX(BC172,$B$12-SUM(BE172:BL172)-SUM(BD172:BD172)))</f>
        <v>0</v>
      </c>
      <c r="BN172" s="27" t="n">
        <f aca="false">MIN(AR171*(1+K$8),MAX(BD172,$B$12-SUM(BE172:BM172)))</f>
        <v>0</v>
      </c>
    </row>
    <row r="173" customFormat="false" ht="15" hidden="false" customHeight="false" outlineLevel="0" collapsed="false">
      <c r="A173" s="0" t="n">
        <v>159</v>
      </c>
      <c r="B173" s="27" t="n">
        <f aca="false">ROUND(MAX(0,B172*(1+B$8)-X173),2)</f>
        <v>0</v>
      </c>
      <c r="C173" s="27" t="n">
        <f aca="false">ROUND(MAX(0,C172*(1+C$8)-Y173),2)</f>
        <v>0</v>
      </c>
      <c r="D173" s="27" t="n">
        <f aca="false">ROUND(MAX(0,D172*(1+D$8)-Z173),2)</f>
        <v>0</v>
      </c>
      <c r="E173" s="27" t="n">
        <f aca="false">ROUND(MAX(0,E172*(1+E$8)-AA173),2)</f>
        <v>0</v>
      </c>
      <c r="F173" s="27" t="n">
        <f aca="false">ROUND(MAX(0,F172*(1+F$8)-AB173),2)</f>
        <v>0</v>
      </c>
      <c r="G173" s="27" t="n">
        <f aca="false">ROUND(MAX(0,G172*(1+G$8)-AC173),2)</f>
        <v>0</v>
      </c>
      <c r="H173" s="27" t="n">
        <f aca="false">ROUND(MAX(0,H172*(1+H$8)-AD173),2)</f>
        <v>0</v>
      </c>
      <c r="I173" s="27" t="n">
        <f aca="false">ROUND(MAX(0,I172*(1+I$8)-AE173),2)</f>
        <v>0</v>
      </c>
      <c r="J173" s="27" t="n">
        <f aca="false">ROUND(MAX(0,J172*(1+J$8)-AF173),2)</f>
        <v>0</v>
      </c>
      <c r="K173" s="27" t="n">
        <f aca="false">ROUND(MAX(0,K172*(1+K$8)-AG173),2)</f>
        <v>0</v>
      </c>
      <c r="L173" s="30" t="n">
        <f aca="false">SUM(B173:K173)</f>
        <v>0</v>
      </c>
      <c r="M173" s="27" t="n">
        <f aca="false">SUMPRODUCT(B172:K172,$B$8:$K$8)</f>
        <v>0</v>
      </c>
      <c r="N173" s="27" t="n">
        <f aca="false">MIN(B172*(1+B$8),B$9)</f>
        <v>0</v>
      </c>
      <c r="O173" s="27" t="n">
        <f aca="false">MIN(C172*(1+C$8),C$9)</f>
        <v>0</v>
      </c>
      <c r="P173" s="27" t="n">
        <f aca="false">MIN(D172*(1+D$8),D$9)</f>
        <v>0</v>
      </c>
      <c r="Q173" s="27" t="n">
        <f aca="false">MIN(E172*(1+E$8),E$9)</f>
        <v>0</v>
      </c>
      <c r="R173" s="27" t="n">
        <f aca="false">MIN(F172*(1+F$8),F$9)</f>
        <v>0</v>
      </c>
      <c r="S173" s="27" t="n">
        <f aca="false">MIN(G172*(1+G$8),G$9)</f>
        <v>0</v>
      </c>
      <c r="T173" s="27" t="n">
        <f aca="false">MIN(H172*(1+H$8),H$9)</f>
        <v>0</v>
      </c>
      <c r="U173" s="27" t="n">
        <f aca="false">MIN(I172*(1+I$8),I$9)</f>
        <v>0</v>
      </c>
      <c r="V173" s="27" t="n">
        <f aca="false">MIN(J172*(1+J$8),J$9)</f>
        <v>0</v>
      </c>
      <c r="W173" s="27" t="n">
        <f aca="false">MIN(K172*(1+K$8),K$9)</f>
        <v>0</v>
      </c>
      <c r="X173" s="27" t="n">
        <f aca="false">MIN(B172*(1+B$8),MAX(N173,$B$11-SUM(O173:W173)))</f>
        <v>0</v>
      </c>
      <c r="Y173" s="27" t="n">
        <f aca="false">MIN(C172*(1+C$8),MAX(O173,$B$11-SUM(X173:X173)-SUM(P173:W173)))</f>
        <v>0</v>
      </c>
      <c r="Z173" s="27" t="n">
        <f aca="false">MIN(D172*(1+D$8),MAX(P173,$B$11-SUM(X173:Y173)-SUM(Q173:W173)))</f>
        <v>0</v>
      </c>
      <c r="AA173" s="27" t="n">
        <f aca="false">MIN(E172*(1+E$8),MAX(Q173,$B$11-SUM(X173:Z173)-SUM(R173:W173)))</f>
        <v>0</v>
      </c>
      <c r="AB173" s="27" t="n">
        <f aca="false">MIN(F172*(1+F$8),MAX(R173,$B$11-SUM(X173:AA173)-SUM(S173:W173)))</f>
        <v>0</v>
      </c>
      <c r="AC173" s="27" t="n">
        <f aca="false">MIN(G172*(1+G$8),MAX(S173,$B$11-SUM(X173:AB173)-SUM(T173:W173)))</f>
        <v>0</v>
      </c>
      <c r="AD173" s="27" t="n">
        <f aca="false">MIN(H172*(1+H$8),MAX(T173,$B$11-SUM(X173:AC173)-SUM(U173:W173)))</f>
        <v>0</v>
      </c>
      <c r="AE173" s="27" t="n">
        <f aca="false">MIN(I172*(1+I$8),MAX(U173,$B$11-SUM(X173:AD173)-SUM(V173:W173)))</f>
        <v>0</v>
      </c>
      <c r="AF173" s="27" t="n">
        <f aca="false">MIN(J172*(1+J$8),MAX(V173,$B$11-SUM(X173:AE173)-SUM(W173:W173)))</f>
        <v>0</v>
      </c>
      <c r="AG173" s="27" t="n">
        <f aca="false">MIN(K172*(1+K$8),MAX(W173,$B$11-SUM(X173:AF173)))</f>
        <v>0</v>
      </c>
      <c r="AI173" s="27" t="n">
        <f aca="false">ROUND(MAX(0,AI172*(1+B$8)-BE173),2)</f>
        <v>0</v>
      </c>
      <c r="AJ173" s="27" t="n">
        <f aca="false">ROUND(MAX(0,AJ172*(1+C$8)-BF173),2)</f>
        <v>0</v>
      </c>
      <c r="AK173" s="27" t="n">
        <f aca="false">ROUND(MAX(0,AK172*(1+D$8)-BG173),2)</f>
        <v>0</v>
      </c>
      <c r="AL173" s="27" t="n">
        <f aca="false">ROUND(MAX(0,AL172*(1+E$8)-BH173),2)</f>
        <v>0</v>
      </c>
      <c r="AM173" s="27" t="n">
        <f aca="false">ROUND(MAX(0,AM172*(1+F$8)-BI173),2)</f>
        <v>0</v>
      </c>
      <c r="AN173" s="27" t="n">
        <f aca="false">ROUND(MAX(0,AN172*(1+G$8)-BJ173),2)</f>
        <v>0</v>
      </c>
      <c r="AO173" s="27" t="n">
        <f aca="false">ROUND(MAX(0,AO172*(1+H$8)-BK173),2)</f>
        <v>0</v>
      </c>
      <c r="AP173" s="27" t="n">
        <f aca="false">ROUND(MAX(0,AP172*(1+I$8)-BL173),2)</f>
        <v>0</v>
      </c>
      <c r="AQ173" s="27" t="n">
        <f aca="false">ROUND(MAX(0,AQ172*(1+J$8)-BM173),2)</f>
        <v>0</v>
      </c>
      <c r="AR173" s="27" t="n">
        <f aca="false">ROUND(MAX(0,AR172*(1+K$8)-BN173),2)</f>
        <v>0</v>
      </c>
      <c r="AS173" s="27" t="n">
        <f aca="false">SUM(AI173:AR173)</f>
        <v>0</v>
      </c>
      <c r="AT173" s="27" t="n">
        <f aca="false">SUMPRODUCT(AI172:AR172,$B$8:$K$8)</f>
        <v>0</v>
      </c>
      <c r="AU173" s="27" t="n">
        <f aca="false">MIN(AI172*(1+B$8),B$9)</f>
        <v>0</v>
      </c>
      <c r="AV173" s="27" t="n">
        <f aca="false">MIN(AJ172*(1+C$8),C$9)</f>
        <v>0</v>
      </c>
      <c r="AW173" s="27" t="n">
        <f aca="false">MIN(AK172*(1+D$8),D$9)</f>
        <v>0</v>
      </c>
      <c r="AX173" s="27" t="n">
        <f aca="false">MIN(AL172*(1+E$8),E$9)</f>
        <v>0</v>
      </c>
      <c r="AY173" s="27" t="n">
        <f aca="false">MIN(AM172*(1+F$8),F$9)</f>
        <v>0</v>
      </c>
      <c r="AZ173" s="27" t="n">
        <f aca="false">MIN(AN172*(1+G$8),G$9)</f>
        <v>0</v>
      </c>
      <c r="BA173" s="27" t="n">
        <f aca="false">MIN(AO172*(1+H$8),H$9)</f>
        <v>0</v>
      </c>
      <c r="BB173" s="27" t="n">
        <f aca="false">MIN(AP172*(1+I$8),I$9)</f>
        <v>0</v>
      </c>
      <c r="BC173" s="27" t="n">
        <f aca="false">MIN(AQ172*(1+J$8),J$9)</f>
        <v>0</v>
      </c>
      <c r="BD173" s="27" t="n">
        <f aca="false">MIN(AR172*(1+K$8),K$9)</f>
        <v>0</v>
      </c>
      <c r="BE173" s="27" t="n">
        <f aca="false">MIN(AI172*(1+B$8),MAX(AU173,$B$12-SUM(AV173:BD173)))</f>
        <v>0</v>
      </c>
      <c r="BF173" s="27" t="n">
        <f aca="false">MIN(AJ172*(1+C$8),MAX(AV173,$B$12-SUM(BE173:BE173)-SUM(AW173:BD173)))</f>
        <v>0</v>
      </c>
      <c r="BG173" s="27" t="n">
        <f aca="false">MIN(AK172*(1+D$8),MAX(AW173,$B$12-SUM(BE173:BF173)-SUM(AX173:BD173)))</f>
        <v>0</v>
      </c>
      <c r="BH173" s="27" t="n">
        <f aca="false">MIN(AL172*(1+E$8),MAX(AX173,$B$12-SUM(BE173:BG173)-SUM(AY173:BD173)))</f>
        <v>0</v>
      </c>
      <c r="BI173" s="27" t="n">
        <f aca="false">MIN(AM172*(1+F$8),MAX(AY173,$B$12-SUM(BE173:BH173)-SUM(AZ173:BD173)))</f>
        <v>0</v>
      </c>
      <c r="BJ173" s="27" t="n">
        <f aca="false">MIN(AN172*(1+G$8),MAX(AZ173,$B$12-SUM(BE173:BI173)-SUM(BA173:BD173)))</f>
        <v>0</v>
      </c>
      <c r="BK173" s="27" t="n">
        <f aca="false">MIN(AO172*(1+H$8),MAX(BA173,$B$12-SUM(BE173:BJ173)-SUM(BB173:BD173)))</f>
        <v>0</v>
      </c>
      <c r="BL173" s="27" t="n">
        <f aca="false">MIN(AP172*(1+I$8),MAX(BB173,$B$12-SUM(BE173:BK173)-SUM(BC173:BD173)))</f>
        <v>0</v>
      </c>
      <c r="BM173" s="27" t="n">
        <f aca="false">MIN(AQ172*(1+J$8),MAX(BC173,$B$12-SUM(BE173:BL173)-SUM(BD173:BD173)))</f>
        <v>0</v>
      </c>
      <c r="BN173" s="27" t="n">
        <f aca="false">MIN(AR172*(1+K$8),MAX(BD173,$B$12-SUM(BE173:BM173)))</f>
        <v>0</v>
      </c>
    </row>
    <row r="174" customFormat="false" ht="15" hidden="false" customHeight="false" outlineLevel="0" collapsed="false">
      <c r="A174" s="0" t="n">
        <v>160</v>
      </c>
      <c r="B174" s="27" t="n">
        <f aca="false">ROUND(MAX(0,B173*(1+B$8)-X174),2)</f>
        <v>0</v>
      </c>
      <c r="C174" s="27" t="n">
        <f aca="false">ROUND(MAX(0,C173*(1+C$8)-Y174),2)</f>
        <v>0</v>
      </c>
      <c r="D174" s="27" t="n">
        <f aca="false">ROUND(MAX(0,D173*(1+D$8)-Z174),2)</f>
        <v>0</v>
      </c>
      <c r="E174" s="27" t="n">
        <f aca="false">ROUND(MAX(0,E173*(1+E$8)-AA174),2)</f>
        <v>0</v>
      </c>
      <c r="F174" s="27" t="n">
        <f aca="false">ROUND(MAX(0,F173*(1+F$8)-AB174),2)</f>
        <v>0</v>
      </c>
      <c r="G174" s="27" t="n">
        <f aca="false">ROUND(MAX(0,G173*(1+G$8)-AC174),2)</f>
        <v>0</v>
      </c>
      <c r="H174" s="27" t="n">
        <f aca="false">ROUND(MAX(0,H173*(1+H$8)-AD174),2)</f>
        <v>0</v>
      </c>
      <c r="I174" s="27" t="n">
        <f aca="false">ROUND(MAX(0,I173*(1+I$8)-AE174),2)</f>
        <v>0</v>
      </c>
      <c r="J174" s="27" t="n">
        <f aca="false">ROUND(MAX(0,J173*(1+J$8)-AF174),2)</f>
        <v>0</v>
      </c>
      <c r="K174" s="27" t="n">
        <f aca="false">ROUND(MAX(0,K173*(1+K$8)-AG174),2)</f>
        <v>0</v>
      </c>
      <c r="L174" s="30" t="n">
        <f aca="false">SUM(B174:K174)</f>
        <v>0</v>
      </c>
      <c r="M174" s="27" t="n">
        <f aca="false">SUMPRODUCT(B173:K173,$B$8:$K$8)</f>
        <v>0</v>
      </c>
      <c r="N174" s="27" t="n">
        <f aca="false">MIN(B173*(1+B$8),B$9)</f>
        <v>0</v>
      </c>
      <c r="O174" s="27" t="n">
        <f aca="false">MIN(C173*(1+C$8),C$9)</f>
        <v>0</v>
      </c>
      <c r="P174" s="27" t="n">
        <f aca="false">MIN(D173*(1+D$8),D$9)</f>
        <v>0</v>
      </c>
      <c r="Q174" s="27" t="n">
        <f aca="false">MIN(E173*(1+E$8),E$9)</f>
        <v>0</v>
      </c>
      <c r="R174" s="27" t="n">
        <f aca="false">MIN(F173*(1+F$8),F$9)</f>
        <v>0</v>
      </c>
      <c r="S174" s="27" t="n">
        <f aca="false">MIN(G173*(1+G$8),G$9)</f>
        <v>0</v>
      </c>
      <c r="T174" s="27" t="n">
        <f aca="false">MIN(H173*(1+H$8),H$9)</f>
        <v>0</v>
      </c>
      <c r="U174" s="27" t="n">
        <f aca="false">MIN(I173*(1+I$8),I$9)</f>
        <v>0</v>
      </c>
      <c r="V174" s="27" t="n">
        <f aca="false">MIN(J173*(1+J$8),J$9)</f>
        <v>0</v>
      </c>
      <c r="W174" s="27" t="n">
        <f aca="false">MIN(K173*(1+K$8),K$9)</f>
        <v>0</v>
      </c>
      <c r="X174" s="27" t="n">
        <f aca="false">MIN(B173*(1+B$8),MAX(N174,$B$11-SUM(O174:W174)))</f>
        <v>0</v>
      </c>
      <c r="Y174" s="27" t="n">
        <f aca="false">MIN(C173*(1+C$8),MAX(O174,$B$11-SUM(X174:X174)-SUM(P174:W174)))</f>
        <v>0</v>
      </c>
      <c r="Z174" s="27" t="n">
        <f aca="false">MIN(D173*(1+D$8),MAX(P174,$B$11-SUM(X174:Y174)-SUM(Q174:W174)))</f>
        <v>0</v>
      </c>
      <c r="AA174" s="27" t="n">
        <f aca="false">MIN(E173*(1+E$8),MAX(Q174,$B$11-SUM(X174:Z174)-SUM(R174:W174)))</f>
        <v>0</v>
      </c>
      <c r="AB174" s="27" t="n">
        <f aca="false">MIN(F173*(1+F$8),MAX(R174,$B$11-SUM(X174:AA174)-SUM(S174:W174)))</f>
        <v>0</v>
      </c>
      <c r="AC174" s="27" t="n">
        <f aca="false">MIN(G173*(1+G$8),MAX(S174,$B$11-SUM(X174:AB174)-SUM(T174:W174)))</f>
        <v>0</v>
      </c>
      <c r="AD174" s="27" t="n">
        <f aca="false">MIN(H173*(1+H$8),MAX(T174,$B$11-SUM(X174:AC174)-SUM(U174:W174)))</f>
        <v>0</v>
      </c>
      <c r="AE174" s="27" t="n">
        <f aca="false">MIN(I173*(1+I$8),MAX(U174,$B$11-SUM(X174:AD174)-SUM(V174:W174)))</f>
        <v>0</v>
      </c>
      <c r="AF174" s="27" t="n">
        <f aca="false">MIN(J173*(1+J$8),MAX(V174,$B$11-SUM(X174:AE174)-SUM(W174:W174)))</f>
        <v>0</v>
      </c>
      <c r="AG174" s="27" t="n">
        <f aca="false">MIN(K173*(1+K$8),MAX(W174,$B$11-SUM(X174:AF174)))</f>
        <v>0</v>
      </c>
      <c r="AI174" s="27" t="n">
        <f aca="false">ROUND(MAX(0,AI173*(1+B$8)-BE174),2)</f>
        <v>0</v>
      </c>
      <c r="AJ174" s="27" t="n">
        <f aca="false">ROUND(MAX(0,AJ173*(1+C$8)-BF174),2)</f>
        <v>0</v>
      </c>
      <c r="AK174" s="27" t="n">
        <f aca="false">ROUND(MAX(0,AK173*(1+D$8)-BG174),2)</f>
        <v>0</v>
      </c>
      <c r="AL174" s="27" t="n">
        <f aca="false">ROUND(MAX(0,AL173*(1+E$8)-BH174),2)</f>
        <v>0</v>
      </c>
      <c r="AM174" s="27" t="n">
        <f aca="false">ROUND(MAX(0,AM173*(1+F$8)-BI174),2)</f>
        <v>0</v>
      </c>
      <c r="AN174" s="27" t="n">
        <f aca="false">ROUND(MAX(0,AN173*(1+G$8)-BJ174),2)</f>
        <v>0</v>
      </c>
      <c r="AO174" s="27" t="n">
        <f aca="false">ROUND(MAX(0,AO173*(1+H$8)-BK174),2)</f>
        <v>0</v>
      </c>
      <c r="AP174" s="27" t="n">
        <f aca="false">ROUND(MAX(0,AP173*(1+I$8)-BL174),2)</f>
        <v>0</v>
      </c>
      <c r="AQ174" s="27" t="n">
        <f aca="false">ROUND(MAX(0,AQ173*(1+J$8)-BM174),2)</f>
        <v>0</v>
      </c>
      <c r="AR174" s="27" t="n">
        <f aca="false">ROUND(MAX(0,AR173*(1+K$8)-BN174),2)</f>
        <v>0</v>
      </c>
      <c r="AS174" s="27" t="n">
        <f aca="false">SUM(AI174:AR174)</f>
        <v>0</v>
      </c>
      <c r="AT174" s="27" t="n">
        <f aca="false">SUMPRODUCT(AI173:AR173,$B$8:$K$8)</f>
        <v>0</v>
      </c>
      <c r="AU174" s="27" t="n">
        <f aca="false">MIN(AI173*(1+B$8),B$9)</f>
        <v>0</v>
      </c>
      <c r="AV174" s="27" t="n">
        <f aca="false">MIN(AJ173*(1+C$8),C$9)</f>
        <v>0</v>
      </c>
      <c r="AW174" s="27" t="n">
        <f aca="false">MIN(AK173*(1+D$8),D$9)</f>
        <v>0</v>
      </c>
      <c r="AX174" s="27" t="n">
        <f aca="false">MIN(AL173*(1+E$8),E$9)</f>
        <v>0</v>
      </c>
      <c r="AY174" s="27" t="n">
        <f aca="false">MIN(AM173*(1+F$8),F$9)</f>
        <v>0</v>
      </c>
      <c r="AZ174" s="27" t="n">
        <f aca="false">MIN(AN173*(1+G$8),G$9)</f>
        <v>0</v>
      </c>
      <c r="BA174" s="27" t="n">
        <f aca="false">MIN(AO173*(1+H$8),H$9)</f>
        <v>0</v>
      </c>
      <c r="BB174" s="27" t="n">
        <f aca="false">MIN(AP173*(1+I$8),I$9)</f>
        <v>0</v>
      </c>
      <c r="BC174" s="27" t="n">
        <f aca="false">MIN(AQ173*(1+J$8),J$9)</f>
        <v>0</v>
      </c>
      <c r="BD174" s="27" t="n">
        <f aca="false">MIN(AR173*(1+K$8),K$9)</f>
        <v>0</v>
      </c>
      <c r="BE174" s="27" t="n">
        <f aca="false">MIN(AI173*(1+B$8),MAX(AU174,$B$12-SUM(AV174:BD174)))</f>
        <v>0</v>
      </c>
      <c r="BF174" s="27" t="n">
        <f aca="false">MIN(AJ173*(1+C$8),MAX(AV174,$B$12-SUM(BE174:BE174)-SUM(AW174:BD174)))</f>
        <v>0</v>
      </c>
      <c r="BG174" s="27" t="n">
        <f aca="false">MIN(AK173*(1+D$8),MAX(AW174,$B$12-SUM(BE174:BF174)-SUM(AX174:BD174)))</f>
        <v>0</v>
      </c>
      <c r="BH174" s="27" t="n">
        <f aca="false">MIN(AL173*(1+E$8),MAX(AX174,$B$12-SUM(BE174:BG174)-SUM(AY174:BD174)))</f>
        <v>0</v>
      </c>
      <c r="BI174" s="27" t="n">
        <f aca="false">MIN(AM173*(1+F$8),MAX(AY174,$B$12-SUM(BE174:BH174)-SUM(AZ174:BD174)))</f>
        <v>0</v>
      </c>
      <c r="BJ174" s="27" t="n">
        <f aca="false">MIN(AN173*(1+G$8),MAX(AZ174,$B$12-SUM(BE174:BI174)-SUM(BA174:BD174)))</f>
        <v>0</v>
      </c>
      <c r="BK174" s="27" t="n">
        <f aca="false">MIN(AO173*(1+H$8),MAX(BA174,$B$12-SUM(BE174:BJ174)-SUM(BB174:BD174)))</f>
        <v>0</v>
      </c>
      <c r="BL174" s="27" t="n">
        <f aca="false">MIN(AP173*(1+I$8),MAX(BB174,$B$12-SUM(BE174:BK174)-SUM(BC174:BD174)))</f>
        <v>0</v>
      </c>
      <c r="BM174" s="27" t="n">
        <f aca="false">MIN(AQ173*(1+J$8),MAX(BC174,$B$12-SUM(BE174:BL174)-SUM(BD174:BD174)))</f>
        <v>0</v>
      </c>
      <c r="BN174" s="27" t="n">
        <f aca="false">MIN(AR173*(1+K$8),MAX(BD174,$B$12-SUM(BE174:BM174)))</f>
        <v>0</v>
      </c>
    </row>
    <row r="175" customFormat="false" ht="15" hidden="false" customHeight="false" outlineLevel="0" collapsed="false">
      <c r="A175" s="0" t="n">
        <v>161</v>
      </c>
      <c r="B175" s="27" t="n">
        <f aca="false">ROUND(MAX(0,B174*(1+B$8)-X175),2)</f>
        <v>0</v>
      </c>
      <c r="C175" s="27" t="n">
        <f aca="false">ROUND(MAX(0,C174*(1+C$8)-Y175),2)</f>
        <v>0</v>
      </c>
      <c r="D175" s="27" t="n">
        <f aca="false">ROUND(MAX(0,D174*(1+D$8)-Z175),2)</f>
        <v>0</v>
      </c>
      <c r="E175" s="27" t="n">
        <f aca="false">ROUND(MAX(0,E174*(1+E$8)-AA175),2)</f>
        <v>0</v>
      </c>
      <c r="F175" s="27" t="n">
        <f aca="false">ROUND(MAX(0,F174*(1+F$8)-AB175),2)</f>
        <v>0</v>
      </c>
      <c r="G175" s="27" t="n">
        <f aca="false">ROUND(MAX(0,G174*(1+G$8)-AC175),2)</f>
        <v>0</v>
      </c>
      <c r="H175" s="27" t="n">
        <f aca="false">ROUND(MAX(0,H174*(1+H$8)-AD175),2)</f>
        <v>0</v>
      </c>
      <c r="I175" s="27" t="n">
        <f aca="false">ROUND(MAX(0,I174*(1+I$8)-AE175),2)</f>
        <v>0</v>
      </c>
      <c r="J175" s="27" t="n">
        <f aca="false">ROUND(MAX(0,J174*(1+J$8)-AF175),2)</f>
        <v>0</v>
      </c>
      <c r="K175" s="27" t="n">
        <f aca="false">ROUND(MAX(0,K174*(1+K$8)-AG175),2)</f>
        <v>0</v>
      </c>
      <c r="L175" s="30" t="n">
        <f aca="false">SUM(B175:K175)</f>
        <v>0</v>
      </c>
      <c r="M175" s="27" t="n">
        <f aca="false">SUMPRODUCT(B174:K174,$B$8:$K$8)</f>
        <v>0</v>
      </c>
      <c r="N175" s="27" t="n">
        <f aca="false">MIN(B174*(1+B$8),B$9)</f>
        <v>0</v>
      </c>
      <c r="O175" s="27" t="n">
        <f aca="false">MIN(C174*(1+C$8),C$9)</f>
        <v>0</v>
      </c>
      <c r="P175" s="27" t="n">
        <f aca="false">MIN(D174*(1+D$8),D$9)</f>
        <v>0</v>
      </c>
      <c r="Q175" s="27" t="n">
        <f aca="false">MIN(E174*(1+E$8),E$9)</f>
        <v>0</v>
      </c>
      <c r="R175" s="27" t="n">
        <f aca="false">MIN(F174*(1+F$8),F$9)</f>
        <v>0</v>
      </c>
      <c r="S175" s="27" t="n">
        <f aca="false">MIN(G174*(1+G$8),G$9)</f>
        <v>0</v>
      </c>
      <c r="T175" s="27" t="n">
        <f aca="false">MIN(H174*(1+H$8),H$9)</f>
        <v>0</v>
      </c>
      <c r="U175" s="27" t="n">
        <f aca="false">MIN(I174*(1+I$8),I$9)</f>
        <v>0</v>
      </c>
      <c r="V175" s="27" t="n">
        <f aca="false">MIN(J174*(1+J$8),J$9)</f>
        <v>0</v>
      </c>
      <c r="W175" s="27" t="n">
        <f aca="false">MIN(K174*(1+K$8),K$9)</f>
        <v>0</v>
      </c>
      <c r="X175" s="27" t="n">
        <f aca="false">MIN(B174*(1+B$8),MAX(N175,$B$11-SUM(O175:W175)))</f>
        <v>0</v>
      </c>
      <c r="Y175" s="27" t="n">
        <f aca="false">MIN(C174*(1+C$8),MAX(O175,$B$11-SUM(X175:X175)-SUM(P175:W175)))</f>
        <v>0</v>
      </c>
      <c r="Z175" s="27" t="n">
        <f aca="false">MIN(D174*(1+D$8),MAX(P175,$B$11-SUM(X175:Y175)-SUM(Q175:W175)))</f>
        <v>0</v>
      </c>
      <c r="AA175" s="27" t="n">
        <f aca="false">MIN(E174*(1+E$8),MAX(Q175,$B$11-SUM(X175:Z175)-SUM(R175:W175)))</f>
        <v>0</v>
      </c>
      <c r="AB175" s="27" t="n">
        <f aca="false">MIN(F174*(1+F$8),MAX(R175,$B$11-SUM(X175:AA175)-SUM(S175:W175)))</f>
        <v>0</v>
      </c>
      <c r="AC175" s="27" t="n">
        <f aca="false">MIN(G174*(1+G$8),MAX(S175,$B$11-SUM(X175:AB175)-SUM(T175:W175)))</f>
        <v>0</v>
      </c>
      <c r="AD175" s="27" t="n">
        <f aca="false">MIN(H174*(1+H$8),MAX(T175,$B$11-SUM(X175:AC175)-SUM(U175:W175)))</f>
        <v>0</v>
      </c>
      <c r="AE175" s="27" t="n">
        <f aca="false">MIN(I174*(1+I$8),MAX(U175,$B$11-SUM(X175:AD175)-SUM(V175:W175)))</f>
        <v>0</v>
      </c>
      <c r="AF175" s="27" t="n">
        <f aca="false">MIN(J174*(1+J$8),MAX(V175,$B$11-SUM(X175:AE175)-SUM(W175:W175)))</f>
        <v>0</v>
      </c>
      <c r="AG175" s="27" t="n">
        <f aca="false">MIN(K174*(1+K$8),MAX(W175,$B$11-SUM(X175:AF175)))</f>
        <v>0</v>
      </c>
      <c r="AI175" s="27" t="n">
        <f aca="false">ROUND(MAX(0,AI174*(1+B$8)-BE175),2)</f>
        <v>0</v>
      </c>
      <c r="AJ175" s="27" t="n">
        <f aca="false">ROUND(MAX(0,AJ174*(1+C$8)-BF175),2)</f>
        <v>0</v>
      </c>
      <c r="AK175" s="27" t="n">
        <f aca="false">ROUND(MAX(0,AK174*(1+D$8)-BG175),2)</f>
        <v>0</v>
      </c>
      <c r="AL175" s="27" t="n">
        <f aca="false">ROUND(MAX(0,AL174*(1+E$8)-BH175),2)</f>
        <v>0</v>
      </c>
      <c r="AM175" s="27" t="n">
        <f aca="false">ROUND(MAX(0,AM174*(1+F$8)-BI175),2)</f>
        <v>0</v>
      </c>
      <c r="AN175" s="27" t="n">
        <f aca="false">ROUND(MAX(0,AN174*(1+G$8)-BJ175),2)</f>
        <v>0</v>
      </c>
      <c r="AO175" s="27" t="n">
        <f aca="false">ROUND(MAX(0,AO174*(1+H$8)-BK175),2)</f>
        <v>0</v>
      </c>
      <c r="AP175" s="27" t="n">
        <f aca="false">ROUND(MAX(0,AP174*(1+I$8)-BL175),2)</f>
        <v>0</v>
      </c>
      <c r="AQ175" s="27" t="n">
        <f aca="false">ROUND(MAX(0,AQ174*(1+J$8)-BM175),2)</f>
        <v>0</v>
      </c>
      <c r="AR175" s="27" t="n">
        <f aca="false">ROUND(MAX(0,AR174*(1+K$8)-BN175),2)</f>
        <v>0</v>
      </c>
      <c r="AS175" s="27" t="n">
        <f aca="false">SUM(AI175:AR175)</f>
        <v>0</v>
      </c>
      <c r="AT175" s="27" t="n">
        <f aca="false">SUMPRODUCT(AI174:AR174,$B$8:$K$8)</f>
        <v>0</v>
      </c>
      <c r="AU175" s="27" t="n">
        <f aca="false">MIN(AI174*(1+B$8),B$9)</f>
        <v>0</v>
      </c>
      <c r="AV175" s="27" t="n">
        <f aca="false">MIN(AJ174*(1+C$8),C$9)</f>
        <v>0</v>
      </c>
      <c r="AW175" s="27" t="n">
        <f aca="false">MIN(AK174*(1+D$8),D$9)</f>
        <v>0</v>
      </c>
      <c r="AX175" s="27" t="n">
        <f aca="false">MIN(AL174*(1+E$8),E$9)</f>
        <v>0</v>
      </c>
      <c r="AY175" s="27" t="n">
        <f aca="false">MIN(AM174*(1+F$8),F$9)</f>
        <v>0</v>
      </c>
      <c r="AZ175" s="27" t="n">
        <f aca="false">MIN(AN174*(1+G$8),G$9)</f>
        <v>0</v>
      </c>
      <c r="BA175" s="27" t="n">
        <f aca="false">MIN(AO174*(1+H$8),H$9)</f>
        <v>0</v>
      </c>
      <c r="BB175" s="27" t="n">
        <f aca="false">MIN(AP174*(1+I$8),I$9)</f>
        <v>0</v>
      </c>
      <c r="BC175" s="27" t="n">
        <f aca="false">MIN(AQ174*(1+J$8),J$9)</f>
        <v>0</v>
      </c>
      <c r="BD175" s="27" t="n">
        <f aca="false">MIN(AR174*(1+K$8),K$9)</f>
        <v>0</v>
      </c>
      <c r="BE175" s="27" t="n">
        <f aca="false">MIN(AI174*(1+B$8),MAX(AU175,$B$12-SUM(AV175:BD175)))</f>
        <v>0</v>
      </c>
      <c r="BF175" s="27" t="n">
        <f aca="false">MIN(AJ174*(1+C$8),MAX(AV175,$B$12-SUM(BE175:BE175)-SUM(AW175:BD175)))</f>
        <v>0</v>
      </c>
      <c r="BG175" s="27" t="n">
        <f aca="false">MIN(AK174*(1+D$8),MAX(AW175,$B$12-SUM(BE175:BF175)-SUM(AX175:BD175)))</f>
        <v>0</v>
      </c>
      <c r="BH175" s="27" t="n">
        <f aca="false">MIN(AL174*(1+E$8),MAX(AX175,$B$12-SUM(BE175:BG175)-SUM(AY175:BD175)))</f>
        <v>0</v>
      </c>
      <c r="BI175" s="27" t="n">
        <f aca="false">MIN(AM174*(1+F$8),MAX(AY175,$B$12-SUM(BE175:BH175)-SUM(AZ175:BD175)))</f>
        <v>0</v>
      </c>
      <c r="BJ175" s="27" t="n">
        <f aca="false">MIN(AN174*(1+G$8),MAX(AZ175,$B$12-SUM(BE175:BI175)-SUM(BA175:BD175)))</f>
        <v>0</v>
      </c>
      <c r="BK175" s="27" t="n">
        <f aca="false">MIN(AO174*(1+H$8),MAX(BA175,$B$12-SUM(BE175:BJ175)-SUM(BB175:BD175)))</f>
        <v>0</v>
      </c>
      <c r="BL175" s="27" t="n">
        <f aca="false">MIN(AP174*(1+I$8),MAX(BB175,$B$12-SUM(BE175:BK175)-SUM(BC175:BD175)))</f>
        <v>0</v>
      </c>
      <c r="BM175" s="27" t="n">
        <f aca="false">MIN(AQ174*(1+J$8),MAX(BC175,$B$12-SUM(BE175:BL175)-SUM(BD175:BD175)))</f>
        <v>0</v>
      </c>
      <c r="BN175" s="27" t="n">
        <f aca="false">MIN(AR174*(1+K$8),MAX(BD175,$B$12-SUM(BE175:BM175)))</f>
        <v>0</v>
      </c>
    </row>
    <row r="176" customFormat="false" ht="15" hidden="false" customHeight="false" outlineLevel="0" collapsed="false">
      <c r="A176" s="0" t="n">
        <v>162</v>
      </c>
      <c r="B176" s="27" t="n">
        <f aca="false">ROUND(MAX(0,B175*(1+B$8)-X176),2)</f>
        <v>0</v>
      </c>
      <c r="C176" s="27" t="n">
        <f aca="false">ROUND(MAX(0,C175*(1+C$8)-Y176),2)</f>
        <v>0</v>
      </c>
      <c r="D176" s="27" t="n">
        <f aca="false">ROUND(MAX(0,D175*(1+D$8)-Z176),2)</f>
        <v>0</v>
      </c>
      <c r="E176" s="27" t="n">
        <f aca="false">ROUND(MAX(0,E175*(1+E$8)-AA176),2)</f>
        <v>0</v>
      </c>
      <c r="F176" s="27" t="n">
        <f aca="false">ROUND(MAX(0,F175*(1+F$8)-AB176),2)</f>
        <v>0</v>
      </c>
      <c r="G176" s="27" t="n">
        <f aca="false">ROUND(MAX(0,G175*(1+G$8)-AC176),2)</f>
        <v>0</v>
      </c>
      <c r="H176" s="27" t="n">
        <f aca="false">ROUND(MAX(0,H175*(1+H$8)-AD176),2)</f>
        <v>0</v>
      </c>
      <c r="I176" s="27" t="n">
        <f aca="false">ROUND(MAX(0,I175*(1+I$8)-AE176),2)</f>
        <v>0</v>
      </c>
      <c r="J176" s="27" t="n">
        <f aca="false">ROUND(MAX(0,J175*(1+J$8)-AF176),2)</f>
        <v>0</v>
      </c>
      <c r="K176" s="27" t="n">
        <f aca="false">ROUND(MAX(0,K175*(1+K$8)-AG176),2)</f>
        <v>0</v>
      </c>
      <c r="L176" s="30" t="n">
        <f aca="false">SUM(B176:K176)</f>
        <v>0</v>
      </c>
      <c r="M176" s="27" t="n">
        <f aca="false">SUMPRODUCT(B175:K175,$B$8:$K$8)</f>
        <v>0</v>
      </c>
      <c r="N176" s="27" t="n">
        <f aca="false">MIN(B175*(1+B$8),B$9)</f>
        <v>0</v>
      </c>
      <c r="O176" s="27" t="n">
        <f aca="false">MIN(C175*(1+C$8),C$9)</f>
        <v>0</v>
      </c>
      <c r="P176" s="27" t="n">
        <f aca="false">MIN(D175*(1+D$8),D$9)</f>
        <v>0</v>
      </c>
      <c r="Q176" s="27" t="n">
        <f aca="false">MIN(E175*(1+E$8),E$9)</f>
        <v>0</v>
      </c>
      <c r="R176" s="27" t="n">
        <f aca="false">MIN(F175*(1+F$8),F$9)</f>
        <v>0</v>
      </c>
      <c r="S176" s="27" t="n">
        <f aca="false">MIN(G175*(1+G$8),G$9)</f>
        <v>0</v>
      </c>
      <c r="T176" s="27" t="n">
        <f aca="false">MIN(H175*(1+H$8),H$9)</f>
        <v>0</v>
      </c>
      <c r="U176" s="27" t="n">
        <f aca="false">MIN(I175*(1+I$8),I$9)</f>
        <v>0</v>
      </c>
      <c r="V176" s="27" t="n">
        <f aca="false">MIN(J175*(1+J$8),J$9)</f>
        <v>0</v>
      </c>
      <c r="W176" s="27" t="n">
        <f aca="false">MIN(K175*(1+K$8),K$9)</f>
        <v>0</v>
      </c>
      <c r="X176" s="27" t="n">
        <f aca="false">MIN(B175*(1+B$8),MAX(N176,$B$11-SUM(O176:W176)))</f>
        <v>0</v>
      </c>
      <c r="Y176" s="27" t="n">
        <f aca="false">MIN(C175*(1+C$8),MAX(O176,$B$11-SUM(X176:X176)-SUM(P176:W176)))</f>
        <v>0</v>
      </c>
      <c r="Z176" s="27" t="n">
        <f aca="false">MIN(D175*(1+D$8),MAX(P176,$B$11-SUM(X176:Y176)-SUM(Q176:W176)))</f>
        <v>0</v>
      </c>
      <c r="AA176" s="27" t="n">
        <f aca="false">MIN(E175*(1+E$8),MAX(Q176,$B$11-SUM(X176:Z176)-SUM(R176:W176)))</f>
        <v>0</v>
      </c>
      <c r="AB176" s="27" t="n">
        <f aca="false">MIN(F175*(1+F$8),MAX(R176,$B$11-SUM(X176:AA176)-SUM(S176:W176)))</f>
        <v>0</v>
      </c>
      <c r="AC176" s="27" t="n">
        <f aca="false">MIN(G175*(1+G$8),MAX(S176,$B$11-SUM(X176:AB176)-SUM(T176:W176)))</f>
        <v>0</v>
      </c>
      <c r="AD176" s="27" t="n">
        <f aca="false">MIN(H175*(1+H$8),MAX(T176,$B$11-SUM(X176:AC176)-SUM(U176:W176)))</f>
        <v>0</v>
      </c>
      <c r="AE176" s="27" t="n">
        <f aca="false">MIN(I175*(1+I$8),MAX(U176,$B$11-SUM(X176:AD176)-SUM(V176:W176)))</f>
        <v>0</v>
      </c>
      <c r="AF176" s="27" t="n">
        <f aca="false">MIN(J175*(1+J$8),MAX(V176,$B$11-SUM(X176:AE176)-SUM(W176:W176)))</f>
        <v>0</v>
      </c>
      <c r="AG176" s="27" t="n">
        <f aca="false">MIN(K175*(1+K$8),MAX(W176,$B$11-SUM(X176:AF176)))</f>
        <v>0</v>
      </c>
      <c r="AI176" s="27" t="n">
        <f aca="false">ROUND(MAX(0,AI175*(1+B$8)-BE176),2)</f>
        <v>0</v>
      </c>
      <c r="AJ176" s="27" t="n">
        <f aca="false">ROUND(MAX(0,AJ175*(1+C$8)-BF176),2)</f>
        <v>0</v>
      </c>
      <c r="AK176" s="27" t="n">
        <f aca="false">ROUND(MAX(0,AK175*(1+D$8)-BG176),2)</f>
        <v>0</v>
      </c>
      <c r="AL176" s="27" t="n">
        <f aca="false">ROUND(MAX(0,AL175*(1+E$8)-BH176),2)</f>
        <v>0</v>
      </c>
      <c r="AM176" s="27" t="n">
        <f aca="false">ROUND(MAX(0,AM175*(1+F$8)-BI176),2)</f>
        <v>0</v>
      </c>
      <c r="AN176" s="27" t="n">
        <f aca="false">ROUND(MAX(0,AN175*(1+G$8)-BJ176),2)</f>
        <v>0</v>
      </c>
      <c r="AO176" s="27" t="n">
        <f aca="false">ROUND(MAX(0,AO175*(1+H$8)-BK176),2)</f>
        <v>0</v>
      </c>
      <c r="AP176" s="27" t="n">
        <f aca="false">ROUND(MAX(0,AP175*(1+I$8)-BL176),2)</f>
        <v>0</v>
      </c>
      <c r="AQ176" s="27" t="n">
        <f aca="false">ROUND(MAX(0,AQ175*(1+J$8)-BM176),2)</f>
        <v>0</v>
      </c>
      <c r="AR176" s="27" t="n">
        <f aca="false">ROUND(MAX(0,AR175*(1+K$8)-BN176),2)</f>
        <v>0</v>
      </c>
      <c r="AS176" s="27" t="n">
        <f aca="false">SUM(AI176:AR176)</f>
        <v>0</v>
      </c>
      <c r="AT176" s="27" t="n">
        <f aca="false">SUMPRODUCT(AI175:AR175,$B$8:$K$8)</f>
        <v>0</v>
      </c>
      <c r="AU176" s="27" t="n">
        <f aca="false">MIN(AI175*(1+B$8),B$9)</f>
        <v>0</v>
      </c>
      <c r="AV176" s="27" t="n">
        <f aca="false">MIN(AJ175*(1+C$8),C$9)</f>
        <v>0</v>
      </c>
      <c r="AW176" s="27" t="n">
        <f aca="false">MIN(AK175*(1+D$8),D$9)</f>
        <v>0</v>
      </c>
      <c r="AX176" s="27" t="n">
        <f aca="false">MIN(AL175*(1+E$8),E$9)</f>
        <v>0</v>
      </c>
      <c r="AY176" s="27" t="n">
        <f aca="false">MIN(AM175*(1+F$8),F$9)</f>
        <v>0</v>
      </c>
      <c r="AZ176" s="27" t="n">
        <f aca="false">MIN(AN175*(1+G$8),G$9)</f>
        <v>0</v>
      </c>
      <c r="BA176" s="27" t="n">
        <f aca="false">MIN(AO175*(1+H$8),H$9)</f>
        <v>0</v>
      </c>
      <c r="BB176" s="27" t="n">
        <f aca="false">MIN(AP175*(1+I$8),I$9)</f>
        <v>0</v>
      </c>
      <c r="BC176" s="27" t="n">
        <f aca="false">MIN(AQ175*(1+J$8),J$9)</f>
        <v>0</v>
      </c>
      <c r="BD176" s="27" t="n">
        <f aca="false">MIN(AR175*(1+K$8),K$9)</f>
        <v>0</v>
      </c>
      <c r="BE176" s="27" t="n">
        <f aca="false">MIN(AI175*(1+B$8),MAX(AU176,$B$12-SUM(AV176:BD176)))</f>
        <v>0</v>
      </c>
      <c r="BF176" s="27" t="n">
        <f aca="false">MIN(AJ175*(1+C$8),MAX(AV176,$B$12-SUM(BE176:BE176)-SUM(AW176:BD176)))</f>
        <v>0</v>
      </c>
      <c r="BG176" s="27" t="n">
        <f aca="false">MIN(AK175*(1+D$8),MAX(AW176,$B$12-SUM(BE176:BF176)-SUM(AX176:BD176)))</f>
        <v>0</v>
      </c>
      <c r="BH176" s="27" t="n">
        <f aca="false">MIN(AL175*(1+E$8),MAX(AX176,$B$12-SUM(BE176:BG176)-SUM(AY176:BD176)))</f>
        <v>0</v>
      </c>
      <c r="BI176" s="27" t="n">
        <f aca="false">MIN(AM175*(1+F$8),MAX(AY176,$B$12-SUM(BE176:BH176)-SUM(AZ176:BD176)))</f>
        <v>0</v>
      </c>
      <c r="BJ176" s="27" t="n">
        <f aca="false">MIN(AN175*(1+G$8),MAX(AZ176,$B$12-SUM(BE176:BI176)-SUM(BA176:BD176)))</f>
        <v>0</v>
      </c>
      <c r="BK176" s="27" t="n">
        <f aca="false">MIN(AO175*(1+H$8),MAX(BA176,$B$12-SUM(BE176:BJ176)-SUM(BB176:BD176)))</f>
        <v>0</v>
      </c>
      <c r="BL176" s="27" t="n">
        <f aca="false">MIN(AP175*(1+I$8),MAX(BB176,$B$12-SUM(BE176:BK176)-SUM(BC176:BD176)))</f>
        <v>0</v>
      </c>
      <c r="BM176" s="27" t="n">
        <f aca="false">MIN(AQ175*(1+J$8),MAX(BC176,$B$12-SUM(BE176:BL176)-SUM(BD176:BD176)))</f>
        <v>0</v>
      </c>
      <c r="BN176" s="27" t="n">
        <f aca="false">MIN(AR175*(1+K$8),MAX(BD176,$B$12-SUM(BE176:BM176)))</f>
        <v>0</v>
      </c>
    </row>
    <row r="177" customFormat="false" ht="15" hidden="false" customHeight="false" outlineLevel="0" collapsed="false">
      <c r="A177" s="0" t="n">
        <v>163</v>
      </c>
      <c r="B177" s="27" t="n">
        <f aca="false">ROUND(MAX(0,B176*(1+B$8)-X177),2)</f>
        <v>0</v>
      </c>
      <c r="C177" s="27" t="n">
        <f aca="false">ROUND(MAX(0,C176*(1+C$8)-Y177),2)</f>
        <v>0</v>
      </c>
      <c r="D177" s="27" t="n">
        <f aca="false">ROUND(MAX(0,D176*(1+D$8)-Z177),2)</f>
        <v>0</v>
      </c>
      <c r="E177" s="27" t="n">
        <f aca="false">ROUND(MAX(0,E176*(1+E$8)-AA177),2)</f>
        <v>0</v>
      </c>
      <c r="F177" s="27" t="n">
        <f aca="false">ROUND(MAX(0,F176*(1+F$8)-AB177),2)</f>
        <v>0</v>
      </c>
      <c r="G177" s="27" t="n">
        <f aca="false">ROUND(MAX(0,G176*(1+G$8)-AC177),2)</f>
        <v>0</v>
      </c>
      <c r="H177" s="27" t="n">
        <f aca="false">ROUND(MAX(0,H176*(1+H$8)-AD177),2)</f>
        <v>0</v>
      </c>
      <c r="I177" s="27" t="n">
        <f aca="false">ROUND(MAX(0,I176*(1+I$8)-AE177),2)</f>
        <v>0</v>
      </c>
      <c r="J177" s="27" t="n">
        <f aca="false">ROUND(MAX(0,J176*(1+J$8)-AF177),2)</f>
        <v>0</v>
      </c>
      <c r="K177" s="27" t="n">
        <f aca="false">ROUND(MAX(0,K176*(1+K$8)-AG177),2)</f>
        <v>0</v>
      </c>
      <c r="L177" s="30" t="n">
        <f aca="false">SUM(B177:K177)</f>
        <v>0</v>
      </c>
      <c r="M177" s="27" t="n">
        <f aca="false">SUMPRODUCT(B176:K176,$B$8:$K$8)</f>
        <v>0</v>
      </c>
      <c r="N177" s="27" t="n">
        <f aca="false">MIN(B176*(1+B$8),B$9)</f>
        <v>0</v>
      </c>
      <c r="O177" s="27" t="n">
        <f aca="false">MIN(C176*(1+C$8),C$9)</f>
        <v>0</v>
      </c>
      <c r="P177" s="27" t="n">
        <f aca="false">MIN(D176*(1+D$8),D$9)</f>
        <v>0</v>
      </c>
      <c r="Q177" s="27" t="n">
        <f aca="false">MIN(E176*(1+E$8),E$9)</f>
        <v>0</v>
      </c>
      <c r="R177" s="27" t="n">
        <f aca="false">MIN(F176*(1+F$8),F$9)</f>
        <v>0</v>
      </c>
      <c r="S177" s="27" t="n">
        <f aca="false">MIN(G176*(1+G$8),G$9)</f>
        <v>0</v>
      </c>
      <c r="T177" s="27" t="n">
        <f aca="false">MIN(H176*(1+H$8),H$9)</f>
        <v>0</v>
      </c>
      <c r="U177" s="27" t="n">
        <f aca="false">MIN(I176*(1+I$8),I$9)</f>
        <v>0</v>
      </c>
      <c r="V177" s="27" t="n">
        <f aca="false">MIN(J176*(1+J$8),J$9)</f>
        <v>0</v>
      </c>
      <c r="W177" s="27" t="n">
        <f aca="false">MIN(K176*(1+K$8),K$9)</f>
        <v>0</v>
      </c>
      <c r="X177" s="27" t="n">
        <f aca="false">MIN(B176*(1+B$8),MAX(N177,$B$11-SUM(O177:W177)))</f>
        <v>0</v>
      </c>
      <c r="Y177" s="27" t="n">
        <f aca="false">MIN(C176*(1+C$8),MAX(O177,$B$11-SUM(X177:X177)-SUM(P177:W177)))</f>
        <v>0</v>
      </c>
      <c r="Z177" s="27" t="n">
        <f aca="false">MIN(D176*(1+D$8),MAX(P177,$B$11-SUM(X177:Y177)-SUM(Q177:W177)))</f>
        <v>0</v>
      </c>
      <c r="AA177" s="27" t="n">
        <f aca="false">MIN(E176*(1+E$8),MAX(Q177,$B$11-SUM(X177:Z177)-SUM(R177:W177)))</f>
        <v>0</v>
      </c>
      <c r="AB177" s="27" t="n">
        <f aca="false">MIN(F176*(1+F$8),MAX(R177,$B$11-SUM(X177:AA177)-SUM(S177:W177)))</f>
        <v>0</v>
      </c>
      <c r="AC177" s="27" t="n">
        <f aca="false">MIN(G176*(1+G$8),MAX(S177,$B$11-SUM(X177:AB177)-SUM(T177:W177)))</f>
        <v>0</v>
      </c>
      <c r="AD177" s="27" t="n">
        <f aca="false">MIN(H176*(1+H$8),MAX(T177,$B$11-SUM(X177:AC177)-SUM(U177:W177)))</f>
        <v>0</v>
      </c>
      <c r="AE177" s="27" t="n">
        <f aca="false">MIN(I176*(1+I$8),MAX(U177,$B$11-SUM(X177:AD177)-SUM(V177:W177)))</f>
        <v>0</v>
      </c>
      <c r="AF177" s="27" t="n">
        <f aca="false">MIN(J176*(1+J$8),MAX(V177,$B$11-SUM(X177:AE177)-SUM(W177:W177)))</f>
        <v>0</v>
      </c>
      <c r="AG177" s="27" t="n">
        <f aca="false">MIN(K176*(1+K$8),MAX(W177,$B$11-SUM(X177:AF177)))</f>
        <v>0</v>
      </c>
      <c r="AI177" s="27" t="n">
        <f aca="false">ROUND(MAX(0,AI176*(1+B$8)-BE177),2)</f>
        <v>0</v>
      </c>
      <c r="AJ177" s="27" t="n">
        <f aca="false">ROUND(MAX(0,AJ176*(1+C$8)-BF177),2)</f>
        <v>0</v>
      </c>
      <c r="AK177" s="27" t="n">
        <f aca="false">ROUND(MAX(0,AK176*(1+D$8)-BG177),2)</f>
        <v>0</v>
      </c>
      <c r="AL177" s="27" t="n">
        <f aca="false">ROUND(MAX(0,AL176*(1+E$8)-BH177),2)</f>
        <v>0</v>
      </c>
      <c r="AM177" s="27" t="n">
        <f aca="false">ROUND(MAX(0,AM176*(1+F$8)-BI177),2)</f>
        <v>0</v>
      </c>
      <c r="AN177" s="27" t="n">
        <f aca="false">ROUND(MAX(0,AN176*(1+G$8)-BJ177),2)</f>
        <v>0</v>
      </c>
      <c r="AO177" s="27" t="n">
        <f aca="false">ROUND(MAX(0,AO176*(1+H$8)-BK177),2)</f>
        <v>0</v>
      </c>
      <c r="AP177" s="27" t="n">
        <f aca="false">ROUND(MAX(0,AP176*(1+I$8)-BL177),2)</f>
        <v>0</v>
      </c>
      <c r="AQ177" s="27" t="n">
        <f aca="false">ROUND(MAX(0,AQ176*(1+J$8)-BM177),2)</f>
        <v>0</v>
      </c>
      <c r="AR177" s="27" t="n">
        <f aca="false">ROUND(MAX(0,AR176*(1+K$8)-BN177),2)</f>
        <v>0</v>
      </c>
      <c r="AS177" s="27" t="n">
        <f aca="false">SUM(AI177:AR177)</f>
        <v>0</v>
      </c>
      <c r="AT177" s="27" t="n">
        <f aca="false">SUMPRODUCT(AI176:AR176,$B$8:$K$8)</f>
        <v>0</v>
      </c>
      <c r="AU177" s="27" t="n">
        <f aca="false">MIN(AI176*(1+B$8),B$9)</f>
        <v>0</v>
      </c>
      <c r="AV177" s="27" t="n">
        <f aca="false">MIN(AJ176*(1+C$8),C$9)</f>
        <v>0</v>
      </c>
      <c r="AW177" s="27" t="n">
        <f aca="false">MIN(AK176*(1+D$8),D$9)</f>
        <v>0</v>
      </c>
      <c r="AX177" s="27" t="n">
        <f aca="false">MIN(AL176*(1+E$8),E$9)</f>
        <v>0</v>
      </c>
      <c r="AY177" s="27" t="n">
        <f aca="false">MIN(AM176*(1+F$8),F$9)</f>
        <v>0</v>
      </c>
      <c r="AZ177" s="27" t="n">
        <f aca="false">MIN(AN176*(1+G$8),G$9)</f>
        <v>0</v>
      </c>
      <c r="BA177" s="27" t="n">
        <f aca="false">MIN(AO176*(1+H$8),H$9)</f>
        <v>0</v>
      </c>
      <c r="BB177" s="27" t="n">
        <f aca="false">MIN(AP176*(1+I$8),I$9)</f>
        <v>0</v>
      </c>
      <c r="BC177" s="27" t="n">
        <f aca="false">MIN(AQ176*(1+J$8),J$9)</f>
        <v>0</v>
      </c>
      <c r="BD177" s="27" t="n">
        <f aca="false">MIN(AR176*(1+K$8),K$9)</f>
        <v>0</v>
      </c>
      <c r="BE177" s="27" t="n">
        <f aca="false">MIN(AI176*(1+B$8),MAX(AU177,$B$12-SUM(AV177:BD177)))</f>
        <v>0</v>
      </c>
      <c r="BF177" s="27" t="n">
        <f aca="false">MIN(AJ176*(1+C$8),MAX(AV177,$B$12-SUM(BE177:BE177)-SUM(AW177:BD177)))</f>
        <v>0</v>
      </c>
      <c r="BG177" s="27" t="n">
        <f aca="false">MIN(AK176*(1+D$8),MAX(AW177,$B$12-SUM(BE177:BF177)-SUM(AX177:BD177)))</f>
        <v>0</v>
      </c>
      <c r="BH177" s="27" t="n">
        <f aca="false">MIN(AL176*(1+E$8),MAX(AX177,$B$12-SUM(BE177:BG177)-SUM(AY177:BD177)))</f>
        <v>0</v>
      </c>
      <c r="BI177" s="27" t="n">
        <f aca="false">MIN(AM176*(1+F$8),MAX(AY177,$B$12-SUM(BE177:BH177)-SUM(AZ177:BD177)))</f>
        <v>0</v>
      </c>
      <c r="BJ177" s="27" t="n">
        <f aca="false">MIN(AN176*(1+G$8),MAX(AZ177,$B$12-SUM(BE177:BI177)-SUM(BA177:BD177)))</f>
        <v>0</v>
      </c>
      <c r="BK177" s="27" t="n">
        <f aca="false">MIN(AO176*(1+H$8),MAX(BA177,$B$12-SUM(BE177:BJ177)-SUM(BB177:BD177)))</f>
        <v>0</v>
      </c>
      <c r="BL177" s="27" t="n">
        <f aca="false">MIN(AP176*(1+I$8),MAX(BB177,$B$12-SUM(BE177:BK177)-SUM(BC177:BD177)))</f>
        <v>0</v>
      </c>
      <c r="BM177" s="27" t="n">
        <f aca="false">MIN(AQ176*(1+J$8),MAX(BC177,$B$12-SUM(BE177:BL177)-SUM(BD177:BD177)))</f>
        <v>0</v>
      </c>
      <c r="BN177" s="27" t="n">
        <f aca="false">MIN(AR176*(1+K$8),MAX(BD177,$B$12-SUM(BE177:BM177)))</f>
        <v>0</v>
      </c>
    </row>
    <row r="178" customFormat="false" ht="15" hidden="false" customHeight="false" outlineLevel="0" collapsed="false">
      <c r="A178" s="0" t="n">
        <v>164</v>
      </c>
      <c r="B178" s="27" t="n">
        <f aca="false">ROUND(MAX(0,B177*(1+B$8)-X178),2)</f>
        <v>0</v>
      </c>
      <c r="C178" s="27" t="n">
        <f aca="false">ROUND(MAX(0,C177*(1+C$8)-Y178),2)</f>
        <v>0</v>
      </c>
      <c r="D178" s="27" t="n">
        <f aca="false">ROUND(MAX(0,D177*(1+D$8)-Z178),2)</f>
        <v>0</v>
      </c>
      <c r="E178" s="27" t="n">
        <f aca="false">ROUND(MAX(0,E177*(1+E$8)-AA178),2)</f>
        <v>0</v>
      </c>
      <c r="F178" s="27" t="n">
        <f aca="false">ROUND(MAX(0,F177*(1+F$8)-AB178),2)</f>
        <v>0</v>
      </c>
      <c r="G178" s="27" t="n">
        <f aca="false">ROUND(MAX(0,G177*(1+G$8)-AC178),2)</f>
        <v>0</v>
      </c>
      <c r="H178" s="27" t="n">
        <f aca="false">ROUND(MAX(0,H177*(1+H$8)-AD178),2)</f>
        <v>0</v>
      </c>
      <c r="I178" s="27" t="n">
        <f aca="false">ROUND(MAX(0,I177*(1+I$8)-AE178),2)</f>
        <v>0</v>
      </c>
      <c r="J178" s="27" t="n">
        <f aca="false">ROUND(MAX(0,J177*(1+J$8)-AF178),2)</f>
        <v>0</v>
      </c>
      <c r="K178" s="27" t="n">
        <f aca="false">ROUND(MAX(0,K177*(1+K$8)-AG178),2)</f>
        <v>0</v>
      </c>
      <c r="L178" s="30" t="n">
        <f aca="false">SUM(B178:K178)</f>
        <v>0</v>
      </c>
      <c r="M178" s="27" t="n">
        <f aca="false">SUMPRODUCT(B177:K177,$B$8:$K$8)</f>
        <v>0</v>
      </c>
      <c r="N178" s="27" t="n">
        <f aca="false">MIN(B177*(1+B$8),B$9)</f>
        <v>0</v>
      </c>
      <c r="O178" s="27" t="n">
        <f aca="false">MIN(C177*(1+C$8),C$9)</f>
        <v>0</v>
      </c>
      <c r="P178" s="27" t="n">
        <f aca="false">MIN(D177*(1+D$8),D$9)</f>
        <v>0</v>
      </c>
      <c r="Q178" s="27" t="n">
        <f aca="false">MIN(E177*(1+E$8),E$9)</f>
        <v>0</v>
      </c>
      <c r="R178" s="27" t="n">
        <f aca="false">MIN(F177*(1+F$8),F$9)</f>
        <v>0</v>
      </c>
      <c r="S178" s="27" t="n">
        <f aca="false">MIN(G177*(1+G$8),G$9)</f>
        <v>0</v>
      </c>
      <c r="T178" s="27" t="n">
        <f aca="false">MIN(H177*(1+H$8),H$9)</f>
        <v>0</v>
      </c>
      <c r="U178" s="27" t="n">
        <f aca="false">MIN(I177*(1+I$8),I$9)</f>
        <v>0</v>
      </c>
      <c r="V178" s="27" t="n">
        <f aca="false">MIN(J177*(1+J$8),J$9)</f>
        <v>0</v>
      </c>
      <c r="W178" s="27" t="n">
        <f aca="false">MIN(K177*(1+K$8),K$9)</f>
        <v>0</v>
      </c>
      <c r="X178" s="27" t="n">
        <f aca="false">MIN(B177*(1+B$8),MAX(N178,$B$11-SUM(O178:W178)))</f>
        <v>0</v>
      </c>
      <c r="Y178" s="27" t="n">
        <f aca="false">MIN(C177*(1+C$8),MAX(O178,$B$11-SUM(X178:X178)-SUM(P178:W178)))</f>
        <v>0</v>
      </c>
      <c r="Z178" s="27" t="n">
        <f aca="false">MIN(D177*(1+D$8),MAX(P178,$B$11-SUM(X178:Y178)-SUM(Q178:W178)))</f>
        <v>0</v>
      </c>
      <c r="AA178" s="27" t="n">
        <f aca="false">MIN(E177*(1+E$8),MAX(Q178,$B$11-SUM(X178:Z178)-SUM(R178:W178)))</f>
        <v>0</v>
      </c>
      <c r="AB178" s="27" t="n">
        <f aca="false">MIN(F177*(1+F$8),MAX(R178,$B$11-SUM(X178:AA178)-SUM(S178:W178)))</f>
        <v>0</v>
      </c>
      <c r="AC178" s="27" t="n">
        <f aca="false">MIN(G177*(1+G$8),MAX(S178,$B$11-SUM(X178:AB178)-SUM(T178:W178)))</f>
        <v>0</v>
      </c>
      <c r="AD178" s="27" t="n">
        <f aca="false">MIN(H177*(1+H$8),MAX(T178,$B$11-SUM(X178:AC178)-SUM(U178:W178)))</f>
        <v>0</v>
      </c>
      <c r="AE178" s="27" t="n">
        <f aca="false">MIN(I177*(1+I$8),MAX(U178,$B$11-SUM(X178:AD178)-SUM(V178:W178)))</f>
        <v>0</v>
      </c>
      <c r="AF178" s="27" t="n">
        <f aca="false">MIN(J177*(1+J$8),MAX(V178,$B$11-SUM(X178:AE178)-SUM(W178:W178)))</f>
        <v>0</v>
      </c>
      <c r="AG178" s="27" t="n">
        <f aca="false">MIN(K177*(1+K$8),MAX(W178,$B$11-SUM(X178:AF178)))</f>
        <v>0</v>
      </c>
      <c r="AI178" s="27" t="n">
        <f aca="false">ROUND(MAX(0,AI177*(1+B$8)-BE178),2)</f>
        <v>0</v>
      </c>
      <c r="AJ178" s="27" t="n">
        <f aca="false">ROUND(MAX(0,AJ177*(1+C$8)-BF178),2)</f>
        <v>0</v>
      </c>
      <c r="AK178" s="27" t="n">
        <f aca="false">ROUND(MAX(0,AK177*(1+D$8)-BG178),2)</f>
        <v>0</v>
      </c>
      <c r="AL178" s="27" t="n">
        <f aca="false">ROUND(MAX(0,AL177*(1+E$8)-BH178),2)</f>
        <v>0</v>
      </c>
      <c r="AM178" s="27" t="n">
        <f aca="false">ROUND(MAX(0,AM177*(1+F$8)-BI178),2)</f>
        <v>0</v>
      </c>
      <c r="AN178" s="27" t="n">
        <f aca="false">ROUND(MAX(0,AN177*(1+G$8)-BJ178),2)</f>
        <v>0</v>
      </c>
      <c r="AO178" s="27" t="n">
        <f aca="false">ROUND(MAX(0,AO177*(1+H$8)-BK178),2)</f>
        <v>0</v>
      </c>
      <c r="AP178" s="27" t="n">
        <f aca="false">ROUND(MAX(0,AP177*(1+I$8)-BL178),2)</f>
        <v>0</v>
      </c>
      <c r="AQ178" s="27" t="n">
        <f aca="false">ROUND(MAX(0,AQ177*(1+J$8)-BM178),2)</f>
        <v>0</v>
      </c>
      <c r="AR178" s="27" t="n">
        <f aca="false">ROUND(MAX(0,AR177*(1+K$8)-BN178),2)</f>
        <v>0</v>
      </c>
      <c r="AS178" s="27" t="n">
        <f aca="false">SUM(AI178:AR178)</f>
        <v>0</v>
      </c>
      <c r="AT178" s="27" t="n">
        <f aca="false">SUMPRODUCT(AI177:AR177,$B$8:$K$8)</f>
        <v>0</v>
      </c>
      <c r="AU178" s="27" t="n">
        <f aca="false">MIN(AI177*(1+B$8),B$9)</f>
        <v>0</v>
      </c>
      <c r="AV178" s="27" t="n">
        <f aca="false">MIN(AJ177*(1+C$8),C$9)</f>
        <v>0</v>
      </c>
      <c r="AW178" s="27" t="n">
        <f aca="false">MIN(AK177*(1+D$8),D$9)</f>
        <v>0</v>
      </c>
      <c r="AX178" s="27" t="n">
        <f aca="false">MIN(AL177*(1+E$8),E$9)</f>
        <v>0</v>
      </c>
      <c r="AY178" s="27" t="n">
        <f aca="false">MIN(AM177*(1+F$8),F$9)</f>
        <v>0</v>
      </c>
      <c r="AZ178" s="27" t="n">
        <f aca="false">MIN(AN177*(1+G$8),G$9)</f>
        <v>0</v>
      </c>
      <c r="BA178" s="27" t="n">
        <f aca="false">MIN(AO177*(1+H$8),H$9)</f>
        <v>0</v>
      </c>
      <c r="BB178" s="27" t="n">
        <f aca="false">MIN(AP177*(1+I$8),I$9)</f>
        <v>0</v>
      </c>
      <c r="BC178" s="27" t="n">
        <f aca="false">MIN(AQ177*(1+J$8),J$9)</f>
        <v>0</v>
      </c>
      <c r="BD178" s="27" t="n">
        <f aca="false">MIN(AR177*(1+K$8),K$9)</f>
        <v>0</v>
      </c>
      <c r="BE178" s="27" t="n">
        <f aca="false">MIN(AI177*(1+B$8),MAX(AU178,$B$12-SUM(AV178:BD178)))</f>
        <v>0</v>
      </c>
      <c r="BF178" s="27" t="n">
        <f aca="false">MIN(AJ177*(1+C$8),MAX(AV178,$B$12-SUM(BE178:BE178)-SUM(AW178:BD178)))</f>
        <v>0</v>
      </c>
      <c r="BG178" s="27" t="n">
        <f aca="false">MIN(AK177*(1+D$8),MAX(AW178,$B$12-SUM(BE178:BF178)-SUM(AX178:BD178)))</f>
        <v>0</v>
      </c>
      <c r="BH178" s="27" t="n">
        <f aca="false">MIN(AL177*(1+E$8),MAX(AX178,$B$12-SUM(BE178:BG178)-SUM(AY178:BD178)))</f>
        <v>0</v>
      </c>
      <c r="BI178" s="27" t="n">
        <f aca="false">MIN(AM177*(1+F$8),MAX(AY178,$B$12-SUM(BE178:BH178)-SUM(AZ178:BD178)))</f>
        <v>0</v>
      </c>
      <c r="BJ178" s="27" t="n">
        <f aca="false">MIN(AN177*(1+G$8),MAX(AZ178,$B$12-SUM(BE178:BI178)-SUM(BA178:BD178)))</f>
        <v>0</v>
      </c>
      <c r="BK178" s="27" t="n">
        <f aca="false">MIN(AO177*(1+H$8),MAX(BA178,$B$12-SUM(BE178:BJ178)-SUM(BB178:BD178)))</f>
        <v>0</v>
      </c>
      <c r="BL178" s="27" t="n">
        <f aca="false">MIN(AP177*(1+I$8),MAX(BB178,$B$12-SUM(BE178:BK178)-SUM(BC178:BD178)))</f>
        <v>0</v>
      </c>
      <c r="BM178" s="27" t="n">
        <f aca="false">MIN(AQ177*(1+J$8),MAX(BC178,$B$12-SUM(BE178:BL178)-SUM(BD178:BD178)))</f>
        <v>0</v>
      </c>
      <c r="BN178" s="27" t="n">
        <f aca="false">MIN(AR177*(1+K$8),MAX(BD178,$B$12-SUM(BE178:BM178)))</f>
        <v>0</v>
      </c>
    </row>
    <row r="179" customFormat="false" ht="15" hidden="false" customHeight="false" outlineLevel="0" collapsed="false">
      <c r="A179" s="0" t="n">
        <v>165</v>
      </c>
      <c r="B179" s="27" t="n">
        <f aca="false">ROUND(MAX(0,B178*(1+B$8)-X179),2)</f>
        <v>0</v>
      </c>
      <c r="C179" s="27" t="n">
        <f aca="false">ROUND(MAX(0,C178*(1+C$8)-Y179),2)</f>
        <v>0</v>
      </c>
      <c r="D179" s="27" t="n">
        <f aca="false">ROUND(MAX(0,D178*(1+D$8)-Z179),2)</f>
        <v>0</v>
      </c>
      <c r="E179" s="27" t="n">
        <f aca="false">ROUND(MAX(0,E178*(1+E$8)-AA179),2)</f>
        <v>0</v>
      </c>
      <c r="F179" s="27" t="n">
        <f aca="false">ROUND(MAX(0,F178*(1+F$8)-AB179),2)</f>
        <v>0</v>
      </c>
      <c r="G179" s="27" t="n">
        <f aca="false">ROUND(MAX(0,G178*(1+G$8)-AC179),2)</f>
        <v>0</v>
      </c>
      <c r="H179" s="27" t="n">
        <f aca="false">ROUND(MAX(0,H178*(1+H$8)-AD179),2)</f>
        <v>0</v>
      </c>
      <c r="I179" s="27" t="n">
        <f aca="false">ROUND(MAX(0,I178*(1+I$8)-AE179),2)</f>
        <v>0</v>
      </c>
      <c r="J179" s="27" t="n">
        <f aca="false">ROUND(MAX(0,J178*(1+J$8)-AF179),2)</f>
        <v>0</v>
      </c>
      <c r="K179" s="27" t="n">
        <f aca="false">ROUND(MAX(0,K178*(1+K$8)-AG179),2)</f>
        <v>0</v>
      </c>
      <c r="L179" s="30" t="n">
        <f aca="false">SUM(B179:K179)</f>
        <v>0</v>
      </c>
      <c r="M179" s="27" t="n">
        <f aca="false">SUMPRODUCT(B178:K178,$B$8:$K$8)</f>
        <v>0</v>
      </c>
      <c r="N179" s="27" t="n">
        <f aca="false">MIN(B178*(1+B$8),B$9)</f>
        <v>0</v>
      </c>
      <c r="O179" s="27" t="n">
        <f aca="false">MIN(C178*(1+C$8),C$9)</f>
        <v>0</v>
      </c>
      <c r="P179" s="27" t="n">
        <f aca="false">MIN(D178*(1+D$8),D$9)</f>
        <v>0</v>
      </c>
      <c r="Q179" s="27" t="n">
        <f aca="false">MIN(E178*(1+E$8),E$9)</f>
        <v>0</v>
      </c>
      <c r="R179" s="27" t="n">
        <f aca="false">MIN(F178*(1+F$8),F$9)</f>
        <v>0</v>
      </c>
      <c r="S179" s="27" t="n">
        <f aca="false">MIN(G178*(1+G$8),G$9)</f>
        <v>0</v>
      </c>
      <c r="T179" s="27" t="n">
        <f aca="false">MIN(H178*(1+H$8),H$9)</f>
        <v>0</v>
      </c>
      <c r="U179" s="27" t="n">
        <f aca="false">MIN(I178*(1+I$8),I$9)</f>
        <v>0</v>
      </c>
      <c r="V179" s="27" t="n">
        <f aca="false">MIN(J178*(1+J$8),J$9)</f>
        <v>0</v>
      </c>
      <c r="W179" s="27" t="n">
        <f aca="false">MIN(K178*(1+K$8),K$9)</f>
        <v>0</v>
      </c>
      <c r="X179" s="27" t="n">
        <f aca="false">MIN(B178*(1+B$8),MAX(N179,$B$11-SUM(O179:W179)))</f>
        <v>0</v>
      </c>
      <c r="Y179" s="27" t="n">
        <f aca="false">MIN(C178*(1+C$8),MAX(O179,$B$11-SUM(X179:X179)-SUM(P179:W179)))</f>
        <v>0</v>
      </c>
      <c r="Z179" s="27" t="n">
        <f aca="false">MIN(D178*(1+D$8),MAX(P179,$B$11-SUM(X179:Y179)-SUM(Q179:W179)))</f>
        <v>0</v>
      </c>
      <c r="AA179" s="27" t="n">
        <f aca="false">MIN(E178*(1+E$8),MAX(Q179,$B$11-SUM(X179:Z179)-SUM(R179:W179)))</f>
        <v>0</v>
      </c>
      <c r="AB179" s="27" t="n">
        <f aca="false">MIN(F178*(1+F$8),MAX(R179,$B$11-SUM(X179:AA179)-SUM(S179:W179)))</f>
        <v>0</v>
      </c>
      <c r="AC179" s="27" t="n">
        <f aca="false">MIN(G178*(1+G$8),MAX(S179,$B$11-SUM(X179:AB179)-SUM(T179:W179)))</f>
        <v>0</v>
      </c>
      <c r="AD179" s="27" t="n">
        <f aca="false">MIN(H178*(1+H$8),MAX(T179,$B$11-SUM(X179:AC179)-SUM(U179:W179)))</f>
        <v>0</v>
      </c>
      <c r="AE179" s="27" t="n">
        <f aca="false">MIN(I178*(1+I$8),MAX(U179,$B$11-SUM(X179:AD179)-SUM(V179:W179)))</f>
        <v>0</v>
      </c>
      <c r="AF179" s="27" t="n">
        <f aca="false">MIN(J178*(1+J$8),MAX(V179,$B$11-SUM(X179:AE179)-SUM(W179:W179)))</f>
        <v>0</v>
      </c>
      <c r="AG179" s="27" t="n">
        <f aca="false">MIN(K178*(1+K$8),MAX(W179,$B$11-SUM(X179:AF179)))</f>
        <v>0</v>
      </c>
      <c r="AI179" s="27" t="n">
        <f aca="false">ROUND(MAX(0,AI178*(1+B$8)-BE179),2)</f>
        <v>0</v>
      </c>
      <c r="AJ179" s="27" t="n">
        <f aca="false">ROUND(MAX(0,AJ178*(1+C$8)-BF179),2)</f>
        <v>0</v>
      </c>
      <c r="AK179" s="27" t="n">
        <f aca="false">ROUND(MAX(0,AK178*(1+D$8)-BG179),2)</f>
        <v>0</v>
      </c>
      <c r="AL179" s="27" t="n">
        <f aca="false">ROUND(MAX(0,AL178*(1+E$8)-BH179),2)</f>
        <v>0</v>
      </c>
      <c r="AM179" s="27" t="n">
        <f aca="false">ROUND(MAX(0,AM178*(1+F$8)-BI179),2)</f>
        <v>0</v>
      </c>
      <c r="AN179" s="27" t="n">
        <f aca="false">ROUND(MAX(0,AN178*(1+G$8)-BJ179),2)</f>
        <v>0</v>
      </c>
      <c r="AO179" s="27" t="n">
        <f aca="false">ROUND(MAX(0,AO178*(1+H$8)-BK179),2)</f>
        <v>0</v>
      </c>
      <c r="AP179" s="27" t="n">
        <f aca="false">ROUND(MAX(0,AP178*(1+I$8)-BL179),2)</f>
        <v>0</v>
      </c>
      <c r="AQ179" s="27" t="n">
        <f aca="false">ROUND(MAX(0,AQ178*(1+J$8)-BM179),2)</f>
        <v>0</v>
      </c>
      <c r="AR179" s="27" t="n">
        <f aca="false">ROUND(MAX(0,AR178*(1+K$8)-BN179),2)</f>
        <v>0</v>
      </c>
      <c r="AS179" s="27" t="n">
        <f aca="false">SUM(AI179:AR179)</f>
        <v>0</v>
      </c>
      <c r="AT179" s="27" t="n">
        <f aca="false">SUMPRODUCT(AI178:AR178,$B$8:$K$8)</f>
        <v>0</v>
      </c>
      <c r="AU179" s="27" t="n">
        <f aca="false">MIN(AI178*(1+B$8),B$9)</f>
        <v>0</v>
      </c>
      <c r="AV179" s="27" t="n">
        <f aca="false">MIN(AJ178*(1+C$8),C$9)</f>
        <v>0</v>
      </c>
      <c r="AW179" s="27" t="n">
        <f aca="false">MIN(AK178*(1+D$8),D$9)</f>
        <v>0</v>
      </c>
      <c r="AX179" s="27" t="n">
        <f aca="false">MIN(AL178*(1+E$8),E$9)</f>
        <v>0</v>
      </c>
      <c r="AY179" s="27" t="n">
        <f aca="false">MIN(AM178*(1+F$8),F$9)</f>
        <v>0</v>
      </c>
      <c r="AZ179" s="27" t="n">
        <f aca="false">MIN(AN178*(1+G$8),G$9)</f>
        <v>0</v>
      </c>
      <c r="BA179" s="27" t="n">
        <f aca="false">MIN(AO178*(1+H$8),H$9)</f>
        <v>0</v>
      </c>
      <c r="BB179" s="27" t="n">
        <f aca="false">MIN(AP178*(1+I$8),I$9)</f>
        <v>0</v>
      </c>
      <c r="BC179" s="27" t="n">
        <f aca="false">MIN(AQ178*(1+J$8),J$9)</f>
        <v>0</v>
      </c>
      <c r="BD179" s="27" t="n">
        <f aca="false">MIN(AR178*(1+K$8),K$9)</f>
        <v>0</v>
      </c>
      <c r="BE179" s="27" t="n">
        <f aca="false">MIN(AI178*(1+B$8),MAX(AU179,$B$12-SUM(AV179:BD179)))</f>
        <v>0</v>
      </c>
      <c r="BF179" s="27" t="n">
        <f aca="false">MIN(AJ178*(1+C$8),MAX(AV179,$B$12-SUM(BE179:BE179)-SUM(AW179:BD179)))</f>
        <v>0</v>
      </c>
      <c r="BG179" s="27" t="n">
        <f aca="false">MIN(AK178*(1+D$8),MAX(AW179,$B$12-SUM(BE179:BF179)-SUM(AX179:BD179)))</f>
        <v>0</v>
      </c>
      <c r="BH179" s="27" t="n">
        <f aca="false">MIN(AL178*(1+E$8),MAX(AX179,$B$12-SUM(BE179:BG179)-SUM(AY179:BD179)))</f>
        <v>0</v>
      </c>
      <c r="BI179" s="27" t="n">
        <f aca="false">MIN(AM178*(1+F$8),MAX(AY179,$B$12-SUM(BE179:BH179)-SUM(AZ179:BD179)))</f>
        <v>0</v>
      </c>
      <c r="BJ179" s="27" t="n">
        <f aca="false">MIN(AN178*(1+G$8),MAX(AZ179,$B$12-SUM(BE179:BI179)-SUM(BA179:BD179)))</f>
        <v>0</v>
      </c>
      <c r="BK179" s="27" t="n">
        <f aca="false">MIN(AO178*(1+H$8),MAX(BA179,$B$12-SUM(BE179:BJ179)-SUM(BB179:BD179)))</f>
        <v>0</v>
      </c>
      <c r="BL179" s="27" t="n">
        <f aca="false">MIN(AP178*(1+I$8),MAX(BB179,$B$12-SUM(BE179:BK179)-SUM(BC179:BD179)))</f>
        <v>0</v>
      </c>
      <c r="BM179" s="27" t="n">
        <f aca="false">MIN(AQ178*(1+J$8),MAX(BC179,$B$12-SUM(BE179:BL179)-SUM(BD179:BD179)))</f>
        <v>0</v>
      </c>
      <c r="BN179" s="27" t="n">
        <f aca="false">MIN(AR178*(1+K$8),MAX(BD179,$B$12-SUM(BE179:BM179)))</f>
        <v>0</v>
      </c>
    </row>
    <row r="180" customFormat="false" ht="15" hidden="false" customHeight="false" outlineLevel="0" collapsed="false">
      <c r="A180" s="0" t="n">
        <v>166</v>
      </c>
      <c r="B180" s="27" t="n">
        <f aca="false">ROUND(MAX(0,B179*(1+B$8)-X180),2)</f>
        <v>0</v>
      </c>
      <c r="C180" s="27" t="n">
        <f aca="false">ROUND(MAX(0,C179*(1+C$8)-Y180),2)</f>
        <v>0</v>
      </c>
      <c r="D180" s="27" t="n">
        <f aca="false">ROUND(MAX(0,D179*(1+D$8)-Z180),2)</f>
        <v>0</v>
      </c>
      <c r="E180" s="27" t="n">
        <f aca="false">ROUND(MAX(0,E179*(1+E$8)-AA180),2)</f>
        <v>0</v>
      </c>
      <c r="F180" s="27" t="n">
        <f aca="false">ROUND(MAX(0,F179*(1+F$8)-AB180),2)</f>
        <v>0</v>
      </c>
      <c r="G180" s="27" t="n">
        <f aca="false">ROUND(MAX(0,G179*(1+G$8)-AC180),2)</f>
        <v>0</v>
      </c>
      <c r="H180" s="27" t="n">
        <f aca="false">ROUND(MAX(0,H179*(1+H$8)-AD180),2)</f>
        <v>0</v>
      </c>
      <c r="I180" s="27" t="n">
        <f aca="false">ROUND(MAX(0,I179*(1+I$8)-AE180),2)</f>
        <v>0</v>
      </c>
      <c r="J180" s="27" t="n">
        <f aca="false">ROUND(MAX(0,J179*(1+J$8)-AF180),2)</f>
        <v>0</v>
      </c>
      <c r="K180" s="27" t="n">
        <f aca="false">ROUND(MAX(0,K179*(1+K$8)-AG180),2)</f>
        <v>0</v>
      </c>
      <c r="L180" s="30" t="n">
        <f aca="false">SUM(B180:K180)</f>
        <v>0</v>
      </c>
      <c r="M180" s="27" t="n">
        <f aca="false">SUMPRODUCT(B179:K179,$B$8:$K$8)</f>
        <v>0</v>
      </c>
      <c r="N180" s="27" t="n">
        <f aca="false">MIN(B179*(1+B$8),B$9)</f>
        <v>0</v>
      </c>
      <c r="O180" s="27" t="n">
        <f aca="false">MIN(C179*(1+C$8),C$9)</f>
        <v>0</v>
      </c>
      <c r="P180" s="27" t="n">
        <f aca="false">MIN(D179*(1+D$8),D$9)</f>
        <v>0</v>
      </c>
      <c r="Q180" s="27" t="n">
        <f aca="false">MIN(E179*(1+E$8),E$9)</f>
        <v>0</v>
      </c>
      <c r="R180" s="27" t="n">
        <f aca="false">MIN(F179*(1+F$8),F$9)</f>
        <v>0</v>
      </c>
      <c r="S180" s="27" t="n">
        <f aca="false">MIN(G179*(1+G$8),G$9)</f>
        <v>0</v>
      </c>
      <c r="T180" s="27" t="n">
        <f aca="false">MIN(H179*(1+H$8),H$9)</f>
        <v>0</v>
      </c>
      <c r="U180" s="27" t="n">
        <f aca="false">MIN(I179*(1+I$8),I$9)</f>
        <v>0</v>
      </c>
      <c r="V180" s="27" t="n">
        <f aca="false">MIN(J179*(1+J$8),J$9)</f>
        <v>0</v>
      </c>
      <c r="W180" s="27" t="n">
        <f aca="false">MIN(K179*(1+K$8),K$9)</f>
        <v>0</v>
      </c>
      <c r="X180" s="27" t="n">
        <f aca="false">MIN(B179*(1+B$8),MAX(N180,$B$11-SUM(O180:W180)))</f>
        <v>0</v>
      </c>
      <c r="Y180" s="27" t="n">
        <f aca="false">MIN(C179*(1+C$8),MAX(O180,$B$11-SUM(X180:X180)-SUM(P180:W180)))</f>
        <v>0</v>
      </c>
      <c r="Z180" s="27" t="n">
        <f aca="false">MIN(D179*(1+D$8),MAX(P180,$B$11-SUM(X180:Y180)-SUM(Q180:W180)))</f>
        <v>0</v>
      </c>
      <c r="AA180" s="27" t="n">
        <f aca="false">MIN(E179*(1+E$8),MAX(Q180,$B$11-SUM(X180:Z180)-SUM(R180:W180)))</f>
        <v>0</v>
      </c>
      <c r="AB180" s="27" t="n">
        <f aca="false">MIN(F179*(1+F$8),MAX(R180,$B$11-SUM(X180:AA180)-SUM(S180:W180)))</f>
        <v>0</v>
      </c>
      <c r="AC180" s="27" t="n">
        <f aca="false">MIN(G179*(1+G$8),MAX(S180,$B$11-SUM(X180:AB180)-SUM(T180:W180)))</f>
        <v>0</v>
      </c>
      <c r="AD180" s="27" t="n">
        <f aca="false">MIN(H179*(1+H$8),MAX(T180,$B$11-SUM(X180:AC180)-SUM(U180:W180)))</f>
        <v>0</v>
      </c>
      <c r="AE180" s="27" t="n">
        <f aca="false">MIN(I179*(1+I$8),MAX(U180,$B$11-SUM(X180:AD180)-SUM(V180:W180)))</f>
        <v>0</v>
      </c>
      <c r="AF180" s="27" t="n">
        <f aca="false">MIN(J179*(1+J$8),MAX(V180,$B$11-SUM(X180:AE180)-SUM(W180:W180)))</f>
        <v>0</v>
      </c>
      <c r="AG180" s="27" t="n">
        <f aca="false">MIN(K179*(1+K$8),MAX(W180,$B$11-SUM(X180:AF180)))</f>
        <v>0</v>
      </c>
      <c r="AI180" s="27" t="n">
        <f aca="false">ROUND(MAX(0,AI179*(1+B$8)-BE180),2)</f>
        <v>0</v>
      </c>
      <c r="AJ180" s="27" t="n">
        <f aca="false">ROUND(MAX(0,AJ179*(1+C$8)-BF180),2)</f>
        <v>0</v>
      </c>
      <c r="AK180" s="27" t="n">
        <f aca="false">ROUND(MAX(0,AK179*(1+D$8)-BG180),2)</f>
        <v>0</v>
      </c>
      <c r="AL180" s="27" t="n">
        <f aca="false">ROUND(MAX(0,AL179*(1+E$8)-BH180),2)</f>
        <v>0</v>
      </c>
      <c r="AM180" s="27" t="n">
        <f aca="false">ROUND(MAX(0,AM179*(1+F$8)-BI180),2)</f>
        <v>0</v>
      </c>
      <c r="AN180" s="27" t="n">
        <f aca="false">ROUND(MAX(0,AN179*(1+G$8)-BJ180),2)</f>
        <v>0</v>
      </c>
      <c r="AO180" s="27" t="n">
        <f aca="false">ROUND(MAX(0,AO179*(1+H$8)-BK180),2)</f>
        <v>0</v>
      </c>
      <c r="AP180" s="27" t="n">
        <f aca="false">ROUND(MAX(0,AP179*(1+I$8)-BL180),2)</f>
        <v>0</v>
      </c>
      <c r="AQ180" s="27" t="n">
        <f aca="false">ROUND(MAX(0,AQ179*(1+J$8)-BM180),2)</f>
        <v>0</v>
      </c>
      <c r="AR180" s="27" t="n">
        <f aca="false">ROUND(MAX(0,AR179*(1+K$8)-BN180),2)</f>
        <v>0</v>
      </c>
      <c r="AS180" s="27" t="n">
        <f aca="false">SUM(AI180:AR180)</f>
        <v>0</v>
      </c>
      <c r="AT180" s="27" t="n">
        <f aca="false">SUMPRODUCT(AI179:AR179,$B$8:$K$8)</f>
        <v>0</v>
      </c>
      <c r="AU180" s="27" t="n">
        <f aca="false">MIN(AI179*(1+B$8),B$9)</f>
        <v>0</v>
      </c>
      <c r="AV180" s="27" t="n">
        <f aca="false">MIN(AJ179*(1+C$8),C$9)</f>
        <v>0</v>
      </c>
      <c r="AW180" s="27" t="n">
        <f aca="false">MIN(AK179*(1+D$8),D$9)</f>
        <v>0</v>
      </c>
      <c r="AX180" s="27" t="n">
        <f aca="false">MIN(AL179*(1+E$8),E$9)</f>
        <v>0</v>
      </c>
      <c r="AY180" s="27" t="n">
        <f aca="false">MIN(AM179*(1+F$8),F$9)</f>
        <v>0</v>
      </c>
      <c r="AZ180" s="27" t="n">
        <f aca="false">MIN(AN179*(1+G$8),G$9)</f>
        <v>0</v>
      </c>
      <c r="BA180" s="27" t="n">
        <f aca="false">MIN(AO179*(1+H$8),H$9)</f>
        <v>0</v>
      </c>
      <c r="BB180" s="27" t="n">
        <f aca="false">MIN(AP179*(1+I$8),I$9)</f>
        <v>0</v>
      </c>
      <c r="BC180" s="27" t="n">
        <f aca="false">MIN(AQ179*(1+J$8),J$9)</f>
        <v>0</v>
      </c>
      <c r="BD180" s="27" t="n">
        <f aca="false">MIN(AR179*(1+K$8),K$9)</f>
        <v>0</v>
      </c>
      <c r="BE180" s="27" t="n">
        <f aca="false">MIN(AI179*(1+B$8),MAX(AU180,$B$12-SUM(AV180:BD180)))</f>
        <v>0</v>
      </c>
      <c r="BF180" s="27" t="n">
        <f aca="false">MIN(AJ179*(1+C$8),MAX(AV180,$B$12-SUM(BE180:BE180)-SUM(AW180:BD180)))</f>
        <v>0</v>
      </c>
      <c r="BG180" s="27" t="n">
        <f aca="false">MIN(AK179*(1+D$8),MAX(AW180,$B$12-SUM(BE180:BF180)-SUM(AX180:BD180)))</f>
        <v>0</v>
      </c>
      <c r="BH180" s="27" t="n">
        <f aca="false">MIN(AL179*(1+E$8),MAX(AX180,$B$12-SUM(BE180:BG180)-SUM(AY180:BD180)))</f>
        <v>0</v>
      </c>
      <c r="BI180" s="27" t="n">
        <f aca="false">MIN(AM179*(1+F$8),MAX(AY180,$B$12-SUM(BE180:BH180)-SUM(AZ180:BD180)))</f>
        <v>0</v>
      </c>
      <c r="BJ180" s="27" t="n">
        <f aca="false">MIN(AN179*(1+G$8),MAX(AZ180,$B$12-SUM(BE180:BI180)-SUM(BA180:BD180)))</f>
        <v>0</v>
      </c>
      <c r="BK180" s="27" t="n">
        <f aca="false">MIN(AO179*(1+H$8),MAX(BA180,$B$12-SUM(BE180:BJ180)-SUM(BB180:BD180)))</f>
        <v>0</v>
      </c>
      <c r="BL180" s="27" t="n">
        <f aca="false">MIN(AP179*(1+I$8),MAX(BB180,$B$12-SUM(BE180:BK180)-SUM(BC180:BD180)))</f>
        <v>0</v>
      </c>
      <c r="BM180" s="27" t="n">
        <f aca="false">MIN(AQ179*(1+J$8),MAX(BC180,$B$12-SUM(BE180:BL180)-SUM(BD180:BD180)))</f>
        <v>0</v>
      </c>
      <c r="BN180" s="27" t="n">
        <f aca="false">MIN(AR179*(1+K$8),MAX(BD180,$B$12-SUM(BE180:BM180)))</f>
        <v>0</v>
      </c>
    </row>
    <row r="181" customFormat="false" ht="15" hidden="false" customHeight="false" outlineLevel="0" collapsed="false">
      <c r="A181" s="0" t="n">
        <v>167</v>
      </c>
      <c r="B181" s="27" t="n">
        <f aca="false">ROUND(MAX(0,B180*(1+B$8)-X181),2)</f>
        <v>0</v>
      </c>
      <c r="C181" s="27" t="n">
        <f aca="false">ROUND(MAX(0,C180*(1+C$8)-Y181),2)</f>
        <v>0</v>
      </c>
      <c r="D181" s="27" t="n">
        <f aca="false">ROUND(MAX(0,D180*(1+D$8)-Z181),2)</f>
        <v>0</v>
      </c>
      <c r="E181" s="27" t="n">
        <f aca="false">ROUND(MAX(0,E180*(1+E$8)-AA181),2)</f>
        <v>0</v>
      </c>
      <c r="F181" s="27" t="n">
        <f aca="false">ROUND(MAX(0,F180*(1+F$8)-AB181),2)</f>
        <v>0</v>
      </c>
      <c r="G181" s="27" t="n">
        <f aca="false">ROUND(MAX(0,G180*(1+G$8)-AC181),2)</f>
        <v>0</v>
      </c>
      <c r="H181" s="27" t="n">
        <f aca="false">ROUND(MAX(0,H180*(1+H$8)-AD181),2)</f>
        <v>0</v>
      </c>
      <c r="I181" s="27" t="n">
        <f aca="false">ROUND(MAX(0,I180*(1+I$8)-AE181),2)</f>
        <v>0</v>
      </c>
      <c r="J181" s="27" t="n">
        <f aca="false">ROUND(MAX(0,J180*(1+J$8)-AF181),2)</f>
        <v>0</v>
      </c>
      <c r="K181" s="27" t="n">
        <f aca="false">ROUND(MAX(0,K180*(1+K$8)-AG181),2)</f>
        <v>0</v>
      </c>
      <c r="L181" s="30" t="n">
        <f aca="false">SUM(B181:K181)</f>
        <v>0</v>
      </c>
      <c r="M181" s="27" t="n">
        <f aca="false">SUMPRODUCT(B180:K180,$B$8:$K$8)</f>
        <v>0</v>
      </c>
      <c r="N181" s="27" t="n">
        <f aca="false">MIN(B180*(1+B$8),B$9)</f>
        <v>0</v>
      </c>
      <c r="O181" s="27" t="n">
        <f aca="false">MIN(C180*(1+C$8),C$9)</f>
        <v>0</v>
      </c>
      <c r="P181" s="27" t="n">
        <f aca="false">MIN(D180*(1+D$8),D$9)</f>
        <v>0</v>
      </c>
      <c r="Q181" s="27" t="n">
        <f aca="false">MIN(E180*(1+E$8),E$9)</f>
        <v>0</v>
      </c>
      <c r="R181" s="27" t="n">
        <f aca="false">MIN(F180*(1+F$8),F$9)</f>
        <v>0</v>
      </c>
      <c r="S181" s="27" t="n">
        <f aca="false">MIN(G180*(1+G$8),G$9)</f>
        <v>0</v>
      </c>
      <c r="T181" s="27" t="n">
        <f aca="false">MIN(H180*(1+H$8),H$9)</f>
        <v>0</v>
      </c>
      <c r="U181" s="27" t="n">
        <f aca="false">MIN(I180*(1+I$8),I$9)</f>
        <v>0</v>
      </c>
      <c r="V181" s="27" t="n">
        <f aca="false">MIN(J180*(1+J$8),J$9)</f>
        <v>0</v>
      </c>
      <c r="W181" s="27" t="n">
        <f aca="false">MIN(K180*(1+K$8),K$9)</f>
        <v>0</v>
      </c>
      <c r="X181" s="27" t="n">
        <f aca="false">MIN(B180*(1+B$8),MAX(N181,$B$11-SUM(O181:W181)))</f>
        <v>0</v>
      </c>
      <c r="Y181" s="27" t="n">
        <f aca="false">MIN(C180*(1+C$8),MAX(O181,$B$11-SUM(X181:X181)-SUM(P181:W181)))</f>
        <v>0</v>
      </c>
      <c r="Z181" s="27" t="n">
        <f aca="false">MIN(D180*(1+D$8),MAX(P181,$B$11-SUM(X181:Y181)-SUM(Q181:W181)))</f>
        <v>0</v>
      </c>
      <c r="AA181" s="27" t="n">
        <f aca="false">MIN(E180*(1+E$8),MAX(Q181,$B$11-SUM(X181:Z181)-SUM(R181:W181)))</f>
        <v>0</v>
      </c>
      <c r="AB181" s="27" t="n">
        <f aca="false">MIN(F180*(1+F$8),MAX(R181,$B$11-SUM(X181:AA181)-SUM(S181:W181)))</f>
        <v>0</v>
      </c>
      <c r="AC181" s="27" t="n">
        <f aca="false">MIN(G180*(1+G$8),MAX(S181,$B$11-SUM(X181:AB181)-SUM(T181:W181)))</f>
        <v>0</v>
      </c>
      <c r="AD181" s="27" t="n">
        <f aca="false">MIN(H180*(1+H$8),MAX(T181,$B$11-SUM(X181:AC181)-SUM(U181:W181)))</f>
        <v>0</v>
      </c>
      <c r="AE181" s="27" t="n">
        <f aca="false">MIN(I180*(1+I$8),MAX(U181,$B$11-SUM(X181:AD181)-SUM(V181:W181)))</f>
        <v>0</v>
      </c>
      <c r="AF181" s="27" t="n">
        <f aca="false">MIN(J180*(1+J$8),MAX(V181,$B$11-SUM(X181:AE181)-SUM(W181:W181)))</f>
        <v>0</v>
      </c>
      <c r="AG181" s="27" t="n">
        <f aca="false">MIN(K180*(1+K$8),MAX(W181,$B$11-SUM(X181:AF181)))</f>
        <v>0</v>
      </c>
      <c r="AI181" s="27" t="n">
        <f aca="false">ROUND(MAX(0,AI180*(1+B$8)-BE181),2)</f>
        <v>0</v>
      </c>
      <c r="AJ181" s="27" t="n">
        <f aca="false">ROUND(MAX(0,AJ180*(1+C$8)-BF181),2)</f>
        <v>0</v>
      </c>
      <c r="AK181" s="27" t="n">
        <f aca="false">ROUND(MAX(0,AK180*(1+D$8)-BG181),2)</f>
        <v>0</v>
      </c>
      <c r="AL181" s="27" t="n">
        <f aca="false">ROUND(MAX(0,AL180*(1+E$8)-BH181),2)</f>
        <v>0</v>
      </c>
      <c r="AM181" s="27" t="n">
        <f aca="false">ROUND(MAX(0,AM180*(1+F$8)-BI181),2)</f>
        <v>0</v>
      </c>
      <c r="AN181" s="27" t="n">
        <f aca="false">ROUND(MAX(0,AN180*(1+G$8)-BJ181),2)</f>
        <v>0</v>
      </c>
      <c r="AO181" s="27" t="n">
        <f aca="false">ROUND(MAX(0,AO180*(1+H$8)-BK181),2)</f>
        <v>0</v>
      </c>
      <c r="AP181" s="27" t="n">
        <f aca="false">ROUND(MAX(0,AP180*(1+I$8)-BL181),2)</f>
        <v>0</v>
      </c>
      <c r="AQ181" s="27" t="n">
        <f aca="false">ROUND(MAX(0,AQ180*(1+J$8)-BM181),2)</f>
        <v>0</v>
      </c>
      <c r="AR181" s="27" t="n">
        <f aca="false">ROUND(MAX(0,AR180*(1+K$8)-BN181),2)</f>
        <v>0</v>
      </c>
      <c r="AS181" s="27" t="n">
        <f aca="false">SUM(AI181:AR181)</f>
        <v>0</v>
      </c>
      <c r="AT181" s="27" t="n">
        <f aca="false">SUMPRODUCT(AI180:AR180,$B$8:$K$8)</f>
        <v>0</v>
      </c>
      <c r="AU181" s="27" t="n">
        <f aca="false">MIN(AI180*(1+B$8),B$9)</f>
        <v>0</v>
      </c>
      <c r="AV181" s="27" t="n">
        <f aca="false">MIN(AJ180*(1+C$8),C$9)</f>
        <v>0</v>
      </c>
      <c r="AW181" s="27" t="n">
        <f aca="false">MIN(AK180*(1+D$8),D$9)</f>
        <v>0</v>
      </c>
      <c r="AX181" s="27" t="n">
        <f aca="false">MIN(AL180*(1+E$8),E$9)</f>
        <v>0</v>
      </c>
      <c r="AY181" s="27" t="n">
        <f aca="false">MIN(AM180*(1+F$8),F$9)</f>
        <v>0</v>
      </c>
      <c r="AZ181" s="27" t="n">
        <f aca="false">MIN(AN180*(1+G$8),G$9)</f>
        <v>0</v>
      </c>
      <c r="BA181" s="27" t="n">
        <f aca="false">MIN(AO180*(1+H$8),H$9)</f>
        <v>0</v>
      </c>
      <c r="BB181" s="27" t="n">
        <f aca="false">MIN(AP180*(1+I$8),I$9)</f>
        <v>0</v>
      </c>
      <c r="BC181" s="27" t="n">
        <f aca="false">MIN(AQ180*(1+J$8),J$9)</f>
        <v>0</v>
      </c>
      <c r="BD181" s="27" t="n">
        <f aca="false">MIN(AR180*(1+K$8),K$9)</f>
        <v>0</v>
      </c>
      <c r="BE181" s="27" t="n">
        <f aca="false">MIN(AI180*(1+B$8),MAX(AU181,$B$12-SUM(AV181:BD181)))</f>
        <v>0</v>
      </c>
      <c r="BF181" s="27" t="n">
        <f aca="false">MIN(AJ180*(1+C$8),MAX(AV181,$B$12-SUM(BE181:BE181)-SUM(AW181:BD181)))</f>
        <v>0</v>
      </c>
      <c r="BG181" s="27" t="n">
        <f aca="false">MIN(AK180*(1+D$8),MAX(AW181,$B$12-SUM(BE181:BF181)-SUM(AX181:BD181)))</f>
        <v>0</v>
      </c>
      <c r="BH181" s="27" t="n">
        <f aca="false">MIN(AL180*(1+E$8),MAX(AX181,$B$12-SUM(BE181:BG181)-SUM(AY181:BD181)))</f>
        <v>0</v>
      </c>
      <c r="BI181" s="27" t="n">
        <f aca="false">MIN(AM180*(1+F$8),MAX(AY181,$B$12-SUM(BE181:BH181)-SUM(AZ181:BD181)))</f>
        <v>0</v>
      </c>
      <c r="BJ181" s="27" t="n">
        <f aca="false">MIN(AN180*(1+G$8),MAX(AZ181,$B$12-SUM(BE181:BI181)-SUM(BA181:BD181)))</f>
        <v>0</v>
      </c>
      <c r="BK181" s="27" t="n">
        <f aca="false">MIN(AO180*(1+H$8),MAX(BA181,$B$12-SUM(BE181:BJ181)-SUM(BB181:BD181)))</f>
        <v>0</v>
      </c>
      <c r="BL181" s="27" t="n">
        <f aca="false">MIN(AP180*(1+I$8),MAX(BB181,$B$12-SUM(BE181:BK181)-SUM(BC181:BD181)))</f>
        <v>0</v>
      </c>
      <c r="BM181" s="27" t="n">
        <f aca="false">MIN(AQ180*(1+J$8),MAX(BC181,$B$12-SUM(BE181:BL181)-SUM(BD181:BD181)))</f>
        <v>0</v>
      </c>
      <c r="BN181" s="27" t="n">
        <f aca="false">MIN(AR180*(1+K$8),MAX(BD181,$B$12-SUM(BE181:BM181)))</f>
        <v>0</v>
      </c>
    </row>
    <row r="182" customFormat="false" ht="15" hidden="false" customHeight="false" outlineLevel="0" collapsed="false">
      <c r="A182" s="0" t="n">
        <v>168</v>
      </c>
      <c r="B182" s="27" t="n">
        <f aca="false">ROUND(MAX(0,B181*(1+B$8)-X182),2)</f>
        <v>0</v>
      </c>
      <c r="C182" s="27" t="n">
        <f aca="false">ROUND(MAX(0,C181*(1+C$8)-Y182),2)</f>
        <v>0</v>
      </c>
      <c r="D182" s="27" t="n">
        <f aca="false">ROUND(MAX(0,D181*(1+D$8)-Z182),2)</f>
        <v>0</v>
      </c>
      <c r="E182" s="27" t="n">
        <f aca="false">ROUND(MAX(0,E181*(1+E$8)-AA182),2)</f>
        <v>0</v>
      </c>
      <c r="F182" s="27" t="n">
        <f aca="false">ROUND(MAX(0,F181*(1+F$8)-AB182),2)</f>
        <v>0</v>
      </c>
      <c r="G182" s="27" t="n">
        <f aca="false">ROUND(MAX(0,G181*(1+G$8)-AC182),2)</f>
        <v>0</v>
      </c>
      <c r="H182" s="27" t="n">
        <f aca="false">ROUND(MAX(0,H181*(1+H$8)-AD182),2)</f>
        <v>0</v>
      </c>
      <c r="I182" s="27" t="n">
        <f aca="false">ROUND(MAX(0,I181*(1+I$8)-AE182),2)</f>
        <v>0</v>
      </c>
      <c r="J182" s="27" t="n">
        <f aca="false">ROUND(MAX(0,J181*(1+J$8)-AF182),2)</f>
        <v>0</v>
      </c>
      <c r="K182" s="27" t="n">
        <f aca="false">ROUND(MAX(0,K181*(1+K$8)-AG182),2)</f>
        <v>0</v>
      </c>
      <c r="L182" s="30" t="n">
        <f aca="false">SUM(B182:K182)</f>
        <v>0</v>
      </c>
      <c r="M182" s="27" t="n">
        <f aca="false">SUMPRODUCT(B181:K181,$B$8:$K$8)</f>
        <v>0</v>
      </c>
      <c r="N182" s="27" t="n">
        <f aca="false">MIN(B181*(1+B$8),B$9)</f>
        <v>0</v>
      </c>
      <c r="O182" s="27" t="n">
        <f aca="false">MIN(C181*(1+C$8),C$9)</f>
        <v>0</v>
      </c>
      <c r="P182" s="27" t="n">
        <f aca="false">MIN(D181*(1+D$8),D$9)</f>
        <v>0</v>
      </c>
      <c r="Q182" s="27" t="n">
        <f aca="false">MIN(E181*(1+E$8),E$9)</f>
        <v>0</v>
      </c>
      <c r="R182" s="27" t="n">
        <f aca="false">MIN(F181*(1+F$8),F$9)</f>
        <v>0</v>
      </c>
      <c r="S182" s="27" t="n">
        <f aca="false">MIN(G181*(1+G$8),G$9)</f>
        <v>0</v>
      </c>
      <c r="T182" s="27" t="n">
        <f aca="false">MIN(H181*(1+H$8),H$9)</f>
        <v>0</v>
      </c>
      <c r="U182" s="27" t="n">
        <f aca="false">MIN(I181*(1+I$8),I$9)</f>
        <v>0</v>
      </c>
      <c r="V182" s="27" t="n">
        <f aca="false">MIN(J181*(1+J$8),J$9)</f>
        <v>0</v>
      </c>
      <c r="W182" s="27" t="n">
        <f aca="false">MIN(K181*(1+K$8),K$9)</f>
        <v>0</v>
      </c>
      <c r="X182" s="27" t="n">
        <f aca="false">MIN(B181*(1+B$8),MAX(N182,$B$11-SUM(O182:W182)))</f>
        <v>0</v>
      </c>
      <c r="Y182" s="27" t="n">
        <f aca="false">MIN(C181*(1+C$8),MAX(O182,$B$11-SUM(X182:X182)-SUM(P182:W182)))</f>
        <v>0</v>
      </c>
      <c r="Z182" s="27" t="n">
        <f aca="false">MIN(D181*(1+D$8),MAX(P182,$B$11-SUM(X182:Y182)-SUM(Q182:W182)))</f>
        <v>0</v>
      </c>
      <c r="AA182" s="27" t="n">
        <f aca="false">MIN(E181*(1+E$8),MAX(Q182,$B$11-SUM(X182:Z182)-SUM(R182:W182)))</f>
        <v>0</v>
      </c>
      <c r="AB182" s="27" t="n">
        <f aca="false">MIN(F181*(1+F$8),MAX(R182,$B$11-SUM(X182:AA182)-SUM(S182:W182)))</f>
        <v>0</v>
      </c>
      <c r="AC182" s="27" t="n">
        <f aca="false">MIN(G181*(1+G$8),MAX(S182,$B$11-SUM(X182:AB182)-SUM(T182:W182)))</f>
        <v>0</v>
      </c>
      <c r="AD182" s="27" t="n">
        <f aca="false">MIN(H181*(1+H$8),MAX(T182,$B$11-SUM(X182:AC182)-SUM(U182:W182)))</f>
        <v>0</v>
      </c>
      <c r="AE182" s="27" t="n">
        <f aca="false">MIN(I181*(1+I$8),MAX(U182,$B$11-SUM(X182:AD182)-SUM(V182:W182)))</f>
        <v>0</v>
      </c>
      <c r="AF182" s="27" t="n">
        <f aca="false">MIN(J181*(1+J$8),MAX(V182,$B$11-SUM(X182:AE182)-SUM(W182:W182)))</f>
        <v>0</v>
      </c>
      <c r="AG182" s="27" t="n">
        <f aca="false">MIN(K181*(1+K$8),MAX(W182,$B$11-SUM(X182:AF182)))</f>
        <v>0</v>
      </c>
      <c r="AI182" s="27" t="n">
        <f aca="false">ROUND(MAX(0,AI181*(1+B$8)-BE182),2)</f>
        <v>0</v>
      </c>
      <c r="AJ182" s="27" t="n">
        <f aca="false">ROUND(MAX(0,AJ181*(1+C$8)-BF182),2)</f>
        <v>0</v>
      </c>
      <c r="AK182" s="27" t="n">
        <f aca="false">ROUND(MAX(0,AK181*(1+D$8)-BG182),2)</f>
        <v>0</v>
      </c>
      <c r="AL182" s="27" t="n">
        <f aca="false">ROUND(MAX(0,AL181*(1+E$8)-BH182),2)</f>
        <v>0</v>
      </c>
      <c r="AM182" s="27" t="n">
        <f aca="false">ROUND(MAX(0,AM181*(1+F$8)-BI182),2)</f>
        <v>0</v>
      </c>
      <c r="AN182" s="27" t="n">
        <f aca="false">ROUND(MAX(0,AN181*(1+G$8)-BJ182),2)</f>
        <v>0</v>
      </c>
      <c r="AO182" s="27" t="n">
        <f aca="false">ROUND(MAX(0,AO181*(1+H$8)-BK182),2)</f>
        <v>0</v>
      </c>
      <c r="AP182" s="27" t="n">
        <f aca="false">ROUND(MAX(0,AP181*(1+I$8)-BL182),2)</f>
        <v>0</v>
      </c>
      <c r="AQ182" s="27" t="n">
        <f aca="false">ROUND(MAX(0,AQ181*(1+J$8)-BM182),2)</f>
        <v>0</v>
      </c>
      <c r="AR182" s="27" t="n">
        <f aca="false">ROUND(MAX(0,AR181*(1+K$8)-BN182),2)</f>
        <v>0</v>
      </c>
      <c r="AS182" s="27" t="n">
        <f aca="false">SUM(AI182:AR182)</f>
        <v>0</v>
      </c>
      <c r="AT182" s="27" t="n">
        <f aca="false">SUMPRODUCT(AI181:AR181,$B$8:$K$8)</f>
        <v>0</v>
      </c>
      <c r="AU182" s="27" t="n">
        <f aca="false">MIN(AI181*(1+B$8),B$9)</f>
        <v>0</v>
      </c>
      <c r="AV182" s="27" t="n">
        <f aca="false">MIN(AJ181*(1+C$8),C$9)</f>
        <v>0</v>
      </c>
      <c r="AW182" s="27" t="n">
        <f aca="false">MIN(AK181*(1+D$8),D$9)</f>
        <v>0</v>
      </c>
      <c r="AX182" s="27" t="n">
        <f aca="false">MIN(AL181*(1+E$8),E$9)</f>
        <v>0</v>
      </c>
      <c r="AY182" s="27" t="n">
        <f aca="false">MIN(AM181*(1+F$8),F$9)</f>
        <v>0</v>
      </c>
      <c r="AZ182" s="27" t="n">
        <f aca="false">MIN(AN181*(1+G$8),G$9)</f>
        <v>0</v>
      </c>
      <c r="BA182" s="27" t="n">
        <f aca="false">MIN(AO181*(1+H$8),H$9)</f>
        <v>0</v>
      </c>
      <c r="BB182" s="27" t="n">
        <f aca="false">MIN(AP181*(1+I$8),I$9)</f>
        <v>0</v>
      </c>
      <c r="BC182" s="27" t="n">
        <f aca="false">MIN(AQ181*(1+J$8),J$9)</f>
        <v>0</v>
      </c>
      <c r="BD182" s="27" t="n">
        <f aca="false">MIN(AR181*(1+K$8),K$9)</f>
        <v>0</v>
      </c>
      <c r="BE182" s="27" t="n">
        <f aca="false">MIN(AI181*(1+B$8),MAX(AU182,$B$12-SUM(AV182:BD182)))</f>
        <v>0</v>
      </c>
      <c r="BF182" s="27" t="n">
        <f aca="false">MIN(AJ181*(1+C$8),MAX(AV182,$B$12-SUM(BE182:BE182)-SUM(AW182:BD182)))</f>
        <v>0</v>
      </c>
      <c r="BG182" s="27" t="n">
        <f aca="false">MIN(AK181*(1+D$8),MAX(AW182,$B$12-SUM(BE182:BF182)-SUM(AX182:BD182)))</f>
        <v>0</v>
      </c>
      <c r="BH182" s="27" t="n">
        <f aca="false">MIN(AL181*(1+E$8),MAX(AX182,$B$12-SUM(BE182:BG182)-SUM(AY182:BD182)))</f>
        <v>0</v>
      </c>
      <c r="BI182" s="27" t="n">
        <f aca="false">MIN(AM181*(1+F$8),MAX(AY182,$B$12-SUM(BE182:BH182)-SUM(AZ182:BD182)))</f>
        <v>0</v>
      </c>
      <c r="BJ182" s="27" t="n">
        <f aca="false">MIN(AN181*(1+G$8),MAX(AZ182,$B$12-SUM(BE182:BI182)-SUM(BA182:BD182)))</f>
        <v>0</v>
      </c>
      <c r="BK182" s="27" t="n">
        <f aca="false">MIN(AO181*(1+H$8),MAX(BA182,$B$12-SUM(BE182:BJ182)-SUM(BB182:BD182)))</f>
        <v>0</v>
      </c>
      <c r="BL182" s="27" t="n">
        <f aca="false">MIN(AP181*(1+I$8),MAX(BB182,$B$12-SUM(BE182:BK182)-SUM(BC182:BD182)))</f>
        <v>0</v>
      </c>
      <c r="BM182" s="27" t="n">
        <f aca="false">MIN(AQ181*(1+J$8),MAX(BC182,$B$12-SUM(BE182:BL182)-SUM(BD182:BD182)))</f>
        <v>0</v>
      </c>
      <c r="BN182" s="27" t="n">
        <f aca="false">MIN(AR181*(1+K$8),MAX(BD182,$B$12-SUM(BE182:BM182)))</f>
        <v>0</v>
      </c>
    </row>
    <row r="183" customFormat="false" ht="15" hidden="false" customHeight="false" outlineLevel="0" collapsed="false">
      <c r="A183" s="0" t="n">
        <v>169</v>
      </c>
      <c r="B183" s="27" t="n">
        <f aca="false">ROUND(MAX(0,B182*(1+B$8)-X183),2)</f>
        <v>0</v>
      </c>
      <c r="C183" s="27" t="n">
        <f aca="false">ROUND(MAX(0,C182*(1+C$8)-Y183),2)</f>
        <v>0</v>
      </c>
      <c r="D183" s="27" t="n">
        <f aca="false">ROUND(MAX(0,D182*(1+D$8)-Z183),2)</f>
        <v>0</v>
      </c>
      <c r="E183" s="27" t="n">
        <f aca="false">ROUND(MAX(0,E182*(1+E$8)-AA183),2)</f>
        <v>0</v>
      </c>
      <c r="F183" s="27" t="n">
        <f aca="false">ROUND(MAX(0,F182*(1+F$8)-AB183),2)</f>
        <v>0</v>
      </c>
      <c r="G183" s="27" t="n">
        <f aca="false">ROUND(MAX(0,G182*(1+G$8)-AC183),2)</f>
        <v>0</v>
      </c>
      <c r="H183" s="27" t="n">
        <f aca="false">ROUND(MAX(0,H182*(1+H$8)-AD183),2)</f>
        <v>0</v>
      </c>
      <c r="I183" s="27" t="n">
        <f aca="false">ROUND(MAX(0,I182*(1+I$8)-AE183),2)</f>
        <v>0</v>
      </c>
      <c r="J183" s="27" t="n">
        <f aca="false">ROUND(MAX(0,J182*(1+J$8)-AF183),2)</f>
        <v>0</v>
      </c>
      <c r="K183" s="27" t="n">
        <f aca="false">ROUND(MAX(0,K182*(1+K$8)-AG183),2)</f>
        <v>0</v>
      </c>
      <c r="L183" s="30" t="n">
        <f aca="false">SUM(B183:K183)</f>
        <v>0</v>
      </c>
      <c r="M183" s="27" t="n">
        <f aca="false">SUMPRODUCT(B182:K182,$B$8:$K$8)</f>
        <v>0</v>
      </c>
      <c r="N183" s="27" t="n">
        <f aca="false">MIN(B182*(1+B$8),B$9)</f>
        <v>0</v>
      </c>
      <c r="O183" s="27" t="n">
        <f aca="false">MIN(C182*(1+C$8),C$9)</f>
        <v>0</v>
      </c>
      <c r="P183" s="27" t="n">
        <f aca="false">MIN(D182*(1+D$8),D$9)</f>
        <v>0</v>
      </c>
      <c r="Q183" s="27" t="n">
        <f aca="false">MIN(E182*(1+E$8),E$9)</f>
        <v>0</v>
      </c>
      <c r="R183" s="27" t="n">
        <f aca="false">MIN(F182*(1+F$8),F$9)</f>
        <v>0</v>
      </c>
      <c r="S183" s="27" t="n">
        <f aca="false">MIN(G182*(1+G$8),G$9)</f>
        <v>0</v>
      </c>
      <c r="T183" s="27" t="n">
        <f aca="false">MIN(H182*(1+H$8),H$9)</f>
        <v>0</v>
      </c>
      <c r="U183" s="27" t="n">
        <f aca="false">MIN(I182*(1+I$8),I$9)</f>
        <v>0</v>
      </c>
      <c r="V183" s="27" t="n">
        <f aca="false">MIN(J182*(1+J$8),J$9)</f>
        <v>0</v>
      </c>
      <c r="W183" s="27" t="n">
        <f aca="false">MIN(K182*(1+K$8),K$9)</f>
        <v>0</v>
      </c>
      <c r="X183" s="27" t="n">
        <f aca="false">MIN(B182*(1+B$8),MAX(N183,$B$11-SUM(O183:W183)))</f>
        <v>0</v>
      </c>
      <c r="Y183" s="27" t="n">
        <f aca="false">MIN(C182*(1+C$8),MAX(O183,$B$11-SUM(X183:X183)-SUM(P183:W183)))</f>
        <v>0</v>
      </c>
      <c r="Z183" s="27" t="n">
        <f aca="false">MIN(D182*(1+D$8),MAX(P183,$B$11-SUM(X183:Y183)-SUM(Q183:W183)))</f>
        <v>0</v>
      </c>
      <c r="AA183" s="27" t="n">
        <f aca="false">MIN(E182*(1+E$8),MAX(Q183,$B$11-SUM(X183:Z183)-SUM(R183:W183)))</f>
        <v>0</v>
      </c>
      <c r="AB183" s="27" t="n">
        <f aca="false">MIN(F182*(1+F$8),MAX(R183,$B$11-SUM(X183:AA183)-SUM(S183:W183)))</f>
        <v>0</v>
      </c>
      <c r="AC183" s="27" t="n">
        <f aca="false">MIN(G182*(1+G$8),MAX(S183,$B$11-SUM(X183:AB183)-SUM(T183:W183)))</f>
        <v>0</v>
      </c>
      <c r="AD183" s="27" t="n">
        <f aca="false">MIN(H182*(1+H$8),MAX(T183,$B$11-SUM(X183:AC183)-SUM(U183:W183)))</f>
        <v>0</v>
      </c>
      <c r="AE183" s="27" t="n">
        <f aca="false">MIN(I182*(1+I$8),MAX(U183,$B$11-SUM(X183:AD183)-SUM(V183:W183)))</f>
        <v>0</v>
      </c>
      <c r="AF183" s="27" t="n">
        <f aca="false">MIN(J182*(1+J$8),MAX(V183,$B$11-SUM(X183:AE183)-SUM(W183:W183)))</f>
        <v>0</v>
      </c>
      <c r="AG183" s="27" t="n">
        <f aca="false">MIN(K182*(1+K$8),MAX(W183,$B$11-SUM(X183:AF183)))</f>
        <v>0</v>
      </c>
      <c r="AI183" s="27" t="n">
        <f aca="false">ROUND(MAX(0,AI182*(1+B$8)-BE183),2)</f>
        <v>0</v>
      </c>
      <c r="AJ183" s="27" t="n">
        <f aca="false">ROUND(MAX(0,AJ182*(1+C$8)-BF183),2)</f>
        <v>0</v>
      </c>
      <c r="AK183" s="27" t="n">
        <f aca="false">ROUND(MAX(0,AK182*(1+D$8)-BG183),2)</f>
        <v>0</v>
      </c>
      <c r="AL183" s="27" t="n">
        <f aca="false">ROUND(MAX(0,AL182*(1+E$8)-BH183),2)</f>
        <v>0</v>
      </c>
      <c r="AM183" s="27" t="n">
        <f aca="false">ROUND(MAX(0,AM182*(1+F$8)-BI183),2)</f>
        <v>0</v>
      </c>
      <c r="AN183" s="27" t="n">
        <f aca="false">ROUND(MAX(0,AN182*(1+G$8)-BJ183),2)</f>
        <v>0</v>
      </c>
      <c r="AO183" s="27" t="n">
        <f aca="false">ROUND(MAX(0,AO182*(1+H$8)-BK183),2)</f>
        <v>0</v>
      </c>
      <c r="AP183" s="27" t="n">
        <f aca="false">ROUND(MAX(0,AP182*(1+I$8)-BL183),2)</f>
        <v>0</v>
      </c>
      <c r="AQ183" s="27" t="n">
        <f aca="false">ROUND(MAX(0,AQ182*(1+J$8)-BM183),2)</f>
        <v>0</v>
      </c>
      <c r="AR183" s="27" t="n">
        <f aca="false">ROUND(MAX(0,AR182*(1+K$8)-BN183),2)</f>
        <v>0</v>
      </c>
      <c r="AS183" s="27" t="n">
        <f aca="false">SUM(AI183:AR183)</f>
        <v>0</v>
      </c>
      <c r="AT183" s="27" t="n">
        <f aca="false">SUMPRODUCT(AI182:AR182,$B$8:$K$8)</f>
        <v>0</v>
      </c>
      <c r="AU183" s="27" t="n">
        <f aca="false">MIN(AI182*(1+B$8),B$9)</f>
        <v>0</v>
      </c>
      <c r="AV183" s="27" t="n">
        <f aca="false">MIN(AJ182*(1+C$8),C$9)</f>
        <v>0</v>
      </c>
      <c r="AW183" s="27" t="n">
        <f aca="false">MIN(AK182*(1+D$8),D$9)</f>
        <v>0</v>
      </c>
      <c r="AX183" s="27" t="n">
        <f aca="false">MIN(AL182*(1+E$8),E$9)</f>
        <v>0</v>
      </c>
      <c r="AY183" s="27" t="n">
        <f aca="false">MIN(AM182*(1+F$8),F$9)</f>
        <v>0</v>
      </c>
      <c r="AZ183" s="27" t="n">
        <f aca="false">MIN(AN182*(1+G$8),G$9)</f>
        <v>0</v>
      </c>
      <c r="BA183" s="27" t="n">
        <f aca="false">MIN(AO182*(1+H$8),H$9)</f>
        <v>0</v>
      </c>
      <c r="BB183" s="27" t="n">
        <f aca="false">MIN(AP182*(1+I$8),I$9)</f>
        <v>0</v>
      </c>
      <c r="BC183" s="27" t="n">
        <f aca="false">MIN(AQ182*(1+J$8),J$9)</f>
        <v>0</v>
      </c>
      <c r="BD183" s="27" t="n">
        <f aca="false">MIN(AR182*(1+K$8),K$9)</f>
        <v>0</v>
      </c>
      <c r="BE183" s="27" t="n">
        <f aca="false">MIN(AI182*(1+B$8),MAX(AU183,$B$12-SUM(AV183:BD183)))</f>
        <v>0</v>
      </c>
      <c r="BF183" s="27" t="n">
        <f aca="false">MIN(AJ182*(1+C$8),MAX(AV183,$B$12-SUM(BE183:BE183)-SUM(AW183:BD183)))</f>
        <v>0</v>
      </c>
      <c r="BG183" s="27" t="n">
        <f aca="false">MIN(AK182*(1+D$8),MAX(AW183,$B$12-SUM(BE183:BF183)-SUM(AX183:BD183)))</f>
        <v>0</v>
      </c>
      <c r="BH183" s="27" t="n">
        <f aca="false">MIN(AL182*(1+E$8),MAX(AX183,$B$12-SUM(BE183:BG183)-SUM(AY183:BD183)))</f>
        <v>0</v>
      </c>
      <c r="BI183" s="27" t="n">
        <f aca="false">MIN(AM182*(1+F$8),MAX(AY183,$B$12-SUM(BE183:BH183)-SUM(AZ183:BD183)))</f>
        <v>0</v>
      </c>
      <c r="BJ183" s="27" t="n">
        <f aca="false">MIN(AN182*(1+G$8),MAX(AZ183,$B$12-SUM(BE183:BI183)-SUM(BA183:BD183)))</f>
        <v>0</v>
      </c>
      <c r="BK183" s="27" t="n">
        <f aca="false">MIN(AO182*(1+H$8),MAX(BA183,$B$12-SUM(BE183:BJ183)-SUM(BB183:BD183)))</f>
        <v>0</v>
      </c>
      <c r="BL183" s="27" t="n">
        <f aca="false">MIN(AP182*(1+I$8),MAX(BB183,$B$12-SUM(BE183:BK183)-SUM(BC183:BD183)))</f>
        <v>0</v>
      </c>
      <c r="BM183" s="27" t="n">
        <f aca="false">MIN(AQ182*(1+J$8),MAX(BC183,$B$12-SUM(BE183:BL183)-SUM(BD183:BD183)))</f>
        <v>0</v>
      </c>
      <c r="BN183" s="27" t="n">
        <f aca="false">MIN(AR182*(1+K$8),MAX(BD183,$B$12-SUM(BE183:BM183)))</f>
        <v>0</v>
      </c>
    </row>
    <row r="184" customFormat="false" ht="15" hidden="false" customHeight="false" outlineLevel="0" collapsed="false">
      <c r="A184" s="0" t="n">
        <v>170</v>
      </c>
      <c r="B184" s="27" t="n">
        <f aca="false">ROUND(MAX(0,B183*(1+B$8)-X184),2)</f>
        <v>0</v>
      </c>
      <c r="C184" s="27" t="n">
        <f aca="false">ROUND(MAX(0,C183*(1+C$8)-Y184),2)</f>
        <v>0</v>
      </c>
      <c r="D184" s="27" t="n">
        <f aca="false">ROUND(MAX(0,D183*(1+D$8)-Z184),2)</f>
        <v>0</v>
      </c>
      <c r="E184" s="27" t="n">
        <f aca="false">ROUND(MAX(0,E183*(1+E$8)-AA184),2)</f>
        <v>0</v>
      </c>
      <c r="F184" s="27" t="n">
        <f aca="false">ROUND(MAX(0,F183*(1+F$8)-AB184),2)</f>
        <v>0</v>
      </c>
      <c r="G184" s="27" t="n">
        <f aca="false">ROUND(MAX(0,G183*(1+G$8)-AC184),2)</f>
        <v>0</v>
      </c>
      <c r="H184" s="27" t="n">
        <f aca="false">ROUND(MAX(0,H183*(1+H$8)-AD184),2)</f>
        <v>0</v>
      </c>
      <c r="I184" s="27" t="n">
        <f aca="false">ROUND(MAX(0,I183*(1+I$8)-AE184),2)</f>
        <v>0</v>
      </c>
      <c r="J184" s="27" t="n">
        <f aca="false">ROUND(MAX(0,J183*(1+J$8)-AF184),2)</f>
        <v>0</v>
      </c>
      <c r="K184" s="27" t="n">
        <f aca="false">ROUND(MAX(0,K183*(1+K$8)-AG184),2)</f>
        <v>0</v>
      </c>
      <c r="L184" s="30" t="n">
        <f aca="false">SUM(B184:K184)</f>
        <v>0</v>
      </c>
      <c r="M184" s="27" t="n">
        <f aca="false">SUMPRODUCT(B183:K183,$B$8:$K$8)</f>
        <v>0</v>
      </c>
      <c r="N184" s="27" t="n">
        <f aca="false">MIN(B183*(1+B$8),B$9)</f>
        <v>0</v>
      </c>
      <c r="O184" s="27" t="n">
        <f aca="false">MIN(C183*(1+C$8),C$9)</f>
        <v>0</v>
      </c>
      <c r="P184" s="27" t="n">
        <f aca="false">MIN(D183*(1+D$8),D$9)</f>
        <v>0</v>
      </c>
      <c r="Q184" s="27" t="n">
        <f aca="false">MIN(E183*(1+E$8),E$9)</f>
        <v>0</v>
      </c>
      <c r="R184" s="27" t="n">
        <f aca="false">MIN(F183*(1+F$8),F$9)</f>
        <v>0</v>
      </c>
      <c r="S184" s="27" t="n">
        <f aca="false">MIN(G183*(1+G$8),G$9)</f>
        <v>0</v>
      </c>
      <c r="T184" s="27" t="n">
        <f aca="false">MIN(H183*(1+H$8),H$9)</f>
        <v>0</v>
      </c>
      <c r="U184" s="27" t="n">
        <f aca="false">MIN(I183*(1+I$8),I$9)</f>
        <v>0</v>
      </c>
      <c r="V184" s="27" t="n">
        <f aca="false">MIN(J183*(1+J$8),J$9)</f>
        <v>0</v>
      </c>
      <c r="W184" s="27" t="n">
        <f aca="false">MIN(K183*(1+K$8),K$9)</f>
        <v>0</v>
      </c>
      <c r="X184" s="27" t="n">
        <f aca="false">MIN(B183*(1+B$8),MAX(N184,$B$11-SUM(O184:W184)))</f>
        <v>0</v>
      </c>
      <c r="Y184" s="27" t="n">
        <f aca="false">MIN(C183*(1+C$8),MAX(O184,$B$11-SUM(X184:X184)-SUM(P184:W184)))</f>
        <v>0</v>
      </c>
      <c r="Z184" s="27" t="n">
        <f aca="false">MIN(D183*(1+D$8),MAX(P184,$B$11-SUM(X184:Y184)-SUM(Q184:W184)))</f>
        <v>0</v>
      </c>
      <c r="AA184" s="27" t="n">
        <f aca="false">MIN(E183*(1+E$8),MAX(Q184,$B$11-SUM(X184:Z184)-SUM(R184:W184)))</f>
        <v>0</v>
      </c>
      <c r="AB184" s="27" t="n">
        <f aca="false">MIN(F183*(1+F$8),MAX(R184,$B$11-SUM(X184:AA184)-SUM(S184:W184)))</f>
        <v>0</v>
      </c>
      <c r="AC184" s="27" t="n">
        <f aca="false">MIN(G183*(1+G$8),MAX(S184,$B$11-SUM(X184:AB184)-SUM(T184:W184)))</f>
        <v>0</v>
      </c>
      <c r="AD184" s="27" t="n">
        <f aca="false">MIN(H183*(1+H$8),MAX(T184,$B$11-SUM(X184:AC184)-SUM(U184:W184)))</f>
        <v>0</v>
      </c>
      <c r="AE184" s="27" t="n">
        <f aca="false">MIN(I183*(1+I$8),MAX(U184,$B$11-SUM(X184:AD184)-SUM(V184:W184)))</f>
        <v>0</v>
      </c>
      <c r="AF184" s="27" t="n">
        <f aca="false">MIN(J183*(1+J$8),MAX(V184,$B$11-SUM(X184:AE184)-SUM(W184:W184)))</f>
        <v>0</v>
      </c>
      <c r="AG184" s="27" t="n">
        <f aca="false">MIN(K183*(1+K$8),MAX(W184,$B$11-SUM(X184:AF184)))</f>
        <v>0</v>
      </c>
      <c r="AI184" s="27" t="n">
        <f aca="false">ROUND(MAX(0,AI183*(1+B$8)-BE184),2)</f>
        <v>0</v>
      </c>
      <c r="AJ184" s="27" t="n">
        <f aca="false">ROUND(MAX(0,AJ183*(1+C$8)-BF184),2)</f>
        <v>0</v>
      </c>
      <c r="AK184" s="27" t="n">
        <f aca="false">ROUND(MAX(0,AK183*(1+D$8)-BG184),2)</f>
        <v>0</v>
      </c>
      <c r="AL184" s="27" t="n">
        <f aca="false">ROUND(MAX(0,AL183*(1+E$8)-BH184),2)</f>
        <v>0</v>
      </c>
      <c r="AM184" s="27" t="n">
        <f aca="false">ROUND(MAX(0,AM183*(1+F$8)-BI184),2)</f>
        <v>0</v>
      </c>
      <c r="AN184" s="27" t="n">
        <f aca="false">ROUND(MAX(0,AN183*(1+G$8)-BJ184),2)</f>
        <v>0</v>
      </c>
      <c r="AO184" s="27" t="n">
        <f aca="false">ROUND(MAX(0,AO183*(1+H$8)-BK184),2)</f>
        <v>0</v>
      </c>
      <c r="AP184" s="27" t="n">
        <f aca="false">ROUND(MAX(0,AP183*(1+I$8)-BL184),2)</f>
        <v>0</v>
      </c>
      <c r="AQ184" s="27" t="n">
        <f aca="false">ROUND(MAX(0,AQ183*(1+J$8)-BM184),2)</f>
        <v>0</v>
      </c>
      <c r="AR184" s="27" t="n">
        <f aca="false">ROUND(MAX(0,AR183*(1+K$8)-BN184),2)</f>
        <v>0</v>
      </c>
      <c r="AS184" s="27" t="n">
        <f aca="false">SUM(AI184:AR184)</f>
        <v>0</v>
      </c>
      <c r="AT184" s="27" t="n">
        <f aca="false">SUMPRODUCT(AI183:AR183,$B$8:$K$8)</f>
        <v>0</v>
      </c>
      <c r="AU184" s="27" t="n">
        <f aca="false">MIN(AI183*(1+B$8),B$9)</f>
        <v>0</v>
      </c>
      <c r="AV184" s="27" t="n">
        <f aca="false">MIN(AJ183*(1+C$8),C$9)</f>
        <v>0</v>
      </c>
      <c r="AW184" s="27" t="n">
        <f aca="false">MIN(AK183*(1+D$8),D$9)</f>
        <v>0</v>
      </c>
      <c r="AX184" s="27" t="n">
        <f aca="false">MIN(AL183*(1+E$8),E$9)</f>
        <v>0</v>
      </c>
      <c r="AY184" s="27" t="n">
        <f aca="false">MIN(AM183*(1+F$8),F$9)</f>
        <v>0</v>
      </c>
      <c r="AZ184" s="27" t="n">
        <f aca="false">MIN(AN183*(1+G$8),G$9)</f>
        <v>0</v>
      </c>
      <c r="BA184" s="27" t="n">
        <f aca="false">MIN(AO183*(1+H$8),H$9)</f>
        <v>0</v>
      </c>
      <c r="BB184" s="27" t="n">
        <f aca="false">MIN(AP183*(1+I$8),I$9)</f>
        <v>0</v>
      </c>
      <c r="BC184" s="27" t="n">
        <f aca="false">MIN(AQ183*(1+J$8),J$9)</f>
        <v>0</v>
      </c>
      <c r="BD184" s="27" t="n">
        <f aca="false">MIN(AR183*(1+K$8),K$9)</f>
        <v>0</v>
      </c>
      <c r="BE184" s="27" t="n">
        <f aca="false">MIN(AI183*(1+B$8),MAX(AU184,$B$12-SUM(AV184:BD184)))</f>
        <v>0</v>
      </c>
      <c r="BF184" s="27" t="n">
        <f aca="false">MIN(AJ183*(1+C$8),MAX(AV184,$B$12-SUM(BE184:BE184)-SUM(AW184:BD184)))</f>
        <v>0</v>
      </c>
      <c r="BG184" s="27" t="n">
        <f aca="false">MIN(AK183*(1+D$8),MAX(AW184,$B$12-SUM(BE184:BF184)-SUM(AX184:BD184)))</f>
        <v>0</v>
      </c>
      <c r="BH184" s="27" t="n">
        <f aca="false">MIN(AL183*(1+E$8),MAX(AX184,$B$12-SUM(BE184:BG184)-SUM(AY184:BD184)))</f>
        <v>0</v>
      </c>
      <c r="BI184" s="27" t="n">
        <f aca="false">MIN(AM183*(1+F$8),MAX(AY184,$B$12-SUM(BE184:BH184)-SUM(AZ184:BD184)))</f>
        <v>0</v>
      </c>
      <c r="BJ184" s="27" t="n">
        <f aca="false">MIN(AN183*(1+G$8),MAX(AZ184,$B$12-SUM(BE184:BI184)-SUM(BA184:BD184)))</f>
        <v>0</v>
      </c>
      <c r="BK184" s="27" t="n">
        <f aca="false">MIN(AO183*(1+H$8),MAX(BA184,$B$12-SUM(BE184:BJ184)-SUM(BB184:BD184)))</f>
        <v>0</v>
      </c>
      <c r="BL184" s="27" t="n">
        <f aca="false">MIN(AP183*(1+I$8),MAX(BB184,$B$12-SUM(BE184:BK184)-SUM(BC184:BD184)))</f>
        <v>0</v>
      </c>
      <c r="BM184" s="27" t="n">
        <f aca="false">MIN(AQ183*(1+J$8),MAX(BC184,$B$12-SUM(BE184:BL184)-SUM(BD184:BD184)))</f>
        <v>0</v>
      </c>
      <c r="BN184" s="27" t="n">
        <f aca="false">MIN(AR183*(1+K$8),MAX(BD184,$B$12-SUM(BE184:BM184)))</f>
        <v>0</v>
      </c>
    </row>
    <row r="185" customFormat="false" ht="15" hidden="false" customHeight="false" outlineLevel="0" collapsed="false">
      <c r="A185" s="0" t="n">
        <v>171</v>
      </c>
      <c r="B185" s="27" t="n">
        <f aca="false">ROUND(MAX(0,B184*(1+B$8)-X185),2)</f>
        <v>0</v>
      </c>
      <c r="C185" s="27" t="n">
        <f aca="false">ROUND(MAX(0,C184*(1+C$8)-Y185),2)</f>
        <v>0</v>
      </c>
      <c r="D185" s="27" t="n">
        <f aca="false">ROUND(MAX(0,D184*(1+D$8)-Z185),2)</f>
        <v>0</v>
      </c>
      <c r="E185" s="27" t="n">
        <f aca="false">ROUND(MAX(0,E184*(1+E$8)-AA185),2)</f>
        <v>0</v>
      </c>
      <c r="F185" s="27" t="n">
        <f aca="false">ROUND(MAX(0,F184*(1+F$8)-AB185),2)</f>
        <v>0</v>
      </c>
      <c r="G185" s="27" t="n">
        <f aca="false">ROUND(MAX(0,G184*(1+G$8)-AC185),2)</f>
        <v>0</v>
      </c>
      <c r="H185" s="27" t="n">
        <f aca="false">ROUND(MAX(0,H184*(1+H$8)-AD185),2)</f>
        <v>0</v>
      </c>
      <c r="I185" s="27" t="n">
        <f aca="false">ROUND(MAX(0,I184*(1+I$8)-AE185),2)</f>
        <v>0</v>
      </c>
      <c r="J185" s="27" t="n">
        <f aca="false">ROUND(MAX(0,J184*(1+J$8)-AF185),2)</f>
        <v>0</v>
      </c>
      <c r="K185" s="27" t="n">
        <f aca="false">ROUND(MAX(0,K184*(1+K$8)-AG185),2)</f>
        <v>0</v>
      </c>
      <c r="L185" s="30" t="n">
        <f aca="false">SUM(B185:K185)</f>
        <v>0</v>
      </c>
      <c r="M185" s="27" t="n">
        <f aca="false">SUMPRODUCT(B184:K184,$B$8:$K$8)</f>
        <v>0</v>
      </c>
      <c r="N185" s="27" t="n">
        <f aca="false">MIN(B184*(1+B$8),B$9)</f>
        <v>0</v>
      </c>
      <c r="O185" s="27" t="n">
        <f aca="false">MIN(C184*(1+C$8),C$9)</f>
        <v>0</v>
      </c>
      <c r="P185" s="27" t="n">
        <f aca="false">MIN(D184*(1+D$8),D$9)</f>
        <v>0</v>
      </c>
      <c r="Q185" s="27" t="n">
        <f aca="false">MIN(E184*(1+E$8),E$9)</f>
        <v>0</v>
      </c>
      <c r="R185" s="27" t="n">
        <f aca="false">MIN(F184*(1+F$8),F$9)</f>
        <v>0</v>
      </c>
      <c r="S185" s="27" t="n">
        <f aca="false">MIN(G184*(1+G$8),G$9)</f>
        <v>0</v>
      </c>
      <c r="T185" s="27" t="n">
        <f aca="false">MIN(H184*(1+H$8),H$9)</f>
        <v>0</v>
      </c>
      <c r="U185" s="27" t="n">
        <f aca="false">MIN(I184*(1+I$8),I$9)</f>
        <v>0</v>
      </c>
      <c r="V185" s="27" t="n">
        <f aca="false">MIN(J184*(1+J$8),J$9)</f>
        <v>0</v>
      </c>
      <c r="W185" s="27" t="n">
        <f aca="false">MIN(K184*(1+K$8),K$9)</f>
        <v>0</v>
      </c>
      <c r="X185" s="27" t="n">
        <f aca="false">MIN(B184*(1+B$8),MAX(N185,$B$11-SUM(O185:W185)))</f>
        <v>0</v>
      </c>
      <c r="Y185" s="27" t="n">
        <f aca="false">MIN(C184*(1+C$8),MAX(O185,$B$11-SUM(X185:X185)-SUM(P185:W185)))</f>
        <v>0</v>
      </c>
      <c r="Z185" s="27" t="n">
        <f aca="false">MIN(D184*(1+D$8),MAX(P185,$B$11-SUM(X185:Y185)-SUM(Q185:W185)))</f>
        <v>0</v>
      </c>
      <c r="AA185" s="27" t="n">
        <f aca="false">MIN(E184*(1+E$8),MAX(Q185,$B$11-SUM(X185:Z185)-SUM(R185:W185)))</f>
        <v>0</v>
      </c>
      <c r="AB185" s="27" t="n">
        <f aca="false">MIN(F184*(1+F$8),MAX(R185,$B$11-SUM(X185:AA185)-SUM(S185:W185)))</f>
        <v>0</v>
      </c>
      <c r="AC185" s="27" t="n">
        <f aca="false">MIN(G184*(1+G$8),MAX(S185,$B$11-SUM(X185:AB185)-SUM(T185:W185)))</f>
        <v>0</v>
      </c>
      <c r="AD185" s="27" t="n">
        <f aca="false">MIN(H184*(1+H$8),MAX(T185,$B$11-SUM(X185:AC185)-SUM(U185:W185)))</f>
        <v>0</v>
      </c>
      <c r="AE185" s="27" t="n">
        <f aca="false">MIN(I184*(1+I$8),MAX(U185,$B$11-SUM(X185:AD185)-SUM(V185:W185)))</f>
        <v>0</v>
      </c>
      <c r="AF185" s="27" t="n">
        <f aca="false">MIN(J184*(1+J$8),MAX(V185,$B$11-SUM(X185:AE185)-SUM(W185:W185)))</f>
        <v>0</v>
      </c>
      <c r="AG185" s="27" t="n">
        <f aca="false">MIN(K184*(1+K$8),MAX(W185,$B$11-SUM(X185:AF185)))</f>
        <v>0</v>
      </c>
      <c r="AI185" s="27" t="n">
        <f aca="false">ROUND(MAX(0,AI184*(1+B$8)-BE185),2)</f>
        <v>0</v>
      </c>
      <c r="AJ185" s="27" t="n">
        <f aca="false">ROUND(MAX(0,AJ184*(1+C$8)-BF185),2)</f>
        <v>0</v>
      </c>
      <c r="AK185" s="27" t="n">
        <f aca="false">ROUND(MAX(0,AK184*(1+D$8)-BG185),2)</f>
        <v>0</v>
      </c>
      <c r="AL185" s="27" t="n">
        <f aca="false">ROUND(MAX(0,AL184*(1+E$8)-BH185),2)</f>
        <v>0</v>
      </c>
      <c r="AM185" s="27" t="n">
        <f aca="false">ROUND(MAX(0,AM184*(1+F$8)-BI185),2)</f>
        <v>0</v>
      </c>
      <c r="AN185" s="27" t="n">
        <f aca="false">ROUND(MAX(0,AN184*(1+G$8)-BJ185),2)</f>
        <v>0</v>
      </c>
      <c r="AO185" s="27" t="n">
        <f aca="false">ROUND(MAX(0,AO184*(1+H$8)-BK185),2)</f>
        <v>0</v>
      </c>
      <c r="AP185" s="27" t="n">
        <f aca="false">ROUND(MAX(0,AP184*(1+I$8)-BL185),2)</f>
        <v>0</v>
      </c>
      <c r="AQ185" s="27" t="n">
        <f aca="false">ROUND(MAX(0,AQ184*(1+J$8)-BM185),2)</f>
        <v>0</v>
      </c>
      <c r="AR185" s="27" t="n">
        <f aca="false">ROUND(MAX(0,AR184*(1+K$8)-BN185),2)</f>
        <v>0</v>
      </c>
      <c r="AS185" s="27" t="n">
        <f aca="false">SUM(AI185:AR185)</f>
        <v>0</v>
      </c>
      <c r="AT185" s="27" t="n">
        <f aca="false">SUMPRODUCT(AI184:AR184,$B$8:$K$8)</f>
        <v>0</v>
      </c>
      <c r="AU185" s="27" t="n">
        <f aca="false">MIN(AI184*(1+B$8),B$9)</f>
        <v>0</v>
      </c>
      <c r="AV185" s="27" t="n">
        <f aca="false">MIN(AJ184*(1+C$8),C$9)</f>
        <v>0</v>
      </c>
      <c r="AW185" s="27" t="n">
        <f aca="false">MIN(AK184*(1+D$8),D$9)</f>
        <v>0</v>
      </c>
      <c r="AX185" s="27" t="n">
        <f aca="false">MIN(AL184*(1+E$8),E$9)</f>
        <v>0</v>
      </c>
      <c r="AY185" s="27" t="n">
        <f aca="false">MIN(AM184*(1+F$8),F$9)</f>
        <v>0</v>
      </c>
      <c r="AZ185" s="27" t="n">
        <f aca="false">MIN(AN184*(1+G$8),G$9)</f>
        <v>0</v>
      </c>
      <c r="BA185" s="27" t="n">
        <f aca="false">MIN(AO184*(1+H$8),H$9)</f>
        <v>0</v>
      </c>
      <c r="BB185" s="27" t="n">
        <f aca="false">MIN(AP184*(1+I$8),I$9)</f>
        <v>0</v>
      </c>
      <c r="BC185" s="27" t="n">
        <f aca="false">MIN(AQ184*(1+J$8),J$9)</f>
        <v>0</v>
      </c>
      <c r="BD185" s="27" t="n">
        <f aca="false">MIN(AR184*(1+K$8),K$9)</f>
        <v>0</v>
      </c>
      <c r="BE185" s="27" t="n">
        <f aca="false">MIN(AI184*(1+B$8),MAX(AU185,$B$12-SUM(AV185:BD185)))</f>
        <v>0</v>
      </c>
      <c r="BF185" s="27" t="n">
        <f aca="false">MIN(AJ184*(1+C$8),MAX(AV185,$B$12-SUM(BE185:BE185)-SUM(AW185:BD185)))</f>
        <v>0</v>
      </c>
      <c r="BG185" s="27" t="n">
        <f aca="false">MIN(AK184*(1+D$8),MAX(AW185,$B$12-SUM(BE185:BF185)-SUM(AX185:BD185)))</f>
        <v>0</v>
      </c>
      <c r="BH185" s="27" t="n">
        <f aca="false">MIN(AL184*(1+E$8),MAX(AX185,$B$12-SUM(BE185:BG185)-SUM(AY185:BD185)))</f>
        <v>0</v>
      </c>
      <c r="BI185" s="27" t="n">
        <f aca="false">MIN(AM184*(1+F$8),MAX(AY185,$B$12-SUM(BE185:BH185)-SUM(AZ185:BD185)))</f>
        <v>0</v>
      </c>
      <c r="BJ185" s="27" t="n">
        <f aca="false">MIN(AN184*(1+G$8),MAX(AZ185,$B$12-SUM(BE185:BI185)-SUM(BA185:BD185)))</f>
        <v>0</v>
      </c>
      <c r="BK185" s="27" t="n">
        <f aca="false">MIN(AO184*(1+H$8),MAX(BA185,$B$12-SUM(BE185:BJ185)-SUM(BB185:BD185)))</f>
        <v>0</v>
      </c>
      <c r="BL185" s="27" t="n">
        <f aca="false">MIN(AP184*(1+I$8),MAX(BB185,$B$12-SUM(BE185:BK185)-SUM(BC185:BD185)))</f>
        <v>0</v>
      </c>
      <c r="BM185" s="27" t="n">
        <f aca="false">MIN(AQ184*(1+J$8),MAX(BC185,$B$12-SUM(BE185:BL185)-SUM(BD185:BD185)))</f>
        <v>0</v>
      </c>
      <c r="BN185" s="27" t="n">
        <f aca="false">MIN(AR184*(1+K$8),MAX(BD185,$B$12-SUM(BE185:BM185)))</f>
        <v>0</v>
      </c>
    </row>
    <row r="186" customFormat="false" ht="15" hidden="false" customHeight="false" outlineLevel="0" collapsed="false">
      <c r="A186" s="0" t="n">
        <v>172</v>
      </c>
      <c r="B186" s="27" t="n">
        <f aca="false">ROUND(MAX(0,B185*(1+B$8)-X186),2)</f>
        <v>0</v>
      </c>
      <c r="C186" s="27" t="n">
        <f aca="false">ROUND(MAX(0,C185*(1+C$8)-Y186),2)</f>
        <v>0</v>
      </c>
      <c r="D186" s="27" t="n">
        <f aca="false">ROUND(MAX(0,D185*(1+D$8)-Z186),2)</f>
        <v>0</v>
      </c>
      <c r="E186" s="27" t="n">
        <f aca="false">ROUND(MAX(0,E185*(1+E$8)-AA186),2)</f>
        <v>0</v>
      </c>
      <c r="F186" s="27" t="n">
        <f aca="false">ROUND(MAX(0,F185*(1+F$8)-AB186),2)</f>
        <v>0</v>
      </c>
      <c r="G186" s="27" t="n">
        <f aca="false">ROUND(MAX(0,G185*(1+G$8)-AC186),2)</f>
        <v>0</v>
      </c>
      <c r="H186" s="27" t="n">
        <f aca="false">ROUND(MAX(0,H185*(1+H$8)-AD186),2)</f>
        <v>0</v>
      </c>
      <c r="I186" s="27" t="n">
        <f aca="false">ROUND(MAX(0,I185*(1+I$8)-AE186),2)</f>
        <v>0</v>
      </c>
      <c r="J186" s="27" t="n">
        <f aca="false">ROUND(MAX(0,J185*(1+J$8)-AF186),2)</f>
        <v>0</v>
      </c>
      <c r="K186" s="27" t="n">
        <f aca="false">ROUND(MAX(0,K185*(1+K$8)-AG186),2)</f>
        <v>0</v>
      </c>
      <c r="L186" s="30" t="n">
        <f aca="false">SUM(B186:K186)</f>
        <v>0</v>
      </c>
      <c r="M186" s="27" t="n">
        <f aca="false">SUMPRODUCT(B185:K185,$B$8:$K$8)</f>
        <v>0</v>
      </c>
      <c r="N186" s="27" t="n">
        <f aca="false">MIN(B185*(1+B$8),B$9)</f>
        <v>0</v>
      </c>
      <c r="O186" s="27" t="n">
        <f aca="false">MIN(C185*(1+C$8),C$9)</f>
        <v>0</v>
      </c>
      <c r="P186" s="27" t="n">
        <f aca="false">MIN(D185*(1+D$8),D$9)</f>
        <v>0</v>
      </c>
      <c r="Q186" s="27" t="n">
        <f aca="false">MIN(E185*(1+E$8),E$9)</f>
        <v>0</v>
      </c>
      <c r="R186" s="27" t="n">
        <f aca="false">MIN(F185*(1+F$8),F$9)</f>
        <v>0</v>
      </c>
      <c r="S186" s="27" t="n">
        <f aca="false">MIN(G185*(1+G$8),G$9)</f>
        <v>0</v>
      </c>
      <c r="T186" s="27" t="n">
        <f aca="false">MIN(H185*(1+H$8),H$9)</f>
        <v>0</v>
      </c>
      <c r="U186" s="27" t="n">
        <f aca="false">MIN(I185*(1+I$8),I$9)</f>
        <v>0</v>
      </c>
      <c r="V186" s="27" t="n">
        <f aca="false">MIN(J185*(1+J$8),J$9)</f>
        <v>0</v>
      </c>
      <c r="W186" s="27" t="n">
        <f aca="false">MIN(K185*(1+K$8),K$9)</f>
        <v>0</v>
      </c>
      <c r="X186" s="27" t="n">
        <f aca="false">MIN(B185*(1+B$8),MAX(N186,$B$11-SUM(O186:W186)))</f>
        <v>0</v>
      </c>
      <c r="Y186" s="27" t="n">
        <f aca="false">MIN(C185*(1+C$8),MAX(O186,$B$11-SUM(X186:X186)-SUM(P186:W186)))</f>
        <v>0</v>
      </c>
      <c r="Z186" s="27" t="n">
        <f aca="false">MIN(D185*(1+D$8),MAX(P186,$B$11-SUM(X186:Y186)-SUM(Q186:W186)))</f>
        <v>0</v>
      </c>
      <c r="AA186" s="27" t="n">
        <f aca="false">MIN(E185*(1+E$8),MAX(Q186,$B$11-SUM(X186:Z186)-SUM(R186:W186)))</f>
        <v>0</v>
      </c>
      <c r="AB186" s="27" t="n">
        <f aca="false">MIN(F185*(1+F$8),MAX(R186,$B$11-SUM(X186:AA186)-SUM(S186:W186)))</f>
        <v>0</v>
      </c>
      <c r="AC186" s="27" t="n">
        <f aca="false">MIN(G185*(1+G$8),MAX(S186,$B$11-SUM(X186:AB186)-SUM(T186:W186)))</f>
        <v>0</v>
      </c>
      <c r="AD186" s="27" t="n">
        <f aca="false">MIN(H185*(1+H$8),MAX(T186,$B$11-SUM(X186:AC186)-SUM(U186:W186)))</f>
        <v>0</v>
      </c>
      <c r="AE186" s="27" t="n">
        <f aca="false">MIN(I185*(1+I$8),MAX(U186,$B$11-SUM(X186:AD186)-SUM(V186:W186)))</f>
        <v>0</v>
      </c>
      <c r="AF186" s="27" t="n">
        <f aca="false">MIN(J185*(1+J$8),MAX(V186,$B$11-SUM(X186:AE186)-SUM(W186:W186)))</f>
        <v>0</v>
      </c>
      <c r="AG186" s="27" t="n">
        <f aca="false">MIN(K185*(1+K$8),MAX(W186,$B$11-SUM(X186:AF186)))</f>
        <v>0</v>
      </c>
      <c r="AI186" s="27" t="n">
        <f aca="false">ROUND(MAX(0,AI185*(1+B$8)-BE186),2)</f>
        <v>0</v>
      </c>
      <c r="AJ186" s="27" t="n">
        <f aca="false">ROUND(MAX(0,AJ185*(1+C$8)-BF186),2)</f>
        <v>0</v>
      </c>
      <c r="AK186" s="27" t="n">
        <f aca="false">ROUND(MAX(0,AK185*(1+D$8)-BG186),2)</f>
        <v>0</v>
      </c>
      <c r="AL186" s="27" t="n">
        <f aca="false">ROUND(MAX(0,AL185*(1+E$8)-BH186),2)</f>
        <v>0</v>
      </c>
      <c r="AM186" s="27" t="n">
        <f aca="false">ROUND(MAX(0,AM185*(1+F$8)-BI186),2)</f>
        <v>0</v>
      </c>
      <c r="AN186" s="27" t="n">
        <f aca="false">ROUND(MAX(0,AN185*(1+G$8)-BJ186),2)</f>
        <v>0</v>
      </c>
      <c r="AO186" s="27" t="n">
        <f aca="false">ROUND(MAX(0,AO185*(1+H$8)-BK186),2)</f>
        <v>0</v>
      </c>
      <c r="AP186" s="27" t="n">
        <f aca="false">ROUND(MAX(0,AP185*(1+I$8)-BL186),2)</f>
        <v>0</v>
      </c>
      <c r="AQ186" s="27" t="n">
        <f aca="false">ROUND(MAX(0,AQ185*(1+J$8)-BM186),2)</f>
        <v>0</v>
      </c>
      <c r="AR186" s="27" t="n">
        <f aca="false">ROUND(MAX(0,AR185*(1+K$8)-BN186),2)</f>
        <v>0</v>
      </c>
      <c r="AS186" s="27" t="n">
        <f aca="false">SUM(AI186:AR186)</f>
        <v>0</v>
      </c>
      <c r="AT186" s="27" t="n">
        <f aca="false">SUMPRODUCT(AI185:AR185,$B$8:$K$8)</f>
        <v>0</v>
      </c>
      <c r="AU186" s="27" t="n">
        <f aca="false">MIN(AI185*(1+B$8),B$9)</f>
        <v>0</v>
      </c>
      <c r="AV186" s="27" t="n">
        <f aca="false">MIN(AJ185*(1+C$8),C$9)</f>
        <v>0</v>
      </c>
      <c r="AW186" s="27" t="n">
        <f aca="false">MIN(AK185*(1+D$8),D$9)</f>
        <v>0</v>
      </c>
      <c r="AX186" s="27" t="n">
        <f aca="false">MIN(AL185*(1+E$8),E$9)</f>
        <v>0</v>
      </c>
      <c r="AY186" s="27" t="n">
        <f aca="false">MIN(AM185*(1+F$8),F$9)</f>
        <v>0</v>
      </c>
      <c r="AZ186" s="27" t="n">
        <f aca="false">MIN(AN185*(1+G$8),G$9)</f>
        <v>0</v>
      </c>
      <c r="BA186" s="27" t="n">
        <f aca="false">MIN(AO185*(1+H$8),H$9)</f>
        <v>0</v>
      </c>
      <c r="BB186" s="27" t="n">
        <f aca="false">MIN(AP185*(1+I$8),I$9)</f>
        <v>0</v>
      </c>
      <c r="BC186" s="27" t="n">
        <f aca="false">MIN(AQ185*(1+J$8),J$9)</f>
        <v>0</v>
      </c>
      <c r="BD186" s="27" t="n">
        <f aca="false">MIN(AR185*(1+K$8),K$9)</f>
        <v>0</v>
      </c>
      <c r="BE186" s="27" t="n">
        <f aca="false">MIN(AI185*(1+B$8),MAX(AU186,$B$12-SUM(AV186:BD186)))</f>
        <v>0</v>
      </c>
      <c r="BF186" s="27" t="n">
        <f aca="false">MIN(AJ185*(1+C$8),MAX(AV186,$B$12-SUM(BE186:BE186)-SUM(AW186:BD186)))</f>
        <v>0</v>
      </c>
      <c r="BG186" s="27" t="n">
        <f aca="false">MIN(AK185*(1+D$8),MAX(AW186,$B$12-SUM(BE186:BF186)-SUM(AX186:BD186)))</f>
        <v>0</v>
      </c>
      <c r="BH186" s="27" t="n">
        <f aca="false">MIN(AL185*(1+E$8),MAX(AX186,$B$12-SUM(BE186:BG186)-SUM(AY186:BD186)))</f>
        <v>0</v>
      </c>
      <c r="BI186" s="27" t="n">
        <f aca="false">MIN(AM185*(1+F$8),MAX(AY186,$B$12-SUM(BE186:BH186)-SUM(AZ186:BD186)))</f>
        <v>0</v>
      </c>
      <c r="BJ186" s="27" t="n">
        <f aca="false">MIN(AN185*(1+G$8),MAX(AZ186,$B$12-SUM(BE186:BI186)-SUM(BA186:BD186)))</f>
        <v>0</v>
      </c>
      <c r="BK186" s="27" t="n">
        <f aca="false">MIN(AO185*(1+H$8),MAX(BA186,$B$12-SUM(BE186:BJ186)-SUM(BB186:BD186)))</f>
        <v>0</v>
      </c>
      <c r="BL186" s="27" t="n">
        <f aca="false">MIN(AP185*(1+I$8),MAX(BB186,$B$12-SUM(BE186:BK186)-SUM(BC186:BD186)))</f>
        <v>0</v>
      </c>
      <c r="BM186" s="27" t="n">
        <f aca="false">MIN(AQ185*(1+J$8),MAX(BC186,$B$12-SUM(BE186:BL186)-SUM(BD186:BD186)))</f>
        <v>0</v>
      </c>
      <c r="BN186" s="27" t="n">
        <f aca="false">MIN(AR185*(1+K$8),MAX(BD186,$B$12-SUM(BE186:BM186)))</f>
        <v>0</v>
      </c>
    </row>
    <row r="187" customFormat="false" ht="15" hidden="false" customHeight="false" outlineLevel="0" collapsed="false">
      <c r="A187" s="0" t="n">
        <v>173</v>
      </c>
      <c r="B187" s="27" t="n">
        <f aca="false">ROUND(MAX(0,B186*(1+B$8)-X187),2)</f>
        <v>0</v>
      </c>
      <c r="C187" s="27" t="n">
        <f aca="false">ROUND(MAX(0,C186*(1+C$8)-Y187),2)</f>
        <v>0</v>
      </c>
      <c r="D187" s="27" t="n">
        <f aca="false">ROUND(MAX(0,D186*(1+D$8)-Z187),2)</f>
        <v>0</v>
      </c>
      <c r="E187" s="27" t="n">
        <f aca="false">ROUND(MAX(0,E186*(1+E$8)-AA187),2)</f>
        <v>0</v>
      </c>
      <c r="F187" s="27" t="n">
        <f aca="false">ROUND(MAX(0,F186*(1+F$8)-AB187),2)</f>
        <v>0</v>
      </c>
      <c r="G187" s="27" t="n">
        <f aca="false">ROUND(MAX(0,G186*(1+G$8)-AC187),2)</f>
        <v>0</v>
      </c>
      <c r="H187" s="27" t="n">
        <f aca="false">ROUND(MAX(0,H186*(1+H$8)-AD187),2)</f>
        <v>0</v>
      </c>
      <c r="I187" s="27" t="n">
        <f aca="false">ROUND(MAX(0,I186*(1+I$8)-AE187),2)</f>
        <v>0</v>
      </c>
      <c r="J187" s="27" t="n">
        <f aca="false">ROUND(MAX(0,J186*(1+J$8)-AF187),2)</f>
        <v>0</v>
      </c>
      <c r="K187" s="27" t="n">
        <f aca="false">ROUND(MAX(0,K186*(1+K$8)-AG187),2)</f>
        <v>0</v>
      </c>
      <c r="L187" s="30" t="n">
        <f aca="false">SUM(B187:K187)</f>
        <v>0</v>
      </c>
      <c r="M187" s="27" t="n">
        <f aca="false">SUMPRODUCT(B186:K186,$B$8:$K$8)</f>
        <v>0</v>
      </c>
      <c r="N187" s="27" t="n">
        <f aca="false">MIN(B186*(1+B$8),B$9)</f>
        <v>0</v>
      </c>
      <c r="O187" s="27" t="n">
        <f aca="false">MIN(C186*(1+C$8),C$9)</f>
        <v>0</v>
      </c>
      <c r="P187" s="27" t="n">
        <f aca="false">MIN(D186*(1+D$8),D$9)</f>
        <v>0</v>
      </c>
      <c r="Q187" s="27" t="n">
        <f aca="false">MIN(E186*(1+E$8),E$9)</f>
        <v>0</v>
      </c>
      <c r="R187" s="27" t="n">
        <f aca="false">MIN(F186*(1+F$8),F$9)</f>
        <v>0</v>
      </c>
      <c r="S187" s="27" t="n">
        <f aca="false">MIN(G186*(1+G$8),G$9)</f>
        <v>0</v>
      </c>
      <c r="T187" s="27" t="n">
        <f aca="false">MIN(H186*(1+H$8),H$9)</f>
        <v>0</v>
      </c>
      <c r="U187" s="27" t="n">
        <f aca="false">MIN(I186*(1+I$8),I$9)</f>
        <v>0</v>
      </c>
      <c r="V187" s="27" t="n">
        <f aca="false">MIN(J186*(1+J$8),J$9)</f>
        <v>0</v>
      </c>
      <c r="W187" s="27" t="n">
        <f aca="false">MIN(K186*(1+K$8),K$9)</f>
        <v>0</v>
      </c>
      <c r="X187" s="27" t="n">
        <f aca="false">MIN(B186*(1+B$8),MAX(N187,$B$11-SUM(O187:W187)))</f>
        <v>0</v>
      </c>
      <c r="Y187" s="27" t="n">
        <f aca="false">MIN(C186*(1+C$8),MAX(O187,$B$11-SUM(X187:X187)-SUM(P187:W187)))</f>
        <v>0</v>
      </c>
      <c r="Z187" s="27" t="n">
        <f aca="false">MIN(D186*(1+D$8),MAX(P187,$B$11-SUM(X187:Y187)-SUM(Q187:W187)))</f>
        <v>0</v>
      </c>
      <c r="AA187" s="27" t="n">
        <f aca="false">MIN(E186*(1+E$8),MAX(Q187,$B$11-SUM(X187:Z187)-SUM(R187:W187)))</f>
        <v>0</v>
      </c>
      <c r="AB187" s="27" t="n">
        <f aca="false">MIN(F186*(1+F$8),MAX(R187,$B$11-SUM(X187:AA187)-SUM(S187:W187)))</f>
        <v>0</v>
      </c>
      <c r="AC187" s="27" t="n">
        <f aca="false">MIN(G186*(1+G$8),MAX(S187,$B$11-SUM(X187:AB187)-SUM(T187:W187)))</f>
        <v>0</v>
      </c>
      <c r="AD187" s="27" t="n">
        <f aca="false">MIN(H186*(1+H$8),MAX(T187,$B$11-SUM(X187:AC187)-SUM(U187:W187)))</f>
        <v>0</v>
      </c>
      <c r="AE187" s="27" t="n">
        <f aca="false">MIN(I186*(1+I$8),MAX(U187,$B$11-SUM(X187:AD187)-SUM(V187:W187)))</f>
        <v>0</v>
      </c>
      <c r="AF187" s="27" t="n">
        <f aca="false">MIN(J186*(1+J$8),MAX(V187,$B$11-SUM(X187:AE187)-SUM(W187:W187)))</f>
        <v>0</v>
      </c>
      <c r="AG187" s="27" t="n">
        <f aca="false">MIN(K186*(1+K$8),MAX(W187,$B$11-SUM(X187:AF187)))</f>
        <v>0</v>
      </c>
      <c r="AI187" s="27" t="n">
        <f aca="false">ROUND(MAX(0,AI186*(1+B$8)-BE187),2)</f>
        <v>0</v>
      </c>
      <c r="AJ187" s="27" t="n">
        <f aca="false">ROUND(MAX(0,AJ186*(1+C$8)-BF187),2)</f>
        <v>0</v>
      </c>
      <c r="AK187" s="27" t="n">
        <f aca="false">ROUND(MAX(0,AK186*(1+D$8)-BG187),2)</f>
        <v>0</v>
      </c>
      <c r="AL187" s="27" t="n">
        <f aca="false">ROUND(MAX(0,AL186*(1+E$8)-BH187),2)</f>
        <v>0</v>
      </c>
      <c r="AM187" s="27" t="n">
        <f aca="false">ROUND(MAX(0,AM186*(1+F$8)-BI187),2)</f>
        <v>0</v>
      </c>
      <c r="AN187" s="27" t="n">
        <f aca="false">ROUND(MAX(0,AN186*(1+G$8)-BJ187),2)</f>
        <v>0</v>
      </c>
      <c r="AO187" s="27" t="n">
        <f aca="false">ROUND(MAX(0,AO186*(1+H$8)-BK187),2)</f>
        <v>0</v>
      </c>
      <c r="AP187" s="27" t="n">
        <f aca="false">ROUND(MAX(0,AP186*(1+I$8)-BL187),2)</f>
        <v>0</v>
      </c>
      <c r="AQ187" s="27" t="n">
        <f aca="false">ROUND(MAX(0,AQ186*(1+J$8)-BM187),2)</f>
        <v>0</v>
      </c>
      <c r="AR187" s="27" t="n">
        <f aca="false">ROUND(MAX(0,AR186*(1+K$8)-BN187),2)</f>
        <v>0</v>
      </c>
      <c r="AS187" s="27" t="n">
        <f aca="false">SUM(AI187:AR187)</f>
        <v>0</v>
      </c>
      <c r="AT187" s="27" t="n">
        <f aca="false">SUMPRODUCT(AI186:AR186,$B$8:$K$8)</f>
        <v>0</v>
      </c>
      <c r="AU187" s="27" t="n">
        <f aca="false">MIN(AI186*(1+B$8),B$9)</f>
        <v>0</v>
      </c>
      <c r="AV187" s="27" t="n">
        <f aca="false">MIN(AJ186*(1+C$8),C$9)</f>
        <v>0</v>
      </c>
      <c r="AW187" s="27" t="n">
        <f aca="false">MIN(AK186*(1+D$8),D$9)</f>
        <v>0</v>
      </c>
      <c r="AX187" s="27" t="n">
        <f aca="false">MIN(AL186*(1+E$8),E$9)</f>
        <v>0</v>
      </c>
      <c r="AY187" s="27" t="n">
        <f aca="false">MIN(AM186*(1+F$8),F$9)</f>
        <v>0</v>
      </c>
      <c r="AZ187" s="27" t="n">
        <f aca="false">MIN(AN186*(1+G$8),G$9)</f>
        <v>0</v>
      </c>
      <c r="BA187" s="27" t="n">
        <f aca="false">MIN(AO186*(1+H$8),H$9)</f>
        <v>0</v>
      </c>
      <c r="BB187" s="27" t="n">
        <f aca="false">MIN(AP186*(1+I$8),I$9)</f>
        <v>0</v>
      </c>
      <c r="BC187" s="27" t="n">
        <f aca="false">MIN(AQ186*(1+J$8),J$9)</f>
        <v>0</v>
      </c>
      <c r="BD187" s="27" t="n">
        <f aca="false">MIN(AR186*(1+K$8),K$9)</f>
        <v>0</v>
      </c>
      <c r="BE187" s="27" t="n">
        <f aca="false">MIN(AI186*(1+B$8),MAX(AU187,$B$12-SUM(AV187:BD187)))</f>
        <v>0</v>
      </c>
      <c r="BF187" s="27" t="n">
        <f aca="false">MIN(AJ186*(1+C$8),MAX(AV187,$B$12-SUM(BE187:BE187)-SUM(AW187:BD187)))</f>
        <v>0</v>
      </c>
      <c r="BG187" s="27" t="n">
        <f aca="false">MIN(AK186*(1+D$8),MAX(AW187,$B$12-SUM(BE187:BF187)-SUM(AX187:BD187)))</f>
        <v>0</v>
      </c>
      <c r="BH187" s="27" t="n">
        <f aca="false">MIN(AL186*(1+E$8),MAX(AX187,$B$12-SUM(BE187:BG187)-SUM(AY187:BD187)))</f>
        <v>0</v>
      </c>
      <c r="BI187" s="27" t="n">
        <f aca="false">MIN(AM186*(1+F$8),MAX(AY187,$B$12-SUM(BE187:BH187)-SUM(AZ187:BD187)))</f>
        <v>0</v>
      </c>
      <c r="BJ187" s="27" t="n">
        <f aca="false">MIN(AN186*(1+G$8),MAX(AZ187,$B$12-SUM(BE187:BI187)-SUM(BA187:BD187)))</f>
        <v>0</v>
      </c>
      <c r="BK187" s="27" t="n">
        <f aca="false">MIN(AO186*(1+H$8),MAX(BA187,$B$12-SUM(BE187:BJ187)-SUM(BB187:BD187)))</f>
        <v>0</v>
      </c>
      <c r="BL187" s="27" t="n">
        <f aca="false">MIN(AP186*(1+I$8),MAX(BB187,$B$12-SUM(BE187:BK187)-SUM(BC187:BD187)))</f>
        <v>0</v>
      </c>
      <c r="BM187" s="27" t="n">
        <f aca="false">MIN(AQ186*(1+J$8),MAX(BC187,$B$12-SUM(BE187:BL187)-SUM(BD187:BD187)))</f>
        <v>0</v>
      </c>
      <c r="BN187" s="27" t="n">
        <f aca="false">MIN(AR186*(1+K$8),MAX(BD187,$B$12-SUM(BE187:BM187)))</f>
        <v>0</v>
      </c>
    </row>
    <row r="188" customFormat="false" ht="15" hidden="false" customHeight="false" outlineLevel="0" collapsed="false">
      <c r="A188" s="0" t="n">
        <v>174</v>
      </c>
      <c r="B188" s="27" t="n">
        <f aca="false">ROUND(MAX(0,B187*(1+B$8)-X188),2)</f>
        <v>0</v>
      </c>
      <c r="C188" s="27" t="n">
        <f aca="false">ROUND(MAX(0,C187*(1+C$8)-Y188),2)</f>
        <v>0</v>
      </c>
      <c r="D188" s="27" t="n">
        <f aca="false">ROUND(MAX(0,D187*(1+D$8)-Z188),2)</f>
        <v>0</v>
      </c>
      <c r="E188" s="27" t="n">
        <f aca="false">ROUND(MAX(0,E187*(1+E$8)-AA188),2)</f>
        <v>0</v>
      </c>
      <c r="F188" s="27" t="n">
        <f aca="false">ROUND(MAX(0,F187*(1+F$8)-AB188),2)</f>
        <v>0</v>
      </c>
      <c r="G188" s="27" t="n">
        <f aca="false">ROUND(MAX(0,G187*(1+G$8)-AC188),2)</f>
        <v>0</v>
      </c>
      <c r="H188" s="27" t="n">
        <f aca="false">ROUND(MAX(0,H187*(1+H$8)-AD188),2)</f>
        <v>0</v>
      </c>
      <c r="I188" s="27" t="n">
        <f aca="false">ROUND(MAX(0,I187*(1+I$8)-AE188),2)</f>
        <v>0</v>
      </c>
      <c r="J188" s="27" t="n">
        <f aca="false">ROUND(MAX(0,J187*(1+J$8)-AF188),2)</f>
        <v>0</v>
      </c>
      <c r="K188" s="27" t="n">
        <f aca="false">ROUND(MAX(0,K187*(1+K$8)-AG188),2)</f>
        <v>0</v>
      </c>
      <c r="L188" s="30" t="n">
        <f aca="false">SUM(B188:K188)</f>
        <v>0</v>
      </c>
      <c r="M188" s="27" t="n">
        <f aca="false">SUMPRODUCT(B187:K187,$B$8:$K$8)</f>
        <v>0</v>
      </c>
      <c r="N188" s="27" t="n">
        <f aca="false">MIN(B187*(1+B$8),B$9)</f>
        <v>0</v>
      </c>
      <c r="O188" s="27" t="n">
        <f aca="false">MIN(C187*(1+C$8),C$9)</f>
        <v>0</v>
      </c>
      <c r="P188" s="27" t="n">
        <f aca="false">MIN(D187*(1+D$8),D$9)</f>
        <v>0</v>
      </c>
      <c r="Q188" s="27" t="n">
        <f aca="false">MIN(E187*(1+E$8),E$9)</f>
        <v>0</v>
      </c>
      <c r="R188" s="27" t="n">
        <f aca="false">MIN(F187*(1+F$8),F$9)</f>
        <v>0</v>
      </c>
      <c r="S188" s="27" t="n">
        <f aca="false">MIN(G187*(1+G$8),G$9)</f>
        <v>0</v>
      </c>
      <c r="T188" s="27" t="n">
        <f aca="false">MIN(H187*(1+H$8),H$9)</f>
        <v>0</v>
      </c>
      <c r="U188" s="27" t="n">
        <f aca="false">MIN(I187*(1+I$8),I$9)</f>
        <v>0</v>
      </c>
      <c r="V188" s="27" t="n">
        <f aca="false">MIN(J187*(1+J$8),J$9)</f>
        <v>0</v>
      </c>
      <c r="W188" s="27" t="n">
        <f aca="false">MIN(K187*(1+K$8),K$9)</f>
        <v>0</v>
      </c>
      <c r="X188" s="27" t="n">
        <f aca="false">MIN(B187*(1+B$8),MAX(N188,$B$11-SUM(O188:W188)))</f>
        <v>0</v>
      </c>
      <c r="Y188" s="27" t="n">
        <f aca="false">MIN(C187*(1+C$8),MAX(O188,$B$11-SUM(X188:X188)-SUM(P188:W188)))</f>
        <v>0</v>
      </c>
      <c r="Z188" s="27" t="n">
        <f aca="false">MIN(D187*(1+D$8),MAX(P188,$B$11-SUM(X188:Y188)-SUM(Q188:W188)))</f>
        <v>0</v>
      </c>
      <c r="AA188" s="27" t="n">
        <f aca="false">MIN(E187*(1+E$8),MAX(Q188,$B$11-SUM(X188:Z188)-SUM(R188:W188)))</f>
        <v>0</v>
      </c>
      <c r="AB188" s="27" t="n">
        <f aca="false">MIN(F187*(1+F$8),MAX(R188,$B$11-SUM(X188:AA188)-SUM(S188:W188)))</f>
        <v>0</v>
      </c>
      <c r="AC188" s="27" t="n">
        <f aca="false">MIN(G187*(1+G$8),MAX(S188,$B$11-SUM(X188:AB188)-SUM(T188:W188)))</f>
        <v>0</v>
      </c>
      <c r="AD188" s="27" t="n">
        <f aca="false">MIN(H187*(1+H$8),MAX(T188,$B$11-SUM(X188:AC188)-SUM(U188:W188)))</f>
        <v>0</v>
      </c>
      <c r="AE188" s="27" t="n">
        <f aca="false">MIN(I187*(1+I$8),MAX(U188,$B$11-SUM(X188:AD188)-SUM(V188:W188)))</f>
        <v>0</v>
      </c>
      <c r="AF188" s="27" t="n">
        <f aca="false">MIN(J187*(1+J$8),MAX(V188,$B$11-SUM(X188:AE188)-SUM(W188:W188)))</f>
        <v>0</v>
      </c>
      <c r="AG188" s="27" t="n">
        <f aca="false">MIN(K187*(1+K$8),MAX(W188,$B$11-SUM(X188:AF188)))</f>
        <v>0</v>
      </c>
      <c r="AI188" s="27" t="n">
        <f aca="false">ROUND(MAX(0,AI187*(1+B$8)-BE188),2)</f>
        <v>0</v>
      </c>
      <c r="AJ188" s="27" t="n">
        <f aca="false">ROUND(MAX(0,AJ187*(1+C$8)-BF188),2)</f>
        <v>0</v>
      </c>
      <c r="AK188" s="27" t="n">
        <f aca="false">ROUND(MAX(0,AK187*(1+D$8)-BG188),2)</f>
        <v>0</v>
      </c>
      <c r="AL188" s="27" t="n">
        <f aca="false">ROUND(MAX(0,AL187*(1+E$8)-BH188),2)</f>
        <v>0</v>
      </c>
      <c r="AM188" s="27" t="n">
        <f aca="false">ROUND(MAX(0,AM187*(1+F$8)-BI188),2)</f>
        <v>0</v>
      </c>
      <c r="AN188" s="27" t="n">
        <f aca="false">ROUND(MAX(0,AN187*(1+G$8)-BJ188),2)</f>
        <v>0</v>
      </c>
      <c r="AO188" s="27" t="n">
        <f aca="false">ROUND(MAX(0,AO187*(1+H$8)-BK188),2)</f>
        <v>0</v>
      </c>
      <c r="AP188" s="27" t="n">
        <f aca="false">ROUND(MAX(0,AP187*(1+I$8)-BL188),2)</f>
        <v>0</v>
      </c>
      <c r="AQ188" s="27" t="n">
        <f aca="false">ROUND(MAX(0,AQ187*(1+J$8)-BM188),2)</f>
        <v>0</v>
      </c>
      <c r="AR188" s="27" t="n">
        <f aca="false">ROUND(MAX(0,AR187*(1+K$8)-BN188),2)</f>
        <v>0</v>
      </c>
      <c r="AS188" s="27" t="n">
        <f aca="false">SUM(AI188:AR188)</f>
        <v>0</v>
      </c>
      <c r="AT188" s="27" t="n">
        <f aca="false">SUMPRODUCT(AI187:AR187,$B$8:$K$8)</f>
        <v>0</v>
      </c>
      <c r="AU188" s="27" t="n">
        <f aca="false">MIN(AI187*(1+B$8),B$9)</f>
        <v>0</v>
      </c>
      <c r="AV188" s="27" t="n">
        <f aca="false">MIN(AJ187*(1+C$8),C$9)</f>
        <v>0</v>
      </c>
      <c r="AW188" s="27" t="n">
        <f aca="false">MIN(AK187*(1+D$8),D$9)</f>
        <v>0</v>
      </c>
      <c r="AX188" s="27" t="n">
        <f aca="false">MIN(AL187*(1+E$8),E$9)</f>
        <v>0</v>
      </c>
      <c r="AY188" s="27" t="n">
        <f aca="false">MIN(AM187*(1+F$8),F$9)</f>
        <v>0</v>
      </c>
      <c r="AZ188" s="27" t="n">
        <f aca="false">MIN(AN187*(1+G$8),G$9)</f>
        <v>0</v>
      </c>
      <c r="BA188" s="27" t="n">
        <f aca="false">MIN(AO187*(1+H$8),H$9)</f>
        <v>0</v>
      </c>
      <c r="BB188" s="27" t="n">
        <f aca="false">MIN(AP187*(1+I$8),I$9)</f>
        <v>0</v>
      </c>
      <c r="BC188" s="27" t="n">
        <f aca="false">MIN(AQ187*(1+J$8),J$9)</f>
        <v>0</v>
      </c>
      <c r="BD188" s="27" t="n">
        <f aca="false">MIN(AR187*(1+K$8),K$9)</f>
        <v>0</v>
      </c>
      <c r="BE188" s="27" t="n">
        <f aca="false">MIN(AI187*(1+B$8),MAX(AU188,$B$12-SUM(AV188:BD188)))</f>
        <v>0</v>
      </c>
      <c r="BF188" s="27" t="n">
        <f aca="false">MIN(AJ187*(1+C$8),MAX(AV188,$B$12-SUM(BE188:BE188)-SUM(AW188:BD188)))</f>
        <v>0</v>
      </c>
      <c r="BG188" s="27" t="n">
        <f aca="false">MIN(AK187*(1+D$8),MAX(AW188,$B$12-SUM(BE188:BF188)-SUM(AX188:BD188)))</f>
        <v>0</v>
      </c>
      <c r="BH188" s="27" t="n">
        <f aca="false">MIN(AL187*(1+E$8),MAX(AX188,$B$12-SUM(BE188:BG188)-SUM(AY188:BD188)))</f>
        <v>0</v>
      </c>
      <c r="BI188" s="27" t="n">
        <f aca="false">MIN(AM187*(1+F$8),MAX(AY188,$B$12-SUM(BE188:BH188)-SUM(AZ188:BD188)))</f>
        <v>0</v>
      </c>
      <c r="BJ188" s="27" t="n">
        <f aca="false">MIN(AN187*(1+G$8),MAX(AZ188,$B$12-SUM(BE188:BI188)-SUM(BA188:BD188)))</f>
        <v>0</v>
      </c>
      <c r="BK188" s="27" t="n">
        <f aca="false">MIN(AO187*(1+H$8),MAX(BA188,$B$12-SUM(BE188:BJ188)-SUM(BB188:BD188)))</f>
        <v>0</v>
      </c>
      <c r="BL188" s="27" t="n">
        <f aca="false">MIN(AP187*(1+I$8),MAX(BB188,$B$12-SUM(BE188:BK188)-SUM(BC188:BD188)))</f>
        <v>0</v>
      </c>
      <c r="BM188" s="27" t="n">
        <f aca="false">MIN(AQ187*(1+J$8),MAX(BC188,$B$12-SUM(BE188:BL188)-SUM(BD188:BD188)))</f>
        <v>0</v>
      </c>
      <c r="BN188" s="27" t="n">
        <f aca="false">MIN(AR187*(1+K$8),MAX(BD188,$B$12-SUM(BE188:BM188)))</f>
        <v>0</v>
      </c>
    </row>
    <row r="189" customFormat="false" ht="15" hidden="false" customHeight="false" outlineLevel="0" collapsed="false">
      <c r="A189" s="0" t="n">
        <v>175</v>
      </c>
      <c r="B189" s="27" t="n">
        <f aca="false">ROUND(MAX(0,B188*(1+B$8)-X189),2)</f>
        <v>0</v>
      </c>
      <c r="C189" s="27" t="n">
        <f aca="false">ROUND(MAX(0,C188*(1+C$8)-Y189),2)</f>
        <v>0</v>
      </c>
      <c r="D189" s="27" t="n">
        <f aca="false">ROUND(MAX(0,D188*(1+D$8)-Z189),2)</f>
        <v>0</v>
      </c>
      <c r="E189" s="27" t="n">
        <f aca="false">ROUND(MAX(0,E188*(1+E$8)-AA189),2)</f>
        <v>0</v>
      </c>
      <c r="F189" s="27" t="n">
        <f aca="false">ROUND(MAX(0,F188*(1+F$8)-AB189),2)</f>
        <v>0</v>
      </c>
      <c r="G189" s="27" t="n">
        <f aca="false">ROUND(MAX(0,G188*(1+G$8)-AC189),2)</f>
        <v>0</v>
      </c>
      <c r="H189" s="27" t="n">
        <f aca="false">ROUND(MAX(0,H188*(1+H$8)-AD189),2)</f>
        <v>0</v>
      </c>
      <c r="I189" s="27" t="n">
        <f aca="false">ROUND(MAX(0,I188*(1+I$8)-AE189),2)</f>
        <v>0</v>
      </c>
      <c r="J189" s="27" t="n">
        <f aca="false">ROUND(MAX(0,J188*(1+J$8)-AF189),2)</f>
        <v>0</v>
      </c>
      <c r="K189" s="27" t="n">
        <f aca="false">ROUND(MAX(0,K188*(1+K$8)-AG189),2)</f>
        <v>0</v>
      </c>
      <c r="L189" s="30" t="n">
        <f aca="false">SUM(B189:K189)</f>
        <v>0</v>
      </c>
      <c r="M189" s="27" t="n">
        <f aca="false">SUMPRODUCT(B188:K188,$B$8:$K$8)</f>
        <v>0</v>
      </c>
      <c r="N189" s="27" t="n">
        <f aca="false">MIN(B188*(1+B$8),B$9)</f>
        <v>0</v>
      </c>
      <c r="O189" s="27" t="n">
        <f aca="false">MIN(C188*(1+C$8),C$9)</f>
        <v>0</v>
      </c>
      <c r="P189" s="27" t="n">
        <f aca="false">MIN(D188*(1+D$8),D$9)</f>
        <v>0</v>
      </c>
      <c r="Q189" s="27" t="n">
        <f aca="false">MIN(E188*(1+E$8),E$9)</f>
        <v>0</v>
      </c>
      <c r="R189" s="27" t="n">
        <f aca="false">MIN(F188*(1+F$8),F$9)</f>
        <v>0</v>
      </c>
      <c r="S189" s="27" t="n">
        <f aca="false">MIN(G188*(1+G$8),G$9)</f>
        <v>0</v>
      </c>
      <c r="T189" s="27" t="n">
        <f aca="false">MIN(H188*(1+H$8),H$9)</f>
        <v>0</v>
      </c>
      <c r="U189" s="27" t="n">
        <f aca="false">MIN(I188*(1+I$8),I$9)</f>
        <v>0</v>
      </c>
      <c r="V189" s="27" t="n">
        <f aca="false">MIN(J188*(1+J$8),J$9)</f>
        <v>0</v>
      </c>
      <c r="W189" s="27" t="n">
        <f aca="false">MIN(K188*(1+K$8),K$9)</f>
        <v>0</v>
      </c>
      <c r="X189" s="27" t="n">
        <f aca="false">MIN(B188*(1+B$8),MAX(N189,$B$11-SUM(O189:W189)))</f>
        <v>0</v>
      </c>
      <c r="Y189" s="27" t="n">
        <f aca="false">MIN(C188*(1+C$8),MAX(O189,$B$11-SUM(X189:X189)-SUM(P189:W189)))</f>
        <v>0</v>
      </c>
      <c r="Z189" s="27" t="n">
        <f aca="false">MIN(D188*(1+D$8),MAX(P189,$B$11-SUM(X189:Y189)-SUM(Q189:W189)))</f>
        <v>0</v>
      </c>
      <c r="AA189" s="27" t="n">
        <f aca="false">MIN(E188*(1+E$8),MAX(Q189,$B$11-SUM(X189:Z189)-SUM(R189:W189)))</f>
        <v>0</v>
      </c>
      <c r="AB189" s="27" t="n">
        <f aca="false">MIN(F188*(1+F$8),MAX(R189,$B$11-SUM(X189:AA189)-SUM(S189:W189)))</f>
        <v>0</v>
      </c>
      <c r="AC189" s="27" t="n">
        <f aca="false">MIN(G188*(1+G$8),MAX(S189,$B$11-SUM(X189:AB189)-SUM(T189:W189)))</f>
        <v>0</v>
      </c>
      <c r="AD189" s="27" t="n">
        <f aca="false">MIN(H188*(1+H$8),MAX(T189,$B$11-SUM(X189:AC189)-SUM(U189:W189)))</f>
        <v>0</v>
      </c>
      <c r="AE189" s="27" t="n">
        <f aca="false">MIN(I188*(1+I$8),MAX(U189,$B$11-SUM(X189:AD189)-SUM(V189:W189)))</f>
        <v>0</v>
      </c>
      <c r="AF189" s="27" t="n">
        <f aca="false">MIN(J188*(1+J$8),MAX(V189,$B$11-SUM(X189:AE189)-SUM(W189:W189)))</f>
        <v>0</v>
      </c>
      <c r="AG189" s="27" t="n">
        <f aca="false">MIN(K188*(1+K$8),MAX(W189,$B$11-SUM(X189:AF189)))</f>
        <v>0</v>
      </c>
      <c r="AI189" s="27" t="n">
        <f aca="false">ROUND(MAX(0,AI188*(1+B$8)-BE189),2)</f>
        <v>0</v>
      </c>
      <c r="AJ189" s="27" t="n">
        <f aca="false">ROUND(MAX(0,AJ188*(1+C$8)-BF189),2)</f>
        <v>0</v>
      </c>
      <c r="AK189" s="27" t="n">
        <f aca="false">ROUND(MAX(0,AK188*(1+D$8)-BG189),2)</f>
        <v>0</v>
      </c>
      <c r="AL189" s="27" t="n">
        <f aca="false">ROUND(MAX(0,AL188*(1+E$8)-BH189),2)</f>
        <v>0</v>
      </c>
      <c r="AM189" s="27" t="n">
        <f aca="false">ROUND(MAX(0,AM188*(1+F$8)-BI189),2)</f>
        <v>0</v>
      </c>
      <c r="AN189" s="27" t="n">
        <f aca="false">ROUND(MAX(0,AN188*(1+G$8)-BJ189),2)</f>
        <v>0</v>
      </c>
      <c r="AO189" s="27" t="n">
        <f aca="false">ROUND(MAX(0,AO188*(1+H$8)-BK189),2)</f>
        <v>0</v>
      </c>
      <c r="AP189" s="27" t="n">
        <f aca="false">ROUND(MAX(0,AP188*(1+I$8)-BL189),2)</f>
        <v>0</v>
      </c>
      <c r="AQ189" s="27" t="n">
        <f aca="false">ROUND(MAX(0,AQ188*(1+J$8)-BM189),2)</f>
        <v>0</v>
      </c>
      <c r="AR189" s="27" t="n">
        <f aca="false">ROUND(MAX(0,AR188*(1+K$8)-BN189),2)</f>
        <v>0</v>
      </c>
      <c r="AS189" s="27" t="n">
        <f aca="false">SUM(AI189:AR189)</f>
        <v>0</v>
      </c>
      <c r="AT189" s="27" t="n">
        <f aca="false">SUMPRODUCT(AI188:AR188,$B$8:$K$8)</f>
        <v>0</v>
      </c>
      <c r="AU189" s="27" t="n">
        <f aca="false">MIN(AI188*(1+B$8),B$9)</f>
        <v>0</v>
      </c>
      <c r="AV189" s="27" t="n">
        <f aca="false">MIN(AJ188*(1+C$8),C$9)</f>
        <v>0</v>
      </c>
      <c r="AW189" s="27" t="n">
        <f aca="false">MIN(AK188*(1+D$8),D$9)</f>
        <v>0</v>
      </c>
      <c r="AX189" s="27" t="n">
        <f aca="false">MIN(AL188*(1+E$8),E$9)</f>
        <v>0</v>
      </c>
      <c r="AY189" s="27" t="n">
        <f aca="false">MIN(AM188*(1+F$8),F$9)</f>
        <v>0</v>
      </c>
      <c r="AZ189" s="27" t="n">
        <f aca="false">MIN(AN188*(1+G$8),G$9)</f>
        <v>0</v>
      </c>
      <c r="BA189" s="27" t="n">
        <f aca="false">MIN(AO188*(1+H$8),H$9)</f>
        <v>0</v>
      </c>
      <c r="BB189" s="27" t="n">
        <f aca="false">MIN(AP188*(1+I$8),I$9)</f>
        <v>0</v>
      </c>
      <c r="BC189" s="27" t="n">
        <f aca="false">MIN(AQ188*(1+J$8),J$9)</f>
        <v>0</v>
      </c>
      <c r="BD189" s="27" t="n">
        <f aca="false">MIN(AR188*(1+K$8),K$9)</f>
        <v>0</v>
      </c>
      <c r="BE189" s="27" t="n">
        <f aca="false">MIN(AI188*(1+B$8),MAX(AU189,$B$12-SUM(AV189:BD189)))</f>
        <v>0</v>
      </c>
      <c r="BF189" s="27" t="n">
        <f aca="false">MIN(AJ188*(1+C$8),MAX(AV189,$B$12-SUM(BE189:BE189)-SUM(AW189:BD189)))</f>
        <v>0</v>
      </c>
      <c r="BG189" s="27" t="n">
        <f aca="false">MIN(AK188*(1+D$8),MAX(AW189,$B$12-SUM(BE189:BF189)-SUM(AX189:BD189)))</f>
        <v>0</v>
      </c>
      <c r="BH189" s="27" t="n">
        <f aca="false">MIN(AL188*(1+E$8),MAX(AX189,$B$12-SUM(BE189:BG189)-SUM(AY189:BD189)))</f>
        <v>0</v>
      </c>
      <c r="BI189" s="27" t="n">
        <f aca="false">MIN(AM188*(1+F$8),MAX(AY189,$B$12-SUM(BE189:BH189)-SUM(AZ189:BD189)))</f>
        <v>0</v>
      </c>
      <c r="BJ189" s="27" t="n">
        <f aca="false">MIN(AN188*(1+G$8),MAX(AZ189,$B$12-SUM(BE189:BI189)-SUM(BA189:BD189)))</f>
        <v>0</v>
      </c>
      <c r="BK189" s="27" t="n">
        <f aca="false">MIN(AO188*(1+H$8),MAX(BA189,$B$12-SUM(BE189:BJ189)-SUM(BB189:BD189)))</f>
        <v>0</v>
      </c>
      <c r="BL189" s="27" t="n">
        <f aca="false">MIN(AP188*(1+I$8),MAX(BB189,$B$12-SUM(BE189:BK189)-SUM(BC189:BD189)))</f>
        <v>0</v>
      </c>
      <c r="BM189" s="27" t="n">
        <f aca="false">MIN(AQ188*(1+J$8),MAX(BC189,$B$12-SUM(BE189:BL189)-SUM(BD189:BD189)))</f>
        <v>0</v>
      </c>
      <c r="BN189" s="27" t="n">
        <f aca="false">MIN(AR188*(1+K$8),MAX(BD189,$B$12-SUM(BE189:BM189)))</f>
        <v>0</v>
      </c>
    </row>
    <row r="190" customFormat="false" ht="15" hidden="false" customHeight="false" outlineLevel="0" collapsed="false">
      <c r="A190" s="0" t="n">
        <v>176</v>
      </c>
      <c r="B190" s="27" t="n">
        <f aca="false">ROUND(MAX(0,B189*(1+B$8)-X190),2)</f>
        <v>0</v>
      </c>
      <c r="C190" s="27" t="n">
        <f aca="false">ROUND(MAX(0,C189*(1+C$8)-Y190),2)</f>
        <v>0</v>
      </c>
      <c r="D190" s="27" t="n">
        <f aca="false">ROUND(MAX(0,D189*(1+D$8)-Z190),2)</f>
        <v>0</v>
      </c>
      <c r="E190" s="27" t="n">
        <f aca="false">ROUND(MAX(0,E189*(1+E$8)-AA190),2)</f>
        <v>0</v>
      </c>
      <c r="F190" s="27" t="n">
        <f aca="false">ROUND(MAX(0,F189*(1+F$8)-AB190),2)</f>
        <v>0</v>
      </c>
      <c r="G190" s="27" t="n">
        <f aca="false">ROUND(MAX(0,G189*(1+G$8)-AC190),2)</f>
        <v>0</v>
      </c>
      <c r="H190" s="27" t="n">
        <f aca="false">ROUND(MAX(0,H189*(1+H$8)-AD190),2)</f>
        <v>0</v>
      </c>
      <c r="I190" s="27" t="n">
        <f aca="false">ROUND(MAX(0,I189*(1+I$8)-AE190),2)</f>
        <v>0</v>
      </c>
      <c r="J190" s="27" t="n">
        <f aca="false">ROUND(MAX(0,J189*(1+J$8)-AF190),2)</f>
        <v>0</v>
      </c>
      <c r="K190" s="27" t="n">
        <f aca="false">ROUND(MAX(0,K189*(1+K$8)-AG190),2)</f>
        <v>0</v>
      </c>
      <c r="L190" s="30" t="n">
        <f aca="false">SUM(B190:K190)</f>
        <v>0</v>
      </c>
      <c r="M190" s="27" t="n">
        <f aca="false">SUMPRODUCT(B189:K189,$B$8:$K$8)</f>
        <v>0</v>
      </c>
      <c r="N190" s="27" t="n">
        <f aca="false">MIN(B189*(1+B$8),B$9)</f>
        <v>0</v>
      </c>
      <c r="O190" s="27" t="n">
        <f aca="false">MIN(C189*(1+C$8),C$9)</f>
        <v>0</v>
      </c>
      <c r="P190" s="27" t="n">
        <f aca="false">MIN(D189*(1+D$8),D$9)</f>
        <v>0</v>
      </c>
      <c r="Q190" s="27" t="n">
        <f aca="false">MIN(E189*(1+E$8),E$9)</f>
        <v>0</v>
      </c>
      <c r="R190" s="27" t="n">
        <f aca="false">MIN(F189*(1+F$8),F$9)</f>
        <v>0</v>
      </c>
      <c r="S190" s="27" t="n">
        <f aca="false">MIN(G189*(1+G$8),G$9)</f>
        <v>0</v>
      </c>
      <c r="T190" s="27" t="n">
        <f aca="false">MIN(H189*(1+H$8),H$9)</f>
        <v>0</v>
      </c>
      <c r="U190" s="27" t="n">
        <f aca="false">MIN(I189*(1+I$8),I$9)</f>
        <v>0</v>
      </c>
      <c r="V190" s="27" t="n">
        <f aca="false">MIN(J189*(1+J$8),J$9)</f>
        <v>0</v>
      </c>
      <c r="W190" s="27" t="n">
        <f aca="false">MIN(K189*(1+K$8),K$9)</f>
        <v>0</v>
      </c>
      <c r="X190" s="27" t="n">
        <f aca="false">MIN(B189*(1+B$8),MAX(N190,$B$11-SUM(O190:W190)))</f>
        <v>0</v>
      </c>
      <c r="Y190" s="27" t="n">
        <f aca="false">MIN(C189*(1+C$8),MAX(O190,$B$11-SUM(X190:X190)-SUM(P190:W190)))</f>
        <v>0</v>
      </c>
      <c r="Z190" s="27" t="n">
        <f aca="false">MIN(D189*(1+D$8),MAX(P190,$B$11-SUM(X190:Y190)-SUM(Q190:W190)))</f>
        <v>0</v>
      </c>
      <c r="AA190" s="27" t="n">
        <f aca="false">MIN(E189*(1+E$8),MAX(Q190,$B$11-SUM(X190:Z190)-SUM(R190:W190)))</f>
        <v>0</v>
      </c>
      <c r="AB190" s="27" t="n">
        <f aca="false">MIN(F189*(1+F$8),MAX(R190,$B$11-SUM(X190:AA190)-SUM(S190:W190)))</f>
        <v>0</v>
      </c>
      <c r="AC190" s="27" t="n">
        <f aca="false">MIN(G189*(1+G$8),MAX(S190,$B$11-SUM(X190:AB190)-SUM(T190:W190)))</f>
        <v>0</v>
      </c>
      <c r="AD190" s="27" t="n">
        <f aca="false">MIN(H189*(1+H$8),MAX(T190,$B$11-SUM(X190:AC190)-SUM(U190:W190)))</f>
        <v>0</v>
      </c>
      <c r="AE190" s="27" t="n">
        <f aca="false">MIN(I189*(1+I$8),MAX(U190,$B$11-SUM(X190:AD190)-SUM(V190:W190)))</f>
        <v>0</v>
      </c>
      <c r="AF190" s="27" t="n">
        <f aca="false">MIN(J189*(1+J$8),MAX(V190,$B$11-SUM(X190:AE190)-SUM(W190:W190)))</f>
        <v>0</v>
      </c>
      <c r="AG190" s="27" t="n">
        <f aca="false">MIN(K189*(1+K$8),MAX(W190,$B$11-SUM(X190:AF190)))</f>
        <v>0</v>
      </c>
      <c r="AI190" s="27" t="n">
        <f aca="false">ROUND(MAX(0,AI189*(1+B$8)-BE190),2)</f>
        <v>0</v>
      </c>
      <c r="AJ190" s="27" t="n">
        <f aca="false">ROUND(MAX(0,AJ189*(1+C$8)-BF190),2)</f>
        <v>0</v>
      </c>
      <c r="AK190" s="27" t="n">
        <f aca="false">ROUND(MAX(0,AK189*(1+D$8)-BG190),2)</f>
        <v>0</v>
      </c>
      <c r="AL190" s="27" t="n">
        <f aca="false">ROUND(MAX(0,AL189*(1+E$8)-BH190),2)</f>
        <v>0</v>
      </c>
      <c r="AM190" s="27" t="n">
        <f aca="false">ROUND(MAX(0,AM189*(1+F$8)-BI190),2)</f>
        <v>0</v>
      </c>
      <c r="AN190" s="27" t="n">
        <f aca="false">ROUND(MAX(0,AN189*(1+G$8)-BJ190),2)</f>
        <v>0</v>
      </c>
      <c r="AO190" s="27" t="n">
        <f aca="false">ROUND(MAX(0,AO189*(1+H$8)-BK190),2)</f>
        <v>0</v>
      </c>
      <c r="AP190" s="27" t="n">
        <f aca="false">ROUND(MAX(0,AP189*(1+I$8)-BL190),2)</f>
        <v>0</v>
      </c>
      <c r="AQ190" s="27" t="n">
        <f aca="false">ROUND(MAX(0,AQ189*(1+J$8)-BM190),2)</f>
        <v>0</v>
      </c>
      <c r="AR190" s="27" t="n">
        <f aca="false">ROUND(MAX(0,AR189*(1+K$8)-BN190),2)</f>
        <v>0</v>
      </c>
      <c r="AS190" s="27" t="n">
        <f aca="false">SUM(AI190:AR190)</f>
        <v>0</v>
      </c>
      <c r="AT190" s="27" t="n">
        <f aca="false">SUMPRODUCT(AI189:AR189,$B$8:$K$8)</f>
        <v>0</v>
      </c>
      <c r="AU190" s="27" t="n">
        <f aca="false">MIN(AI189*(1+B$8),B$9)</f>
        <v>0</v>
      </c>
      <c r="AV190" s="27" t="n">
        <f aca="false">MIN(AJ189*(1+C$8),C$9)</f>
        <v>0</v>
      </c>
      <c r="AW190" s="27" t="n">
        <f aca="false">MIN(AK189*(1+D$8),D$9)</f>
        <v>0</v>
      </c>
      <c r="AX190" s="27" t="n">
        <f aca="false">MIN(AL189*(1+E$8),E$9)</f>
        <v>0</v>
      </c>
      <c r="AY190" s="27" t="n">
        <f aca="false">MIN(AM189*(1+F$8),F$9)</f>
        <v>0</v>
      </c>
      <c r="AZ190" s="27" t="n">
        <f aca="false">MIN(AN189*(1+G$8),G$9)</f>
        <v>0</v>
      </c>
      <c r="BA190" s="27" t="n">
        <f aca="false">MIN(AO189*(1+H$8),H$9)</f>
        <v>0</v>
      </c>
      <c r="BB190" s="27" t="n">
        <f aca="false">MIN(AP189*(1+I$8),I$9)</f>
        <v>0</v>
      </c>
      <c r="BC190" s="27" t="n">
        <f aca="false">MIN(AQ189*(1+J$8),J$9)</f>
        <v>0</v>
      </c>
      <c r="BD190" s="27" t="n">
        <f aca="false">MIN(AR189*(1+K$8),K$9)</f>
        <v>0</v>
      </c>
      <c r="BE190" s="27" t="n">
        <f aca="false">MIN(AI189*(1+B$8),MAX(AU190,$B$12-SUM(AV190:BD190)))</f>
        <v>0</v>
      </c>
      <c r="BF190" s="27" t="n">
        <f aca="false">MIN(AJ189*(1+C$8),MAX(AV190,$B$12-SUM(BE190:BE190)-SUM(AW190:BD190)))</f>
        <v>0</v>
      </c>
      <c r="BG190" s="27" t="n">
        <f aca="false">MIN(AK189*(1+D$8),MAX(AW190,$B$12-SUM(BE190:BF190)-SUM(AX190:BD190)))</f>
        <v>0</v>
      </c>
      <c r="BH190" s="27" t="n">
        <f aca="false">MIN(AL189*(1+E$8),MAX(AX190,$B$12-SUM(BE190:BG190)-SUM(AY190:BD190)))</f>
        <v>0</v>
      </c>
      <c r="BI190" s="27" t="n">
        <f aca="false">MIN(AM189*(1+F$8),MAX(AY190,$B$12-SUM(BE190:BH190)-SUM(AZ190:BD190)))</f>
        <v>0</v>
      </c>
      <c r="BJ190" s="27" t="n">
        <f aca="false">MIN(AN189*(1+G$8),MAX(AZ190,$B$12-SUM(BE190:BI190)-SUM(BA190:BD190)))</f>
        <v>0</v>
      </c>
      <c r="BK190" s="27" t="n">
        <f aca="false">MIN(AO189*(1+H$8),MAX(BA190,$B$12-SUM(BE190:BJ190)-SUM(BB190:BD190)))</f>
        <v>0</v>
      </c>
      <c r="BL190" s="27" t="n">
        <f aca="false">MIN(AP189*(1+I$8),MAX(BB190,$B$12-SUM(BE190:BK190)-SUM(BC190:BD190)))</f>
        <v>0</v>
      </c>
      <c r="BM190" s="27" t="n">
        <f aca="false">MIN(AQ189*(1+J$8),MAX(BC190,$B$12-SUM(BE190:BL190)-SUM(BD190:BD190)))</f>
        <v>0</v>
      </c>
      <c r="BN190" s="27" t="n">
        <f aca="false">MIN(AR189*(1+K$8),MAX(BD190,$B$12-SUM(BE190:BM190)))</f>
        <v>0</v>
      </c>
    </row>
    <row r="191" customFormat="false" ht="15" hidden="false" customHeight="false" outlineLevel="0" collapsed="false">
      <c r="A191" s="0" t="n">
        <v>177</v>
      </c>
      <c r="B191" s="27" t="n">
        <f aca="false">ROUND(MAX(0,B190*(1+B$8)-X191),2)</f>
        <v>0</v>
      </c>
      <c r="C191" s="27" t="n">
        <f aca="false">ROUND(MAX(0,C190*(1+C$8)-Y191),2)</f>
        <v>0</v>
      </c>
      <c r="D191" s="27" t="n">
        <f aca="false">ROUND(MAX(0,D190*(1+D$8)-Z191),2)</f>
        <v>0</v>
      </c>
      <c r="E191" s="27" t="n">
        <f aca="false">ROUND(MAX(0,E190*(1+E$8)-AA191),2)</f>
        <v>0</v>
      </c>
      <c r="F191" s="27" t="n">
        <f aca="false">ROUND(MAX(0,F190*(1+F$8)-AB191),2)</f>
        <v>0</v>
      </c>
      <c r="G191" s="27" t="n">
        <f aca="false">ROUND(MAX(0,G190*(1+G$8)-AC191),2)</f>
        <v>0</v>
      </c>
      <c r="H191" s="27" t="n">
        <f aca="false">ROUND(MAX(0,H190*(1+H$8)-AD191),2)</f>
        <v>0</v>
      </c>
      <c r="I191" s="27" t="n">
        <f aca="false">ROUND(MAX(0,I190*(1+I$8)-AE191),2)</f>
        <v>0</v>
      </c>
      <c r="J191" s="27" t="n">
        <f aca="false">ROUND(MAX(0,J190*(1+J$8)-AF191),2)</f>
        <v>0</v>
      </c>
      <c r="K191" s="27" t="n">
        <f aca="false">ROUND(MAX(0,K190*(1+K$8)-AG191),2)</f>
        <v>0</v>
      </c>
      <c r="L191" s="30" t="n">
        <f aca="false">SUM(B191:K191)</f>
        <v>0</v>
      </c>
      <c r="M191" s="27" t="n">
        <f aca="false">SUMPRODUCT(B190:K190,$B$8:$K$8)</f>
        <v>0</v>
      </c>
      <c r="N191" s="27" t="n">
        <f aca="false">MIN(B190*(1+B$8),B$9)</f>
        <v>0</v>
      </c>
      <c r="O191" s="27" t="n">
        <f aca="false">MIN(C190*(1+C$8),C$9)</f>
        <v>0</v>
      </c>
      <c r="P191" s="27" t="n">
        <f aca="false">MIN(D190*(1+D$8),D$9)</f>
        <v>0</v>
      </c>
      <c r="Q191" s="27" t="n">
        <f aca="false">MIN(E190*(1+E$8),E$9)</f>
        <v>0</v>
      </c>
      <c r="R191" s="27" t="n">
        <f aca="false">MIN(F190*(1+F$8),F$9)</f>
        <v>0</v>
      </c>
      <c r="S191" s="27" t="n">
        <f aca="false">MIN(G190*(1+G$8),G$9)</f>
        <v>0</v>
      </c>
      <c r="T191" s="27" t="n">
        <f aca="false">MIN(H190*(1+H$8),H$9)</f>
        <v>0</v>
      </c>
      <c r="U191" s="27" t="n">
        <f aca="false">MIN(I190*(1+I$8),I$9)</f>
        <v>0</v>
      </c>
      <c r="V191" s="27" t="n">
        <f aca="false">MIN(J190*(1+J$8),J$9)</f>
        <v>0</v>
      </c>
      <c r="W191" s="27" t="n">
        <f aca="false">MIN(K190*(1+K$8),K$9)</f>
        <v>0</v>
      </c>
      <c r="X191" s="27" t="n">
        <f aca="false">MIN(B190*(1+B$8),MAX(N191,$B$11-SUM(O191:W191)))</f>
        <v>0</v>
      </c>
      <c r="Y191" s="27" t="n">
        <f aca="false">MIN(C190*(1+C$8),MAX(O191,$B$11-SUM(X191:X191)-SUM(P191:W191)))</f>
        <v>0</v>
      </c>
      <c r="Z191" s="27" t="n">
        <f aca="false">MIN(D190*(1+D$8),MAX(P191,$B$11-SUM(X191:Y191)-SUM(Q191:W191)))</f>
        <v>0</v>
      </c>
      <c r="AA191" s="27" t="n">
        <f aca="false">MIN(E190*(1+E$8),MAX(Q191,$B$11-SUM(X191:Z191)-SUM(R191:W191)))</f>
        <v>0</v>
      </c>
      <c r="AB191" s="27" t="n">
        <f aca="false">MIN(F190*(1+F$8),MAX(R191,$B$11-SUM(X191:AA191)-SUM(S191:W191)))</f>
        <v>0</v>
      </c>
      <c r="AC191" s="27" t="n">
        <f aca="false">MIN(G190*(1+G$8),MAX(S191,$B$11-SUM(X191:AB191)-SUM(T191:W191)))</f>
        <v>0</v>
      </c>
      <c r="AD191" s="27" t="n">
        <f aca="false">MIN(H190*(1+H$8),MAX(T191,$B$11-SUM(X191:AC191)-SUM(U191:W191)))</f>
        <v>0</v>
      </c>
      <c r="AE191" s="27" t="n">
        <f aca="false">MIN(I190*(1+I$8),MAX(U191,$B$11-SUM(X191:AD191)-SUM(V191:W191)))</f>
        <v>0</v>
      </c>
      <c r="AF191" s="27" t="n">
        <f aca="false">MIN(J190*(1+J$8),MAX(V191,$B$11-SUM(X191:AE191)-SUM(W191:W191)))</f>
        <v>0</v>
      </c>
      <c r="AG191" s="27" t="n">
        <f aca="false">MIN(K190*(1+K$8),MAX(W191,$B$11-SUM(X191:AF191)))</f>
        <v>0</v>
      </c>
      <c r="AI191" s="27" t="n">
        <f aca="false">ROUND(MAX(0,AI190*(1+B$8)-BE191),2)</f>
        <v>0</v>
      </c>
      <c r="AJ191" s="27" t="n">
        <f aca="false">ROUND(MAX(0,AJ190*(1+C$8)-BF191),2)</f>
        <v>0</v>
      </c>
      <c r="AK191" s="27" t="n">
        <f aca="false">ROUND(MAX(0,AK190*(1+D$8)-BG191),2)</f>
        <v>0</v>
      </c>
      <c r="AL191" s="27" t="n">
        <f aca="false">ROUND(MAX(0,AL190*(1+E$8)-BH191),2)</f>
        <v>0</v>
      </c>
      <c r="AM191" s="27" t="n">
        <f aca="false">ROUND(MAX(0,AM190*(1+F$8)-BI191),2)</f>
        <v>0</v>
      </c>
      <c r="AN191" s="27" t="n">
        <f aca="false">ROUND(MAX(0,AN190*(1+G$8)-BJ191),2)</f>
        <v>0</v>
      </c>
      <c r="AO191" s="27" t="n">
        <f aca="false">ROUND(MAX(0,AO190*(1+H$8)-BK191),2)</f>
        <v>0</v>
      </c>
      <c r="AP191" s="27" t="n">
        <f aca="false">ROUND(MAX(0,AP190*(1+I$8)-BL191),2)</f>
        <v>0</v>
      </c>
      <c r="AQ191" s="27" t="n">
        <f aca="false">ROUND(MAX(0,AQ190*(1+J$8)-BM191),2)</f>
        <v>0</v>
      </c>
      <c r="AR191" s="27" t="n">
        <f aca="false">ROUND(MAX(0,AR190*(1+K$8)-BN191),2)</f>
        <v>0</v>
      </c>
      <c r="AS191" s="27" t="n">
        <f aca="false">SUM(AI191:AR191)</f>
        <v>0</v>
      </c>
      <c r="AT191" s="27" t="n">
        <f aca="false">SUMPRODUCT(AI190:AR190,$B$8:$K$8)</f>
        <v>0</v>
      </c>
      <c r="AU191" s="27" t="n">
        <f aca="false">MIN(AI190*(1+B$8),B$9)</f>
        <v>0</v>
      </c>
      <c r="AV191" s="27" t="n">
        <f aca="false">MIN(AJ190*(1+C$8),C$9)</f>
        <v>0</v>
      </c>
      <c r="AW191" s="27" t="n">
        <f aca="false">MIN(AK190*(1+D$8),D$9)</f>
        <v>0</v>
      </c>
      <c r="AX191" s="27" t="n">
        <f aca="false">MIN(AL190*(1+E$8),E$9)</f>
        <v>0</v>
      </c>
      <c r="AY191" s="27" t="n">
        <f aca="false">MIN(AM190*(1+F$8),F$9)</f>
        <v>0</v>
      </c>
      <c r="AZ191" s="27" t="n">
        <f aca="false">MIN(AN190*(1+G$8),G$9)</f>
        <v>0</v>
      </c>
      <c r="BA191" s="27" t="n">
        <f aca="false">MIN(AO190*(1+H$8),H$9)</f>
        <v>0</v>
      </c>
      <c r="BB191" s="27" t="n">
        <f aca="false">MIN(AP190*(1+I$8),I$9)</f>
        <v>0</v>
      </c>
      <c r="BC191" s="27" t="n">
        <f aca="false">MIN(AQ190*(1+J$8),J$9)</f>
        <v>0</v>
      </c>
      <c r="BD191" s="27" t="n">
        <f aca="false">MIN(AR190*(1+K$8),K$9)</f>
        <v>0</v>
      </c>
      <c r="BE191" s="27" t="n">
        <f aca="false">MIN(AI190*(1+B$8),MAX(AU191,$B$12-SUM(AV191:BD191)))</f>
        <v>0</v>
      </c>
      <c r="BF191" s="27" t="n">
        <f aca="false">MIN(AJ190*(1+C$8),MAX(AV191,$B$12-SUM(BE191:BE191)-SUM(AW191:BD191)))</f>
        <v>0</v>
      </c>
      <c r="BG191" s="27" t="n">
        <f aca="false">MIN(AK190*(1+D$8),MAX(AW191,$B$12-SUM(BE191:BF191)-SUM(AX191:BD191)))</f>
        <v>0</v>
      </c>
      <c r="BH191" s="27" t="n">
        <f aca="false">MIN(AL190*(1+E$8),MAX(AX191,$B$12-SUM(BE191:BG191)-SUM(AY191:BD191)))</f>
        <v>0</v>
      </c>
      <c r="BI191" s="27" t="n">
        <f aca="false">MIN(AM190*(1+F$8),MAX(AY191,$B$12-SUM(BE191:BH191)-SUM(AZ191:BD191)))</f>
        <v>0</v>
      </c>
      <c r="BJ191" s="27" t="n">
        <f aca="false">MIN(AN190*(1+G$8),MAX(AZ191,$B$12-SUM(BE191:BI191)-SUM(BA191:BD191)))</f>
        <v>0</v>
      </c>
      <c r="BK191" s="27" t="n">
        <f aca="false">MIN(AO190*(1+H$8),MAX(BA191,$B$12-SUM(BE191:BJ191)-SUM(BB191:BD191)))</f>
        <v>0</v>
      </c>
      <c r="BL191" s="27" t="n">
        <f aca="false">MIN(AP190*(1+I$8),MAX(BB191,$B$12-SUM(BE191:BK191)-SUM(BC191:BD191)))</f>
        <v>0</v>
      </c>
      <c r="BM191" s="27" t="n">
        <f aca="false">MIN(AQ190*(1+J$8),MAX(BC191,$B$12-SUM(BE191:BL191)-SUM(BD191:BD191)))</f>
        <v>0</v>
      </c>
      <c r="BN191" s="27" t="n">
        <f aca="false">MIN(AR190*(1+K$8),MAX(BD191,$B$12-SUM(BE191:BM191)))</f>
        <v>0</v>
      </c>
    </row>
    <row r="192" customFormat="false" ht="15" hidden="false" customHeight="false" outlineLevel="0" collapsed="false">
      <c r="A192" s="0" t="n">
        <v>178</v>
      </c>
      <c r="B192" s="27" t="n">
        <f aca="false">ROUND(MAX(0,B191*(1+B$8)-X192),2)</f>
        <v>0</v>
      </c>
      <c r="C192" s="27" t="n">
        <f aca="false">ROUND(MAX(0,C191*(1+C$8)-Y192),2)</f>
        <v>0</v>
      </c>
      <c r="D192" s="27" t="n">
        <f aca="false">ROUND(MAX(0,D191*(1+D$8)-Z192),2)</f>
        <v>0</v>
      </c>
      <c r="E192" s="27" t="n">
        <f aca="false">ROUND(MAX(0,E191*(1+E$8)-AA192),2)</f>
        <v>0</v>
      </c>
      <c r="F192" s="27" t="n">
        <f aca="false">ROUND(MAX(0,F191*(1+F$8)-AB192),2)</f>
        <v>0</v>
      </c>
      <c r="G192" s="27" t="n">
        <f aca="false">ROUND(MAX(0,G191*(1+G$8)-AC192),2)</f>
        <v>0</v>
      </c>
      <c r="H192" s="27" t="n">
        <f aca="false">ROUND(MAX(0,H191*(1+H$8)-AD192),2)</f>
        <v>0</v>
      </c>
      <c r="I192" s="27" t="n">
        <f aca="false">ROUND(MAX(0,I191*(1+I$8)-AE192),2)</f>
        <v>0</v>
      </c>
      <c r="J192" s="27" t="n">
        <f aca="false">ROUND(MAX(0,J191*(1+J$8)-AF192),2)</f>
        <v>0</v>
      </c>
      <c r="K192" s="27" t="n">
        <f aca="false">ROUND(MAX(0,K191*(1+K$8)-AG192),2)</f>
        <v>0</v>
      </c>
      <c r="L192" s="30" t="n">
        <f aca="false">SUM(B192:K192)</f>
        <v>0</v>
      </c>
      <c r="M192" s="27" t="n">
        <f aca="false">SUMPRODUCT(B191:K191,$B$8:$K$8)</f>
        <v>0</v>
      </c>
      <c r="N192" s="27" t="n">
        <f aca="false">MIN(B191*(1+B$8),B$9)</f>
        <v>0</v>
      </c>
      <c r="O192" s="27" t="n">
        <f aca="false">MIN(C191*(1+C$8),C$9)</f>
        <v>0</v>
      </c>
      <c r="P192" s="27" t="n">
        <f aca="false">MIN(D191*(1+D$8),D$9)</f>
        <v>0</v>
      </c>
      <c r="Q192" s="27" t="n">
        <f aca="false">MIN(E191*(1+E$8),E$9)</f>
        <v>0</v>
      </c>
      <c r="R192" s="27" t="n">
        <f aca="false">MIN(F191*(1+F$8),F$9)</f>
        <v>0</v>
      </c>
      <c r="S192" s="27" t="n">
        <f aca="false">MIN(G191*(1+G$8),G$9)</f>
        <v>0</v>
      </c>
      <c r="T192" s="27" t="n">
        <f aca="false">MIN(H191*(1+H$8),H$9)</f>
        <v>0</v>
      </c>
      <c r="U192" s="27" t="n">
        <f aca="false">MIN(I191*(1+I$8),I$9)</f>
        <v>0</v>
      </c>
      <c r="V192" s="27" t="n">
        <f aca="false">MIN(J191*(1+J$8),J$9)</f>
        <v>0</v>
      </c>
      <c r="W192" s="27" t="n">
        <f aca="false">MIN(K191*(1+K$8),K$9)</f>
        <v>0</v>
      </c>
      <c r="X192" s="27" t="n">
        <f aca="false">MIN(B191*(1+B$8),MAX(N192,$B$11-SUM(O192:W192)))</f>
        <v>0</v>
      </c>
      <c r="Y192" s="27" t="n">
        <f aca="false">MIN(C191*(1+C$8),MAX(O192,$B$11-SUM(X192:X192)-SUM(P192:W192)))</f>
        <v>0</v>
      </c>
      <c r="Z192" s="27" t="n">
        <f aca="false">MIN(D191*(1+D$8),MAX(P192,$B$11-SUM(X192:Y192)-SUM(Q192:W192)))</f>
        <v>0</v>
      </c>
      <c r="AA192" s="27" t="n">
        <f aca="false">MIN(E191*(1+E$8),MAX(Q192,$B$11-SUM(X192:Z192)-SUM(R192:W192)))</f>
        <v>0</v>
      </c>
      <c r="AB192" s="27" t="n">
        <f aca="false">MIN(F191*(1+F$8),MAX(R192,$B$11-SUM(X192:AA192)-SUM(S192:W192)))</f>
        <v>0</v>
      </c>
      <c r="AC192" s="27" t="n">
        <f aca="false">MIN(G191*(1+G$8),MAX(S192,$B$11-SUM(X192:AB192)-SUM(T192:W192)))</f>
        <v>0</v>
      </c>
      <c r="AD192" s="27" t="n">
        <f aca="false">MIN(H191*(1+H$8),MAX(T192,$B$11-SUM(X192:AC192)-SUM(U192:W192)))</f>
        <v>0</v>
      </c>
      <c r="AE192" s="27" t="n">
        <f aca="false">MIN(I191*(1+I$8),MAX(U192,$B$11-SUM(X192:AD192)-SUM(V192:W192)))</f>
        <v>0</v>
      </c>
      <c r="AF192" s="27" t="n">
        <f aca="false">MIN(J191*(1+J$8),MAX(V192,$B$11-SUM(X192:AE192)-SUM(W192:W192)))</f>
        <v>0</v>
      </c>
      <c r="AG192" s="27" t="n">
        <f aca="false">MIN(K191*(1+K$8),MAX(W192,$B$11-SUM(X192:AF192)))</f>
        <v>0</v>
      </c>
      <c r="AI192" s="27" t="n">
        <f aca="false">ROUND(MAX(0,AI191*(1+B$8)-BE192),2)</f>
        <v>0</v>
      </c>
      <c r="AJ192" s="27" t="n">
        <f aca="false">ROUND(MAX(0,AJ191*(1+C$8)-BF192),2)</f>
        <v>0</v>
      </c>
      <c r="AK192" s="27" t="n">
        <f aca="false">ROUND(MAX(0,AK191*(1+D$8)-BG192),2)</f>
        <v>0</v>
      </c>
      <c r="AL192" s="27" t="n">
        <f aca="false">ROUND(MAX(0,AL191*(1+E$8)-BH192),2)</f>
        <v>0</v>
      </c>
      <c r="AM192" s="27" t="n">
        <f aca="false">ROUND(MAX(0,AM191*(1+F$8)-BI192),2)</f>
        <v>0</v>
      </c>
      <c r="AN192" s="27" t="n">
        <f aca="false">ROUND(MAX(0,AN191*(1+G$8)-BJ192),2)</f>
        <v>0</v>
      </c>
      <c r="AO192" s="27" t="n">
        <f aca="false">ROUND(MAX(0,AO191*(1+H$8)-BK192),2)</f>
        <v>0</v>
      </c>
      <c r="AP192" s="27" t="n">
        <f aca="false">ROUND(MAX(0,AP191*(1+I$8)-BL192),2)</f>
        <v>0</v>
      </c>
      <c r="AQ192" s="27" t="n">
        <f aca="false">ROUND(MAX(0,AQ191*(1+J$8)-BM192),2)</f>
        <v>0</v>
      </c>
      <c r="AR192" s="27" t="n">
        <f aca="false">ROUND(MAX(0,AR191*(1+K$8)-BN192),2)</f>
        <v>0</v>
      </c>
      <c r="AS192" s="27" t="n">
        <f aca="false">SUM(AI192:AR192)</f>
        <v>0</v>
      </c>
      <c r="AT192" s="27" t="n">
        <f aca="false">SUMPRODUCT(AI191:AR191,$B$8:$K$8)</f>
        <v>0</v>
      </c>
      <c r="AU192" s="27" t="n">
        <f aca="false">MIN(AI191*(1+B$8),B$9)</f>
        <v>0</v>
      </c>
      <c r="AV192" s="27" t="n">
        <f aca="false">MIN(AJ191*(1+C$8),C$9)</f>
        <v>0</v>
      </c>
      <c r="AW192" s="27" t="n">
        <f aca="false">MIN(AK191*(1+D$8),D$9)</f>
        <v>0</v>
      </c>
      <c r="AX192" s="27" t="n">
        <f aca="false">MIN(AL191*(1+E$8),E$9)</f>
        <v>0</v>
      </c>
      <c r="AY192" s="27" t="n">
        <f aca="false">MIN(AM191*(1+F$8),F$9)</f>
        <v>0</v>
      </c>
      <c r="AZ192" s="27" t="n">
        <f aca="false">MIN(AN191*(1+G$8),G$9)</f>
        <v>0</v>
      </c>
      <c r="BA192" s="27" t="n">
        <f aca="false">MIN(AO191*(1+H$8),H$9)</f>
        <v>0</v>
      </c>
      <c r="BB192" s="27" t="n">
        <f aca="false">MIN(AP191*(1+I$8),I$9)</f>
        <v>0</v>
      </c>
      <c r="BC192" s="27" t="n">
        <f aca="false">MIN(AQ191*(1+J$8),J$9)</f>
        <v>0</v>
      </c>
      <c r="BD192" s="27" t="n">
        <f aca="false">MIN(AR191*(1+K$8),K$9)</f>
        <v>0</v>
      </c>
      <c r="BE192" s="27" t="n">
        <f aca="false">MIN(AI191*(1+B$8),MAX(AU192,$B$12-SUM(AV192:BD192)))</f>
        <v>0</v>
      </c>
      <c r="BF192" s="27" t="n">
        <f aca="false">MIN(AJ191*(1+C$8),MAX(AV192,$B$12-SUM(BE192:BE192)-SUM(AW192:BD192)))</f>
        <v>0</v>
      </c>
      <c r="BG192" s="27" t="n">
        <f aca="false">MIN(AK191*(1+D$8),MAX(AW192,$B$12-SUM(BE192:BF192)-SUM(AX192:BD192)))</f>
        <v>0</v>
      </c>
      <c r="BH192" s="27" t="n">
        <f aca="false">MIN(AL191*(1+E$8),MAX(AX192,$B$12-SUM(BE192:BG192)-SUM(AY192:BD192)))</f>
        <v>0</v>
      </c>
      <c r="BI192" s="27" t="n">
        <f aca="false">MIN(AM191*(1+F$8),MAX(AY192,$B$12-SUM(BE192:BH192)-SUM(AZ192:BD192)))</f>
        <v>0</v>
      </c>
      <c r="BJ192" s="27" t="n">
        <f aca="false">MIN(AN191*(1+G$8),MAX(AZ192,$B$12-SUM(BE192:BI192)-SUM(BA192:BD192)))</f>
        <v>0</v>
      </c>
      <c r="BK192" s="27" t="n">
        <f aca="false">MIN(AO191*(1+H$8),MAX(BA192,$B$12-SUM(BE192:BJ192)-SUM(BB192:BD192)))</f>
        <v>0</v>
      </c>
      <c r="BL192" s="27" t="n">
        <f aca="false">MIN(AP191*(1+I$8),MAX(BB192,$B$12-SUM(BE192:BK192)-SUM(BC192:BD192)))</f>
        <v>0</v>
      </c>
      <c r="BM192" s="27" t="n">
        <f aca="false">MIN(AQ191*(1+J$8),MAX(BC192,$B$12-SUM(BE192:BL192)-SUM(BD192:BD192)))</f>
        <v>0</v>
      </c>
      <c r="BN192" s="27" t="n">
        <f aca="false">MIN(AR191*(1+K$8),MAX(BD192,$B$12-SUM(BE192:BM192)))</f>
        <v>0</v>
      </c>
    </row>
    <row r="193" customFormat="false" ht="15" hidden="false" customHeight="false" outlineLevel="0" collapsed="false">
      <c r="A193" s="0" t="n">
        <v>179</v>
      </c>
      <c r="B193" s="27" t="n">
        <f aca="false">ROUND(MAX(0,B192*(1+B$8)-X193),2)</f>
        <v>0</v>
      </c>
      <c r="C193" s="27" t="n">
        <f aca="false">ROUND(MAX(0,C192*(1+C$8)-Y193),2)</f>
        <v>0</v>
      </c>
      <c r="D193" s="27" t="n">
        <f aca="false">ROUND(MAX(0,D192*(1+D$8)-Z193),2)</f>
        <v>0</v>
      </c>
      <c r="E193" s="27" t="n">
        <f aca="false">ROUND(MAX(0,E192*(1+E$8)-AA193),2)</f>
        <v>0</v>
      </c>
      <c r="F193" s="27" t="n">
        <f aca="false">ROUND(MAX(0,F192*(1+F$8)-AB193),2)</f>
        <v>0</v>
      </c>
      <c r="G193" s="27" t="n">
        <f aca="false">ROUND(MAX(0,G192*(1+G$8)-AC193),2)</f>
        <v>0</v>
      </c>
      <c r="H193" s="27" t="n">
        <f aca="false">ROUND(MAX(0,H192*(1+H$8)-AD193),2)</f>
        <v>0</v>
      </c>
      <c r="I193" s="27" t="n">
        <f aca="false">ROUND(MAX(0,I192*(1+I$8)-AE193),2)</f>
        <v>0</v>
      </c>
      <c r="J193" s="27" t="n">
        <f aca="false">ROUND(MAX(0,J192*(1+J$8)-AF193),2)</f>
        <v>0</v>
      </c>
      <c r="K193" s="27" t="n">
        <f aca="false">ROUND(MAX(0,K192*(1+K$8)-AG193),2)</f>
        <v>0</v>
      </c>
      <c r="L193" s="30" t="n">
        <f aca="false">SUM(B193:K193)</f>
        <v>0</v>
      </c>
      <c r="M193" s="27" t="n">
        <f aca="false">SUMPRODUCT(B192:K192,$B$8:$K$8)</f>
        <v>0</v>
      </c>
      <c r="N193" s="27" t="n">
        <f aca="false">MIN(B192*(1+B$8),B$9)</f>
        <v>0</v>
      </c>
      <c r="O193" s="27" t="n">
        <f aca="false">MIN(C192*(1+C$8),C$9)</f>
        <v>0</v>
      </c>
      <c r="P193" s="27" t="n">
        <f aca="false">MIN(D192*(1+D$8),D$9)</f>
        <v>0</v>
      </c>
      <c r="Q193" s="27" t="n">
        <f aca="false">MIN(E192*(1+E$8),E$9)</f>
        <v>0</v>
      </c>
      <c r="R193" s="27" t="n">
        <f aca="false">MIN(F192*(1+F$8),F$9)</f>
        <v>0</v>
      </c>
      <c r="S193" s="27" t="n">
        <f aca="false">MIN(G192*(1+G$8),G$9)</f>
        <v>0</v>
      </c>
      <c r="T193" s="27" t="n">
        <f aca="false">MIN(H192*(1+H$8),H$9)</f>
        <v>0</v>
      </c>
      <c r="U193" s="27" t="n">
        <f aca="false">MIN(I192*(1+I$8),I$9)</f>
        <v>0</v>
      </c>
      <c r="V193" s="27" t="n">
        <f aca="false">MIN(J192*(1+J$8),J$9)</f>
        <v>0</v>
      </c>
      <c r="W193" s="27" t="n">
        <f aca="false">MIN(K192*(1+K$8),K$9)</f>
        <v>0</v>
      </c>
      <c r="X193" s="27" t="n">
        <f aca="false">MIN(B192*(1+B$8),MAX(N193,$B$11-SUM(O193:W193)))</f>
        <v>0</v>
      </c>
      <c r="Y193" s="27" t="n">
        <f aca="false">MIN(C192*(1+C$8),MAX(O193,$B$11-SUM(X193:X193)-SUM(P193:W193)))</f>
        <v>0</v>
      </c>
      <c r="Z193" s="27" t="n">
        <f aca="false">MIN(D192*(1+D$8),MAX(P193,$B$11-SUM(X193:Y193)-SUM(Q193:W193)))</f>
        <v>0</v>
      </c>
      <c r="AA193" s="27" t="n">
        <f aca="false">MIN(E192*(1+E$8),MAX(Q193,$B$11-SUM(X193:Z193)-SUM(R193:W193)))</f>
        <v>0</v>
      </c>
      <c r="AB193" s="27" t="n">
        <f aca="false">MIN(F192*(1+F$8),MAX(R193,$B$11-SUM(X193:AA193)-SUM(S193:W193)))</f>
        <v>0</v>
      </c>
      <c r="AC193" s="27" t="n">
        <f aca="false">MIN(G192*(1+G$8),MAX(S193,$B$11-SUM(X193:AB193)-SUM(T193:W193)))</f>
        <v>0</v>
      </c>
      <c r="AD193" s="27" t="n">
        <f aca="false">MIN(H192*(1+H$8),MAX(T193,$B$11-SUM(X193:AC193)-SUM(U193:W193)))</f>
        <v>0</v>
      </c>
      <c r="AE193" s="27" t="n">
        <f aca="false">MIN(I192*(1+I$8),MAX(U193,$B$11-SUM(X193:AD193)-SUM(V193:W193)))</f>
        <v>0</v>
      </c>
      <c r="AF193" s="27" t="n">
        <f aca="false">MIN(J192*(1+J$8),MAX(V193,$B$11-SUM(X193:AE193)-SUM(W193:W193)))</f>
        <v>0</v>
      </c>
      <c r="AG193" s="27" t="n">
        <f aca="false">MIN(K192*(1+K$8),MAX(W193,$B$11-SUM(X193:AF193)))</f>
        <v>0</v>
      </c>
      <c r="AI193" s="27" t="n">
        <f aca="false">ROUND(MAX(0,AI192*(1+B$8)-BE193),2)</f>
        <v>0</v>
      </c>
      <c r="AJ193" s="27" t="n">
        <f aca="false">ROUND(MAX(0,AJ192*(1+C$8)-BF193),2)</f>
        <v>0</v>
      </c>
      <c r="AK193" s="27" t="n">
        <f aca="false">ROUND(MAX(0,AK192*(1+D$8)-BG193),2)</f>
        <v>0</v>
      </c>
      <c r="AL193" s="27" t="n">
        <f aca="false">ROUND(MAX(0,AL192*(1+E$8)-BH193),2)</f>
        <v>0</v>
      </c>
      <c r="AM193" s="27" t="n">
        <f aca="false">ROUND(MAX(0,AM192*(1+F$8)-BI193),2)</f>
        <v>0</v>
      </c>
      <c r="AN193" s="27" t="n">
        <f aca="false">ROUND(MAX(0,AN192*(1+G$8)-BJ193),2)</f>
        <v>0</v>
      </c>
      <c r="AO193" s="27" t="n">
        <f aca="false">ROUND(MAX(0,AO192*(1+H$8)-BK193),2)</f>
        <v>0</v>
      </c>
      <c r="AP193" s="27" t="n">
        <f aca="false">ROUND(MAX(0,AP192*(1+I$8)-BL193),2)</f>
        <v>0</v>
      </c>
      <c r="AQ193" s="27" t="n">
        <f aca="false">ROUND(MAX(0,AQ192*(1+J$8)-BM193),2)</f>
        <v>0</v>
      </c>
      <c r="AR193" s="27" t="n">
        <f aca="false">ROUND(MAX(0,AR192*(1+K$8)-BN193),2)</f>
        <v>0</v>
      </c>
      <c r="AS193" s="27" t="n">
        <f aca="false">SUM(AI193:AR193)</f>
        <v>0</v>
      </c>
      <c r="AT193" s="27" t="n">
        <f aca="false">SUMPRODUCT(AI192:AR192,$B$8:$K$8)</f>
        <v>0</v>
      </c>
      <c r="AU193" s="27" t="n">
        <f aca="false">MIN(AI192*(1+B$8),B$9)</f>
        <v>0</v>
      </c>
      <c r="AV193" s="27" t="n">
        <f aca="false">MIN(AJ192*(1+C$8),C$9)</f>
        <v>0</v>
      </c>
      <c r="AW193" s="27" t="n">
        <f aca="false">MIN(AK192*(1+D$8),D$9)</f>
        <v>0</v>
      </c>
      <c r="AX193" s="27" t="n">
        <f aca="false">MIN(AL192*(1+E$8),E$9)</f>
        <v>0</v>
      </c>
      <c r="AY193" s="27" t="n">
        <f aca="false">MIN(AM192*(1+F$8),F$9)</f>
        <v>0</v>
      </c>
      <c r="AZ193" s="27" t="n">
        <f aca="false">MIN(AN192*(1+G$8),G$9)</f>
        <v>0</v>
      </c>
      <c r="BA193" s="27" t="n">
        <f aca="false">MIN(AO192*(1+H$8),H$9)</f>
        <v>0</v>
      </c>
      <c r="BB193" s="27" t="n">
        <f aca="false">MIN(AP192*(1+I$8),I$9)</f>
        <v>0</v>
      </c>
      <c r="BC193" s="27" t="n">
        <f aca="false">MIN(AQ192*(1+J$8),J$9)</f>
        <v>0</v>
      </c>
      <c r="BD193" s="27" t="n">
        <f aca="false">MIN(AR192*(1+K$8),K$9)</f>
        <v>0</v>
      </c>
      <c r="BE193" s="27" t="n">
        <f aca="false">MIN(AI192*(1+B$8),MAX(AU193,$B$12-SUM(AV193:BD193)))</f>
        <v>0</v>
      </c>
      <c r="BF193" s="27" t="n">
        <f aca="false">MIN(AJ192*(1+C$8),MAX(AV193,$B$12-SUM(BE193:BE193)-SUM(AW193:BD193)))</f>
        <v>0</v>
      </c>
      <c r="BG193" s="27" t="n">
        <f aca="false">MIN(AK192*(1+D$8),MAX(AW193,$B$12-SUM(BE193:BF193)-SUM(AX193:BD193)))</f>
        <v>0</v>
      </c>
      <c r="BH193" s="27" t="n">
        <f aca="false">MIN(AL192*(1+E$8),MAX(AX193,$B$12-SUM(BE193:BG193)-SUM(AY193:BD193)))</f>
        <v>0</v>
      </c>
      <c r="BI193" s="27" t="n">
        <f aca="false">MIN(AM192*(1+F$8),MAX(AY193,$B$12-SUM(BE193:BH193)-SUM(AZ193:BD193)))</f>
        <v>0</v>
      </c>
      <c r="BJ193" s="27" t="n">
        <f aca="false">MIN(AN192*(1+G$8),MAX(AZ193,$B$12-SUM(BE193:BI193)-SUM(BA193:BD193)))</f>
        <v>0</v>
      </c>
      <c r="BK193" s="27" t="n">
        <f aca="false">MIN(AO192*(1+H$8),MAX(BA193,$B$12-SUM(BE193:BJ193)-SUM(BB193:BD193)))</f>
        <v>0</v>
      </c>
      <c r="BL193" s="27" t="n">
        <f aca="false">MIN(AP192*(1+I$8),MAX(BB193,$B$12-SUM(BE193:BK193)-SUM(BC193:BD193)))</f>
        <v>0</v>
      </c>
      <c r="BM193" s="27" t="n">
        <f aca="false">MIN(AQ192*(1+J$8),MAX(BC193,$B$12-SUM(BE193:BL193)-SUM(BD193:BD193)))</f>
        <v>0</v>
      </c>
      <c r="BN193" s="27" t="n">
        <f aca="false">MIN(AR192*(1+K$8),MAX(BD193,$B$12-SUM(BE193:BM193)))</f>
        <v>0</v>
      </c>
    </row>
    <row r="194" customFormat="false" ht="15" hidden="false" customHeight="false" outlineLevel="0" collapsed="false">
      <c r="A194" s="0" t="n">
        <v>180</v>
      </c>
      <c r="B194" s="27" t="n">
        <f aca="false">ROUND(MAX(0,B193*(1+B$8)-X194),2)</f>
        <v>0</v>
      </c>
      <c r="C194" s="27" t="n">
        <f aca="false">ROUND(MAX(0,C193*(1+C$8)-Y194),2)</f>
        <v>0</v>
      </c>
      <c r="D194" s="27" t="n">
        <f aca="false">ROUND(MAX(0,D193*(1+D$8)-Z194),2)</f>
        <v>0</v>
      </c>
      <c r="E194" s="27" t="n">
        <f aca="false">ROUND(MAX(0,E193*(1+E$8)-AA194),2)</f>
        <v>0</v>
      </c>
      <c r="F194" s="27" t="n">
        <f aca="false">ROUND(MAX(0,F193*(1+F$8)-AB194),2)</f>
        <v>0</v>
      </c>
      <c r="G194" s="27" t="n">
        <f aca="false">ROUND(MAX(0,G193*(1+G$8)-AC194),2)</f>
        <v>0</v>
      </c>
      <c r="H194" s="27" t="n">
        <f aca="false">ROUND(MAX(0,H193*(1+H$8)-AD194),2)</f>
        <v>0</v>
      </c>
      <c r="I194" s="27" t="n">
        <f aca="false">ROUND(MAX(0,I193*(1+I$8)-AE194),2)</f>
        <v>0</v>
      </c>
      <c r="J194" s="27" t="n">
        <f aca="false">ROUND(MAX(0,J193*(1+J$8)-AF194),2)</f>
        <v>0</v>
      </c>
      <c r="K194" s="27" t="n">
        <f aca="false">ROUND(MAX(0,K193*(1+K$8)-AG194),2)</f>
        <v>0</v>
      </c>
      <c r="L194" s="30" t="n">
        <f aca="false">SUM(B194:K194)</f>
        <v>0</v>
      </c>
      <c r="M194" s="27" t="n">
        <f aca="false">SUMPRODUCT(B193:K193,$B$8:$K$8)</f>
        <v>0</v>
      </c>
      <c r="N194" s="27" t="n">
        <f aca="false">MIN(B193*(1+B$8),B$9)</f>
        <v>0</v>
      </c>
      <c r="O194" s="27" t="n">
        <f aca="false">MIN(C193*(1+C$8),C$9)</f>
        <v>0</v>
      </c>
      <c r="P194" s="27" t="n">
        <f aca="false">MIN(D193*(1+D$8),D$9)</f>
        <v>0</v>
      </c>
      <c r="Q194" s="27" t="n">
        <f aca="false">MIN(E193*(1+E$8),E$9)</f>
        <v>0</v>
      </c>
      <c r="R194" s="27" t="n">
        <f aca="false">MIN(F193*(1+F$8),F$9)</f>
        <v>0</v>
      </c>
      <c r="S194" s="27" t="n">
        <f aca="false">MIN(G193*(1+G$8),G$9)</f>
        <v>0</v>
      </c>
      <c r="T194" s="27" t="n">
        <f aca="false">MIN(H193*(1+H$8),H$9)</f>
        <v>0</v>
      </c>
      <c r="U194" s="27" t="n">
        <f aca="false">MIN(I193*(1+I$8),I$9)</f>
        <v>0</v>
      </c>
      <c r="V194" s="27" t="n">
        <f aca="false">MIN(J193*(1+J$8),J$9)</f>
        <v>0</v>
      </c>
      <c r="W194" s="27" t="n">
        <f aca="false">MIN(K193*(1+K$8),K$9)</f>
        <v>0</v>
      </c>
      <c r="X194" s="27" t="n">
        <f aca="false">MIN(B193*(1+B$8),MAX(N194,$B$11-SUM(O194:W194)))</f>
        <v>0</v>
      </c>
      <c r="Y194" s="27" t="n">
        <f aca="false">MIN(C193*(1+C$8),MAX(O194,$B$11-SUM(X194:X194)-SUM(P194:W194)))</f>
        <v>0</v>
      </c>
      <c r="Z194" s="27" t="n">
        <f aca="false">MIN(D193*(1+D$8),MAX(P194,$B$11-SUM(X194:Y194)-SUM(Q194:W194)))</f>
        <v>0</v>
      </c>
      <c r="AA194" s="27" t="n">
        <f aca="false">MIN(E193*(1+E$8),MAX(Q194,$B$11-SUM(X194:Z194)-SUM(R194:W194)))</f>
        <v>0</v>
      </c>
      <c r="AB194" s="27" t="n">
        <f aca="false">MIN(F193*(1+F$8),MAX(R194,$B$11-SUM(X194:AA194)-SUM(S194:W194)))</f>
        <v>0</v>
      </c>
      <c r="AC194" s="27" t="n">
        <f aca="false">MIN(G193*(1+G$8),MAX(S194,$B$11-SUM(X194:AB194)-SUM(T194:W194)))</f>
        <v>0</v>
      </c>
      <c r="AD194" s="27" t="n">
        <f aca="false">MIN(H193*(1+H$8),MAX(T194,$B$11-SUM(X194:AC194)-SUM(U194:W194)))</f>
        <v>0</v>
      </c>
      <c r="AE194" s="27" t="n">
        <f aca="false">MIN(I193*(1+I$8),MAX(U194,$B$11-SUM(X194:AD194)-SUM(V194:W194)))</f>
        <v>0</v>
      </c>
      <c r="AF194" s="27" t="n">
        <f aca="false">MIN(J193*(1+J$8),MAX(V194,$B$11-SUM(X194:AE194)-SUM(W194:W194)))</f>
        <v>0</v>
      </c>
      <c r="AG194" s="27" t="n">
        <f aca="false">MIN(K193*(1+K$8),MAX(W194,$B$11-SUM(X194:AF194)))</f>
        <v>0</v>
      </c>
      <c r="AI194" s="27" t="n">
        <f aca="false">ROUND(MAX(0,AI193*(1+B$8)-BE194),2)</f>
        <v>0</v>
      </c>
      <c r="AJ194" s="27" t="n">
        <f aca="false">ROUND(MAX(0,AJ193*(1+C$8)-BF194),2)</f>
        <v>0</v>
      </c>
      <c r="AK194" s="27" t="n">
        <f aca="false">ROUND(MAX(0,AK193*(1+D$8)-BG194),2)</f>
        <v>0</v>
      </c>
      <c r="AL194" s="27" t="n">
        <f aca="false">ROUND(MAX(0,AL193*(1+E$8)-BH194),2)</f>
        <v>0</v>
      </c>
      <c r="AM194" s="27" t="n">
        <f aca="false">ROUND(MAX(0,AM193*(1+F$8)-BI194),2)</f>
        <v>0</v>
      </c>
      <c r="AN194" s="27" t="n">
        <f aca="false">ROUND(MAX(0,AN193*(1+G$8)-BJ194),2)</f>
        <v>0</v>
      </c>
      <c r="AO194" s="27" t="n">
        <f aca="false">ROUND(MAX(0,AO193*(1+H$8)-BK194),2)</f>
        <v>0</v>
      </c>
      <c r="AP194" s="27" t="n">
        <f aca="false">ROUND(MAX(0,AP193*(1+I$8)-BL194),2)</f>
        <v>0</v>
      </c>
      <c r="AQ194" s="27" t="n">
        <f aca="false">ROUND(MAX(0,AQ193*(1+J$8)-BM194),2)</f>
        <v>0</v>
      </c>
      <c r="AR194" s="27" t="n">
        <f aca="false">ROUND(MAX(0,AR193*(1+K$8)-BN194),2)</f>
        <v>0</v>
      </c>
      <c r="AS194" s="27" t="n">
        <f aca="false">SUM(AI194:AR194)</f>
        <v>0</v>
      </c>
      <c r="AT194" s="27" t="n">
        <f aca="false">SUMPRODUCT(AI193:AR193,$B$8:$K$8)</f>
        <v>0</v>
      </c>
      <c r="AU194" s="27" t="n">
        <f aca="false">MIN(AI193*(1+B$8),B$9)</f>
        <v>0</v>
      </c>
      <c r="AV194" s="27" t="n">
        <f aca="false">MIN(AJ193*(1+C$8),C$9)</f>
        <v>0</v>
      </c>
      <c r="AW194" s="27" t="n">
        <f aca="false">MIN(AK193*(1+D$8),D$9)</f>
        <v>0</v>
      </c>
      <c r="AX194" s="27" t="n">
        <f aca="false">MIN(AL193*(1+E$8),E$9)</f>
        <v>0</v>
      </c>
      <c r="AY194" s="27" t="n">
        <f aca="false">MIN(AM193*(1+F$8),F$9)</f>
        <v>0</v>
      </c>
      <c r="AZ194" s="27" t="n">
        <f aca="false">MIN(AN193*(1+G$8),G$9)</f>
        <v>0</v>
      </c>
      <c r="BA194" s="27" t="n">
        <f aca="false">MIN(AO193*(1+H$8),H$9)</f>
        <v>0</v>
      </c>
      <c r="BB194" s="27" t="n">
        <f aca="false">MIN(AP193*(1+I$8),I$9)</f>
        <v>0</v>
      </c>
      <c r="BC194" s="27" t="n">
        <f aca="false">MIN(AQ193*(1+J$8),J$9)</f>
        <v>0</v>
      </c>
      <c r="BD194" s="27" t="n">
        <f aca="false">MIN(AR193*(1+K$8),K$9)</f>
        <v>0</v>
      </c>
      <c r="BE194" s="27" t="n">
        <f aca="false">MIN(AI193*(1+B$8),MAX(AU194,$B$12-SUM(AV194:BD194)))</f>
        <v>0</v>
      </c>
      <c r="BF194" s="27" t="n">
        <f aca="false">MIN(AJ193*(1+C$8),MAX(AV194,$B$12-SUM(BE194:BE194)-SUM(AW194:BD194)))</f>
        <v>0</v>
      </c>
      <c r="BG194" s="27" t="n">
        <f aca="false">MIN(AK193*(1+D$8),MAX(AW194,$B$12-SUM(BE194:BF194)-SUM(AX194:BD194)))</f>
        <v>0</v>
      </c>
      <c r="BH194" s="27" t="n">
        <f aca="false">MIN(AL193*(1+E$8),MAX(AX194,$B$12-SUM(BE194:BG194)-SUM(AY194:BD194)))</f>
        <v>0</v>
      </c>
      <c r="BI194" s="27" t="n">
        <f aca="false">MIN(AM193*(1+F$8),MAX(AY194,$B$12-SUM(BE194:BH194)-SUM(AZ194:BD194)))</f>
        <v>0</v>
      </c>
      <c r="BJ194" s="27" t="n">
        <f aca="false">MIN(AN193*(1+G$8),MAX(AZ194,$B$12-SUM(BE194:BI194)-SUM(BA194:BD194)))</f>
        <v>0</v>
      </c>
      <c r="BK194" s="27" t="n">
        <f aca="false">MIN(AO193*(1+H$8),MAX(BA194,$B$12-SUM(BE194:BJ194)-SUM(BB194:BD194)))</f>
        <v>0</v>
      </c>
      <c r="BL194" s="27" t="n">
        <f aca="false">MIN(AP193*(1+I$8),MAX(BB194,$B$12-SUM(BE194:BK194)-SUM(BC194:BD194)))</f>
        <v>0</v>
      </c>
      <c r="BM194" s="27" t="n">
        <f aca="false">MIN(AQ193*(1+J$8),MAX(BC194,$B$12-SUM(BE194:BL194)-SUM(BD194:BD194)))</f>
        <v>0</v>
      </c>
      <c r="BN194" s="27" t="n">
        <f aca="false">MIN(AR193*(1+K$8),MAX(BD194,$B$12-SUM(BE194:BM194)))</f>
        <v>0</v>
      </c>
    </row>
    <row r="195" customFormat="false" ht="15" hidden="false" customHeight="false" outlineLevel="0" collapsed="false">
      <c r="A195" s="0" t="n">
        <v>181</v>
      </c>
      <c r="B195" s="27" t="n">
        <f aca="false">ROUND(MAX(0,B194*(1+B$8)-X195),2)</f>
        <v>0</v>
      </c>
      <c r="C195" s="27" t="n">
        <f aca="false">ROUND(MAX(0,C194*(1+C$8)-Y195),2)</f>
        <v>0</v>
      </c>
      <c r="D195" s="27" t="n">
        <f aca="false">ROUND(MAX(0,D194*(1+D$8)-Z195),2)</f>
        <v>0</v>
      </c>
      <c r="E195" s="27" t="n">
        <f aca="false">ROUND(MAX(0,E194*(1+E$8)-AA195),2)</f>
        <v>0</v>
      </c>
      <c r="F195" s="27" t="n">
        <f aca="false">ROUND(MAX(0,F194*(1+F$8)-AB195),2)</f>
        <v>0</v>
      </c>
      <c r="G195" s="27" t="n">
        <f aca="false">ROUND(MAX(0,G194*(1+G$8)-AC195),2)</f>
        <v>0</v>
      </c>
      <c r="H195" s="27" t="n">
        <f aca="false">ROUND(MAX(0,H194*(1+H$8)-AD195),2)</f>
        <v>0</v>
      </c>
      <c r="I195" s="27" t="n">
        <f aca="false">ROUND(MAX(0,I194*(1+I$8)-AE195),2)</f>
        <v>0</v>
      </c>
      <c r="J195" s="27" t="n">
        <f aca="false">ROUND(MAX(0,J194*(1+J$8)-AF195),2)</f>
        <v>0</v>
      </c>
      <c r="K195" s="27" t="n">
        <f aca="false">ROUND(MAX(0,K194*(1+K$8)-AG195),2)</f>
        <v>0</v>
      </c>
      <c r="L195" s="30" t="n">
        <f aca="false">SUM(B195:K195)</f>
        <v>0</v>
      </c>
      <c r="M195" s="27" t="n">
        <f aca="false">SUMPRODUCT(B194:K194,$B$8:$K$8)</f>
        <v>0</v>
      </c>
      <c r="N195" s="27" t="n">
        <f aca="false">MIN(B194*(1+B$8),B$9)</f>
        <v>0</v>
      </c>
      <c r="O195" s="27" t="n">
        <f aca="false">MIN(C194*(1+C$8),C$9)</f>
        <v>0</v>
      </c>
      <c r="P195" s="27" t="n">
        <f aca="false">MIN(D194*(1+D$8),D$9)</f>
        <v>0</v>
      </c>
      <c r="Q195" s="27" t="n">
        <f aca="false">MIN(E194*(1+E$8),E$9)</f>
        <v>0</v>
      </c>
      <c r="R195" s="27" t="n">
        <f aca="false">MIN(F194*(1+F$8),F$9)</f>
        <v>0</v>
      </c>
      <c r="S195" s="27" t="n">
        <f aca="false">MIN(G194*(1+G$8),G$9)</f>
        <v>0</v>
      </c>
      <c r="T195" s="27" t="n">
        <f aca="false">MIN(H194*(1+H$8),H$9)</f>
        <v>0</v>
      </c>
      <c r="U195" s="27" t="n">
        <f aca="false">MIN(I194*(1+I$8),I$9)</f>
        <v>0</v>
      </c>
      <c r="V195" s="27" t="n">
        <f aca="false">MIN(J194*(1+J$8),J$9)</f>
        <v>0</v>
      </c>
      <c r="W195" s="27" t="n">
        <f aca="false">MIN(K194*(1+K$8),K$9)</f>
        <v>0</v>
      </c>
      <c r="X195" s="27" t="n">
        <f aca="false">MIN(B194*(1+B$8),MAX(N195,$B$11-SUM(O195:W195)))</f>
        <v>0</v>
      </c>
      <c r="Y195" s="27" t="n">
        <f aca="false">MIN(C194*(1+C$8),MAX(O195,$B$11-SUM(X195:X195)-SUM(P195:W195)))</f>
        <v>0</v>
      </c>
      <c r="Z195" s="27" t="n">
        <f aca="false">MIN(D194*(1+D$8),MAX(P195,$B$11-SUM(X195:Y195)-SUM(Q195:W195)))</f>
        <v>0</v>
      </c>
      <c r="AA195" s="27" t="n">
        <f aca="false">MIN(E194*(1+E$8),MAX(Q195,$B$11-SUM(X195:Z195)-SUM(R195:W195)))</f>
        <v>0</v>
      </c>
      <c r="AB195" s="27" t="n">
        <f aca="false">MIN(F194*(1+F$8),MAX(R195,$B$11-SUM(X195:AA195)-SUM(S195:W195)))</f>
        <v>0</v>
      </c>
      <c r="AC195" s="27" t="n">
        <f aca="false">MIN(G194*(1+G$8),MAX(S195,$B$11-SUM(X195:AB195)-SUM(T195:W195)))</f>
        <v>0</v>
      </c>
      <c r="AD195" s="27" t="n">
        <f aca="false">MIN(H194*(1+H$8),MAX(T195,$B$11-SUM(X195:AC195)-SUM(U195:W195)))</f>
        <v>0</v>
      </c>
      <c r="AE195" s="27" t="n">
        <f aca="false">MIN(I194*(1+I$8),MAX(U195,$B$11-SUM(X195:AD195)-SUM(V195:W195)))</f>
        <v>0</v>
      </c>
      <c r="AF195" s="27" t="n">
        <f aca="false">MIN(J194*(1+J$8),MAX(V195,$B$11-SUM(X195:AE195)-SUM(W195:W195)))</f>
        <v>0</v>
      </c>
      <c r="AG195" s="27" t="n">
        <f aca="false">MIN(K194*(1+K$8),MAX(W195,$B$11-SUM(X195:AF195)))</f>
        <v>0</v>
      </c>
      <c r="AI195" s="27" t="n">
        <f aca="false">ROUND(MAX(0,AI194*(1+B$8)-BE195),2)</f>
        <v>0</v>
      </c>
      <c r="AJ195" s="27" t="n">
        <f aca="false">ROUND(MAX(0,AJ194*(1+C$8)-BF195),2)</f>
        <v>0</v>
      </c>
      <c r="AK195" s="27" t="n">
        <f aca="false">ROUND(MAX(0,AK194*(1+D$8)-BG195),2)</f>
        <v>0</v>
      </c>
      <c r="AL195" s="27" t="n">
        <f aca="false">ROUND(MAX(0,AL194*(1+E$8)-BH195),2)</f>
        <v>0</v>
      </c>
      <c r="AM195" s="27" t="n">
        <f aca="false">ROUND(MAX(0,AM194*(1+F$8)-BI195),2)</f>
        <v>0</v>
      </c>
      <c r="AN195" s="27" t="n">
        <f aca="false">ROUND(MAX(0,AN194*(1+G$8)-BJ195),2)</f>
        <v>0</v>
      </c>
      <c r="AO195" s="27" t="n">
        <f aca="false">ROUND(MAX(0,AO194*(1+H$8)-BK195),2)</f>
        <v>0</v>
      </c>
      <c r="AP195" s="27" t="n">
        <f aca="false">ROUND(MAX(0,AP194*(1+I$8)-BL195),2)</f>
        <v>0</v>
      </c>
      <c r="AQ195" s="27" t="n">
        <f aca="false">ROUND(MAX(0,AQ194*(1+J$8)-BM195),2)</f>
        <v>0</v>
      </c>
      <c r="AR195" s="27" t="n">
        <f aca="false">ROUND(MAX(0,AR194*(1+K$8)-BN195),2)</f>
        <v>0</v>
      </c>
      <c r="AS195" s="27" t="n">
        <f aca="false">SUM(AI195:AR195)</f>
        <v>0</v>
      </c>
      <c r="AT195" s="27" t="n">
        <f aca="false">SUMPRODUCT(AI194:AR194,$B$8:$K$8)</f>
        <v>0</v>
      </c>
      <c r="AU195" s="27" t="n">
        <f aca="false">MIN(AI194*(1+B$8),B$9)</f>
        <v>0</v>
      </c>
      <c r="AV195" s="27" t="n">
        <f aca="false">MIN(AJ194*(1+C$8),C$9)</f>
        <v>0</v>
      </c>
      <c r="AW195" s="27" t="n">
        <f aca="false">MIN(AK194*(1+D$8),D$9)</f>
        <v>0</v>
      </c>
      <c r="AX195" s="27" t="n">
        <f aca="false">MIN(AL194*(1+E$8),E$9)</f>
        <v>0</v>
      </c>
      <c r="AY195" s="27" t="n">
        <f aca="false">MIN(AM194*(1+F$8),F$9)</f>
        <v>0</v>
      </c>
      <c r="AZ195" s="27" t="n">
        <f aca="false">MIN(AN194*(1+G$8),G$9)</f>
        <v>0</v>
      </c>
      <c r="BA195" s="27" t="n">
        <f aca="false">MIN(AO194*(1+H$8),H$9)</f>
        <v>0</v>
      </c>
      <c r="BB195" s="27" t="n">
        <f aca="false">MIN(AP194*(1+I$8),I$9)</f>
        <v>0</v>
      </c>
      <c r="BC195" s="27" t="n">
        <f aca="false">MIN(AQ194*(1+J$8),J$9)</f>
        <v>0</v>
      </c>
      <c r="BD195" s="27" t="n">
        <f aca="false">MIN(AR194*(1+K$8),K$9)</f>
        <v>0</v>
      </c>
      <c r="BE195" s="27" t="n">
        <f aca="false">MIN(AI194*(1+B$8),MAX(AU195,$B$12-SUM(AV195:BD195)))</f>
        <v>0</v>
      </c>
      <c r="BF195" s="27" t="n">
        <f aca="false">MIN(AJ194*(1+C$8),MAX(AV195,$B$12-SUM(BE195:BE195)-SUM(AW195:BD195)))</f>
        <v>0</v>
      </c>
      <c r="BG195" s="27" t="n">
        <f aca="false">MIN(AK194*(1+D$8),MAX(AW195,$B$12-SUM(BE195:BF195)-SUM(AX195:BD195)))</f>
        <v>0</v>
      </c>
      <c r="BH195" s="27" t="n">
        <f aca="false">MIN(AL194*(1+E$8),MAX(AX195,$B$12-SUM(BE195:BG195)-SUM(AY195:BD195)))</f>
        <v>0</v>
      </c>
      <c r="BI195" s="27" t="n">
        <f aca="false">MIN(AM194*(1+F$8),MAX(AY195,$B$12-SUM(BE195:BH195)-SUM(AZ195:BD195)))</f>
        <v>0</v>
      </c>
      <c r="BJ195" s="27" t="n">
        <f aca="false">MIN(AN194*(1+G$8),MAX(AZ195,$B$12-SUM(BE195:BI195)-SUM(BA195:BD195)))</f>
        <v>0</v>
      </c>
      <c r="BK195" s="27" t="n">
        <f aca="false">MIN(AO194*(1+H$8),MAX(BA195,$B$12-SUM(BE195:BJ195)-SUM(BB195:BD195)))</f>
        <v>0</v>
      </c>
      <c r="BL195" s="27" t="n">
        <f aca="false">MIN(AP194*(1+I$8),MAX(BB195,$B$12-SUM(BE195:BK195)-SUM(BC195:BD195)))</f>
        <v>0</v>
      </c>
      <c r="BM195" s="27" t="n">
        <f aca="false">MIN(AQ194*(1+J$8),MAX(BC195,$B$12-SUM(BE195:BL195)-SUM(BD195:BD195)))</f>
        <v>0</v>
      </c>
      <c r="BN195" s="27" t="n">
        <f aca="false">MIN(AR194*(1+K$8),MAX(BD195,$B$12-SUM(BE195:BM195)))</f>
        <v>0</v>
      </c>
    </row>
    <row r="196" customFormat="false" ht="15" hidden="false" customHeight="false" outlineLevel="0" collapsed="false">
      <c r="A196" s="0" t="n">
        <v>182</v>
      </c>
      <c r="B196" s="27" t="n">
        <f aca="false">ROUND(MAX(0,B195*(1+B$8)-X196),2)</f>
        <v>0</v>
      </c>
      <c r="C196" s="27" t="n">
        <f aca="false">ROUND(MAX(0,C195*(1+C$8)-Y196),2)</f>
        <v>0</v>
      </c>
      <c r="D196" s="27" t="n">
        <f aca="false">ROUND(MAX(0,D195*(1+D$8)-Z196),2)</f>
        <v>0</v>
      </c>
      <c r="E196" s="27" t="n">
        <f aca="false">ROUND(MAX(0,E195*(1+E$8)-AA196),2)</f>
        <v>0</v>
      </c>
      <c r="F196" s="27" t="n">
        <f aca="false">ROUND(MAX(0,F195*(1+F$8)-AB196),2)</f>
        <v>0</v>
      </c>
      <c r="G196" s="27" t="n">
        <f aca="false">ROUND(MAX(0,G195*(1+G$8)-AC196),2)</f>
        <v>0</v>
      </c>
      <c r="H196" s="27" t="n">
        <f aca="false">ROUND(MAX(0,H195*(1+H$8)-AD196),2)</f>
        <v>0</v>
      </c>
      <c r="I196" s="27" t="n">
        <f aca="false">ROUND(MAX(0,I195*(1+I$8)-AE196),2)</f>
        <v>0</v>
      </c>
      <c r="J196" s="27" t="n">
        <f aca="false">ROUND(MAX(0,J195*(1+J$8)-AF196),2)</f>
        <v>0</v>
      </c>
      <c r="K196" s="27" t="n">
        <f aca="false">ROUND(MAX(0,K195*(1+K$8)-AG196),2)</f>
        <v>0</v>
      </c>
      <c r="L196" s="30" t="n">
        <f aca="false">SUM(B196:K196)</f>
        <v>0</v>
      </c>
      <c r="M196" s="27" t="n">
        <f aca="false">SUMPRODUCT(B195:K195,$B$8:$K$8)</f>
        <v>0</v>
      </c>
      <c r="N196" s="27" t="n">
        <f aca="false">MIN(B195*(1+B$8),B$9)</f>
        <v>0</v>
      </c>
      <c r="O196" s="27" t="n">
        <f aca="false">MIN(C195*(1+C$8),C$9)</f>
        <v>0</v>
      </c>
      <c r="P196" s="27" t="n">
        <f aca="false">MIN(D195*(1+D$8),D$9)</f>
        <v>0</v>
      </c>
      <c r="Q196" s="27" t="n">
        <f aca="false">MIN(E195*(1+E$8),E$9)</f>
        <v>0</v>
      </c>
      <c r="R196" s="27" t="n">
        <f aca="false">MIN(F195*(1+F$8),F$9)</f>
        <v>0</v>
      </c>
      <c r="S196" s="27" t="n">
        <f aca="false">MIN(G195*(1+G$8),G$9)</f>
        <v>0</v>
      </c>
      <c r="T196" s="27" t="n">
        <f aca="false">MIN(H195*(1+H$8),H$9)</f>
        <v>0</v>
      </c>
      <c r="U196" s="27" t="n">
        <f aca="false">MIN(I195*(1+I$8),I$9)</f>
        <v>0</v>
      </c>
      <c r="V196" s="27" t="n">
        <f aca="false">MIN(J195*(1+J$8),J$9)</f>
        <v>0</v>
      </c>
      <c r="W196" s="27" t="n">
        <f aca="false">MIN(K195*(1+K$8),K$9)</f>
        <v>0</v>
      </c>
      <c r="X196" s="27" t="n">
        <f aca="false">MIN(B195*(1+B$8),MAX(N196,$B$11-SUM(O196:W196)))</f>
        <v>0</v>
      </c>
      <c r="Y196" s="27" t="n">
        <f aca="false">MIN(C195*(1+C$8),MAX(O196,$B$11-SUM(X196:X196)-SUM(P196:W196)))</f>
        <v>0</v>
      </c>
      <c r="Z196" s="27" t="n">
        <f aca="false">MIN(D195*(1+D$8),MAX(P196,$B$11-SUM(X196:Y196)-SUM(Q196:W196)))</f>
        <v>0</v>
      </c>
      <c r="AA196" s="27" t="n">
        <f aca="false">MIN(E195*(1+E$8),MAX(Q196,$B$11-SUM(X196:Z196)-SUM(R196:W196)))</f>
        <v>0</v>
      </c>
      <c r="AB196" s="27" t="n">
        <f aca="false">MIN(F195*(1+F$8),MAX(R196,$B$11-SUM(X196:AA196)-SUM(S196:W196)))</f>
        <v>0</v>
      </c>
      <c r="AC196" s="27" t="n">
        <f aca="false">MIN(G195*(1+G$8),MAX(S196,$B$11-SUM(X196:AB196)-SUM(T196:W196)))</f>
        <v>0</v>
      </c>
      <c r="AD196" s="27" t="n">
        <f aca="false">MIN(H195*(1+H$8),MAX(T196,$B$11-SUM(X196:AC196)-SUM(U196:W196)))</f>
        <v>0</v>
      </c>
      <c r="AE196" s="27" t="n">
        <f aca="false">MIN(I195*(1+I$8),MAX(U196,$B$11-SUM(X196:AD196)-SUM(V196:W196)))</f>
        <v>0</v>
      </c>
      <c r="AF196" s="27" t="n">
        <f aca="false">MIN(J195*(1+J$8),MAX(V196,$B$11-SUM(X196:AE196)-SUM(W196:W196)))</f>
        <v>0</v>
      </c>
      <c r="AG196" s="27" t="n">
        <f aca="false">MIN(K195*(1+K$8),MAX(W196,$B$11-SUM(X196:AF196)))</f>
        <v>0</v>
      </c>
      <c r="AI196" s="27" t="n">
        <f aca="false">ROUND(MAX(0,AI195*(1+B$8)-BE196),2)</f>
        <v>0</v>
      </c>
      <c r="AJ196" s="27" t="n">
        <f aca="false">ROUND(MAX(0,AJ195*(1+C$8)-BF196),2)</f>
        <v>0</v>
      </c>
      <c r="AK196" s="27" t="n">
        <f aca="false">ROUND(MAX(0,AK195*(1+D$8)-BG196),2)</f>
        <v>0</v>
      </c>
      <c r="AL196" s="27" t="n">
        <f aca="false">ROUND(MAX(0,AL195*(1+E$8)-BH196),2)</f>
        <v>0</v>
      </c>
      <c r="AM196" s="27" t="n">
        <f aca="false">ROUND(MAX(0,AM195*(1+F$8)-BI196),2)</f>
        <v>0</v>
      </c>
      <c r="AN196" s="27" t="n">
        <f aca="false">ROUND(MAX(0,AN195*(1+G$8)-BJ196),2)</f>
        <v>0</v>
      </c>
      <c r="AO196" s="27" t="n">
        <f aca="false">ROUND(MAX(0,AO195*(1+H$8)-BK196),2)</f>
        <v>0</v>
      </c>
      <c r="AP196" s="27" t="n">
        <f aca="false">ROUND(MAX(0,AP195*(1+I$8)-BL196),2)</f>
        <v>0</v>
      </c>
      <c r="AQ196" s="27" t="n">
        <f aca="false">ROUND(MAX(0,AQ195*(1+J$8)-BM196),2)</f>
        <v>0</v>
      </c>
      <c r="AR196" s="27" t="n">
        <f aca="false">ROUND(MAX(0,AR195*(1+K$8)-BN196),2)</f>
        <v>0</v>
      </c>
      <c r="AS196" s="27" t="n">
        <f aca="false">SUM(AI196:AR196)</f>
        <v>0</v>
      </c>
      <c r="AT196" s="27" t="n">
        <f aca="false">SUMPRODUCT(AI195:AR195,$B$8:$K$8)</f>
        <v>0</v>
      </c>
      <c r="AU196" s="27" t="n">
        <f aca="false">MIN(AI195*(1+B$8),B$9)</f>
        <v>0</v>
      </c>
      <c r="AV196" s="27" t="n">
        <f aca="false">MIN(AJ195*(1+C$8),C$9)</f>
        <v>0</v>
      </c>
      <c r="AW196" s="27" t="n">
        <f aca="false">MIN(AK195*(1+D$8),D$9)</f>
        <v>0</v>
      </c>
      <c r="AX196" s="27" t="n">
        <f aca="false">MIN(AL195*(1+E$8),E$9)</f>
        <v>0</v>
      </c>
      <c r="AY196" s="27" t="n">
        <f aca="false">MIN(AM195*(1+F$8),F$9)</f>
        <v>0</v>
      </c>
      <c r="AZ196" s="27" t="n">
        <f aca="false">MIN(AN195*(1+G$8),G$9)</f>
        <v>0</v>
      </c>
      <c r="BA196" s="27" t="n">
        <f aca="false">MIN(AO195*(1+H$8),H$9)</f>
        <v>0</v>
      </c>
      <c r="BB196" s="27" t="n">
        <f aca="false">MIN(AP195*(1+I$8),I$9)</f>
        <v>0</v>
      </c>
      <c r="BC196" s="27" t="n">
        <f aca="false">MIN(AQ195*(1+J$8),J$9)</f>
        <v>0</v>
      </c>
      <c r="BD196" s="27" t="n">
        <f aca="false">MIN(AR195*(1+K$8),K$9)</f>
        <v>0</v>
      </c>
      <c r="BE196" s="27" t="n">
        <f aca="false">MIN(AI195*(1+B$8),MAX(AU196,$B$12-SUM(AV196:BD196)))</f>
        <v>0</v>
      </c>
      <c r="BF196" s="27" t="n">
        <f aca="false">MIN(AJ195*(1+C$8),MAX(AV196,$B$12-SUM(BE196:BE196)-SUM(AW196:BD196)))</f>
        <v>0</v>
      </c>
      <c r="BG196" s="27" t="n">
        <f aca="false">MIN(AK195*(1+D$8),MAX(AW196,$B$12-SUM(BE196:BF196)-SUM(AX196:BD196)))</f>
        <v>0</v>
      </c>
      <c r="BH196" s="27" t="n">
        <f aca="false">MIN(AL195*(1+E$8),MAX(AX196,$B$12-SUM(BE196:BG196)-SUM(AY196:BD196)))</f>
        <v>0</v>
      </c>
      <c r="BI196" s="27" t="n">
        <f aca="false">MIN(AM195*(1+F$8),MAX(AY196,$B$12-SUM(BE196:BH196)-SUM(AZ196:BD196)))</f>
        <v>0</v>
      </c>
      <c r="BJ196" s="27" t="n">
        <f aca="false">MIN(AN195*(1+G$8),MAX(AZ196,$B$12-SUM(BE196:BI196)-SUM(BA196:BD196)))</f>
        <v>0</v>
      </c>
      <c r="BK196" s="27" t="n">
        <f aca="false">MIN(AO195*(1+H$8),MAX(BA196,$B$12-SUM(BE196:BJ196)-SUM(BB196:BD196)))</f>
        <v>0</v>
      </c>
      <c r="BL196" s="27" t="n">
        <f aca="false">MIN(AP195*(1+I$8),MAX(BB196,$B$12-SUM(BE196:BK196)-SUM(BC196:BD196)))</f>
        <v>0</v>
      </c>
      <c r="BM196" s="27" t="n">
        <f aca="false">MIN(AQ195*(1+J$8),MAX(BC196,$B$12-SUM(BE196:BL196)-SUM(BD196:BD196)))</f>
        <v>0</v>
      </c>
      <c r="BN196" s="27" t="n">
        <f aca="false">MIN(AR195*(1+K$8),MAX(BD196,$B$12-SUM(BE196:BM196)))</f>
        <v>0</v>
      </c>
    </row>
    <row r="197" customFormat="false" ht="15" hidden="false" customHeight="false" outlineLevel="0" collapsed="false">
      <c r="A197" s="0" t="n">
        <v>183</v>
      </c>
      <c r="B197" s="27" t="n">
        <f aca="false">ROUND(MAX(0,B196*(1+B$8)-X197),2)</f>
        <v>0</v>
      </c>
      <c r="C197" s="27" t="n">
        <f aca="false">ROUND(MAX(0,C196*(1+C$8)-Y197),2)</f>
        <v>0</v>
      </c>
      <c r="D197" s="27" t="n">
        <f aca="false">ROUND(MAX(0,D196*(1+D$8)-Z197),2)</f>
        <v>0</v>
      </c>
      <c r="E197" s="27" t="n">
        <f aca="false">ROUND(MAX(0,E196*(1+E$8)-AA197),2)</f>
        <v>0</v>
      </c>
      <c r="F197" s="27" t="n">
        <f aca="false">ROUND(MAX(0,F196*(1+F$8)-AB197),2)</f>
        <v>0</v>
      </c>
      <c r="G197" s="27" t="n">
        <f aca="false">ROUND(MAX(0,G196*(1+G$8)-AC197),2)</f>
        <v>0</v>
      </c>
      <c r="H197" s="27" t="n">
        <f aca="false">ROUND(MAX(0,H196*(1+H$8)-AD197),2)</f>
        <v>0</v>
      </c>
      <c r="I197" s="27" t="n">
        <f aca="false">ROUND(MAX(0,I196*(1+I$8)-AE197),2)</f>
        <v>0</v>
      </c>
      <c r="J197" s="27" t="n">
        <f aca="false">ROUND(MAX(0,J196*(1+J$8)-AF197),2)</f>
        <v>0</v>
      </c>
      <c r="K197" s="27" t="n">
        <f aca="false">ROUND(MAX(0,K196*(1+K$8)-AG197),2)</f>
        <v>0</v>
      </c>
      <c r="L197" s="30" t="n">
        <f aca="false">SUM(B197:K197)</f>
        <v>0</v>
      </c>
      <c r="M197" s="27" t="n">
        <f aca="false">SUMPRODUCT(B196:K196,$B$8:$K$8)</f>
        <v>0</v>
      </c>
      <c r="N197" s="27" t="n">
        <f aca="false">MIN(B196*(1+B$8),B$9)</f>
        <v>0</v>
      </c>
      <c r="O197" s="27" t="n">
        <f aca="false">MIN(C196*(1+C$8),C$9)</f>
        <v>0</v>
      </c>
      <c r="P197" s="27" t="n">
        <f aca="false">MIN(D196*(1+D$8),D$9)</f>
        <v>0</v>
      </c>
      <c r="Q197" s="27" t="n">
        <f aca="false">MIN(E196*(1+E$8),E$9)</f>
        <v>0</v>
      </c>
      <c r="R197" s="27" t="n">
        <f aca="false">MIN(F196*(1+F$8),F$9)</f>
        <v>0</v>
      </c>
      <c r="S197" s="27" t="n">
        <f aca="false">MIN(G196*(1+G$8),G$9)</f>
        <v>0</v>
      </c>
      <c r="T197" s="27" t="n">
        <f aca="false">MIN(H196*(1+H$8),H$9)</f>
        <v>0</v>
      </c>
      <c r="U197" s="27" t="n">
        <f aca="false">MIN(I196*(1+I$8),I$9)</f>
        <v>0</v>
      </c>
      <c r="V197" s="27" t="n">
        <f aca="false">MIN(J196*(1+J$8),J$9)</f>
        <v>0</v>
      </c>
      <c r="W197" s="27" t="n">
        <f aca="false">MIN(K196*(1+K$8),K$9)</f>
        <v>0</v>
      </c>
      <c r="X197" s="27" t="n">
        <f aca="false">MIN(B196*(1+B$8),MAX(N197,$B$11-SUM(O197:W197)))</f>
        <v>0</v>
      </c>
      <c r="Y197" s="27" t="n">
        <f aca="false">MIN(C196*(1+C$8),MAX(O197,$B$11-SUM(X197:X197)-SUM(P197:W197)))</f>
        <v>0</v>
      </c>
      <c r="Z197" s="27" t="n">
        <f aca="false">MIN(D196*(1+D$8),MAX(P197,$B$11-SUM(X197:Y197)-SUM(Q197:W197)))</f>
        <v>0</v>
      </c>
      <c r="AA197" s="27" t="n">
        <f aca="false">MIN(E196*(1+E$8),MAX(Q197,$B$11-SUM(X197:Z197)-SUM(R197:W197)))</f>
        <v>0</v>
      </c>
      <c r="AB197" s="27" t="n">
        <f aca="false">MIN(F196*(1+F$8),MAX(R197,$B$11-SUM(X197:AA197)-SUM(S197:W197)))</f>
        <v>0</v>
      </c>
      <c r="AC197" s="27" t="n">
        <f aca="false">MIN(G196*(1+G$8),MAX(S197,$B$11-SUM(X197:AB197)-SUM(T197:W197)))</f>
        <v>0</v>
      </c>
      <c r="AD197" s="27" t="n">
        <f aca="false">MIN(H196*(1+H$8),MAX(T197,$B$11-SUM(X197:AC197)-SUM(U197:W197)))</f>
        <v>0</v>
      </c>
      <c r="AE197" s="27" t="n">
        <f aca="false">MIN(I196*(1+I$8),MAX(U197,$B$11-SUM(X197:AD197)-SUM(V197:W197)))</f>
        <v>0</v>
      </c>
      <c r="AF197" s="27" t="n">
        <f aca="false">MIN(J196*(1+J$8),MAX(V197,$B$11-SUM(X197:AE197)-SUM(W197:W197)))</f>
        <v>0</v>
      </c>
      <c r="AG197" s="27" t="n">
        <f aca="false">MIN(K196*(1+K$8),MAX(W197,$B$11-SUM(X197:AF197)))</f>
        <v>0</v>
      </c>
      <c r="AI197" s="27" t="n">
        <f aca="false">ROUND(MAX(0,AI196*(1+B$8)-BE197),2)</f>
        <v>0</v>
      </c>
      <c r="AJ197" s="27" t="n">
        <f aca="false">ROUND(MAX(0,AJ196*(1+C$8)-BF197),2)</f>
        <v>0</v>
      </c>
      <c r="AK197" s="27" t="n">
        <f aca="false">ROUND(MAX(0,AK196*(1+D$8)-BG197),2)</f>
        <v>0</v>
      </c>
      <c r="AL197" s="27" t="n">
        <f aca="false">ROUND(MAX(0,AL196*(1+E$8)-BH197),2)</f>
        <v>0</v>
      </c>
      <c r="AM197" s="27" t="n">
        <f aca="false">ROUND(MAX(0,AM196*(1+F$8)-BI197),2)</f>
        <v>0</v>
      </c>
      <c r="AN197" s="27" t="n">
        <f aca="false">ROUND(MAX(0,AN196*(1+G$8)-BJ197),2)</f>
        <v>0</v>
      </c>
      <c r="AO197" s="27" t="n">
        <f aca="false">ROUND(MAX(0,AO196*(1+H$8)-BK197),2)</f>
        <v>0</v>
      </c>
      <c r="AP197" s="27" t="n">
        <f aca="false">ROUND(MAX(0,AP196*(1+I$8)-BL197),2)</f>
        <v>0</v>
      </c>
      <c r="AQ197" s="27" t="n">
        <f aca="false">ROUND(MAX(0,AQ196*(1+J$8)-BM197),2)</f>
        <v>0</v>
      </c>
      <c r="AR197" s="27" t="n">
        <f aca="false">ROUND(MAX(0,AR196*(1+K$8)-BN197),2)</f>
        <v>0</v>
      </c>
      <c r="AS197" s="27" t="n">
        <f aca="false">SUM(AI197:AR197)</f>
        <v>0</v>
      </c>
      <c r="AT197" s="27" t="n">
        <f aca="false">SUMPRODUCT(AI196:AR196,$B$8:$K$8)</f>
        <v>0</v>
      </c>
      <c r="AU197" s="27" t="n">
        <f aca="false">MIN(AI196*(1+B$8),B$9)</f>
        <v>0</v>
      </c>
      <c r="AV197" s="27" t="n">
        <f aca="false">MIN(AJ196*(1+C$8),C$9)</f>
        <v>0</v>
      </c>
      <c r="AW197" s="27" t="n">
        <f aca="false">MIN(AK196*(1+D$8),D$9)</f>
        <v>0</v>
      </c>
      <c r="AX197" s="27" t="n">
        <f aca="false">MIN(AL196*(1+E$8),E$9)</f>
        <v>0</v>
      </c>
      <c r="AY197" s="27" t="n">
        <f aca="false">MIN(AM196*(1+F$8),F$9)</f>
        <v>0</v>
      </c>
      <c r="AZ197" s="27" t="n">
        <f aca="false">MIN(AN196*(1+G$8),G$9)</f>
        <v>0</v>
      </c>
      <c r="BA197" s="27" t="n">
        <f aca="false">MIN(AO196*(1+H$8),H$9)</f>
        <v>0</v>
      </c>
      <c r="BB197" s="27" t="n">
        <f aca="false">MIN(AP196*(1+I$8),I$9)</f>
        <v>0</v>
      </c>
      <c r="BC197" s="27" t="n">
        <f aca="false">MIN(AQ196*(1+J$8),J$9)</f>
        <v>0</v>
      </c>
      <c r="BD197" s="27" t="n">
        <f aca="false">MIN(AR196*(1+K$8),K$9)</f>
        <v>0</v>
      </c>
      <c r="BE197" s="27" t="n">
        <f aca="false">MIN(AI196*(1+B$8),MAX(AU197,$B$12-SUM(AV197:BD197)))</f>
        <v>0</v>
      </c>
      <c r="BF197" s="27" t="n">
        <f aca="false">MIN(AJ196*(1+C$8),MAX(AV197,$B$12-SUM(BE197:BE197)-SUM(AW197:BD197)))</f>
        <v>0</v>
      </c>
      <c r="BG197" s="27" t="n">
        <f aca="false">MIN(AK196*(1+D$8),MAX(AW197,$B$12-SUM(BE197:BF197)-SUM(AX197:BD197)))</f>
        <v>0</v>
      </c>
      <c r="BH197" s="27" t="n">
        <f aca="false">MIN(AL196*(1+E$8),MAX(AX197,$B$12-SUM(BE197:BG197)-SUM(AY197:BD197)))</f>
        <v>0</v>
      </c>
      <c r="BI197" s="27" t="n">
        <f aca="false">MIN(AM196*(1+F$8),MAX(AY197,$B$12-SUM(BE197:BH197)-SUM(AZ197:BD197)))</f>
        <v>0</v>
      </c>
      <c r="BJ197" s="27" t="n">
        <f aca="false">MIN(AN196*(1+G$8),MAX(AZ197,$B$12-SUM(BE197:BI197)-SUM(BA197:BD197)))</f>
        <v>0</v>
      </c>
      <c r="BK197" s="27" t="n">
        <f aca="false">MIN(AO196*(1+H$8),MAX(BA197,$B$12-SUM(BE197:BJ197)-SUM(BB197:BD197)))</f>
        <v>0</v>
      </c>
      <c r="BL197" s="27" t="n">
        <f aca="false">MIN(AP196*(1+I$8),MAX(BB197,$B$12-SUM(BE197:BK197)-SUM(BC197:BD197)))</f>
        <v>0</v>
      </c>
      <c r="BM197" s="27" t="n">
        <f aca="false">MIN(AQ196*(1+J$8),MAX(BC197,$B$12-SUM(BE197:BL197)-SUM(BD197:BD197)))</f>
        <v>0</v>
      </c>
      <c r="BN197" s="27" t="n">
        <f aca="false">MIN(AR196*(1+K$8),MAX(BD197,$B$12-SUM(BE197:BM197)))</f>
        <v>0</v>
      </c>
    </row>
    <row r="198" customFormat="false" ht="15" hidden="false" customHeight="false" outlineLevel="0" collapsed="false">
      <c r="A198" s="0" t="n">
        <v>184</v>
      </c>
      <c r="B198" s="27" t="n">
        <f aca="false">ROUND(MAX(0,B197*(1+B$8)-X198),2)</f>
        <v>0</v>
      </c>
      <c r="C198" s="27" t="n">
        <f aca="false">ROUND(MAX(0,C197*(1+C$8)-Y198),2)</f>
        <v>0</v>
      </c>
      <c r="D198" s="27" t="n">
        <f aca="false">ROUND(MAX(0,D197*(1+D$8)-Z198),2)</f>
        <v>0</v>
      </c>
      <c r="E198" s="27" t="n">
        <f aca="false">ROUND(MAX(0,E197*(1+E$8)-AA198),2)</f>
        <v>0</v>
      </c>
      <c r="F198" s="27" t="n">
        <f aca="false">ROUND(MAX(0,F197*(1+F$8)-AB198),2)</f>
        <v>0</v>
      </c>
      <c r="G198" s="27" t="n">
        <f aca="false">ROUND(MAX(0,G197*(1+G$8)-AC198),2)</f>
        <v>0</v>
      </c>
      <c r="H198" s="27" t="n">
        <f aca="false">ROUND(MAX(0,H197*(1+H$8)-AD198),2)</f>
        <v>0</v>
      </c>
      <c r="I198" s="27" t="n">
        <f aca="false">ROUND(MAX(0,I197*(1+I$8)-AE198),2)</f>
        <v>0</v>
      </c>
      <c r="J198" s="27" t="n">
        <f aca="false">ROUND(MAX(0,J197*(1+J$8)-AF198),2)</f>
        <v>0</v>
      </c>
      <c r="K198" s="27" t="n">
        <f aca="false">ROUND(MAX(0,K197*(1+K$8)-AG198),2)</f>
        <v>0</v>
      </c>
      <c r="L198" s="30" t="n">
        <f aca="false">SUM(B198:K198)</f>
        <v>0</v>
      </c>
      <c r="M198" s="27" t="n">
        <f aca="false">SUMPRODUCT(B197:K197,$B$8:$K$8)</f>
        <v>0</v>
      </c>
      <c r="N198" s="27" t="n">
        <f aca="false">MIN(B197*(1+B$8),B$9)</f>
        <v>0</v>
      </c>
      <c r="O198" s="27" t="n">
        <f aca="false">MIN(C197*(1+C$8),C$9)</f>
        <v>0</v>
      </c>
      <c r="P198" s="27" t="n">
        <f aca="false">MIN(D197*(1+D$8),D$9)</f>
        <v>0</v>
      </c>
      <c r="Q198" s="27" t="n">
        <f aca="false">MIN(E197*(1+E$8),E$9)</f>
        <v>0</v>
      </c>
      <c r="R198" s="27" t="n">
        <f aca="false">MIN(F197*(1+F$8),F$9)</f>
        <v>0</v>
      </c>
      <c r="S198" s="27" t="n">
        <f aca="false">MIN(G197*(1+G$8),G$9)</f>
        <v>0</v>
      </c>
      <c r="T198" s="27" t="n">
        <f aca="false">MIN(H197*(1+H$8),H$9)</f>
        <v>0</v>
      </c>
      <c r="U198" s="27" t="n">
        <f aca="false">MIN(I197*(1+I$8),I$9)</f>
        <v>0</v>
      </c>
      <c r="V198" s="27" t="n">
        <f aca="false">MIN(J197*(1+J$8),J$9)</f>
        <v>0</v>
      </c>
      <c r="W198" s="27" t="n">
        <f aca="false">MIN(K197*(1+K$8),K$9)</f>
        <v>0</v>
      </c>
      <c r="X198" s="27" t="n">
        <f aca="false">MIN(B197*(1+B$8),MAX(N198,$B$11-SUM(O198:W198)))</f>
        <v>0</v>
      </c>
      <c r="Y198" s="27" t="n">
        <f aca="false">MIN(C197*(1+C$8),MAX(O198,$B$11-SUM(X198:X198)-SUM(P198:W198)))</f>
        <v>0</v>
      </c>
      <c r="Z198" s="27" t="n">
        <f aca="false">MIN(D197*(1+D$8),MAX(P198,$B$11-SUM(X198:Y198)-SUM(Q198:W198)))</f>
        <v>0</v>
      </c>
      <c r="AA198" s="27" t="n">
        <f aca="false">MIN(E197*(1+E$8),MAX(Q198,$B$11-SUM(X198:Z198)-SUM(R198:W198)))</f>
        <v>0</v>
      </c>
      <c r="AB198" s="27" t="n">
        <f aca="false">MIN(F197*(1+F$8),MAX(R198,$B$11-SUM(X198:AA198)-SUM(S198:W198)))</f>
        <v>0</v>
      </c>
      <c r="AC198" s="27" t="n">
        <f aca="false">MIN(G197*(1+G$8),MAX(S198,$B$11-SUM(X198:AB198)-SUM(T198:W198)))</f>
        <v>0</v>
      </c>
      <c r="AD198" s="27" t="n">
        <f aca="false">MIN(H197*(1+H$8),MAX(T198,$B$11-SUM(X198:AC198)-SUM(U198:W198)))</f>
        <v>0</v>
      </c>
      <c r="AE198" s="27" t="n">
        <f aca="false">MIN(I197*(1+I$8),MAX(U198,$B$11-SUM(X198:AD198)-SUM(V198:W198)))</f>
        <v>0</v>
      </c>
      <c r="AF198" s="27" t="n">
        <f aca="false">MIN(J197*(1+J$8),MAX(V198,$B$11-SUM(X198:AE198)-SUM(W198:W198)))</f>
        <v>0</v>
      </c>
      <c r="AG198" s="27" t="n">
        <f aca="false">MIN(K197*(1+K$8),MAX(W198,$B$11-SUM(X198:AF198)))</f>
        <v>0</v>
      </c>
      <c r="AI198" s="27" t="n">
        <f aca="false">ROUND(MAX(0,AI197*(1+B$8)-BE198),2)</f>
        <v>0</v>
      </c>
      <c r="AJ198" s="27" t="n">
        <f aca="false">ROUND(MAX(0,AJ197*(1+C$8)-BF198),2)</f>
        <v>0</v>
      </c>
      <c r="AK198" s="27" t="n">
        <f aca="false">ROUND(MAX(0,AK197*(1+D$8)-BG198),2)</f>
        <v>0</v>
      </c>
      <c r="AL198" s="27" t="n">
        <f aca="false">ROUND(MAX(0,AL197*(1+E$8)-BH198),2)</f>
        <v>0</v>
      </c>
      <c r="AM198" s="27" t="n">
        <f aca="false">ROUND(MAX(0,AM197*(1+F$8)-BI198),2)</f>
        <v>0</v>
      </c>
      <c r="AN198" s="27" t="n">
        <f aca="false">ROUND(MAX(0,AN197*(1+G$8)-BJ198),2)</f>
        <v>0</v>
      </c>
      <c r="AO198" s="27" t="n">
        <f aca="false">ROUND(MAX(0,AO197*(1+H$8)-BK198),2)</f>
        <v>0</v>
      </c>
      <c r="AP198" s="27" t="n">
        <f aca="false">ROUND(MAX(0,AP197*(1+I$8)-BL198),2)</f>
        <v>0</v>
      </c>
      <c r="AQ198" s="27" t="n">
        <f aca="false">ROUND(MAX(0,AQ197*(1+J$8)-BM198),2)</f>
        <v>0</v>
      </c>
      <c r="AR198" s="27" t="n">
        <f aca="false">ROUND(MAX(0,AR197*(1+K$8)-BN198),2)</f>
        <v>0</v>
      </c>
      <c r="AS198" s="27" t="n">
        <f aca="false">SUM(AI198:AR198)</f>
        <v>0</v>
      </c>
      <c r="AT198" s="27" t="n">
        <f aca="false">SUMPRODUCT(AI197:AR197,$B$8:$K$8)</f>
        <v>0</v>
      </c>
      <c r="AU198" s="27" t="n">
        <f aca="false">MIN(AI197*(1+B$8),B$9)</f>
        <v>0</v>
      </c>
      <c r="AV198" s="27" t="n">
        <f aca="false">MIN(AJ197*(1+C$8),C$9)</f>
        <v>0</v>
      </c>
      <c r="AW198" s="27" t="n">
        <f aca="false">MIN(AK197*(1+D$8),D$9)</f>
        <v>0</v>
      </c>
      <c r="AX198" s="27" t="n">
        <f aca="false">MIN(AL197*(1+E$8),E$9)</f>
        <v>0</v>
      </c>
      <c r="AY198" s="27" t="n">
        <f aca="false">MIN(AM197*(1+F$8),F$9)</f>
        <v>0</v>
      </c>
      <c r="AZ198" s="27" t="n">
        <f aca="false">MIN(AN197*(1+G$8),G$9)</f>
        <v>0</v>
      </c>
      <c r="BA198" s="27" t="n">
        <f aca="false">MIN(AO197*(1+H$8),H$9)</f>
        <v>0</v>
      </c>
      <c r="BB198" s="27" t="n">
        <f aca="false">MIN(AP197*(1+I$8),I$9)</f>
        <v>0</v>
      </c>
      <c r="BC198" s="27" t="n">
        <f aca="false">MIN(AQ197*(1+J$8),J$9)</f>
        <v>0</v>
      </c>
      <c r="BD198" s="27" t="n">
        <f aca="false">MIN(AR197*(1+K$8),K$9)</f>
        <v>0</v>
      </c>
      <c r="BE198" s="27" t="n">
        <f aca="false">MIN(AI197*(1+B$8),MAX(AU198,$B$12-SUM(AV198:BD198)))</f>
        <v>0</v>
      </c>
      <c r="BF198" s="27" t="n">
        <f aca="false">MIN(AJ197*(1+C$8),MAX(AV198,$B$12-SUM(BE198:BE198)-SUM(AW198:BD198)))</f>
        <v>0</v>
      </c>
      <c r="BG198" s="27" t="n">
        <f aca="false">MIN(AK197*(1+D$8),MAX(AW198,$B$12-SUM(BE198:BF198)-SUM(AX198:BD198)))</f>
        <v>0</v>
      </c>
      <c r="BH198" s="27" t="n">
        <f aca="false">MIN(AL197*(1+E$8),MAX(AX198,$B$12-SUM(BE198:BG198)-SUM(AY198:BD198)))</f>
        <v>0</v>
      </c>
      <c r="BI198" s="27" t="n">
        <f aca="false">MIN(AM197*(1+F$8),MAX(AY198,$B$12-SUM(BE198:BH198)-SUM(AZ198:BD198)))</f>
        <v>0</v>
      </c>
      <c r="BJ198" s="27" t="n">
        <f aca="false">MIN(AN197*(1+G$8),MAX(AZ198,$B$12-SUM(BE198:BI198)-SUM(BA198:BD198)))</f>
        <v>0</v>
      </c>
      <c r="BK198" s="27" t="n">
        <f aca="false">MIN(AO197*(1+H$8),MAX(BA198,$B$12-SUM(BE198:BJ198)-SUM(BB198:BD198)))</f>
        <v>0</v>
      </c>
      <c r="BL198" s="27" t="n">
        <f aca="false">MIN(AP197*(1+I$8),MAX(BB198,$B$12-SUM(BE198:BK198)-SUM(BC198:BD198)))</f>
        <v>0</v>
      </c>
      <c r="BM198" s="27" t="n">
        <f aca="false">MIN(AQ197*(1+J$8),MAX(BC198,$B$12-SUM(BE198:BL198)-SUM(BD198:BD198)))</f>
        <v>0</v>
      </c>
      <c r="BN198" s="27" t="n">
        <f aca="false">MIN(AR197*(1+K$8),MAX(BD198,$B$12-SUM(BE198:BM198)))</f>
        <v>0</v>
      </c>
    </row>
    <row r="199" customFormat="false" ht="15" hidden="false" customHeight="false" outlineLevel="0" collapsed="false">
      <c r="A199" s="0" t="n">
        <v>185</v>
      </c>
      <c r="B199" s="27" t="n">
        <f aca="false">ROUND(MAX(0,B198*(1+B$8)-X199),2)</f>
        <v>0</v>
      </c>
      <c r="C199" s="27" t="n">
        <f aca="false">ROUND(MAX(0,C198*(1+C$8)-Y199),2)</f>
        <v>0</v>
      </c>
      <c r="D199" s="27" t="n">
        <f aca="false">ROUND(MAX(0,D198*(1+D$8)-Z199),2)</f>
        <v>0</v>
      </c>
      <c r="E199" s="27" t="n">
        <f aca="false">ROUND(MAX(0,E198*(1+E$8)-AA199),2)</f>
        <v>0</v>
      </c>
      <c r="F199" s="27" t="n">
        <f aca="false">ROUND(MAX(0,F198*(1+F$8)-AB199),2)</f>
        <v>0</v>
      </c>
      <c r="G199" s="27" t="n">
        <f aca="false">ROUND(MAX(0,G198*(1+G$8)-AC199),2)</f>
        <v>0</v>
      </c>
      <c r="H199" s="27" t="n">
        <f aca="false">ROUND(MAX(0,H198*(1+H$8)-AD199),2)</f>
        <v>0</v>
      </c>
      <c r="I199" s="27" t="n">
        <f aca="false">ROUND(MAX(0,I198*(1+I$8)-AE199),2)</f>
        <v>0</v>
      </c>
      <c r="J199" s="27" t="n">
        <f aca="false">ROUND(MAX(0,J198*(1+J$8)-AF199),2)</f>
        <v>0</v>
      </c>
      <c r="K199" s="27" t="n">
        <f aca="false">ROUND(MAX(0,K198*(1+K$8)-AG199),2)</f>
        <v>0</v>
      </c>
      <c r="L199" s="30" t="n">
        <f aca="false">SUM(B199:K199)</f>
        <v>0</v>
      </c>
      <c r="M199" s="27" t="n">
        <f aca="false">SUMPRODUCT(B198:K198,$B$8:$K$8)</f>
        <v>0</v>
      </c>
      <c r="N199" s="27" t="n">
        <f aca="false">MIN(B198*(1+B$8),B$9)</f>
        <v>0</v>
      </c>
      <c r="O199" s="27" t="n">
        <f aca="false">MIN(C198*(1+C$8),C$9)</f>
        <v>0</v>
      </c>
      <c r="P199" s="27" t="n">
        <f aca="false">MIN(D198*(1+D$8),D$9)</f>
        <v>0</v>
      </c>
      <c r="Q199" s="27" t="n">
        <f aca="false">MIN(E198*(1+E$8),E$9)</f>
        <v>0</v>
      </c>
      <c r="R199" s="27" t="n">
        <f aca="false">MIN(F198*(1+F$8),F$9)</f>
        <v>0</v>
      </c>
      <c r="S199" s="27" t="n">
        <f aca="false">MIN(G198*(1+G$8),G$9)</f>
        <v>0</v>
      </c>
      <c r="T199" s="27" t="n">
        <f aca="false">MIN(H198*(1+H$8),H$9)</f>
        <v>0</v>
      </c>
      <c r="U199" s="27" t="n">
        <f aca="false">MIN(I198*(1+I$8),I$9)</f>
        <v>0</v>
      </c>
      <c r="V199" s="27" t="n">
        <f aca="false">MIN(J198*(1+J$8),J$9)</f>
        <v>0</v>
      </c>
      <c r="W199" s="27" t="n">
        <f aca="false">MIN(K198*(1+K$8),K$9)</f>
        <v>0</v>
      </c>
      <c r="X199" s="27" t="n">
        <f aca="false">MIN(B198*(1+B$8),MAX(N199,$B$11-SUM(O199:W199)))</f>
        <v>0</v>
      </c>
      <c r="Y199" s="27" t="n">
        <f aca="false">MIN(C198*(1+C$8),MAX(O199,$B$11-SUM(X199:X199)-SUM(P199:W199)))</f>
        <v>0</v>
      </c>
      <c r="Z199" s="27" t="n">
        <f aca="false">MIN(D198*(1+D$8),MAX(P199,$B$11-SUM(X199:Y199)-SUM(Q199:W199)))</f>
        <v>0</v>
      </c>
      <c r="AA199" s="27" t="n">
        <f aca="false">MIN(E198*(1+E$8),MAX(Q199,$B$11-SUM(X199:Z199)-SUM(R199:W199)))</f>
        <v>0</v>
      </c>
      <c r="AB199" s="27" t="n">
        <f aca="false">MIN(F198*(1+F$8),MAX(R199,$B$11-SUM(X199:AA199)-SUM(S199:W199)))</f>
        <v>0</v>
      </c>
      <c r="AC199" s="27" t="n">
        <f aca="false">MIN(G198*(1+G$8),MAX(S199,$B$11-SUM(X199:AB199)-SUM(T199:W199)))</f>
        <v>0</v>
      </c>
      <c r="AD199" s="27" t="n">
        <f aca="false">MIN(H198*(1+H$8),MAX(T199,$B$11-SUM(X199:AC199)-SUM(U199:W199)))</f>
        <v>0</v>
      </c>
      <c r="AE199" s="27" t="n">
        <f aca="false">MIN(I198*(1+I$8),MAX(U199,$B$11-SUM(X199:AD199)-SUM(V199:W199)))</f>
        <v>0</v>
      </c>
      <c r="AF199" s="27" t="n">
        <f aca="false">MIN(J198*(1+J$8),MAX(V199,$B$11-SUM(X199:AE199)-SUM(W199:W199)))</f>
        <v>0</v>
      </c>
      <c r="AG199" s="27" t="n">
        <f aca="false">MIN(K198*(1+K$8),MAX(W199,$B$11-SUM(X199:AF199)))</f>
        <v>0</v>
      </c>
      <c r="AI199" s="27" t="n">
        <f aca="false">ROUND(MAX(0,AI198*(1+B$8)-BE199),2)</f>
        <v>0</v>
      </c>
      <c r="AJ199" s="27" t="n">
        <f aca="false">ROUND(MAX(0,AJ198*(1+C$8)-BF199),2)</f>
        <v>0</v>
      </c>
      <c r="AK199" s="27" t="n">
        <f aca="false">ROUND(MAX(0,AK198*(1+D$8)-BG199),2)</f>
        <v>0</v>
      </c>
      <c r="AL199" s="27" t="n">
        <f aca="false">ROUND(MAX(0,AL198*(1+E$8)-BH199),2)</f>
        <v>0</v>
      </c>
      <c r="AM199" s="27" t="n">
        <f aca="false">ROUND(MAX(0,AM198*(1+F$8)-BI199),2)</f>
        <v>0</v>
      </c>
      <c r="AN199" s="27" t="n">
        <f aca="false">ROUND(MAX(0,AN198*(1+G$8)-BJ199),2)</f>
        <v>0</v>
      </c>
      <c r="AO199" s="27" t="n">
        <f aca="false">ROUND(MAX(0,AO198*(1+H$8)-BK199),2)</f>
        <v>0</v>
      </c>
      <c r="AP199" s="27" t="n">
        <f aca="false">ROUND(MAX(0,AP198*(1+I$8)-BL199),2)</f>
        <v>0</v>
      </c>
      <c r="AQ199" s="27" t="n">
        <f aca="false">ROUND(MAX(0,AQ198*(1+J$8)-BM199),2)</f>
        <v>0</v>
      </c>
      <c r="AR199" s="27" t="n">
        <f aca="false">ROUND(MAX(0,AR198*(1+K$8)-BN199),2)</f>
        <v>0</v>
      </c>
      <c r="AS199" s="27" t="n">
        <f aca="false">SUM(AI199:AR199)</f>
        <v>0</v>
      </c>
      <c r="AT199" s="27" t="n">
        <f aca="false">SUMPRODUCT(AI198:AR198,$B$8:$K$8)</f>
        <v>0</v>
      </c>
      <c r="AU199" s="27" t="n">
        <f aca="false">MIN(AI198*(1+B$8),B$9)</f>
        <v>0</v>
      </c>
      <c r="AV199" s="27" t="n">
        <f aca="false">MIN(AJ198*(1+C$8),C$9)</f>
        <v>0</v>
      </c>
      <c r="AW199" s="27" t="n">
        <f aca="false">MIN(AK198*(1+D$8),D$9)</f>
        <v>0</v>
      </c>
      <c r="AX199" s="27" t="n">
        <f aca="false">MIN(AL198*(1+E$8),E$9)</f>
        <v>0</v>
      </c>
      <c r="AY199" s="27" t="n">
        <f aca="false">MIN(AM198*(1+F$8),F$9)</f>
        <v>0</v>
      </c>
      <c r="AZ199" s="27" t="n">
        <f aca="false">MIN(AN198*(1+G$8),G$9)</f>
        <v>0</v>
      </c>
      <c r="BA199" s="27" t="n">
        <f aca="false">MIN(AO198*(1+H$8),H$9)</f>
        <v>0</v>
      </c>
      <c r="BB199" s="27" t="n">
        <f aca="false">MIN(AP198*(1+I$8),I$9)</f>
        <v>0</v>
      </c>
      <c r="BC199" s="27" t="n">
        <f aca="false">MIN(AQ198*(1+J$8),J$9)</f>
        <v>0</v>
      </c>
      <c r="BD199" s="27" t="n">
        <f aca="false">MIN(AR198*(1+K$8),K$9)</f>
        <v>0</v>
      </c>
      <c r="BE199" s="27" t="n">
        <f aca="false">MIN(AI198*(1+B$8),MAX(AU199,$B$12-SUM(AV199:BD199)))</f>
        <v>0</v>
      </c>
      <c r="BF199" s="27" t="n">
        <f aca="false">MIN(AJ198*(1+C$8),MAX(AV199,$B$12-SUM(BE199:BE199)-SUM(AW199:BD199)))</f>
        <v>0</v>
      </c>
      <c r="BG199" s="27" t="n">
        <f aca="false">MIN(AK198*(1+D$8),MAX(AW199,$B$12-SUM(BE199:BF199)-SUM(AX199:BD199)))</f>
        <v>0</v>
      </c>
      <c r="BH199" s="27" t="n">
        <f aca="false">MIN(AL198*(1+E$8),MAX(AX199,$B$12-SUM(BE199:BG199)-SUM(AY199:BD199)))</f>
        <v>0</v>
      </c>
      <c r="BI199" s="27" t="n">
        <f aca="false">MIN(AM198*(1+F$8),MAX(AY199,$B$12-SUM(BE199:BH199)-SUM(AZ199:BD199)))</f>
        <v>0</v>
      </c>
      <c r="BJ199" s="27" t="n">
        <f aca="false">MIN(AN198*(1+G$8),MAX(AZ199,$B$12-SUM(BE199:BI199)-SUM(BA199:BD199)))</f>
        <v>0</v>
      </c>
      <c r="BK199" s="27" t="n">
        <f aca="false">MIN(AO198*(1+H$8),MAX(BA199,$B$12-SUM(BE199:BJ199)-SUM(BB199:BD199)))</f>
        <v>0</v>
      </c>
      <c r="BL199" s="27" t="n">
        <f aca="false">MIN(AP198*(1+I$8),MAX(BB199,$B$12-SUM(BE199:BK199)-SUM(BC199:BD199)))</f>
        <v>0</v>
      </c>
      <c r="BM199" s="27" t="n">
        <f aca="false">MIN(AQ198*(1+J$8),MAX(BC199,$B$12-SUM(BE199:BL199)-SUM(BD199:BD199)))</f>
        <v>0</v>
      </c>
      <c r="BN199" s="27" t="n">
        <f aca="false">MIN(AR198*(1+K$8),MAX(BD199,$B$12-SUM(BE199:BM199)))</f>
        <v>0</v>
      </c>
    </row>
    <row r="200" customFormat="false" ht="15" hidden="false" customHeight="false" outlineLevel="0" collapsed="false">
      <c r="A200" s="0" t="n">
        <v>186</v>
      </c>
      <c r="B200" s="27" t="n">
        <f aca="false">ROUND(MAX(0,B199*(1+B$8)-X200),2)</f>
        <v>0</v>
      </c>
      <c r="C200" s="27" t="n">
        <f aca="false">ROUND(MAX(0,C199*(1+C$8)-Y200),2)</f>
        <v>0</v>
      </c>
      <c r="D200" s="27" t="n">
        <f aca="false">ROUND(MAX(0,D199*(1+D$8)-Z200),2)</f>
        <v>0</v>
      </c>
      <c r="E200" s="27" t="n">
        <f aca="false">ROUND(MAX(0,E199*(1+E$8)-AA200),2)</f>
        <v>0</v>
      </c>
      <c r="F200" s="27" t="n">
        <f aca="false">ROUND(MAX(0,F199*(1+F$8)-AB200),2)</f>
        <v>0</v>
      </c>
      <c r="G200" s="27" t="n">
        <f aca="false">ROUND(MAX(0,G199*(1+G$8)-AC200),2)</f>
        <v>0</v>
      </c>
      <c r="H200" s="27" t="n">
        <f aca="false">ROUND(MAX(0,H199*(1+H$8)-AD200),2)</f>
        <v>0</v>
      </c>
      <c r="I200" s="27" t="n">
        <f aca="false">ROUND(MAX(0,I199*(1+I$8)-AE200),2)</f>
        <v>0</v>
      </c>
      <c r="J200" s="27" t="n">
        <f aca="false">ROUND(MAX(0,J199*(1+J$8)-AF200),2)</f>
        <v>0</v>
      </c>
      <c r="K200" s="27" t="n">
        <f aca="false">ROUND(MAX(0,K199*(1+K$8)-AG200),2)</f>
        <v>0</v>
      </c>
      <c r="L200" s="30" t="n">
        <f aca="false">SUM(B200:K200)</f>
        <v>0</v>
      </c>
      <c r="M200" s="27" t="n">
        <f aca="false">SUMPRODUCT(B199:K199,$B$8:$K$8)</f>
        <v>0</v>
      </c>
      <c r="N200" s="27" t="n">
        <f aca="false">MIN(B199*(1+B$8),B$9)</f>
        <v>0</v>
      </c>
      <c r="O200" s="27" t="n">
        <f aca="false">MIN(C199*(1+C$8),C$9)</f>
        <v>0</v>
      </c>
      <c r="P200" s="27" t="n">
        <f aca="false">MIN(D199*(1+D$8),D$9)</f>
        <v>0</v>
      </c>
      <c r="Q200" s="27" t="n">
        <f aca="false">MIN(E199*(1+E$8),E$9)</f>
        <v>0</v>
      </c>
      <c r="R200" s="27" t="n">
        <f aca="false">MIN(F199*(1+F$8),F$9)</f>
        <v>0</v>
      </c>
      <c r="S200" s="27" t="n">
        <f aca="false">MIN(G199*(1+G$8),G$9)</f>
        <v>0</v>
      </c>
      <c r="T200" s="27" t="n">
        <f aca="false">MIN(H199*(1+H$8),H$9)</f>
        <v>0</v>
      </c>
      <c r="U200" s="27" t="n">
        <f aca="false">MIN(I199*(1+I$8),I$9)</f>
        <v>0</v>
      </c>
      <c r="V200" s="27" t="n">
        <f aca="false">MIN(J199*(1+J$8),J$9)</f>
        <v>0</v>
      </c>
      <c r="W200" s="27" t="n">
        <f aca="false">MIN(K199*(1+K$8),K$9)</f>
        <v>0</v>
      </c>
      <c r="X200" s="27" t="n">
        <f aca="false">MIN(B199*(1+B$8),MAX(N200,$B$11-SUM(O200:W200)))</f>
        <v>0</v>
      </c>
      <c r="Y200" s="27" t="n">
        <f aca="false">MIN(C199*(1+C$8),MAX(O200,$B$11-SUM(X200:X200)-SUM(P200:W200)))</f>
        <v>0</v>
      </c>
      <c r="Z200" s="27" t="n">
        <f aca="false">MIN(D199*(1+D$8),MAX(P200,$B$11-SUM(X200:Y200)-SUM(Q200:W200)))</f>
        <v>0</v>
      </c>
      <c r="AA200" s="27" t="n">
        <f aca="false">MIN(E199*(1+E$8),MAX(Q200,$B$11-SUM(X200:Z200)-SUM(R200:W200)))</f>
        <v>0</v>
      </c>
      <c r="AB200" s="27" t="n">
        <f aca="false">MIN(F199*(1+F$8),MAX(R200,$B$11-SUM(X200:AA200)-SUM(S200:W200)))</f>
        <v>0</v>
      </c>
      <c r="AC200" s="27" t="n">
        <f aca="false">MIN(G199*(1+G$8),MAX(S200,$B$11-SUM(X200:AB200)-SUM(T200:W200)))</f>
        <v>0</v>
      </c>
      <c r="AD200" s="27" t="n">
        <f aca="false">MIN(H199*(1+H$8),MAX(T200,$B$11-SUM(X200:AC200)-SUM(U200:W200)))</f>
        <v>0</v>
      </c>
      <c r="AE200" s="27" t="n">
        <f aca="false">MIN(I199*(1+I$8),MAX(U200,$B$11-SUM(X200:AD200)-SUM(V200:W200)))</f>
        <v>0</v>
      </c>
      <c r="AF200" s="27" t="n">
        <f aca="false">MIN(J199*(1+J$8),MAX(V200,$B$11-SUM(X200:AE200)-SUM(W200:W200)))</f>
        <v>0</v>
      </c>
      <c r="AG200" s="27" t="n">
        <f aca="false">MIN(K199*(1+K$8),MAX(W200,$B$11-SUM(X200:AF200)))</f>
        <v>0</v>
      </c>
      <c r="AI200" s="27" t="n">
        <f aca="false">ROUND(MAX(0,AI199*(1+B$8)-BE200),2)</f>
        <v>0</v>
      </c>
      <c r="AJ200" s="27" t="n">
        <f aca="false">ROUND(MAX(0,AJ199*(1+C$8)-BF200),2)</f>
        <v>0</v>
      </c>
      <c r="AK200" s="27" t="n">
        <f aca="false">ROUND(MAX(0,AK199*(1+D$8)-BG200),2)</f>
        <v>0</v>
      </c>
      <c r="AL200" s="27" t="n">
        <f aca="false">ROUND(MAX(0,AL199*(1+E$8)-BH200),2)</f>
        <v>0</v>
      </c>
      <c r="AM200" s="27" t="n">
        <f aca="false">ROUND(MAX(0,AM199*(1+F$8)-BI200),2)</f>
        <v>0</v>
      </c>
      <c r="AN200" s="27" t="n">
        <f aca="false">ROUND(MAX(0,AN199*(1+G$8)-BJ200),2)</f>
        <v>0</v>
      </c>
      <c r="AO200" s="27" t="n">
        <f aca="false">ROUND(MAX(0,AO199*(1+H$8)-BK200),2)</f>
        <v>0</v>
      </c>
      <c r="AP200" s="27" t="n">
        <f aca="false">ROUND(MAX(0,AP199*(1+I$8)-BL200),2)</f>
        <v>0</v>
      </c>
      <c r="AQ200" s="27" t="n">
        <f aca="false">ROUND(MAX(0,AQ199*(1+J$8)-BM200),2)</f>
        <v>0</v>
      </c>
      <c r="AR200" s="27" t="n">
        <f aca="false">ROUND(MAX(0,AR199*(1+K$8)-BN200),2)</f>
        <v>0</v>
      </c>
      <c r="AS200" s="27" t="n">
        <f aca="false">SUM(AI200:AR200)</f>
        <v>0</v>
      </c>
      <c r="AT200" s="27" t="n">
        <f aca="false">SUMPRODUCT(AI199:AR199,$B$8:$K$8)</f>
        <v>0</v>
      </c>
      <c r="AU200" s="27" t="n">
        <f aca="false">MIN(AI199*(1+B$8),B$9)</f>
        <v>0</v>
      </c>
      <c r="AV200" s="27" t="n">
        <f aca="false">MIN(AJ199*(1+C$8),C$9)</f>
        <v>0</v>
      </c>
      <c r="AW200" s="27" t="n">
        <f aca="false">MIN(AK199*(1+D$8),D$9)</f>
        <v>0</v>
      </c>
      <c r="AX200" s="27" t="n">
        <f aca="false">MIN(AL199*(1+E$8),E$9)</f>
        <v>0</v>
      </c>
      <c r="AY200" s="27" t="n">
        <f aca="false">MIN(AM199*(1+F$8),F$9)</f>
        <v>0</v>
      </c>
      <c r="AZ200" s="27" t="n">
        <f aca="false">MIN(AN199*(1+G$8),G$9)</f>
        <v>0</v>
      </c>
      <c r="BA200" s="27" t="n">
        <f aca="false">MIN(AO199*(1+H$8),H$9)</f>
        <v>0</v>
      </c>
      <c r="BB200" s="27" t="n">
        <f aca="false">MIN(AP199*(1+I$8),I$9)</f>
        <v>0</v>
      </c>
      <c r="BC200" s="27" t="n">
        <f aca="false">MIN(AQ199*(1+J$8),J$9)</f>
        <v>0</v>
      </c>
      <c r="BD200" s="27" t="n">
        <f aca="false">MIN(AR199*(1+K$8),K$9)</f>
        <v>0</v>
      </c>
      <c r="BE200" s="27" t="n">
        <f aca="false">MIN(AI199*(1+B$8),MAX(AU200,$B$12-SUM(AV200:BD200)))</f>
        <v>0</v>
      </c>
      <c r="BF200" s="27" t="n">
        <f aca="false">MIN(AJ199*(1+C$8),MAX(AV200,$B$12-SUM(BE200:BE200)-SUM(AW200:BD200)))</f>
        <v>0</v>
      </c>
      <c r="BG200" s="27" t="n">
        <f aca="false">MIN(AK199*(1+D$8),MAX(AW200,$B$12-SUM(BE200:BF200)-SUM(AX200:BD200)))</f>
        <v>0</v>
      </c>
      <c r="BH200" s="27" t="n">
        <f aca="false">MIN(AL199*(1+E$8),MAX(AX200,$B$12-SUM(BE200:BG200)-SUM(AY200:BD200)))</f>
        <v>0</v>
      </c>
      <c r="BI200" s="27" t="n">
        <f aca="false">MIN(AM199*(1+F$8),MAX(AY200,$B$12-SUM(BE200:BH200)-SUM(AZ200:BD200)))</f>
        <v>0</v>
      </c>
      <c r="BJ200" s="27" t="n">
        <f aca="false">MIN(AN199*(1+G$8),MAX(AZ200,$B$12-SUM(BE200:BI200)-SUM(BA200:BD200)))</f>
        <v>0</v>
      </c>
      <c r="BK200" s="27" t="n">
        <f aca="false">MIN(AO199*(1+H$8),MAX(BA200,$B$12-SUM(BE200:BJ200)-SUM(BB200:BD200)))</f>
        <v>0</v>
      </c>
      <c r="BL200" s="27" t="n">
        <f aca="false">MIN(AP199*(1+I$8),MAX(BB200,$B$12-SUM(BE200:BK200)-SUM(BC200:BD200)))</f>
        <v>0</v>
      </c>
      <c r="BM200" s="27" t="n">
        <f aca="false">MIN(AQ199*(1+J$8),MAX(BC200,$B$12-SUM(BE200:BL200)-SUM(BD200:BD200)))</f>
        <v>0</v>
      </c>
      <c r="BN200" s="27" t="n">
        <f aca="false">MIN(AR199*(1+K$8),MAX(BD200,$B$12-SUM(BE200:BM200)))</f>
        <v>0</v>
      </c>
    </row>
    <row r="201" customFormat="false" ht="15" hidden="false" customHeight="false" outlineLevel="0" collapsed="false">
      <c r="A201" s="0" t="n">
        <v>187</v>
      </c>
      <c r="B201" s="27" t="n">
        <f aca="false">ROUND(MAX(0,B200*(1+B$8)-X201),2)</f>
        <v>0</v>
      </c>
      <c r="C201" s="27" t="n">
        <f aca="false">ROUND(MAX(0,C200*(1+C$8)-Y201),2)</f>
        <v>0</v>
      </c>
      <c r="D201" s="27" t="n">
        <f aca="false">ROUND(MAX(0,D200*(1+D$8)-Z201),2)</f>
        <v>0</v>
      </c>
      <c r="E201" s="27" t="n">
        <f aca="false">ROUND(MAX(0,E200*(1+E$8)-AA201),2)</f>
        <v>0</v>
      </c>
      <c r="F201" s="27" t="n">
        <f aca="false">ROUND(MAX(0,F200*(1+F$8)-AB201),2)</f>
        <v>0</v>
      </c>
      <c r="G201" s="27" t="n">
        <f aca="false">ROUND(MAX(0,G200*(1+G$8)-AC201),2)</f>
        <v>0</v>
      </c>
      <c r="H201" s="27" t="n">
        <f aca="false">ROUND(MAX(0,H200*(1+H$8)-AD201),2)</f>
        <v>0</v>
      </c>
      <c r="I201" s="27" t="n">
        <f aca="false">ROUND(MAX(0,I200*(1+I$8)-AE201),2)</f>
        <v>0</v>
      </c>
      <c r="J201" s="27" t="n">
        <f aca="false">ROUND(MAX(0,J200*(1+J$8)-AF201),2)</f>
        <v>0</v>
      </c>
      <c r="K201" s="27" t="n">
        <f aca="false">ROUND(MAX(0,K200*(1+K$8)-AG201),2)</f>
        <v>0</v>
      </c>
      <c r="L201" s="30" t="n">
        <f aca="false">SUM(B201:K201)</f>
        <v>0</v>
      </c>
      <c r="M201" s="27" t="n">
        <f aca="false">SUMPRODUCT(B200:K200,$B$8:$K$8)</f>
        <v>0</v>
      </c>
      <c r="N201" s="27" t="n">
        <f aca="false">MIN(B200*(1+B$8),B$9)</f>
        <v>0</v>
      </c>
      <c r="O201" s="27" t="n">
        <f aca="false">MIN(C200*(1+C$8),C$9)</f>
        <v>0</v>
      </c>
      <c r="P201" s="27" t="n">
        <f aca="false">MIN(D200*(1+D$8),D$9)</f>
        <v>0</v>
      </c>
      <c r="Q201" s="27" t="n">
        <f aca="false">MIN(E200*(1+E$8),E$9)</f>
        <v>0</v>
      </c>
      <c r="R201" s="27" t="n">
        <f aca="false">MIN(F200*(1+F$8),F$9)</f>
        <v>0</v>
      </c>
      <c r="S201" s="27" t="n">
        <f aca="false">MIN(G200*(1+G$8),G$9)</f>
        <v>0</v>
      </c>
      <c r="T201" s="27" t="n">
        <f aca="false">MIN(H200*(1+H$8),H$9)</f>
        <v>0</v>
      </c>
      <c r="U201" s="27" t="n">
        <f aca="false">MIN(I200*(1+I$8),I$9)</f>
        <v>0</v>
      </c>
      <c r="V201" s="27" t="n">
        <f aca="false">MIN(J200*(1+J$8),J$9)</f>
        <v>0</v>
      </c>
      <c r="W201" s="27" t="n">
        <f aca="false">MIN(K200*(1+K$8),K$9)</f>
        <v>0</v>
      </c>
      <c r="X201" s="27" t="n">
        <f aca="false">MIN(B200*(1+B$8),MAX(N201,$B$11-SUM(O201:W201)))</f>
        <v>0</v>
      </c>
      <c r="Y201" s="27" t="n">
        <f aca="false">MIN(C200*(1+C$8),MAX(O201,$B$11-SUM(X201:X201)-SUM(P201:W201)))</f>
        <v>0</v>
      </c>
      <c r="Z201" s="27" t="n">
        <f aca="false">MIN(D200*(1+D$8),MAX(P201,$B$11-SUM(X201:Y201)-SUM(Q201:W201)))</f>
        <v>0</v>
      </c>
      <c r="AA201" s="27" t="n">
        <f aca="false">MIN(E200*(1+E$8),MAX(Q201,$B$11-SUM(X201:Z201)-SUM(R201:W201)))</f>
        <v>0</v>
      </c>
      <c r="AB201" s="27" t="n">
        <f aca="false">MIN(F200*(1+F$8),MAX(R201,$B$11-SUM(X201:AA201)-SUM(S201:W201)))</f>
        <v>0</v>
      </c>
      <c r="AC201" s="27" t="n">
        <f aca="false">MIN(G200*(1+G$8),MAX(S201,$B$11-SUM(X201:AB201)-SUM(T201:W201)))</f>
        <v>0</v>
      </c>
      <c r="AD201" s="27" t="n">
        <f aca="false">MIN(H200*(1+H$8),MAX(T201,$B$11-SUM(X201:AC201)-SUM(U201:W201)))</f>
        <v>0</v>
      </c>
      <c r="AE201" s="27" t="n">
        <f aca="false">MIN(I200*(1+I$8),MAX(U201,$B$11-SUM(X201:AD201)-SUM(V201:W201)))</f>
        <v>0</v>
      </c>
      <c r="AF201" s="27" t="n">
        <f aca="false">MIN(J200*(1+J$8),MAX(V201,$B$11-SUM(X201:AE201)-SUM(W201:W201)))</f>
        <v>0</v>
      </c>
      <c r="AG201" s="27" t="n">
        <f aca="false">MIN(K200*(1+K$8),MAX(W201,$B$11-SUM(X201:AF201)))</f>
        <v>0</v>
      </c>
      <c r="AI201" s="27" t="n">
        <f aca="false">ROUND(MAX(0,AI200*(1+B$8)-BE201),2)</f>
        <v>0</v>
      </c>
      <c r="AJ201" s="27" t="n">
        <f aca="false">ROUND(MAX(0,AJ200*(1+C$8)-BF201),2)</f>
        <v>0</v>
      </c>
      <c r="AK201" s="27" t="n">
        <f aca="false">ROUND(MAX(0,AK200*(1+D$8)-BG201),2)</f>
        <v>0</v>
      </c>
      <c r="AL201" s="27" t="n">
        <f aca="false">ROUND(MAX(0,AL200*(1+E$8)-BH201),2)</f>
        <v>0</v>
      </c>
      <c r="AM201" s="27" t="n">
        <f aca="false">ROUND(MAX(0,AM200*(1+F$8)-BI201),2)</f>
        <v>0</v>
      </c>
      <c r="AN201" s="27" t="n">
        <f aca="false">ROUND(MAX(0,AN200*(1+G$8)-BJ201),2)</f>
        <v>0</v>
      </c>
      <c r="AO201" s="27" t="n">
        <f aca="false">ROUND(MAX(0,AO200*(1+H$8)-BK201),2)</f>
        <v>0</v>
      </c>
      <c r="AP201" s="27" t="n">
        <f aca="false">ROUND(MAX(0,AP200*(1+I$8)-BL201),2)</f>
        <v>0</v>
      </c>
      <c r="AQ201" s="27" t="n">
        <f aca="false">ROUND(MAX(0,AQ200*(1+J$8)-BM201),2)</f>
        <v>0</v>
      </c>
      <c r="AR201" s="27" t="n">
        <f aca="false">ROUND(MAX(0,AR200*(1+K$8)-BN201),2)</f>
        <v>0</v>
      </c>
      <c r="AS201" s="27" t="n">
        <f aca="false">SUM(AI201:AR201)</f>
        <v>0</v>
      </c>
      <c r="AT201" s="27" t="n">
        <f aca="false">SUMPRODUCT(AI200:AR200,$B$8:$K$8)</f>
        <v>0</v>
      </c>
      <c r="AU201" s="27" t="n">
        <f aca="false">MIN(AI200*(1+B$8),B$9)</f>
        <v>0</v>
      </c>
      <c r="AV201" s="27" t="n">
        <f aca="false">MIN(AJ200*(1+C$8),C$9)</f>
        <v>0</v>
      </c>
      <c r="AW201" s="27" t="n">
        <f aca="false">MIN(AK200*(1+D$8),D$9)</f>
        <v>0</v>
      </c>
      <c r="AX201" s="27" t="n">
        <f aca="false">MIN(AL200*(1+E$8),E$9)</f>
        <v>0</v>
      </c>
      <c r="AY201" s="27" t="n">
        <f aca="false">MIN(AM200*(1+F$8),F$9)</f>
        <v>0</v>
      </c>
      <c r="AZ201" s="27" t="n">
        <f aca="false">MIN(AN200*(1+G$8),G$9)</f>
        <v>0</v>
      </c>
      <c r="BA201" s="27" t="n">
        <f aca="false">MIN(AO200*(1+H$8),H$9)</f>
        <v>0</v>
      </c>
      <c r="BB201" s="27" t="n">
        <f aca="false">MIN(AP200*(1+I$8),I$9)</f>
        <v>0</v>
      </c>
      <c r="BC201" s="27" t="n">
        <f aca="false">MIN(AQ200*(1+J$8),J$9)</f>
        <v>0</v>
      </c>
      <c r="BD201" s="27" t="n">
        <f aca="false">MIN(AR200*(1+K$8),K$9)</f>
        <v>0</v>
      </c>
      <c r="BE201" s="27" t="n">
        <f aca="false">MIN(AI200*(1+B$8),MAX(AU201,$B$12-SUM(AV201:BD201)))</f>
        <v>0</v>
      </c>
      <c r="BF201" s="27" t="n">
        <f aca="false">MIN(AJ200*(1+C$8),MAX(AV201,$B$12-SUM(BE201:BE201)-SUM(AW201:BD201)))</f>
        <v>0</v>
      </c>
      <c r="BG201" s="27" t="n">
        <f aca="false">MIN(AK200*(1+D$8),MAX(AW201,$B$12-SUM(BE201:BF201)-SUM(AX201:BD201)))</f>
        <v>0</v>
      </c>
      <c r="BH201" s="27" t="n">
        <f aca="false">MIN(AL200*(1+E$8),MAX(AX201,$B$12-SUM(BE201:BG201)-SUM(AY201:BD201)))</f>
        <v>0</v>
      </c>
      <c r="BI201" s="27" t="n">
        <f aca="false">MIN(AM200*(1+F$8),MAX(AY201,$B$12-SUM(BE201:BH201)-SUM(AZ201:BD201)))</f>
        <v>0</v>
      </c>
      <c r="BJ201" s="27" t="n">
        <f aca="false">MIN(AN200*(1+G$8),MAX(AZ201,$B$12-SUM(BE201:BI201)-SUM(BA201:BD201)))</f>
        <v>0</v>
      </c>
      <c r="BK201" s="27" t="n">
        <f aca="false">MIN(AO200*(1+H$8),MAX(BA201,$B$12-SUM(BE201:BJ201)-SUM(BB201:BD201)))</f>
        <v>0</v>
      </c>
      <c r="BL201" s="27" t="n">
        <f aca="false">MIN(AP200*(1+I$8),MAX(BB201,$B$12-SUM(BE201:BK201)-SUM(BC201:BD201)))</f>
        <v>0</v>
      </c>
      <c r="BM201" s="27" t="n">
        <f aca="false">MIN(AQ200*(1+J$8),MAX(BC201,$B$12-SUM(BE201:BL201)-SUM(BD201:BD201)))</f>
        <v>0</v>
      </c>
      <c r="BN201" s="27" t="n">
        <f aca="false">MIN(AR200*(1+K$8),MAX(BD201,$B$12-SUM(BE201:BM201)))</f>
        <v>0</v>
      </c>
    </row>
    <row r="202" customFormat="false" ht="15" hidden="false" customHeight="false" outlineLevel="0" collapsed="false">
      <c r="A202" s="0" t="n">
        <v>188</v>
      </c>
      <c r="B202" s="27" t="n">
        <f aca="false">ROUND(MAX(0,B201*(1+B$8)-X202),2)</f>
        <v>0</v>
      </c>
      <c r="C202" s="27" t="n">
        <f aca="false">ROUND(MAX(0,C201*(1+C$8)-Y202),2)</f>
        <v>0</v>
      </c>
      <c r="D202" s="27" t="n">
        <f aca="false">ROUND(MAX(0,D201*(1+D$8)-Z202),2)</f>
        <v>0</v>
      </c>
      <c r="E202" s="27" t="n">
        <f aca="false">ROUND(MAX(0,E201*(1+E$8)-AA202),2)</f>
        <v>0</v>
      </c>
      <c r="F202" s="27" t="n">
        <f aca="false">ROUND(MAX(0,F201*(1+F$8)-AB202),2)</f>
        <v>0</v>
      </c>
      <c r="G202" s="27" t="n">
        <f aca="false">ROUND(MAX(0,G201*(1+G$8)-AC202),2)</f>
        <v>0</v>
      </c>
      <c r="H202" s="27" t="n">
        <f aca="false">ROUND(MAX(0,H201*(1+H$8)-AD202),2)</f>
        <v>0</v>
      </c>
      <c r="I202" s="27" t="n">
        <f aca="false">ROUND(MAX(0,I201*(1+I$8)-AE202),2)</f>
        <v>0</v>
      </c>
      <c r="J202" s="27" t="n">
        <f aca="false">ROUND(MAX(0,J201*(1+J$8)-AF202),2)</f>
        <v>0</v>
      </c>
      <c r="K202" s="27" t="n">
        <f aca="false">ROUND(MAX(0,K201*(1+K$8)-AG202),2)</f>
        <v>0</v>
      </c>
      <c r="L202" s="30" t="n">
        <f aca="false">SUM(B202:K202)</f>
        <v>0</v>
      </c>
      <c r="M202" s="27" t="n">
        <f aca="false">SUMPRODUCT(B201:K201,$B$8:$K$8)</f>
        <v>0</v>
      </c>
      <c r="N202" s="27" t="n">
        <f aca="false">MIN(B201*(1+B$8),B$9)</f>
        <v>0</v>
      </c>
      <c r="O202" s="27" t="n">
        <f aca="false">MIN(C201*(1+C$8),C$9)</f>
        <v>0</v>
      </c>
      <c r="P202" s="27" t="n">
        <f aca="false">MIN(D201*(1+D$8),D$9)</f>
        <v>0</v>
      </c>
      <c r="Q202" s="27" t="n">
        <f aca="false">MIN(E201*(1+E$8),E$9)</f>
        <v>0</v>
      </c>
      <c r="R202" s="27" t="n">
        <f aca="false">MIN(F201*(1+F$8),F$9)</f>
        <v>0</v>
      </c>
      <c r="S202" s="27" t="n">
        <f aca="false">MIN(G201*(1+G$8),G$9)</f>
        <v>0</v>
      </c>
      <c r="T202" s="27" t="n">
        <f aca="false">MIN(H201*(1+H$8),H$9)</f>
        <v>0</v>
      </c>
      <c r="U202" s="27" t="n">
        <f aca="false">MIN(I201*(1+I$8),I$9)</f>
        <v>0</v>
      </c>
      <c r="V202" s="27" t="n">
        <f aca="false">MIN(J201*(1+J$8),J$9)</f>
        <v>0</v>
      </c>
      <c r="W202" s="27" t="n">
        <f aca="false">MIN(K201*(1+K$8),K$9)</f>
        <v>0</v>
      </c>
      <c r="X202" s="27" t="n">
        <f aca="false">MIN(B201*(1+B$8),MAX(N202,$B$11-SUM(O202:W202)))</f>
        <v>0</v>
      </c>
      <c r="Y202" s="27" t="n">
        <f aca="false">MIN(C201*(1+C$8),MAX(O202,$B$11-SUM(X202:X202)-SUM(P202:W202)))</f>
        <v>0</v>
      </c>
      <c r="Z202" s="27" t="n">
        <f aca="false">MIN(D201*(1+D$8),MAX(P202,$B$11-SUM(X202:Y202)-SUM(Q202:W202)))</f>
        <v>0</v>
      </c>
      <c r="AA202" s="27" t="n">
        <f aca="false">MIN(E201*(1+E$8),MAX(Q202,$B$11-SUM(X202:Z202)-SUM(R202:W202)))</f>
        <v>0</v>
      </c>
      <c r="AB202" s="27" t="n">
        <f aca="false">MIN(F201*(1+F$8),MAX(R202,$B$11-SUM(X202:AA202)-SUM(S202:W202)))</f>
        <v>0</v>
      </c>
      <c r="AC202" s="27" t="n">
        <f aca="false">MIN(G201*(1+G$8),MAX(S202,$B$11-SUM(X202:AB202)-SUM(T202:W202)))</f>
        <v>0</v>
      </c>
      <c r="AD202" s="27" t="n">
        <f aca="false">MIN(H201*(1+H$8),MAX(T202,$B$11-SUM(X202:AC202)-SUM(U202:W202)))</f>
        <v>0</v>
      </c>
      <c r="AE202" s="27" t="n">
        <f aca="false">MIN(I201*(1+I$8),MAX(U202,$B$11-SUM(X202:AD202)-SUM(V202:W202)))</f>
        <v>0</v>
      </c>
      <c r="AF202" s="27" t="n">
        <f aca="false">MIN(J201*(1+J$8),MAX(V202,$B$11-SUM(X202:AE202)-SUM(W202:W202)))</f>
        <v>0</v>
      </c>
      <c r="AG202" s="27" t="n">
        <f aca="false">MIN(K201*(1+K$8),MAX(W202,$B$11-SUM(X202:AF202)))</f>
        <v>0</v>
      </c>
      <c r="AI202" s="27" t="n">
        <f aca="false">ROUND(MAX(0,AI201*(1+B$8)-BE202),2)</f>
        <v>0</v>
      </c>
      <c r="AJ202" s="27" t="n">
        <f aca="false">ROUND(MAX(0,AJ201*(1+C$8)-BF202),2)</f>
        <v>0</v>
      </c>
      <c r="AK202" s="27" t="n">
        <f aca="false">ROUND(MAX(0,AK201*(1+D$8)-BG202),2)</f>
        <v>0</v>
      </c>
      <c r="AL202" s="27" t="n">
        <f aca="false">ROUND(MAX(0,AL201*(1+E$8)-BH202),2)</f>
        <v>0</v>
      </c>
      <c r="AM202" s="27" t="n">
        <f aca="false">ROUND(MAX(0,AM201*(1+F$8)-BI202),2)</f>
        <v>0</v>
      </c>
      <c r="AN202" s="27" t="n">
        <f aca="false">ROUND(MAX(0,AN201*(1+G$8)-BJ202),2)</f>
        <v>0</v>
      </c>
      <c r="AO202" s="27" t="n">
        <f aca="false">ROUND(MAX(0,AO201*(1+H$8)-BK202),2)</f>
        <v>0</v>
      </c>
      <c r="AP202" s="27" t="n">
        <f aca="false">ROUND(MAX(0,AP201*(1+I$8)-BL202),2)</f>
        <v>0</v>
      </c>
      <c r="AQ202" s="27" t="n">
        <f aca="false">ROUND(MAX(0,AQ201*(1+J$8)-BM202),2)</f>
        <v>0</v>
      </c>
      <c r="AR202" s="27" t="n">
        <f aca="false">ROUND(MAX(0,AR201*(1+K$8)-BN202),2)</f>
        <v>0</v>
      </c>
      <c r="AS202" s="27" t="n">
        <f aca="false">SUM(AI202:AR202)</f>
        <v>0</v>
      </c>
      <c r="AT202" s="27" t="n">
        <f aca="false">SUMPRODUCT(AI201:AR201,$B$8:$K$8)</f>
        <v>0</v>
      </c>
      <c r="AU202" s="27" t="n">
        <f aca="false">MIN(AI201*(1+B$8),B$9)</f>
        <v>0</v>
      </c>
      <c r="AV202" s="27" t="n">
        <f aca="false">MIN(AJ201*(1+C$8),C$9)</f>
        <v>0</v>
      </c>
      <c r="AW202" s="27" t="n">
        <f aca="false">MIN(AK201*(1+D$8),D$9)</f>
        <v>0</v>
      </c>
      <c r="AX202" s="27" t="n">
        <f aca="false">MIN(AL201*(1+E$8),E$9)</f>
        <v>0</v>
      </c>
      <c r="AY202" s="27" t="n">
        <f aca="false">MIN(AM201*(1+F$8),F$9)</f>
        <v>0</v>
      </c>
      <c r="AZ202" s="27" t="n">
        <f aca="false">MIN(AN201*(1+G$8),G$9)</f>
        <v>0</v>
      </c>
      <c r="BA202" s="27" t="n">
        <f aca="false">MIN(AO201*(1+H$8),H$9)</f>
        <v>0</v>
      </c>
      <c r="BB202" s="27" t="n">
        <f aca="false">MIN(AP201*(1+I$8),I$9)</f>
        <v>0</v>
      </c>
      <c r="BC202" s="27" t="n">
        <f aca="false">MIN(AQ201*(1+J$8),J$9)</f>
        <v>0</v>
      </c>
      <c r="BD202" s="27" t="n">
        <f aca="false">MIN(AR201*(1+K$8),K$9)</f>
        <v>0</v>
      </c>
      <c r="BE202" s="27" t="n">
        <f aca="false">MIN(AI201*(1+B$8),MAX(AU202,$B$12-SUM(AV202:BD202)))</f>
        <v>0</v>
      </c>
      <c r="BF202" s="27" t="n">
        <f aca="false">MIN(AJ201*(1+C$8),MAX(AV202,$B$12-SUM(BE202:BE202)-SUM(AW202:BD202)))</f>
        <v>0</v>
      </c>
      <c r="BG202" s="27" t="n">
        <f aca="false">MIN(AK201*(1+D$8),MAX(AW202,$B$12-SUM(BE202:BF202)-SUM(AX202:BD202)))</f>
        <v>0</v>
      </c>
      <c r="BH202" s="27" t="n">
        <f aca="false">MIN(AL201*(1+E$8),MAX(AX202,$B$12-SUM(BE202:BG202)-SUM(AY202:BD202)))</f>
        <v>0</v>
      </c>
      <c r="BI202" s="27" t="n">
        <f aca="false">MIN(AM201*(1+F$8),MAX(AY202,$B$12-SUM(BE202:BH202)-SUM(AZ202:BD202)))</f>
        <v>0</v>
      </c>
      <c r="BJ202" s="27" t="n">
        <f aca="false">MIN(AN201*(1+G$8),MAX(AZ202,$B$12-SUM(BE202:BI202)-SUM(BA202:BD202)))</f>
        <v>0</v>
      </c>
      <c r="BK202" s="27" t="n">
        <f aca="false">MIN(AO201*(1+H$8),MAX(BA202,$B$12-SUM(BE202:BJ202)-SUM(BB202:BD202)))</f>
        <v>0</v>
      </c>
      <c r="BL202" s="27" t="n">
        <f aca="false">MIN(AP201*(1+I$8),MAX(BB202,$B$12-SUM(BE202:BK202)-SUM(BC202:BD202)))</f>
        <v>0</v>
      </c>
      <c r="BM202" s="27" t="n">
        <f aca="false">MIN(AQ201*(1+J$8),MAX(BC202,$B$12-SUM(BE202:BL202)-SUM(BD202:BD202)))</f>
        <v>0</v>
      </c>
      <c r="BN202" s="27" t="n">
        <f aca="false">MIN(AR201*(1+K$8),MAX(BD202,$B$12-SUM(BE202:BM202)))</f>
        <v>0</v>
      </c>
    </row>
    <row r="203" customFormat="false" ht="15" hidden="false" customHeight="false" outlineLevel="0" collapsed="false">
      <c r="A203" s="0" t="n">
        <v>189</v>
      </c>
      <c r="B203" s="27" t="n">
        <f aca="false">ROUND(MAX(0,B202*(1+B$8)-X203),2)</f>
        <v>0</v>
      </c>
      <c r="C203" s="27" t="n">
        <f aca="false">ROUND(MAX(0,C202*(1+C$8)-Y203),2)</f>
        <v>0</v>
      </c>
      <c r="D203" s="27" t="n">
        <f aca="false">ROUND(MAX(0,D202*(1+D$8)-Z203),2)</f>
        <v>0</v>
      </c>
      <c r="E203" s="27" t="n">
        <f aca="false">ROUND(MAX(0,E202*(1+E$8)-AA203),2)</f>
        <v>0</v>
      </c>
      <c r="F203" s="27" t="n">
        <f aca="false">ROUND(MAX(0,F202*(1+F$8)-AB203),2)</f>
        <v>0</v>
      </c>
      <c r="G203" s="27" t="n">
        <f aca="false">ROUND(MAX(0,G202*(1+G$8)-AC203),2)</f>
        <v>0</v>
      </c>
      <c r="H203" s="27" t="n">
        <f aca="false">ROUND(MAX(0,H202*(1+H$8)-AD203),2)</f>
        <v>0</v>
      </c>
      <c r="I203" s="27" t="n">
        <f aca="false">ROUND(MAX(0,I202*(1+I$8)-AE203),2)</f>
        <v>0</v>
      </c>
      <c r="J203" s="27" t="n">
        <f aca="false">ROUND(MAX(0,J202*(1+J$8)-AF203),2)</f>
        <v>0</v>
      </c>
      <c r="K203" s="27" t="n">
        <f aca="false">ROUND(MAX(0,K202*(1+K$8)-AG203),2)</f>
        <v>0</v>
      </c>
      <c r="L203" s="30" t="n">
        <f aca="false">SUM(B203:K203)</f>
        <v>0</v>
      </c>
      <c r="M203" s="27" t="n">
        <f aca="false">SUMPRODUCT(B202:K202,$B$8:$K$8)</f>
        <v>0</v>
      </c>
      <c r="N203" s="27" t="n">
        <f aca="false">MIN(B202*(1+B$8),B$9)</f>
        <v>0</v>
      </c>
      <c r="O203" s="27" t="n">
        <f aca="false">MIN(C202*(1+C$8),C$9)</f>
        <v>0</v>
      </c>
      <c r="P203" s="27" t="n">
        <f aca="false">MIN(D202*(1+D$8),D$9)</f>
        <v>0</v>
      </c>
      <c r="Q203" s="27" t="n">
        <f aca="false">MIN(E202*(1+E$8),E$9)</f>
        <v>0</v>
      </c>
      <c r="R203" s="27" t="n">
        <f aca="false">MIN(F202*(1+F$8),F$9)</f>
        <v>0</v>
      </c>
      <c r="S203" s="27" t="n">
        <f aca="false">MIN(G202*(1+G$8),G$9)</f>
        <v>0</v>
      </c>
      <c r="T203" s="27" t="n">
        <f aca="false">MIN(H202*(1+H$8),H$9)</f>
        <v>0</v>
      </c>
      <c r="U203" s="27" t="n">
        <f aca="false">MIN(I202*(1+I$8),I$9)</f>
        <v>0</v>
      </c>
      <c r="V203" s="27" t="n">
        <f aca="false">MIN(J202*(1+J$8),J$9)</f>
        <v>0</v>
      </c>
      <c r="W203" s="27" t="n">
        <f aca="false">MIN(K202*(1+K$8),K$9)</f>
        <v>0</v>
      </c>
      <c r="X203" s="27" t="n">
        <f aca="false">MIN(B202*(1+B$8),MAX(N203,$B$11-SUM(O203:W203)))</f>
        <v>0</v>
      </c>
      <c r="Y203" s="27" t="n">
        <f aca="false">MIN(C202*(1+C$8),MAX(O203,$B$11-SUM(X203:X203)-SUM(P203:W203)))</f>
        <v>0</v>
      </c>
      <c r="Z203" s="27" t="n">
        <f aca="false">MIN(D202*(1+D$8),MAX(P203,$B$11-SUM(X203:Y203)-SUM(Q203:W203)))</f>
        <v>0</v>
      </c>
      <c r="AA203" s="27" t="n">
        <f aca="false">MIN(E202*(1+E$8),MAX(Q203,$B$11-SUM(X203:Z203)-SUM(R203:W203)))</f>
        <v>0</v>
      </c>
      <c r="AB203" s="27" t="n">
        <f aca="false">MIN(F202*(1+F$8),MAX(R203,$B$11-SUM(X203:AA203)-SUM(S203:W203)))</f>
        <v>0</v>
      </c>
      <c r="AC203" s="27" t="n">
        <f aca="false">MIN(G202*(1+G$8),MAX(S203,$B$11-SUM(X203:AB203)-SUM(T203:W203)))</f>
        <v>0</v>
      </c>
      <c r="AD203" s="27" t="n">
        <f aca="false">MIN(H202*(1+H$8),MAX(T203,$B$11-SUM(X203:AC203)-SUM(U203:W203)))</f>
        <v>0</v>
      </c>
      <c r="AE203" s="27" t="n">
        <f aca="false">MIN(I202*(1+I$8),MAX(U203,$B$11-SUM(X203:AD203)-SUM(V203:W203)))</f>
        <v>0</v>
      </c>
      <c r="AF203" s="27" t="n">
        <f aca="false">MIN(J202*(1+J$8),MAX(V203,$B$11-SUM(X203:AE203)-SUM(W203:W203)))</f>
        <v>0</v>
      </c>
      <c r="AG203" s="27" t="n">
        <f aca="false">MIN(K202*(1+K$8),MAX(W203,$B$11-SUM(X203:AF203)))</f>
        <v>0</v>
      </c>
      <c r="AI203" s="27" t="n">
        <f aca="false">ROUND(MAX(0,AI202*(1+B$8)-BE203),2)</f>
        <v>0</v>
      </c>
      <c r="AJ203" s="27" t="n">
        <f aca="false">ROUND(MAX(0,AJ202*(1+C$8)-BF203),2)</f>
        <v>0</v>
      </c>
      <c r="AK203" s="27" t="n">
        <f aca="false">ROUND(MAX(0,AK202*(1+D$8)-BG203),2)</f>
        <v>0</v>
      </c>
      <c r="AL203" s="27" t="n">
        <f aca="false">ROUND(MAX(0,AL202*(1+E$8)-BH203),2)</f>
        <v>0</v>
      </c>
      <c r="AM203" s="27" t="n">
        <f aca="false">ROUND(MAX(0,AM202*(1+F$8)-BI203),2)</f>
        <v>0</v>
      </c>
      <c r="AN203" s="27" t="n">
        <f aca="false">ROUND(MAX(0,AN202*(1+G$8)-BJ203),2)</f>
        <v>0</v>
      </c>
      <c r="AO203" s="27" t="n">
        <f aca="false">ROUND(MAX(0,AO202*(1+H$8)-BK203),2)</f>
        <v>0</v>
      </c>
      <c r="AP203" s="27" t="n">
        <f aca="false">ROUND(MAX(0,AP202*(1+I$8)-BL203),2)</f>
        <v>0</v>
      </c>
      <c r="AQ203" s="27" t="n">
        <f aca="false">ROUND(MAX(0,AQ202*(1+J$8)-BM203),2)</f>
        <v>0</v>
      </c>
      <c r="AR203" s="27" t="n">
        <f aca="false">ROUND(MAX(0,AR202*(1+K$8)-BN203),2)</f>
        <v>0</v>
      </c>
      <c r="AS203" s="27" t="n">
        <f aca="false">SUM(AI203:AR203)</f>
        <v>0</v>
      </c>
      <c r="AT203" s="27" t="n">
        <f aca="false">SUMPRODUCT(AI202:AR202,$B$8:$K$8)</f>
        <v>0</v>
      </c>
      <c r="AU203" s="27" t="n">
        <f aca="false">MIN(AI202*(1+B$8),B$9)</f>
        <v>0</v>
      </c>
      <c r="AV203" s="27" t="n">
        <f aca="false">MIN(AJ202*(1+C$8),C$9)</f>
        <v>0</v>
      </c>
      <c r="AW203" s="27" t="n">
        <f aca="false">MIN(AK202*(1+D$8),D$9)</f>
        <v>0</v>
      </c>
      <c r="AX203" s="27" t="n">
        <f aca="false">MIN(AL202*(1+E$8),E$9)</f>
        <v>0</v>
      </c>
      <c r="AY203" s="27" t="n">
        <f aca="false">MIN(AM202*(1+F$8),F$9)</f>
        <v>0</v>
      </c>
      <c r="AZ203" s="27" t="n">
        <f aca="false">MIN(AN202*(1+G$8),G$9)</f>
        <v>0</v>
      </c>
      <c r="BA203" s="27" t="n">
        <f aca="false">MIN(AO202*(1+H$8),H$9)</f>
        <v>0</v>
      </c>
      <c r="BB203" s="27" t="n">
        <f aca="false">MIN(AP202*(1+I$8),I$9)</f>
        <v>0</v>
      </c>
      <c r="BC203" s="27" t="n">
        <f aca="false">MIN(AQ202*(1+J$8),J$9)</f>
        <v>0</v>
      </c>
      <c r="BD203" s="27" t="n">
        <f aca="false">MIN(AR202*(1+K$8),K$9)</f>
        <v>0</v>
      </c>
      <c r="BE203" s="27" t="n">
        <f aca="false">MIN(AI202*(1+B$8),MAX(AU203,$B$12-SUM(AV203:BD203)))</f>
        <v>0</v>
      </c>
      <c r="BF203" s="27" t="n">
        <f aca="false">MIN(AJ202*(1+C$8),MAX(AV203,$B$12-SUM(BE203:BE203)-SUM(AW203:BD203)))</f>
        <v>0</v>
      </c>
      <c r="BG203" s="27" t="n">
        <f aca="false">MIN(AK202*(1+D$8),MAX(AW203,$B$12-SUM(BE203:BF203)-SUM(AX203:BD203)))</f>
        <v>0</v>
      </c>
      <c r="BH203" s="27" t="n">
        <f aca="false">MIN(AL202*(1+E$8),MAX(AX203,$B$12-SUM(BE203:BG203)-SUM(AY203:BD203)))</f>
        <v>0</v>
      </c>
      <c r="BI203" s="27" t="n">
        <f aca="false">MIN(AM202*(1+F$8),MAX(AY203,$B$12-SUM(BE203:BH203)-SUM(AZ203:BD203)))</f>
        <v>0</v>
      </c>
      <c r="BJ203" s="27" t="n">
        <f aca="false">MIN(AN202*(1+G$8),MAX(AZ203,$B$12-SUM(BE203:BI203)-SUM(BA203:BD203)))</f>
        <v>0</v>
      </c>
      <c r="BK203" s="27" t="n">
        <f aca="false">MIN(AO202*(1+H$8),MAX(BA203,$B$12-SUM(BE203:BJ203)-SUM(BB203:BD203)))</f>
        <v>0</v>
      </c>
      <c r="BL203" s="27" t="n">
        <f aca="false">MIN(AP202*(1+I$8),MAX(BB203,$B$12-SUM(BE203:BK203)-SUM(BC203:BD203)))</f>
        <v>0</v>
      </c>
      <c r="BM203" s="27" t="n">
        <f aca="false">MIN(AQ202*(1+J$8),MAX(BC203,$B$12-SUM(BE203:BL203)-SUM(BD203:BD203)))</f>
        <v>0</v>
      </c>
      <c r="BN203" s="27" t="n">
        <f aca="false">MIN(AR202*(1+K$8),MAX(BD203,$B$12-SUM(BE203:BM203)))</f>
        <v>0</v>
      </c>
    </row>
    <row r="204" customFormat="false" ht="15" hidden="false" customHeight="false" outlineLevel="0" collapsed="false">
      <c r="A204" s="0" t="n">
        <v>190</v>
      </c>
      <c r="B204" s="27" t="n">
        <f aca="false">ROUND(MAX(0,B203*(1+B$8)-X204),2)</f>
        <v>0</v>
      </c>
      <c r="C204" s="27" t="n">
        <f aca="false">ROUND(MAX(0,C203*(1+C$8)-Y204),2)</f>
        <v>0</v>
      </c>
      <c r="D204" s="27" t="n">
        <f aca="false">ROUND(MAX(0,D203*(1+D$8)-Z204),2)</f>
        <v>0</v>
      </c>
      <c r="E204" s="27" t="n">
        <f aca="false">ROUND(MAX(0,E203*(1+E$8)-AA204),2)</f>
        <v>0</v>
      </c>
      <c r="F204" s="27" t="n">
        <f aca="false">ROUND(MAX(0,F203*(1+F$8)-AB204),2)</f>
        <v>0</v>
      </c>
      <c r="G204" s="27" t="n">
        <f aca="false">ROUND(MAX(0,G203*(1+G$8)-AC204),2)</f>
        <v>0</v>
      </c>
      <c r="H204" s="27" t="n">
        <f aca="false">ROUND(MAX(0,H203*(1+H$8)-AD204),2)</f>
        <v>0</v>
      </c>
      <c r="I204" s="27" t="n">
        <f aca="false">ROUND(MAX(0,I203*(1+I$8)-AE204),2)</f>
        <v>0</v>
      </c>
      <c r="J204" s="27" t="n">
        <f aca="false">ROUND(MAX(0,J203*(1+J$8)-AF204),2)</f>
        <v>0</v>
      </c>
      <c r="K204" s="27" t="n">
        <f aca="false">ROUND(MAX(0,K203*(1+K$8)-AG204),2)</f>
        <v>0</v>
      </c>
      <c r="L204" s="30" t="n">
        <f aca="false">SUM(B204:K204)</f>
        <v>0</v>
      </c>
      <c r="M204" s="27" t="n">
        <f aca="false">SUMPRODUCT(B203:K203,$B$8:$K$8)</f>
        <v>0</v>
      </c>
      <c r="N204" s="27" t="n">
        <f aca="false">MIN(B203*(1+B$8),B$9)</f>
        <v>0</v>
      </c>
      <c r="O204" s="27" t="n">
        <f aca="false">MIN(C203*(1+C$8),C$9)</f>
        <v>0</v>
      </c>
      <c r="P204" s="27" t="n">
        <f aca="false">MIN(D203*(1+D$8),D$9)</f>
        <v>0</v>
      </c>
      <c r="Q204" s="27" t="n">
        <f aca="false">MIN(E203*(1+E$8),E$9)</f>
        <v>0</v>
      </c>
      <c r="R204" s="27" t="n">
        <f aca="false">MIN(F203*(1+F$8),F$9)</f>
        <v>0</v>
      </c>
      <c r="S204" s="27" t="n">
        <f aca="false">MIN(G203*(1+G$8),G$9)</f>
        <v>0</v>
      </c>
      <c r="T204" s="27" t="n">
        <f aca="false">MIN(H203*(1+H$8),H$9)</f>
        <v>0</v>
      </c>
      <c r="U204" s="27" t="n">
        <f aca="false">MIN(I203*(1+I$8),I$9)</f>
        <v>0</v>
      </c>
      <c r="V204" s="27" t="n">
        <f aca="false">MIN(J203*(1+J$8),J$9)</f>
        <v>0</v>
      </c>
      <c r="W204" s="27" t="n">
        <f aca="false">MIN(K203*(1+K$8),K$9)</f>
        <v>0</v>
      </c>
      <c r="X204" s="27" t="n">
        <f aca="false">MIN(B203*(1+B$8),MAX(N204,$B$11-SUM(O204:W204)))</f>
        <v>0</v>
      </c>
      <c r="Y204" s="27" t="n">
        <f aca="false">MIN(C203*(1+C$8),MAX(O204,$B$11-SUM(X204:X204)-SUM(P204:W204)))</f>
        <v>0</v>
      </c>
      <c r="Z204" s="27" t="n">
        <f aca="false">MIN(D203*(1+D$8),MAX(P204,$B$11-SUM(X204:Y204)-SUM(Q204:W204)))</f>
        <v>0</v>
      </c>
      <c r="AA204" s="27" t="n">
        <f aca="false">MIN(E203*(1+E$8),MAX(Q204,$B$11-SUM(X204:Z204)-SUM(R204:W204)))</f>
        <v>0</v>
      </c>
      <c r="AB204" s="27" t="n">
        <f aca="false">MIN(F203*(1+F$8),MAX(R204,$B$11-SUM(X204:AA204)-SUM(S204:W204)))</f>
        <v>0</v>
      </c>
      <c r="AC204" s="27" t="n">
        <f aca="false">MIN(G203*(1+G$8),MAX(S204,$B$11-SUM(X204:AB204)-SUM(T204:W204)))</f>
        <v>0</v>
      </c>
      <c r="AD204" s="27" t="n">
        <f aca="false">MIN(H203*(1+H$8),MAX(T204,$B$11-SUM(X204:AC204)-SUM(U204:W204)))</f>
        <v>0</v>
      </c>
      <c r="AE204" s="27" t="n">
        <f aca="false">MIN(I203*(1+I$8),MAX(U204,$B$11-SUM(X204:AD204)-SUM(V204:W204)))</f>
        <v>0</v>
      </c>
      <c r="AF204" s="27" t="n">
        <f aca="false">MIN(J203*(1+J$8),MAX(V204,$B$11-SUM(X204:AE204)-SUM(W204:W204)))</f>
        <v>0</v>
      </c>
      <c r="AG204" s="27" t="n">
        <f aca="false">MIN(K203*(1+K$8),MAX(W204,$B$11-SUM(X204:AF204)))</f>
        <v>0</v>
      </c>
      <c r="AI204" s="27" t="n">
        <f aca="false">ROUND(MAX(0,AI203*(1+B$8)-BE204),2)</f>
        <v>0</v>
      </c>
      <c r="AJ204" s="27" t="n">
        <f aca="false">ROUND(MAX(0,AJ203*(1+C$8)-BF204),2)</f>
        <v>0</v>
      </c>
      <c r="AK204" s="27" t="n">
        <f aca="false">ROUND(MAX(0,AK203*(1+D$8)-BG204),2)</f>
        <v>0</v>
      </c>
      <c r="AL204" s="27" t="n">
        <f aca="false">ROUND(MAX(0,AL203*(1+E$8)-BH204),2)</f>
        <v>0</v>
      </c>
      <c r="AM204" s="27" t="n">
        <f aca="false">ROUND(MAX(0,AM203*(1+F$8)-BI204),2)</f>
        <v>0</v>
      </c>
      <c r="AN204" s="27" t="n">
        <f aca="false">ROUND(MAX(0,AN203*(1+G$8)-BJ204),2)</f>
        <v>0</v>
      </c>
      <c r="AO204" s="27" t="n">
        <f aca="false">ROUND(MAX(0,AO203*(1+H$8)-BK204),2)</f>
        <v>0</v>
      </c>
      <c r="AP204" s="27" t="n">
        <f aca="false">ROUND(MAX(0,AP203*(1+I$8)-BL204),2)</f>
        <v>0</v>
      </c>
      <c r="AQ204" s="27" t="n">
        <f aca="false">ROUND(MAX(0,AQ203*(1+J$8)-BM204),2)</f>
        <v>0</v>
      </c>
      <c r="AR204" s="27" t="n">
        <f aca="false">ROUND(MAX(0,AR203*(1+K$8)-BN204),2)</f>
        <v>0</v>
      </c>
      <c r="AS204" s="27" t="n">
        <f aca="false">SUM(AI204:AR204)</f>
        <v>0</v>
      </c>
      <c r="AT204" s="27" t="n">
        <f aca="false">SUMPRODUCT(AI203:AR203,$B$8:$K$8)</f>
        <v>0</v>
      </c>
      <c r="AU204" s="27" t="n">
        <f aca="false">MIN(AI203*(1+B$8),B$9)</f>
        <v>0</v>
      </c>
      <c r="AV204" s="27" t="n">
        <f aca="false">MIN(AJ203*(1+C$8),C$9)</f>
        <v>0</v>
      </c>
      <c r="AW204" s="27" t="n">
        <f aca="false">MIN(AK203*(1+D$8),D$9)</f>
        <v>0</v>
      </c>
      <c r="AX204" s="27" t="n">
        <f aca="false">MIN(AL203*(1+E$8),E$9)</f>
        <v>0</v>
      </c>
      <c r="AY204" s="27" t="n">
        <f aca="false">MIN(AM203*(1+F$8),F$9)</f>
        <v>0</v>
      </c>
      <c r="AZ204" s="27" t="n">
        <f aca="false">MIN(AN203*(1+G$8),G$9)</f>
        <v>0</v>
      </c>
      <c r="BA204" s="27" t="n">
        <f aca="false">MIN(AO203*(1+H$8),H$9)</f>
        <v>0</v>
      </c>
      <c r="BB204" s="27" t="n">
        <f aca="false">MIN(AP203*(1+I$8),I$9)</f>
        <v>0</v>
      </c>
      <c r="BC204" s="27" t="n">
        <f aca="false">MIN(AQ203*(1+J$8),J$9)</f>
        <v>0</v>
      </c>
      <c r="BD204" s="27" t="n">
        <f aca="false">MIN(AR203*(1+K$8),K$9)</f>
        <v>0</v>
      </c>
      <c r="BE204" s="27" t="n">
        <f aca="false">MIN(AI203*(1+B$8),MAX(AU204,$B$12-SUM(AV204:BD204)))</f>
        <v>0</v>
      </c>
      <c r="BF204" s="27" t="n">
        <f aca="false">MIN(AJ203*(1+C$8),MAX(AV204,$B$12-SUM(BE204:BE204)-SUM(AW204:BD204)))</f>
        <v>0</v>
      </c>
      <c r="BG204" s="27" t="n">
        <f aca="false">MIN(AK203*(1+D$8),MAX(AW204,$B$12-SUM(BE204:BF204)-SUM(AX204:BD204)))</f>
        <v>0</v>
      </c>
      <c r="BH204" s="27" t="n">
        <f aca="false">MIN(AL203*(1+E$8),MAX(AX204,$B$12-SUM(BE204:BG204)-SUM(AY204:BD204)))</f>
        <v>0</v>
      </c>
      <c r="BI204" s="27" t="n">
        <f aca="false">MIN(AM203*(1+F$8),MAX(AY204,$B$12-SUM(BE204:BH204)-SUM(AZ204:BD204)))</f>
        <v>0</v>
      </c>
      <c r="BJ204" s="27" t="n">
        <f aca="false">MIN(AN203*(1+G$8),MAX(AZ204,$B$12-SUM(BE204:BI204)-SUM(BA204:BD204)))</f>
        <v>0</v>
      </c>
      <c r="BK204" s="27" t="n">
        <f aca="false">MIN(AO203*(1+H$8),MAX(BA204,$B$12-SUM(BE204:BJ204)-SUM(BB204:BD204)))</f>
        <v>0</v>
      </c>
      <c r="BL204" s="27" t="n">
        <f aca="false">MIN(AP203*(1+I$8),MAX(BB204,$B$12-SUM(BE204:BK204)-SUM(BC204:BD204)))</f>
        <v>0</v>
      </c>
      <c r="BM204" s="27" t="n">
        <f aca="false">MIN(AQ203*(1+J$8),MAX(BC204,$B$12-SUM(BE204:BL204)-SUM(BD204:BD204)))</f>
        <v>0</v>
      </c>
      <c r="BN204" s="27" t="n">
        <f aca="false">MIN(AR203*(1+K$8),MAX(BD204,$B$12-SUM(BE204:BM204)))</f>
        <v>0</v>
      </c>
    </row>
    <row r="205" customFormat="false" ht="15" hidden="false" customHeight="false" outlineLevel="0" collapsed="false">
      <c r="A205" s="0" t="n">
        <v>191</v>
      </c>
      <c r="B205" s="27" t="n">
        <f aca="false">ROUND(MAX(0,B204*(1+B$8)-X205),2)</f>
        <v>0</v>
      </c>
      <c r="C205" s="27" t="n">
        <f aca="false">ROUND(MAX(0,C204*(1+C$8)-Y205),2)</f>
        <v>0</v>
      </c>
      <c r="D205" s="27" t="n">
        <f aca="false">ROUND(MAX(0,D204*(1+D$8)-Z205),2)</f>
        <v>0</v>
      </c>
      <c r="E205" s="27" t="n">
        <f aca="false">ROUND(MAX(0,E204*(1+E$8)-AA205),2)</f>
        <v>0</v>
      </c>
      <c r="F205" s="27" t="n">
        <f aca="false">ROUND(MAX(0,F204*(1+F$8)-AB205),2)</f>
        <v>0</v>
      </c>
      <c r="G205" s="27" t="n">
        <f aca="false">ROUND(MAX(0,G204*(1+G$8)-AC205),2)</f>
        <v>0</v>
      </c>
      <c r="H205" s="27" t="n">
        <f aca="false">ROUND(MAX(0,H204*(1+H$8)-AD205),2)</f>
        <v>0</v>
      </c>
      <c r="I205" s="27" t="n">
        <f aca="false">ROUND(MAX(0,I204*(1+I$8)-AE205),2)</f>
        <v>0</v>
      </c>
      <c r="J205" s="27" t="n">
        <f aca="false">ROUND(MAX(0,J204*(1+J$8)-AF205),2)</f>
        <v>0</v>
      </c>
      <c r="K205" s="27" t="n">
        <f aca="false">ROUND(MAX(0,K204*(1+K$8)-AG205),2)</f>
        <v>0</v>
      </c>
      <c r="L205" s="30" t="n">
        <f aca="false">SUM(B205:K205)</f>
        <v>0</v>
      </c>
      <c r="M205" s="27" t="n">
        <f aca="false">SUMPRODUCT(B204:K204,$B$8:$K$8)</f>
        <v>0</v>
      </c>
      <c r="N205" s="27" t="n">
        <f aca="false">MIN(B204*(1+B$8),B$9)</f>
        <v>0</v>
      </c>
      <c r="O205" s="27" t="n">
        <f aca="false">MIN(C204*(1+C$8),C$9)</f>
        <v>0</v>
      </c>
      <c r="P205" s="27" t="n">
        <f aca="false">MIN(D204*(1+D$8),D$9)</f>
        <v>0</v>
      </c>
      <c r="Q205" s="27" t="n">
        <f aca="false">MIN(E204*(1+E$8),E$9)</f>
        <v>0</v>
      </c>
      <c r="R205" s="27" t="n">
        <f aca="false">MIN(F204*(1+F$8),F$9)</f>
        <v>0</v>
      </c>
      <c r="S205" s="27" t="n">
        <f aca="false">MIN(G204*(1+G$8),G$9)</f>
        <v>0</v>
      </c>
      <c r="T205" s="27" t="n">
        <f aca="false">MIN(H204*(1+H$8),H$9)</f>
        <v>0</v>
      </c>
      <c r="U205" s="27" t="n">
        <f aca="false">MIN(I204*(1+I$8),I$9)</f>
        <v>0</v>
      </c>
      <c r="V205" s="27" t="n">
        <f aca="false">MIN(J204*(1+J$8),J$9)</f>
        <v>0</v>
      </c>
      <c r="W205" s="27" t="n">
        <f aca="false">MIN(K204*(1+K$8),K$9)</f>
        <v>0</v>
      </c>
      <c r="X205" s="27" t="n">
        <f aca="false">MIN(B204*(1+B$8),MAX(N205,$B$11-SUM(O205:W205)))</f>
        <v>0</v>
      </c>
      <c r="Y205" s="27" t="n">
        <f aca="false">MIN(C204*(1+C$8),MAX(O205,$B$11-SUM(X205:X205)-SUM(P205:W205)))</f>
        <v>0</v>
      </c>
      <c r="Z205" s="27" t="n">
        <f aca="false">MIN(D204*(1+D$8),MAX(P205,$B$11-SUM(X205:Y205)-SUM(Q205:W205)))</f>
        <v>0</v>
      </c>
      <c r="AA205" s="27" t="n">
        <f aca="false">MIN(E204*(1+E$8),MAX(Q205,$B$11-SUM(X205:Z205)-SUM(R205:W205)))</f>
        <v>0</v>
      </c>
      <c r="AB205" s="27" t="n">
        <f aca="false">MIN(F204*(1+F$8),MAX(R205,$B$11-SUM(X205:AA205)-SUM(S205:W205)))</f>
        <v>0</v>
      </c>
      <c r="AC205" s="27" t="n">
        <f aca="false">MIN(G204*(1+G$8),MAX(S205,$B$11-SUM(X205:AB205)-SUM(T205:W205)))</f>
        <v>0</v>
      </c>
      <c r="AD205" s="27" t="n">
        <f aca="false">MIN(H204*(1+H$8),MAX(T205,$B$11-SUM(X205:AC205)-SUM(U205:W205)))</f>
        <v>0</v>
      </c>
      <c r="AE205" s="27" t="n">
        <f aca="false">MIN(I204*(1+I$8),MAX(U205,$B$11-SUM(X205:AD205)-SUM(V205:W205)))</f>
        <v>0</v>
      </c>
      <c r="AF205" s="27" t="n">
        <f aca="false">MIN(J204*(1+J$8),MAX(V205,$B$11-SUM(X205:AE205)-SUM(W205:W205)))</f>
        <v>0</v>
      </c>
      <c r="AG205" s="27" t="n">
        <f aca="false">MIN(K204*(1+K$8),MAX(W205,$B$11-SUM(X205:AF205)))</f>
        <v>0</v>
      </c>
      <c r="AI205" s="27" t="n">
        <f aca="false">ROUND(MAX(0,AI204*(1+B$8)-BE205),2)</f>
        <v>0</v>
      </c>
      <c r="AJ205" s="27" t="n">
        <f aca="false">ROUND(MAX(0,AJ204*(1+C$8)-BF205),2)</f>
        <v>0</v>
      </c>
      <c r="AK205" s="27" t="n">
        <f aca="false">ROUND(MAX(0,AK204*(1+D$8)-BG205),2)</f>
        <v>0</v>
      </c>
      <c r="AL205" s="27" t="n">
        <f aca="false">ROUND(MAX(0,AL204*(1+E$8)-BH205),2)</f>
        <v>0</v>
      </c>
      <c r="AM205" s="27" t="n">
        <f aca="false">ROUND(MAX(0,AM204*(1+F$8)-BI205),2)</f>
        <v>0</v>
      </c>
      <c r="AN205" s="27" t="n">
        <f aca="false">ROUND(MAX(0,AN204*(1+G$8)-BJ205),2)</f>
        <v>0</v>
      </c>
      <c r="AO205" s="27" t="n">
        <f aca="false">ROUND(MAX(0,AO204*(1+H$8)-BK205),2)</f>
        <v>0</v>
      </c>
      <c r="AP205" s="27" t="n">
        <f aca="false">ROUND(MAX(0,AP204*(1+I$8)-BL205),2)</f>
        <v>0</v>
      </c>
      <c r="AQ205" s="27" t="n">
        <f aca="false">ROUND(MAX(0,AQ204*(1+J$8)-BM205),2)</f>
        <v>0</v>
      </c>
      <c r="AR205" s="27" t="n">
        <f aca="false">ROUND(MAX(0,AR204*(1+K$8)-BN205),2)</f>
        <v>0</v>
      </c>
      <c r="AS205" s="27" t="n">
        <f aca="false">SUM(AI205:AR205)</f>
        <v>0</v>
      </c>
      <c r="AT205" s="27" t="n">
        <f aca="false">SUMPRODUCT(AI204:AR204,$B$8:$K$8)</f>
        <v>0</v>
      </c>
      <c r="AU205" s="27" t="n">
        <f aca="false">MIN(AI204*(1+B$8),B$9)</f>
        <v>0</v>
      </c>
      <c r="AV205" s="27" t="n">
        <f aca="false">MIN(AJ204*(1+C$8),C$9)</f>
        <v>0</v>
      </c>
      <c r="AW205" s="27" t="n">
        <f aca="false">MIN(AK204*(1+D$8),D$9)</f>
        <v>0</v>
      </c>
      <c r="AX205" s="27" t="n">
        <f aca="false">MIN(AL204*(1+E$8),E$9)</f>
        <v>0</v>
      </c>
      <c r="AY205" s="27" t="n">
        <f aca="false">MIN(AM204*(1+F$8),F$9)</f>
        <v>0</v>
      </c>
      <c r="AZ205" s="27" t="n">
        <f aca="false">MIN(AN204*(1+G$8),G$9)</f>
        <v>0</v>
      </c>
      <c r="BA205" s="27" t="n">
        <f aca="false">MIN(AO204*(1+H$8),H$9)</f>
        <v>0</v>
      </c>
      <c r="BB205" s="27" t="n">
        <f aca="false">MIN(AP204*(1+I$8),I$9)</f>
        <v>0</v>
      </c>
      <c r="BC205" s="27" t="n">
        <f aca="false">MIN(AQ204*(1+J$8),J$9)</f>
        <v>0</v>
      </c>
      <c r="BD205" s="27" t="n">
        <f aca="false">MIN(AR204*(1+K$8),K$9)</f>
        <v>0</v>
      </c>
      <c r="BE205" s="27" t="n">
        <f aca="false">MIN(AI204*(1+B$8),MAX(AU205,$B$12-SUM(AV205:BD205)))</f>
        <v>0</v>
      </c>
      <c r="BF205" s="27" t="n">
        <f aca="false">MIN(AJ204*(1+C$8),MAX(AV205,$B$12-SUM(BE205:BE205)-SUM(AW205:BD205)))</f>
        <v>0</v>
      </c>
      <c r="BG205" s="27" t="n">
        <f aca="false">MIN(AK204*(1+D$8),MAX(AW205,$B$12-SUM(BE205:BF205)-SUM(AX205:BD205)))</f>
        <v>0</v>
      </c>
      <c r="BH205" s="27" t="n">
        <f aca="false">MIN(AL204*(1+E$8),MAX(AX205,$B$12-SUM(BE205:BG205)-SUM(AY205:BD205)))</f>
        <v>0</v>
      </c>
      <c r="BI205" s="27" t="n">
        <f aca="false">MIN(AM204*(1+F$8),MAX(AY205,$B$12-SUM(BE205:BH205)-SUM(AZ205:BD205)))</f>
        <v>0</v>
      </c>
      <c r="BJ205" s="27" t="n">
        <f aca="false">MIN(AN204*(1+G$8),MAX(AZ205,$B$12-SUM(BE205:BI205)-SUM(BA205:BD205)))</f>
        <v>0</v>
      </c>
      <c r="BK205" s="27" t="n">
        <f aca="false">MIN(AO204*(1+H$8),MAX(BA205,$B$12-SUM(BE205:BJ205)-SUM(BB205:BD205)))</f>
        <v>0</v>
      </c>
      <c r="BL205" s="27" t="n">
        <f aca="false">MIN(AP204*(1+I$8),MAX(BB205,$B$12-SUM(BE205:BK205)-SUM(BC205:BD205)))</f>
        <v>0</v>
      </c>
      <c r="BM205" s="27" t="n">
        <f aca="false">MIN(AQ204*(1+J$8),MAX(BC205,$B$12-SUM(BE205:BL205)-SUM(BD205:BD205)))</f>
        <v>0</v>
      </c>
      <c r="BN205" s="27" t="n">
        <f aca="false">MIN(AR204*(1+K$8),MAX(BD205,$B$12-SUM(BE205:BM205)))</f>
        <v>0</v>
      </c>
    </row>
    <row r="206" customFormat="false" ht="15" hidden="false" customHeight="false" outlineLevel="0" collapsed="false">
      <c r="A206" s="0" t="n">
        <v>192</v>
      </c>
      <c r="B206" s="27" t="n">
        <f aca="false">ROUND(MAX(0,B205*(1+B$8)-X206),2)</f>
        <v>0</v>
      </c>
      <c r="C206" s="27" t="n">
        <f aca="false">ROUND(MAX(0,C205*(1+C$8)-Y206),2)</f>
        <v>0</v>
      </c>
      <c r="D206" s="27" t="n">
        <f aca="false">ROUND(MAX(0,D205*(1+D$8)-Z206),2)</f>
        <v>0</v>
      </c>
      <c r="E206" s="27" t="n">
        <f aca="false">ROUND(MAX(0,E205*(1+E$8)-AA206),2)</f>
        <v>0</v>
      </c>
      <c r="F206" s="27" t="n">
        <f aca="false">ROUND(MAX(0,F205*(1+F$8)-AB206),2)</f>
        <v>0</v>
      </c>
      <c r="G206" s="27" t="n">
        <f aca="false">ROUND(MAX(0,G205*(1+G$8)-AC206),2)</f>
        <v>0</v>
      </c>
      <c r="H206" s="27" t="n">
        <f aca="false">ROUND(MAX(0,H205*(1+H$8)-AD206),2)</f>
        <v>0</v>
      </c>
      <c r="I206" s="27" t="n">
        <f aca="false">ROUND(MAX(0,I205*(1+I$8)-AE206),2)</f>
        <v>0</v>
      </c>
      <c r="J206" s="27" t="n">
        <f aca="false">ROUND(MAX(0,J205*(1+J$8)-AF206),2)</f>
        <v>0</v>
      </c>
      <c r="K206" s="27" t="n">
        <f aca="false">ROUND(MAX(0,K205*(1+K$8)-AG206),2)</f>
        <v>0</v>
      </c>
      <c r="L206" s="30" t="n">
        <f aca="false">SUM(B206:K206)</f>
        <v>0</v>
      </c>
      <c r="M206" s="27" t="n">
        <f aca="false">SUMPRODUCT(B205:K205,$B$8:$K$8)</f>
        <v>0</v>
      </c>
      <c r="N206" s="27" t="n">
        <f aca="false">MIN(B205*(1+B$8),B$9)</f>
        <v>0</v>
      </c>
      <c r="O206" s="27" t="n">
        <f aca="false">MIN(C205*(1+C$8),C$9)</f>
        <v>0</v>
      </c>
      <c r="P206" s="27" t="n">
        <f aca="false">MIN(D205*(1+D$8),D$9)</f>
        <v>0</v>
      </c>
      <c r="Q206" s="27" t="n">
        <f aca="false">MIN(E205*(1+E$8),E$9)</f>
        <v>0</v>
      </c>
      <c r="R206" s="27" t="n">
        <f aca="false">MIN(F205*(1+F$8),F$9)</f>
        <v>0</v>
      </c>
      <c r="S206" s="27" t="n">
        <f aca="false">MIN(G205*(1+G$8),G$9)</f>
        <v>0</v>
      </c>
      <c r="T206" s="27" t="n">
        <f aca="false">MIN(H205*(1+H$8),H$9)</f>
        <v>0</v>
      </c>
      <c r="U206" s="27" t="n">
        <f aca="false">MIN(I205*(1+I$8),I$9)</f>
        <v>0</v>
      </c>
      <c r="V206" s="27" t="n">
        <f aca="false">MIN(J205*(1+J$8),J$9)</f>
        <v>0</v>
      </c>
      <c r="W206" s="27" t="n">
        <f aca="false">MIN(K205*(1+K$8),K$9)</f>
        <v>0</v>
      </c>
      <c r="X206" s="27" t="n">
        <f aca="false">MIN(B205*(1+B$8),MAX(N206,$B$11-SUM(O206:W206)))</f>
        <v>0</v>
      </c>
      <c r="Y206" s="27" t="n">
        <f aca="false">MIN(C205*(1+C$8),MAX(O206,$B$11-SUM(X206:X206)-SUM(P206:W206)))</f>
        <v>0</v>
      </c>
      <c r="Z206" s="27" t="n">
        <f aca="false">MIN(D205*(1+D$8),MAX(P206,$B$11-SUM(X206:Y206)-SUM(Q206:W206)))</f>
        <v>0</v>
      </c>
      <c r="AA206" s="27" t="n">
        <f aca="false">MIN(E205*(1+E$8),MAX(Q206,$B$11-SUM(X206:Z206)-SUM(R206:W206)))</f>
        <v>0</v>
      </c>
      <c r="AB206" s="27" t="n">
        <f aca="false">MIN(F205*(1+F$8),MAX(R206,$B$11-SUM(X206:AA206)-SUM(S206:W206)))</f>
        <v>0</v>
      </c>
      <c r="AC206" s="27" t="n">
        <f aca="false">MIN(G205*(1+G$8),MAX(S206,$B$11-SUM(X206:AB206)-SUM(T206:W206)))</f>
        <v>0</v>
      </c>
      <c r="AD206" s="27" t="n">
        <f aca="false">MIN(H205*(1+H$8),MAX(T206,$B$11-SUM(X206:AC206)-SUM(U206:W206)))</f>
        <v>0</v>
      </c>
      <c r="AE206" s="27" t="n">
        <f aca="false">MIN(I205*(1+I$8),MAX(U206,$B$11-SUM(X206:AD206)-SUM(V206:W206)))</f>
        <v>0</v>
      </c>
      <c r="AF206" s="27" t="n">
        <f aca="false">MIN(J205*(1+J$8),MAX(V206,$B$11-SUM(X206:AE206)-SUM(W206:W206)))</f>
        <v>0</v>
      </c>
      <c r="AG206" s="27" t="n">
        <f aca="false">MIN(K205*(1+K$8),MAX(W206,$B$11-SUM(X206:AF206)))</f>
        <v>0</v>
      </c>
      <c r="AI206" s="27" t="n">
        <f aca="false">ROUND(MAX(0,AI205*(1+B$8)-BE206),2)</f>
        <v>0</v>
      </c>
      <c r="AJ206" s="27" t="n">
        <f aca="false">ROUND(MAX(0,AJ205*(1+C$8)-BF206),2)</f>
        <v>0</v>
      </c>
      <c r="AK206" s="27" t="n">
        <f aca="false">ROUND(MAX(0,AK205*(1+D$8)-BG206),2)</f>
        <v>0</v>
      </c>
      <c r="AL206" s="27" t="n">
        <f aca="false">ROUND(MAX(0,AL205*(1+E$8)-BH206),2)</f>
        <v>0</v>
      </c>
      <c r="AM206" s="27" t="n">
        <f aca="false">ROUND(MAX(0,AM205*(1+F$8)-BI206),2)</f>
        <v>0</v>
      </c>
      <c r="AN206" s="27" t="n">
        <f aca="false">ROUND(MAX(0,AN205*(1+G$8)-BJ206),2)</f>
        <v>0</v>
      </c>
      <c r="AO206" s="27" t="n">
        <f aca="false">ROUND(MAX(0,AO205*(1+H$8)-BK206),2)</f>
        <v>0</v>
      </c>
      <c r="AP206" s="27" t="n">
        <f aca="false">ROUND(MAX(0,AP205*(1+I$8)-BL206),2)</f>
        <v>0</v>
      </c>
      <c r="AQ206" s="27" t="n">
        <f aca="false">ROUND(MAX(0,AQ205*(1+J$8)-BM206),2)</f>
        <v>0</v>
      </c>
      <c r="AR206" s="27" t="n">
        <f aca="false">ROUND(MAX(0,AR205*(1+K$8)-BN206),2)</f>
        <v>0</v>
      </c>
      <c r="AS206" s="27" t="n">
        <f aca="false">SUM(AI206:AR206)</f>
        <v>0</v>
      </c>
      <c r="AT206" s="27" t="n">
        <f aca="false">SUMPRODUCT(AI205:AR205,$B$8:$K$8)</f>
        <v>0</v>
      </c>
      <c r="AU206" s="27" t="n">
        <f aca="false">MIN(AI205*(1+B$8),B$9)</f>
        <v>0</v>
      </c>
      <c r="AV206" s="27" t="n">
        <f aca="false">MIN(AJ205*(1+C$8),C$9)</f>
        <v>0</v>
      </c>
      <c r="AW206" s="27" t="n">
        <f aca="false">MIN(AK205*(1+D$8),D$9)</f>
        <v>0</v>
      </c>
      <c r="AX206" s="27" t="n">
        <f aca="false">MIN(AL205*(1+E$8),E$9)</f>
        <v>0</v>
      </c>
      <c r="AY206" s="27" t="n">
        <f aca="false">MIN(AM205*(1+F$8),F$9)</f>
        <v>0</v>
      </c>
      <c r="AZ206" s="27" t="n">
        <f aca="false">MIN(AN205*(1+G$8),G$9)</f>
        <v>0</v>
      </c>
      <c r="BA206" s="27" t="n">
        <f aca="false">MIN(AO205*(1+H$8),H$9)</f>
        <v>0</v>
      </c>
      <c r="BB206" s="27" t="n">
        <f aca="false">MIN(AP205*(1+I$8),I$9)</f>
        <v>0</v>
      </c>
      <c r="BC206" s="27" t="n">
        <f aca="false">MIN(AQ205*(1+J$8),J$9)</f>
        <v>0</v>
      </c>
      <c r="BD206" s="27" t="n">
        <f aca="false">MIN(AR205*(1+K$8),K$9)</f>
        <v>0</v>
      </c>
      <c r="BE206" s="27" t="n">
        <f aca="false">MIN(AI205*(1+B$8),MAX(AU206,$B$12-SUM(AV206:BD206)))</f>
        <v>0</v>
      </c>
      <c r="BF206" s="27" t="n">
        <f aca="false">MIN(AJ205*(1+C$8),MAX(AV206,$B$12-SUM(BE206:BE206)-SUM(AW206:BD206)))</f>
        <v>0</v>
      </c>
      <c r="BG206" s="27" t="n">
        <f aca="false">MIN(AK205*(1+D$8),MAX(AW206,$B$12-SUM(BE206:BF206)-SUM(AX206:BD206)))</f>
        <v>0</v>
      </c>
      <c r="BH206" s="27" t="n">
        <f aca="false">MIN(AL205*(1+E$8),MAX(AX206,$B$12-SUM(BE206:BG206)-SUM(AY206:BD206)))</f>
        <v>0</v>
      </c>
      <c r="BI206" s="27" t="n">
        <f aca="false">MIN(AM205*(1+F$8),MAX(AY206,$B$12-SUM(BE206:BH206)-SUM(AZ206:BD206)))</f>
        <v>0</v>
      </c>
      <c r="BJ206" s="27" t="n">
        <f aca="false">MIN(AN205*(1+G$8),MAX(AZ206,$B$12-SUM(BE206:BI206)-SUM(BA206:BD206)))</f>
        <v>0</v>
      </c>
      <c r="BK206" s="27" t="n">
        <f aca="false">MIN(AO205*(1+H$8),MAX(BA206,$B$12-SUM(BE206:BJ206)-SUM(BB206:BD206)))</f>
        <v>0</v>
      </c>
      <c r="BL206" s="27" t="n">
        <f aca="false">MIN(AP205*(1+I$8),MAX(BB206,$B$12-SUM(BE206:BK206)-SUM(BC206:BD206)))</f>
        <v>0</v>
      </c>
      <c r="BM206" s="27" t="n">
        <f aca="false">MIN(AQ205*(1+J$8),MAX(BC206,$B$12-SUM(BE206:BL206)-SUM(BD206:BD206)))</f>
        <v>0</v>
      </c>
      <c r="BN206" s="27" t="n">
        <f aca="false">MIN(AR205*(1+K$8),MAX(BD206,$B$12-SUM(BE206:BM206)))</f>
        <v>0</v>
      </c>
    </row>
    <row r="207" customFormat="false" ht="15" hidden="false" customHeight="false" outlineLevel="0" collapsed="false">
      <c r="A207" s="0" t="n">
        <v>193</v>
      </c>
      <c r="B207" s="27" t="n">
        <f aca="false">ROUND(MAX(0,B206*(1+B$8)-X207),2)</f>
        <v>0</v>
      </c>
      <c r="C207" s="27" t="n">
        <f aca="false">ROUND(MAX(0,C206*(1+C$8)-Y207),2)</f>
        <v>0</v>
      </c>
      <c r="D207" s="27" t="n">
        <f aca="false">ROUND(MAX(0,D206*(1+D$8)-Z207),2)</f>
        <v>0</v>
      </c>
      <c r="E207" s="27" t="n">
        <f aca="false">ROUND(MAX(0,E206*(1+E$8)-AA207),2)</f>
        <v>0</v>
      </c>
      <c r="F207" s="27" t="n">
        <f aca="false">ROUND(MAX(0,F206*(1+F$8)-AB207),2)</f>
        <v>0</v>
      </c>
      <c r="G207" s="27" t="n">
        <f aca="false">ROUND(MAX(0,G206*(1+G$8)-AC207),2)</f>
        <v>0</v>
      </c>
      <c r="H207" s="27" t="n">
        <f aca="false">ROUND(MAX(0,H206*(1+H$8)-AD207),2)</f>
        <v>0</v>
      </c>
      <c r="I207" s="27" t="n">
        <f aca="false">ROUND(MAX(0,I206*(1+I$8)-AE207),2)</f>
        <v>0</v>
      </c>
      <c r="J207" s="27" t="n">
        <f aca="false">ROUND(MAX(0,J206*(1+J$8)-AF207),2)</f>
        <v>0</v>
      </c>
      <c r="K207" s="27" t="n">
        <f aca="false">ROUND(MAX(0,K206*(1+K$8)-AG207),2)</f>
        <v>0</v>
      </c>
      <c r="L207" s="30" t="n">
        <f aca="false">SUM(B207:K207)</f>
        <v>0</v>
      </c>
      <c r="M207" s="27" t="n">
        <f aca="false">SUMPRODUCT(B206:K206,$B$8:$K$8)</f>
        <v>0</v>
      </c>
      <c r="N207" s="27" t="n">
        <f aca="false">MIN(B206*(1+B$8),B$9)</f>
        <v>0</v>
      </c>
      <c r="O207" s="27" t="n">
        <f aca="false">MIN(C206*(1+C$8),C$9)</f>
        <v>0</v>
      </c>
      <c r="P207" s="27" t="n">
        <f aca="false">MIN(D206*(1+D$8),D$9)</f>
        <v>0</v>
      </c>
      <c r="Q207" s="27" t="n">
        <f aca="false">MIN(E206*(1+E$8),E$9)</f>
        <v>0</v>
      </c>
      <c r="R207" s="27" t="n">
        <f aca="false">MIN(F206*(1+F$8),F$9)</f>
        <v>0</v>
      </c>
      <c r="S207" s="27" t="n">
        <f aca="false">MIN(G206*(1+G$8),G$9)</f>
        <v>0</v>
      </c>
      <c r="T207" s="27" t="n">
        <f aca="false">MIN(H206*(1+H$8),H$9)</f>
        <v>0</v>
      </c>
      <c r="U207" s="27" t="n">
        <f aca="false">MIN(I206*(1+I$8),I$9)</f>
        <v>0</v>
      </c>
      <c r="V207" s="27" t="n">
        <f aca="false">MIN(J206*(1+J$8),J$9)</f>
        <v>0</v>
      </c>
      <c r="W207" s="27" t="n">
        <f aca="false">MIN(K206*(1+K$8),K$9)</f>
        <v>0</v>
      </c>
      <c r="X207" s="27" t="n">
        <f aca="false">MIN(B206*(1+B$8),MAX(N207,$B$11-SUM(O207:W207)))</f>
        <v>0</v>
      </c>
      <c r="Y207" s="27" t="n">
        <f aca="false">MIN(C206*(1+C$8),MAX(O207,$B$11-SUM(X207:X207)-SUM(P207:W207)))</f>
        <v>0</v>
      </c>
      <c r="Z207" s="27" t="n">
        <f aca="false">MIN(D206*(1+D$8),MAX(P207,$B$11-SUM(X207:Y207)-SUM(Q207:W207)))</f>
        <v>0</v>
      </c>
      <c r="AA207" s="27" t="n">
        <f aca="false">MIN(E206*(1+E$8),MAX(Q207,$B$11-SUM(X207:Z207)-SUM(R207:W207)))</f>
        <v>0</v>
      </c>
      <c r="AB207" s="27" t="n">
        <f aca="false">MIN(F206*(1+F$8),MAX(R207,$B$11-SUM(X207:AA207)-SUM(S207:W207)))</f>
        <v>0</v>
      </c>
      <c r="AC207" s="27" t="n">
        <f aca="false">MIN(G206*(1+G$8),MAX(S207,$B$11-SUM(X207:AB207)-SUM(T207:W207)))</f>
        <v>0</v>
      </c>
      <c r="AD207" s="27" t="n">
        <f aca="false">MIN(H206*(1+H$8),MAX(T207,$B$11-SUM(X207:AC207)-SUM(U207:W207)))</f>
        <v>0</v>
      </c>
      <c r="AE207" s="27" t="n">
        <f aca="false">MIN(I206*(1+I$8),MAX(U207,$B$11-SUM(X207:AD207)-SUM(V207:W207)))</f>
        <v>0</v>
      </c>
      <c r="AF207" s="27" t="n">
        <f aca="false">MIN(J206*(1+J$8),MAX(V207,$B$11-SUM(X207:AE207)-SUM(W207:W207)))</f>
        <v>0</v>
      </c>
      <c r="AG207" s="27" t="n">
        <f aca="false">MIN(K206*(1+K$8),MAX(W207,$B$11-SUM(X207:AF207)))</f>
        <v>0</v>
      </c>
      <c r="AI207" s="27" t="n">
        <f aca="false">ROUND(MAX(0,AI206*(1+B$8)-BE207),2)</f>
        <v>0</v>
      </c>
      <c r="AJ207" s="27" t="n">
        <f aca="false">ROUND(MAX(0,AJ206*(1+C$8)-BF207),2)</f>
        <v>0</v>
      </c>
      <c r="AK207" s="27" t="n">
        <f aca="false">ROUND(MAX(0,AK206*(1+D$8)-BG207),2)</f>
        <v>0</v>
      </c>
      <c r="AL207" s="27" t="n">
        <f aca="false">ROUND(MAX(0,AL206*(1+E$8)-BH207),2)</f>
        <v>0</v>
      </c>
      <c r="AM207" s="27" t="n">
        <f aca="false">ROUND(MAX(0,AM206*(1+F$8)-BI207),2)</f>
        <v>0</v>
      </c>
      <c r="AN207" s="27" t="n">
        <f aca="false">ROUND(MAX(0,AN206*(1+G$8)-BJ207),2)</f>
        <v>0</v>
      </c>
      <c r="AO207" s="27" t="n">
        <f aca="false">ROUND(MAX(0,AO206*(1+H$8)-BK207),2)</f>
        <v>0</v>
      </c>
      <c r="AP207" s="27" t="n">
        <f aca="false">ROUND(MAX(0,AP206*(1+I$8)-BL207),2)</f>
        <v>0</v>
      </c>
      <c r="AQ207" s="27" t="n">
        <f aca="false">ROUND(MAX(0,AQ206*(1+J$8)-BM207),2)</f>
        <v>0</v>
      </c>
      <c r="AR207" s="27" t="n">
        <f aca="false">ROUND(MAX(0,AR206*(1+K$8)-BN207),2)</f>
        <v>0</v>
      </c>
      <c r="AS207" s="27" t="n">
        <f aca="false">SUM(AI207:AR207)</f>
        <v>0</v>
      </c>
      <c r="AT207" s="27" t="n">
        <f aca="false">SUMPRODUCT(AI206:AR206,$B$8:$K$8)</f>
        <v>0</v>
      </c>
      <c r="AU207" s="27" t="n">
        <f aca="false">MIN(AI206*(1+B$8),B$9)</f>
        <v>0</v>
      </c>
      <c r="AV207" s="27" t="n">
        <f aca="false">MIN(AJ206*(1+C$8),C$9)</f>
        <v>0</v>
      </c>
      <c r="AW207" s="27" t="n">
        <f aca="false">MIN(AK206*(1+D$8),D$9)</f>
        <v>0</v>
      </c>
      <c r="AX207" s="27" t="n">
        <f aca="false">MIN(AL206*(1+E$8),E$9)</f>
        <v>0</v>
      </c>
      <c r="AY207" s="27" t="n">
        <f aca="false">MIN(AM206*(1+F$8),F$9)</f>
        <v>0</v>
      </c>
      <c r="AZ207" s="27" t="n">
        <f aca="false">MIN(AN206*(1+G$8),G$9)</f>
        <v>0</v>
      </c>
      <c r="BA207" s="27" t="n">
        <f aca="false">MIN(AO206*(1+H$8),H$9)</f>
        <v>0</v>
      </c>
      <c r="BB207" s="27" t="n">
        <f aca="false">MIN(AP206*(1+I$8),I$9)</f>
        <v>0</v>
      </c>
      <c r="BC207" s="27" t="n">
        <f aca="false">MIN(AQ206*(1+J$8),J$9)</f>
        <v>0</v>
      </c>
      <c r="BD207" s="27" t="n">
        <f aca="false">MIN(AR206*(1+K$8),K$9)</f>
        <v>0</v>
      </c>
      <c r="BE207" s="27" t="n">
        <f aca="false">MIN(AI206*(1+B$8),MAX(AU207,$B$12-SUM(AV207:BD207)))</f>
        <v>0</v>
      </c>
      <c r="BF207" s="27" t="n">
        <f aca="false">MIN(AJ206*(1+C$8),MAX(AV207,$B$12-SUM(BE207:BE207)-SUM(AW207:BD207)))</f>
        <v>0</v>
      </c>
      <c r="BG207" s="27" t="n">
        <f aca="false">MIN(AK206*(1+D$8),MAX(AW207,$B$12-SUM(BE207:BF207)-SUM(AX207:BD207)))</f>
        <v>0</v>
      </c>
      <c r="BH207" s="27" t="n">
        <f aca="false">MIN(AL206*(1+E$8),MAX(AX207,$B$12-SUM(BE207:BG207)-SUM(AY207:BD207)))</f>
        <v>0</v>
      </c>
      <c r="BI207" s="27" t="n">
        <f aca="false">MIN(AM206*(1+F$8),MAX(AY207,$B$12-SUM(BE207:BH207)-SUM(AZ207:BD207)))</f>
        <v>0</v>
      </c>
      <c r="BJ207" s="27" t="n">
        <f aca="false">MIN(AN206*(1+G$8),MAX(AZ207,$B$12-SUM(BE207:BI207)-SUM(BA207:BD207)))</f>
        <v>0</v>
      </c>
      <c r="BK207" s="27" t="n">
        <f aca="false">MIN(AO206*(1+H$8),MAX(BA207,$B$12-SUM(BE207:BJ207)-SUM(BB207:BD207)))</f>
        <v>0</v>
      </c>
      <c r="BL207" s="27" t="n">
        <f aca="false">MIN(AP206*(1+I$8),MAX(BB207,$B$12-SUM(BE207:BK207)-SUM(BC207:BD207)))</f>
        <v>0</v>
      </c>
      <c r="BM207" s="27" t="n">
        <f aca="false">MIN(AQ206*(1+J$8),MAX(BC207,$B$12-SUM(BE207:BL207)-SUM(BD207:BD207)))</f>
        <v>0</v>
      </c>
      <c r="BN207" s="27" t="n">
        <f aca="false">MIN(AR206*(1+K$8),MAX(BD207,$B$12-SUM(BE207:BM207)))</f>
        <v>0</v>
      </c>
    </row>
    <row r="208" customFormat="false" ht="15" hidden="false" customHeight="false" outlineLevel="0" collapsed="false">
      <c r="A208" s="0" t="n">
        <v>194</v>
      </c>
      <c r="B208" s="27" t="n">
        <f aca="false">ROUND(MAX(0,B207*(1+B$8)-X208),2)</f>
        <v>0</v>
      </c>
      <c r="C208" s="27" t="n">
        <f aca="false">ROUND(MAX(0,C207*(1+C$8)-Y208),2)</f>
        <v>0</v>
      </c>
      <c r="D208" s="27" t="n">
        <f aca="false">ROUND(MAX(0,D207*(1+D$8)-Z208),2)</f>
        <v>0</v>
      </c>
      <c r="E208" s="27" t="n">
        <f aca="false">ROUND(MAX(0,E207*(1+E$8)-AA208),2)</f>
        <v>0</v>
      </c>
      <c r="F208" s="27" t="n">
        <f aca="false">ROUND(MAX(0,F207*(1+F$8)-AB208),2)</f>
        <v>0</v>
      </c>
      <c r="G208" s="27" t="n">
        <f aca="false">ROUND(MAX(0,G207*(1+G$8)-AC208),2)</f>
        <v>0</v>
      </c>
      <c r="H208" s="27" t="n">
        <f aca="false">ROUND(MAX(0,H207*(1+H$8)-AD208),2)</f>
        <v>0</v>
      </c>
      <c r="I208" s="27" t="n">
        <f aca="false">ROUND(MAX(0,I207*(1+I$8)-AE208),2)</f>
        <v>0</v>
      </c>
      <c r="J208" s="27" t="n">
        <f aca="false">ROUND(MAX(0,J207*(1+J$8)-AF208),2)</f>
        <v>0</v>
      </c>
      <c r="K208" s="27" t="n">
        <f aca="false">ROUND(MAX(0,K207*(1+K$8)-AG208),2)</f>
        <v>0</v>
      </c>
      <c r="L208" s="30" t="n">
        <f aca="false">SUM(B208:K208)</f>
        <v>0</v>
      </c>
      <c r="M208" s="27" t="n">
        <f aca="false">SUMPRODUCT(B207:K207,$B$8:$K$8)</f>
        <v>0</v>
      </c>
      <c r="N208" s="27" t="n">
        <f aca="false">MIN(B207*(1+B$8),B$9)</f>
        <v>0</v>
      </c>
      <c r="O208" s="27" t="n">
        <f aca="false">MIN(C207*(1+C$8),C$9)</f>
        <v>0</v>
      </c>
      <c r="P208" s="27" t="n">
        <f aca="false">MIN(D207*(1+D$8),D$9)</f>
        <v>0</v>
      </c>
      <c r="Q208" s="27" t="n">
        <f aca="false">MIN(E207*(1+E$8),E$9)</f>
        <v>0</v>
      </c>
      <c r="R208" s="27" t="n">
        <f aca="false">MIN(F207*(1+F$8),F$9)</f>
        <v>0</v>
      </c>
      <c r="S208" s="27" t="n">
        <f aca="false">MIN(G207*(1+G$8),G$9)</f>
        <v>0</v>
      </c>
      <c r="T208" s="27" t="n">
        <f aca="false">MIN(H207*(1+H$8),H$9)</f>
        <v>0</v>
      </c>
      <c r="U208" s="27" t="n">
        <f aca="false">MIN(I207*(1+I$8),I$9)</f>
        <v>0</v>
      </c>
      <c r="V208" s="27" t="n">
        <f aca="false">MIN(J207*(1+J$8),J$9)</f>
        <v>0</v>
      </c>
      <c r="W208" s="27" t="n">
        <f aca="false">MIN(K207*(1+K$8),K$9)</f>
        <v>0</v>
      </c>
      <c r="X208" s="27" t="n">
        <f aca="false">MIN(B207*(1+B$8),MAX(N208,$B$11-SUM(O208:W208)))</f>
        <v>0</v>
      </c>
      <c r="Y208" s="27" t="n">
        <f aca="false">MIN(C207*(1+C$8),MAX(O208,$B$11-SUM(X208:X208)-SUM(P208:W208)))</f>
        <v>0</v>
      </c>
      <c r="Z208" s="27" t="n">
        <f aca="false">MIN(D207*(1+D$8),MAX(P208,$B$11-SUM(X208:Y208)-SUM(Q208:W208)))</f>
        <v>0</v>
      </c>
      <c r="AA208" s="27" t="n">
        <f aca="false">MIN(E207*(1+E$8),MAX(Q208,$B$11-SUM(X208:Z208)-SUM(R208:W208)))</f>
        <v>0</v>
      </c>
      <c r="AB208" s="27" t="n">
        <f aca="false">MIN(F207*(1+F$8),MAX(R208,$B$11-SUM(X208:AA208)-SUM(S208:W208)))</f>
        <v>0</v>
      </c>
      <c r="AC208" s="27" t="n">
        <f aca="false">MIN(G207*(1+G$8),MAX(S208,$B$11-SUM(X208:AB208)-SUM(T208:W208)))</f>
        <v>0</v>
      </c>
      <c r="AD208" s="27" t="n">
        <f aca="false">MIN(H207*(1+H$8),MAX(T208,$B$11-SUM(X208:AC208)-SUM(U208:W208)))</f>
        <v>0</v>
      </c>
      <c r="AE208" s="27" t="n">
        <f aca="false">MIN(I207*(1+I$8),MAX(U208,$B$11-SUM(X208:AD208)-SUM(V208:W208)))</f>
        <v>0</v>
      </c>
      <c r="AF208" s="27" t="n">
        <f aca="false">MIN(J207*(1+J$8),MAX(V208,$B$11-SUM(X208:AE208)-SUM(W208:W208)))</f>
        <v>0</v>
      </c>
      <c r="AG208" s="27" t="n">
        <f aca="false">MIN(K207*(1+K$8),MAX(W208,$B$11-SUM(X208:AF208)))</f>
        <v>0</v>
      </c>
      <c r="AI208" s="27" t="n">
        <f aca="false">ROUND(MAX(0,AI207*(1+B$8)-BE208),2)</f>
        <v>0</v>
      </c>
      <c r="AJ208" s="27" t="n">
        <f aca="false">ROUND(MAX(0,AJ207*(1+C$8)-BF208),2)</f>
        <v>0</v>
      </c>
      <c r="AK208" s="27" t="n">
        <f aca="false">ROUND(MAX(0,AK207*(1+D$8)-BG208),2)</f>
        <v>0</v>
      </c>
      <c r="AL208" s="27" t="n">
        <f aca="false">ROUND(MAX(0,AL207*(1+E$8)-BH208),2)</f>
        <v>0</v>
      </c>
      <c r="AM208" s="27" t="n">
        <f aca="false">ROUND(MAX(0,AM207*(1+F$8)-BI208),2)</f>
        <v>0</v>
      </c>
      <c r="AN208" s="27" t="n">
        <f aca="false">ROUND(MAX(0,AN207*(1+G$8)-BJ208),2)</f>
        <v>0</v>
      </c>
      <c r="AO208" s="27" t="n">
        <f aca="false">ROUND(MAX(0,AO207*(1+H$8)-BK208),2)</f>
        <v>0</v>
      </c>
      <c r="AP208" s="27" t="n">
        <f aca="false">ROUND(MAX(0,AP207*(1+I$8)-BL208),2)</f>
        <v>0</v>
      </c>
      <c r="AQ208" s="27" t="n">
        <f aca="false">ROUND(MAX(0,AQ207*(1+J$8)-BM208),2)</f>
        <v>0</v>
      </c>
      <c r="AR208" s="27" t="n">
        <f aca="false">ROUND(MAX(0,AR207*(1+K$8)-BN208),2)</f>
        <v>0</v>
      </c>
      <c r="AS208" s="27" t="n">
        <f aca="false">SUM(AI208:AR208)</f>
        <v>0</v>
      </c>
      <c r="AT208" s="27" t="n">
        <f aca="false">SUMPRODUCT(AI207:AR207,$B$8:$K$8)</f>
        <v>0</v>
      </c>
      <c r="AU208" s="27" t="n">
        <f aca="false">MIN(AI207*(1+B$8),B$9)</f>
        <v>0</v>
      </c>
      <c r="AV208" s="27" t="n">
        <f aca="false">MIN(AJ207*(1+C$8),C$9)</f>
        <v>0</v>
      </c>
      <c r="AW208" s="27" t="n">
        <f aca="false">MIN(AK207*(1+D$8),D$9)</f>
        <v>0</v>
      </c>
      <c r="AX208" s="27" t="n">
        <f aca="false">MIN(AL207*(1+E$8),E$9)</f>
        <v>0</v>
      </c>
      <c r="AY208" s="27" t="n">
        <f aca="false">MIN(AM207*(1+F$8),F$9)</f>
        <v>0</v>
      </c>
      <c r="AZ208" s="27" t="n">
        <f aca="false">MIN(AN207*(1+G$8),G$9)</f>
        <v>0</v>
      </c>
      <c r="BA208" s="27" t="n">
        <f aca="false">MIN(AO207*(1+H$8),H$9)</f>
        <v>0</v>
      </c>
      <c r="BB208" s="27" t="n">
        <f aca="false">MIN(AP207*(1+I$8),I$9)</f>
        <v>0</v>
      </c>
      <c r="BC208" s="27" t="n">
        <f aca="false">MIN(AQ207*(1+J$8),J$9)</f>
        <v>0</v>
      </c>
      <c r="BD208" s="27" t="n">
        <f aca="false">MIN(AR207*(1+K$8),K$9)</f>
        <v>0</v>
      </c>
      <c r="BE208" s="27" t="n">
        <f aca="false">MIN(AI207*(1+B$8),MAX(AU208,$B$12-SUM(AV208:BD208)))</f>
        <v>0</v>
      </c>
      <c r="BF208" s="27" t="n">
        <f aca="false">MIN(AJ207*(1+C$8),MAX(AV208,$B$12-SUM(BE208:BE208)-SUM(AW208:BD208)))</f>
        <v>0</v>
      </c>
      <c r="BG208" s="27" t="n">
        <f aca="false">MIN(AK207*(1+D$8),MAX(AW208,$B$12-SUM(BE208:BF208)-SUM(AX208:BD208)))</f>
        <v>0</v>
      </c>
      <c r="BH208" s="27" t="n">
        <f aca="false">MIN(AL207*(1+E$8),MAX(AX208,$B$12-SUM(BE208:BG208)-SUM(AY208:BD208)))</f>
        <v>0</v>
      </c>
      <c r="BI208" s="27" t="n">
        <f aca="false">MIN(AM207*(1+F$8),MAX(AY208,$B$12-SUM(BE208:BH208)-SUM(AZ208:BD208)))</f>
        <v>0</v>
      </c>
      <c r="BJ208" s="27" t="n">
        <f aca="false">MIN(AN207*(1+G$8),MAX(AZ208,$B$12-SUM(BE208:BI208)-SUM(BA208:BD208)))</f>
        <v>0</v>
      </c>
      <c r="BK208" s="27" t="n">
        <f aca="false">MIN(AO207*(1+H$8),MAX(BA208,$B$12-SUM(BE208:BJ208)-SUM(BB208:BD208)))</f>
        <v>0</v>
      </c>
      <c r="BL208" s="27" t="n">
        <f aca="false">MIN(AP207*(1+I$8),MAX(BB208,$B$12-SUM(BE208:BK208)-SUM(BC208:BD208)))</f>
        <v>0</v>
      </c>
      <c r="BM208" s="27" t="n">
        <f aca="false">MIN(AQ207*(1+J$8),MAX(BC208,$B$12-SUM(BE208:BL208)-SUM(BD208:BD208)))</f>
        <v>0</v>
      </c>
      <c r="BN208" s="27" t="n">
        <f aca="false">MIN(AR207*(1+K$8),MAX(BD208,$B$12-SUM(BE208:BM208)))</f>
        <v>0</v>
      </c>
    </row>
    <row r="209" customFormat="false" ht="15" hidden="false" customHeight="false" outlineLevel="0" collapsed="false">
      <c r="A209" s="0" t="n">
        <v>195</v>
      </c>
      <c r="B209" s="27" t="n">
        <f aca="false">ROUND(MAX(0,B208*(1+B$8)-X209),2)</f>
        <v>0</v>
      </c>
      <c r="C209" s="27" t="n">
        <f aca="false">ROUND(MAX(0,C208*(1+C$8)-Y209),2)</f>
        <v>0</v>
      </c>
      <c r="D209" s="27" t="n">
        <f aca="false">ROUND(MAX(0,D208*(1+D$8)-Z209),2)</f>
        <v>0</v>
      </c>
      <c r="E209" s="27" t="n">
        <f aca="false">ROUND(MAX(0,E208*(1+E$8)-AA209),2)</f>
        <v>0</v>
      </c>
      <c r="F209" s="27" t="n">
        <f aca="false">ROUND(MAX(0,F208*(1+F$8)-AB209),2)</f>
        <v>0</v>
      </c>
      <c r="G209" s="27" t="n">
        <f aca="false">ROUND(MAX(0,G208*(1+G$8)-AC209),2)</f>
        <v>0</v>
      </c>
      <c r="H209" s="27" t="n">
        <f aca="false">ROUND(MAX(0,H208*(1+H$8)-AD209),2)</f>
        <v>0</v>
      </c>
      <c r="I209" s="27" t="n">
        <f aca="false">ROUND(MAX(0,I208*(1+I$8)-AE209),2)</f>
        <v>0</v>
      </c>
      <c r="J209" s="27" t="n">
        <f aca="false">ROUND(MAX(0,J208*(1+J$8)-AF209),2)</f>
        <v>0</v>
      </c>
      <c r="K209" s="27" t="n">
        <f aca="false">ROUND(MAX(0,K208*(1+K$8)-AG209),2)</f>
        <v>0</v>
      </c>
      <c r="L209" s="30" t="n">
        <f aca="false">SUM(B209:K209)</f>
        <v>0</v>
      </c>
      <c r="M209" s="27" t="n">
        <f aca="false">SUMPRODUCT(B208:K208,$B$8:$K$8)</f>
        <v>0</v>
      </c>
      <c r="N209" s="27" t="n">
        <f aca="false">MIN(B208*(1+B$8),B$9)</f>
        <v>0</v>
      </c>
      <c r="O209" s="27" t="n">
        <f aca="false">MIN(C208*(1+C$8),C$9)</f>
        <v>0</v>
      </c>
      <c r="P209" s="27" t="n">
        <f aca="false">MIN(D208*(1+D$8),D$9)</f>
        <v>0</v>
      </c>
      <c r="Q209" s="27" t="n">
        <f aca="false">MIN(E208*(1+E$8),E$9)</f>
        <v>0</v>
      </c>
      <c r="R209" s="27" t="n">
        <f aca="false">MIN(F208*(1+F$8),F$9)</f>
        <v>0</v>
      </c>
      <c r="S209" s="27" t="n">
        <f aca="false">MIN(G208*(1+G$8),G$9)</f>
        <v>0</v>
      </c>
      <c r="T209" s="27" t="n">
        <f aca="false">MIN(H208*(1+H$8),H$9)</f>
        <v>0</v>
      </c>
      <c r="U209" s="27" t="n">
        <f aca="false">MIN(I208*(1+I$8),I$9)</f>
        <v>0</v>
      </c>
      <c r="V209" s="27" t="n">
        <f aca="false">MIN(J208*(1+J$8),J$9)</f>
        <v>0</v>
      </c>
      <c r="W209" s="27" t="n">
        <f aca="false">MIN(K208*(1+K$8),K$9)</f>
        <v>0</v>
      </c>
      <c r="X209" s="27" t="n">
        <f aca="false">MIN(B208*(1+B$8),MAX(N209,$B$11-SUM(O209:W209)))</f>
        <v>0</v>
      </c>
      <c r="Y209" s="27" t="n">
        <f aca="false">MIN(C208*(1+C$8),MAX(O209,$B$11-SUM(X209:X209)-SUM(P209:W209)))</f>
        <v>0</v>
      </c>
      <c r="Z209" s="27" t="n">
        <f aca="false">MIN(D208*(1+D$8),MAX(P209,$B$11-SUM(X209:Y209)-SUM(Q209:W209)))</f>
        <v>0</v>
      </c>
      <c r="AA209" s="27" t="n">
        <f aca="false">MIN(E208*(1+E$8),MAX(Q209,$B$11-SUM(X209:Z209)-SUM(R209:W209)))</f>
        <v>0</v>
      </c>
      <c r="AB209" s="27" t="n">
        <f aca="false">MIN(F208*(1+F$8),MAX(R209,$B$11-SUM(X209:AA209)-SUM(S209:W209)))</f>
        <v>0</v>
      </c>
      <c r="AC209" s="27" t="n">
        <f aca="false">MIN(G208*(1+G$8),MAX(S209,$B$11-SUM(X209:AB209)-SUM(T209:W209)))</f>
        <v>0</v>
      </c>
      <c r="AD209" s="27" t="n">
        <f aca="false">MIN(H208*(1+H$8),MAX(T209,$B$11-SUM(X209:AC209)-SUM(U209:W209)))</f>
        <v>0</v>
      </c>
      <c r="AE209" s="27" t="n">
        <f aca="false">MIN(I208*(1+I$8),MAX(U209,$B$11-SUM(X209:AD209)-SUM(V209:W209)))</f>
        <v>0</v>
      </c>
      <c r="AF209" s="27" t="n">
        <f aca="false">MIN(J208*(1+J$8),MAX(V209,$B$11-SUM(X209:AE209)-SUM(W209:W209)))</f>
        <v>0</v>
      </c>
      <c r="AG209" s="27" t="n">
        <f aca="false">MIN(K208*(1+K$8),MAX(W209,$B$11-SUM(X209:AF209)))</f>
        <v>0</v>
      </c>
      <c r="AI209" s="27" t="n">
        <f aca="false">ROUND(MAX(0,AI208*(1+B$8)-BE209),2)</f>
        <v>0</v>
      </c>
      <c r="AJ209" s="27" t="n">
        <f aca="false">ROUND(MAX(0,AJ208*(1+C$8)-BF209),2)</f>
        <v>0</v>
      </c>
      <c r="AK209" s="27" t="n">
        <f aca="false">ROUND(MAX(0,AK208*(1+D$8)-BG209),2)</f>
        <v>0</v>
      </c>
      <c r="AL209" s="27" t="n">
        <f aca="false">ROUND(MAX(0,AL208*(1+E$8)-BH209),2)</f>
        <v>0</v>
      </c>
      <c r="AM209" s="27" t="n">
        <f aca="false">ROUND(MAX(0,AM208*(1+F$8)-BI209),2)</f>
        <v>0</v>
      </c>
      <c r="AN209" s="27" t="n">
        <f aca="false">ROUND(MAX(0,AN208*(1+G$8)-BJ209),2)</f>
        <v>0</v>
      </c>
      <c r="AO209" s="27" t="n">
        <f aca="false">ROUND(MAX(0,AO208*(1+H$8)-BK209),2)</f>
        <v>0</v>
      </c>
      <c r="AP209" s="27" t="n">
        <f aca="false">ROUND(MAX(0,AP208*(1+I$8)-BL209),2)</f>
        <v>0</v>
      </c>
      <c r="AQ209" s="27" t="n">
        <f aca="false">ROUND(MAX(0,AQ208*(1+J$8)-BM209),2)</f>
        <v>0</v>
      </c>
      <c r="AR209" s="27" t="n">
        <f aca="false">ROUND(MAX(0,AR208*(1+K$8)-BN209),2)</f>
        <v>0</v>
      </c>
      <c r="AS209" s="27" t="n">
        <f aca="false">SUM(AI209:AR209)</f>
        <v>0</v>
      </c>
      <c r="AT209" s="27" t="n">
        <f aca="false">SUMPRODUCT(AI208:AR208,$B$8:$K$8)</f>
        <v>0</v>
      </c>
      <c r="AU209" s="27" t="n">
        <f aca="false">MIN(AI208*(1+B$8),B$9)</f>
        <v>0</v>
      </c>
      <c r="AV209" s="27" t="n">
        <f aca="false">MIN(AJ208*(1+C$8),C$9)</f>
        <v>0</v>
      </c>
      <c r="AW209" s="27" t="n">
        <f aca="false">MIN(AK208*(1+D$8),D$9)</f>
        <v>0</v>
      </c>
      <c r="AX209" s="27" t="n">
        <f aca="false">MIN(AL208*(1+E$8),E$9)</f>
        <v>0</v>
      </c>
      <c r="AY209" s="27" t="n">
        <f aca="false">MIN(AM208*(1+F$8),F$9)</f>
        <v>0</v>
      </c>
      <c r="AZ209" s="27" t="n">
        <f aca="false">MIN(AN208*(1+G$8),G$9)</f>
        <v>0</v>
      </c>
      <c r="BA209" s="27" t="n">
        <f aca="false">MIN(AO208*(1+H$8),H$9)</f>
        <v>0</v>
      </c>
      <c r="BB209" s="27" t="n">
        <f aca="false">MIN(AP208*(1+I$8),I$9)</f>
        <v>0</v>
      </c>
      <c r="BC209" s="27" t="n">
        <f aca="false">MIN(AQ208*(1+J$8),J$9)</f>
        <v>0</v>
      </c>
      <c r="BD209" s="27" t="n">
        <f aca="false">MIN(AR208*(1+K$8),K$9)</f>
        <v>0</v>
      </c>
      <c r="BE209" s="27" t="n">
        <f aca="false">MIN(AI208*(1+B$8),MAX(AU209,$B$12-SUM(AV209:BD209)))</f>
        <v>0</v>
      </c>
      <c r="BF209" s="27" t="n">
        <f aca="false">MIN(AJ208*(1+C$8),MAX(AV209,$B$12-SUM(BE209:BE209)-SUM(AW209:BD209)))</f>
        <v>0</v>
      </c>
      <c r="BG209" s="27" t="n">
        <f aca="false">MIN(AK208*(1+D$8),MAX(AW209,$B$12-SUM(BE209:BF209)-SUM(AX209:BD209)))</f>
        <v>0</v>
      </c>
      <c r="BH209" s="27" t="n">
        <f aca="false">MIN(AL208*(1+E$8),MAX(AX209,$B$12-SUM(BE209:BG209)-SUM(AY209:BD209)))</f>
        <v>0</v>
      </c>
      <c r="BI209" s="27" t="n">
        <f aca="false">MIN(AM208*(1+F$8),MAX(AY209,$B$12-SUM(BE209:BH209)-SUM(AZ209:BD209)))</f>
        <v>0</v>
      </c>
      <c r="BJ209" s="27" t="n">
        <f aca="false">MIN(AN208*(1+G$8),MAX(AZ209,$B$12-SUM(BE209:BI209)-SUM(BA209:BD209)))</f>
        <v>0</v>
      </c>
      <c r="BK209" s="27" t="n">
        <f aca="false">MIN(AO208*(1+H$8),MAX(BA209,$B$12-SUM(BE209:BJ209)-SUM(BB209:BD209)))</f>
        <v>0</v>
      </c>
      <c r="BL209" s="27" t="n">
        <f aca="false">MIN(AP208*(1+I$8),MAX(BB209,$B$12-SUM(BE209:BK209)-SUM(BC209:BD209)))</f>
        <v>0</v>
      </c>
      <c r="BM209" s="27" t="n">
        <f aca="false">MIN(AQ208*(1+J$8),MAX(BC209,$B$12-SUM(BE209:BL209)-SUM(BD209:BD209)))</f>
        <v>0</v>
      </c>
      <c r="BN209" s="27" t="n">
        <f aca="false">MIN(AR208*(1+K$8),MAX(BD209,$B$12-SUM(BE209:BM209)))</f>
        <v>0</v>
      </c>
    </row>
    <row r="210" customFormat="false" ht="15" hidden="false" customHeight="false" outlineLevel="0" collapsed="false">
      <c r="A210" s="0" t="n">
        <v>196</v>
      </c>
      <c r="B210" s="27" t="n">
        <f aca="false">ROUND(MAX(0,B209*(1+B$8)-X210),2)</f>
        <v>0</v>
      </c>
      <c r="C210" s="27" t="n">
        <f aca="false">ROUND(MAX(0,C209*(1+C$8)-Y210),2)</f>
        <v>0</v>
      </c>
      <c r="D210" s="27" t="n">
        <f aca="false">ROUND(MAX(0,D209*(1+D$8)-Z210),2)</f>
        <v>0</v>
      </c>
      <c r="E210" s="27" t="n">
        <f aca="false">ROUND(MAX(0,E209*(1+E$8)-AA210),2)</f>
        <v>0</v>
      </c>
      <c r="F210" s="27" t="n">
        <f aca="false">ROUND(MAX(0,F209*(1+F$8)-AB210),2)</f>
        <v>0</v>
      </c>
      <c r="G210" s="27" t="n">
        <f aca="false">ROUND(MAX(0,G209*(1+G$8)-AC210),2)</f>
        <v>0</v>
      </c>
      <c r="H210" s="27" t="n">
        <f aca="false">ROUND(MAX(0,H209*(1+H$8)-AD210),2)</f>
        <v>0</v>
      </c>
      <c r="I210" s="27" t="n">
        <f aca="false">ROUND(MAX(0,I209*(1+I$8)-AE210),2)</f>
        <v>0</v>
      </c>
      <c r="J210" s="27" t="n">
        <f aca="false">ROUND(MAX(0,J209*(1+J$8)-AF210),2)</f>
        <v>0</v>
      </c>
      <c r="K210" s="27" t="n">
        <f aca="false">ROUND(MAX(0,K209*(1+K$8)-AG210),2)</f>
        <v>0</v>
      </c>
      <c r="L210" s="30" t="n">
        <f aca="false">SUM(B210:K210)</f>
        <v>0</v>
      </c>
      <c r="M210" s="27" t="n">
        <f aca="false">SUMPRODUCT(B209:K209,$B$8:$K$8)</f>
        <v>0</v>
      </c>
      <c r="N210" s="27" t="n">
        <f aca="false">MIN(B209*(1+B$8),B$9)</f>
        <v>0</v>
      </c>
      <c r="O210" s="27" t="n">
        <f aca="false">MIN(C209*(1+C$8),C$9)</f>
        <v>0</v>
      </c>
      <c r="P210" s="27" t="n">
        <f aca="false">MIN(D209*(1+D$8),D$9)</f>
        <v>0</v>
      </c>
      <c r="Q210" s="27" t="n">
        <f aca="false">MIN(E209*(1+E$8),E$9)</f>
        <v>0</v>
      </c>
      <c r="R210" s="27" t="n">
        <f aca="false">MIN(F209*(1+F$8),F$9)</f>
        <v>0</v>
      </c>
      <c r="S210" s="27" t="n">
        <f aca="false">MIN(G209*(1+G$8),G$9)</f>
        <v>0</v>
      </c>
      <c r="T210" s="27" t="n">
        <f aca="false">MIN(H209*(1+H$8),H$9)</f>
        <v>0</v>
      </c>
      <c r="U210" s="27" t="n">
        <f aca="false">MIN(I209*(1+I$8),I$9)</f>
        <v>0</v>
      </c>
      <c r="V210" s="27" t="n">
        <f aca="false">MIN(J209*(1+J$8),J$9)</f>
        <v>0</v>
      </c>
      <c r="W210" s="27" t="n">
        <f aca="false">MIN(K209*(1+K$8),K$9)</f>
        <v>0</v>
      </c>
      <c r="X210" s="27" t="n">
        <f aca="false">MIN(B209*(1+B$8),MAX(N210,$B$11-SUM(O210:W210)))</f>
        <v>0</v>
      </c>
      <c r="Y210" s="27" t="n">
        <f aca="false">MIN(C209*(1+C$8),MAX(O210,$B$11-SUM(X210:X210)-SUM(P210:W210)))</f>
        <v>0</v>
      </c>
      <c r="Z210" s="27" t="n">
        <f aca="false">MIN(D209*(1+D$8),MAX(P210,$B$11-SUM(X210:Y210)-SUM(Q210:W210)))</f>
        <v>0</v>
      </c>
      <c r="AA210" s="27" t="n">
        <f aca="false">MIN(E209*(1+E$8),MAX(Q210,$B$11-SUM(X210:Z210)-SUM(R210:W210)))</f>
        <v>0</v>
      </c>
      <c r="AB210" s="27" t="n">
        <f aca="false">MIN(F209*(1+F$8),MAX(R210,$B$11-SUM(X210:AA210)-SUM(S210:W210)))</f>
        <v>0</v>
      </c>
      <c r="AC210" s="27" t="n">
        <f aca="false">MIN(G209*(1+G$8),MAX(S210,$B$11-SUM(X210:AB210)-SUM(T210:W210)))</f>
        <v>0</v>
      </c>
      <c r="AD210" s="27" t="n">
        <f aca="false">MIN(H209*(1+H$8),MAX(T210,$B$11-SUM(X210:AC210)-SUM(U210:W210)))</f>
        <v>0</v>
      </c>
      <c r="AE210" s="27" t="n">
        <f aca="false">MIN(I209*(1+I$8),MAX(U210,$B$11-SUM(X210:AD210)-SUM(V210:W210)))</f>
        <v>0</v>
      </c>
      <c r="AF210" s="27" t="n">
        <f aca="false">MIN(J209*(1+J$8),MAX(V210,$B$11-SUM(X210:AE210)-SUM(W210:W210)))</f>
        <v>0</v>
      </c>
      <c r="AG210" s="27" t="n">
        <f aca="false">MIN(K209*(1+K$8),MAX(W210,$B$11-SUM(X210:AF210)))</f>
        <v>0</v>
      </c>
      <c r="AI210" s="27" t="n">
        <f aca="false">ROUND(MAX(0,AI209*(1+B$8)-BE210),2)</f>
        <v>0</v>
      </c>
      <c r="AJ210" s="27" t="n">
        <f aca="false">ROUND(MAX(0,AJ209*(1+C$8)-BF210),2)</f>
        <v>0</v>
      </c>
      <c r="AK210" s="27" t="n">
        <f aca="false">ROUND(MAX(0,AK209*(1+D$8)-BG210),2)</f>
        <v>0</v>
      </c>
      <c r="AL210" s="27" t="n">
        <f aca="false">ROUND(MAX(0,AL209*(1+E$8)-BH210),2)</f>
        <v>0</v>
      </c>
      <c r="AM210" s="27" t="n">
        <f aca="false">ROUND(MAX(0,AM209*(1+F$8)-BI210),2)</f>
        <v>0</v>
      </c>
      <c r="AN210" s="27" t="n">
        <f aca="false">ROUND(MAX(0,AN209*(1+G$8)-BJ210),2)</f>
        <v>0</v>
      </c>
      <c r="AO210" s="27" t="n">
        <f aca="false">ROUND(MAX(0,AO209*(1+H$8)-BK210),2)</f>
        <v>0</v>
      </c>
      <c r="AP210" s="27" t="n">
        <f aca="false">ROUND(MAX(0,AP209*(1+I$8)-BL210),2)</f>
        <v>0</v>
      </c>
      <c r="AQ210" s="27" t="n">
        <f aca="false">ROUND(MAX(0,AQ209*(1+J$8)-BM210),2)</f>
        <v>0</v>
      </c>
      <c r="AR210" s="27" t="n">
        <f aca="false">ROUND(MAX(0,AR209*(1+K$8)-BN210),2)</f>
        <v>0</v>
      </c>
      <c r="AS210" s="27" t="n">
        <f aca="false">SUM(AI210:AR210)</f>
        <v>0</v>
      </c>
      <c r="AT210" s="27" t="n">
        <f aca="false">SUMPRODUCT(AI209:AR209,$B$8:$K$8)</f>
        <v>0</v>
      </c>
      <c r="AU210" s="27" t="n">
        <f aca="false">MIN(AI209*(1+B$8),B$9)</f>
        <v>0</v>
      </c>
      <c r="AV210" s="27" t="n">
        <f aca="false">MIN(AJ209*(1+C$8),C$9)</f>
        <v>0</v>
      </c>
      <c r="AW210" s="27" t="n">
        <f aca="false">MIN(AK209*(1+D$8),D$9)</f>
        <v>0</v>
      </c>
      <c r="AX210" s="27" t="n">
        <f aca="false">MIN(AL209*(1+E$8),E$9)</f>
        <v>0</v>
      </c>
      <c r="AY210" s="27" t="n">
        <f aca="false">MIN(AM209*(1+F$8),F$9)</f>
        <v>0</v>
      </c>
      <c r="AZ210" s="27" t="n">
        <f aca="false">MIN(AN209*(1+G$8),G$9)</f>
        <v>0</v>
      </c>
      <c r="BA210" s="27" t="n">
        <f aca="false">MIN(AO209*(1+H$8),H$9)</f>
        <v>0</v>
      </c>
      <c r="BB210" s="27" t="n">
        <f aca="false">MIN(AP209*(1+I$8),I$9)</f>
        <v>0</v>
      </c>
      <c r="BC210" s="27" t="n">
        <f aca="false">MIN(AQ209*(1+J$8),J$9)</f>
        <v>0</v>
      </c>
      <c r="BD210" s="27" t="n">
        <f aca="false">MIN(AR209*(1+K$8),K$9)</f>
        <v>0</v>
      </c>
      <c r="BE210" s="27" t="n">
        <f aca="false">MIN(AI209*(1+B$8),MAX(AU210,$B$12-SUM(AV210:BD210)))</f>
        <v>0</v>
      </c>
      <c r="BF210" s="27" t="n">
        <f aca="false">MIN(AJ209*(1+C$8),MAX(AV210,$B$12-SUM(BE210:BE210)-SUM(AW210:BD210)))</f>
        <v>0</v>
      </c>
      <c r="BG210" s="27" t="n">
        <f aca="false">MIN(AK209*(1+D$8),MAX(AW210,$B$12-SUM(BE210:BF210)-SUM(AX210:BD210)))</f>
        <v>0</v>
      </c>
      <c r="BH210" s="27" t="n">
        <f aca="false">MIN(AL209*(1+E$8),MAX(AX210,$B$12-SUM(BE210:BG210)-SUM(AY210:BD210)))</f>
        <v>0</v>
      </c>
      <c r="BI210" s="27" t="n">
        <f aca="false">MIN(AM209*(1+F$8),MAX(AY210,$B$12-SUM(BE210:BH210)-SUM(AZ210:BD210)))</f>
        <v>0</v>
      </c>
      <c r="BJ210" s="27" t="n">
        <f aca="false">MIN(AN209*(1+G$8),MAX(AZ210,$B$12-SUM(BE210:BI210)-SUM(BA210:BD210)))</f>
        <v>0</v>
      </c>
      <c r="BK210" s="27" t="n">
        <f aca="false">MIN(AO209*(1+H$8),MAX(BA210,$B$12-SUM(BE210:BJ210)-SUM(BB210:BD210)))</f>
        <v>0</v>
      </c>
      <c r="BL210" s="27" t="n">
        <f aca="false">MIN(AP209*(1+I$8),MAX(BB210,$B$12-SUM(BE210:BK210)-SUM(BC210:BD210)))</f>
        <v>0</v>
      </c>
      <c r="BM210" s="27" t="n">
        <f aca="false">MIN(AQ209*(1+J$8),MAX(BC210,$B$12-SUM(BE210:BL210)-SUM(BD210:BD210)))</f>
        <v>0</v>
      </c>
      <c r="BN210" s="27" t="n">
        <f aca="false">MIN(AR209*(1+K$8),MAX(BD210,$B$12-SUM(BE210:BM210)))</f>
        <v>0</v>
      </c>
    </row>
    <row r="211" customFormat="false" ht="15" hidden="false" customHeight="false" outlineLevel="0" collapsed="false">
      <c r="A211" s="0" t="n">
        <v>197</v>
      </c>
      <c r="B211" s="27" t="n">
        <f aca="false">ROUND(MAX(0,B210*(1+B$8)-X211),2)</f>
        <v>0</v>
      </c>
      <c r="C211" s="27" t="n">
        <f aca="false">ROUND(MAX(0,C210*(1+C$8)-Y211),2)</f>
        <v>0</v>
      </c>
      <c r="D211" s="27" t="n">
        <f aca="false">ROUND(MAX(0,D210*(1+D$8)-Z211),2)</f>
        <v>0</v>
      </c>
      <c r="E211" s="27" t="n">
        <f aca="false">ROUND(MAX(0,E210*(1+E$8)-AA211),2)</f>
        <v>0</v>
      </c>
      <c r="F211" s="27" t="n">
        <f aca="false">ROUND(MAX(0,F210*(1+F$8)-AB211),2)</f>
        <v>0</v>
      </c>
      <c r="G211" s="27" t="n">
        <f aca="false">ROUND(MAX(0,G210*(1+G$8)-AC211),2)</f>
        <v>0</v>
      </c>
      <c r="H211" s="27" t="n">
        <f aca="false">ROUND(MAX(0,H210*(1+H$8)-AD211),2)</f>
        <v>0</v>
      </c>
      <c r="I211" s="27" t="n">
        <f aca="false">ROUND(MAX(0,I210*(1+I$8)-AE211),2)</f>
        <v>0</v>
      </c>
      <c r="J211" s="27" t="n">
        <f aca="false">ROUND(MAX(0,J210*(1+J$8)-AF211),2)</f>
        <v>0</v>
      </c>
      <c r="K211" s="27" t="n">
        <f aca="false">ROUND(MAX(0,K210*(1+K$8)-AG211),2)</f>
        <v>0</v>
      </c>
      <c r="L211" s="30" t="n">
        <f aca="false">SUM(B211:K211)</f>
        <v>0</v>
      </c>
      <c r="M211" s="27" t="n">
        <f aca="false">SUMPRODUCT(B210:K210,$B$8:$K$8)</f>
        <v>0</v>
      </c>
      <c r="N211" s="27" t="n">
        <f aca="false">MIN(B210*(1+B$8),B$9)</f>
        <v>0</v>
      </c>
      <c r="O211" s="27" t="n">
        <f aca="false">MIN(C210*(1+C$8),C$9)</f>
        <v>0</v>
      </c>
      <c r="P211" s="27" t="n">
        <f aca="false">MIN(D210*(1+D$8),D$9)</f>
        <v>0</v>
      </c>
      <c r="Q211" s="27" t="n">
        <f aca="false">MIN(E210*(1+E$8),E$9)</f>
        <v>0</v>
      </c>
      <c r="R211" s="27" t="n">
        <f aca="false">MIN(F210*(1+F$8),F$9)</f>
        <v>0</v>
      </c>
      <c r="S211" s="27" t="n">
        <f aca="false">MIN(G210*(1+G$8),G$9)</f>
        <v>0</v>
      </c>
      <c r="T211" s="27" t="n">
        <f aca="false">MIN(H210*(1+H$8),H$9)</f>
        <v>0</v>
      </c>
      <c r="U211" s="27" t="n">
        <f aca="false">MIN(I210*(1+I$8),I$9)</f>
        <v>0</v>
      </c>
      <c r="V211" s="27" t="n">
        <f aca="false">MIN(J210*(1+J$8),J$9)</f>
        <v>0</v>
      </c>
      <c r="W211" s="27" t="n">
        <f aca="false">MIN(K210*(1+K$8),K$9)</f>
        <v>0</v>
      </c>
      <c r="X211" s="27" t="n">
        <f aca="false">MIN(B210*(1+B$8),MAX(N211,$B$11-SUM(O211:W211)))</f>
        <v>0</v>
      </c>
      <c r="Y211" s="27" t="n">
        <f aca="false">MIN(C210*(1+C$8),MAX(O211,$B$11-SUM(X211:X211)-SUM(P211:W211)))</f>
        <v>0</v>
      </c>
      <c r="Z211" s="27" t="n">
        <f aca="false">MIN(D210*(1+D$8),MAX(P211,$B$11-SUM(X211:Y211)-SUM(Q211:W211)))</f>
        <v>0</v>
      </c>
      <c r="AA211" s="27" t="n">
        <f aca="false">MIN(E210*(1+E$8),MAX(Q211,$B$11-SUM(X211:Z211)-SUM(R211:W211)))</f>
        <v>0</v>
      </c>
      <c r="AB211" s="27" t="n">
        <f aca="false">MIN(F210*(1+F$8),MAX(R211,$B$11-SUM(X211:AA211)-SUM(S211:W211)))</f>
        <v>0</v>
      </c>
      <c r="AC211" s="27" t="n">
        <f aca="false">MIN(G210*(1+G$8),MAX(S211,$B$11-SUM(X211:AB211)-SUM(T211:W211)))</f>
        <v>0</v>
      </c>
      <c r="AD211" s="27" t="n">
        <f aca="false">MIN(H210*(1+H$8),MAX(T211,$B$11-SUM(X211:AC211)-SUM(U211:W211)))</f>
        <v>0</v>
      </c>
      <c r="AE211" s="27" t="n">
        <f aca="false">MIN(I210*(1+I$8),MAX(U211,$B$11-SUM(X211:AD211)-SUM(V211:W211)))</f>
        <v>0</v>
      </c>
      <c r="AF211" s="27" t="n">
        <f aca="false">MIN(J210*(1+J$8),MAX(V211,$B$11-SUM(X211:AE211)-SUM(W211:W211)))</f>
        <v>0</v>
      </c>
      <c r="AG211" s="27" t="n">
        <f aca="false">MIN(K210*(1+K$8),MAX(W211,$B$11-SUM(X211:AF211)))</f>
        <v>0</v>
      </c>
      <c r="AI211" s="27" t="n">
        <f aca="false">ROUND(MAX(0,AI210*(1+B$8)-BE211),2)</f>
        <v>0</v>
      </c>
      <c r="AJ211" s="27" t="n">
        <f aca="false">ROUND(MAX(0,AJ210*(1+C$8)-BF211),2)</f>
        <v>0</v>
      </c>
      <c r="AK211" s="27" t="n">
        <f aca="false">ROUND(MAX(0,AK210*(1+D$8)-BG211),2)</f>
        <v>0</v>
      </c>
      <c r="AL211" s="27" t="n">
        <f aca="false">ROUND(MAX(0,AL210*(1+E$8)-BH211),2)</f>
        <v>0</v>
      </c>
      <c r="AM211" s="27" t="n">
        <f aca="false">ROUND(MAX(0,AM210*(1+F$8)-BI211),2)</f>
        <v>0</v>
      </c>
      <c r="AN211" s="27" t="n">
        <f aca="false">ROUND(MAX(0,AN210*(1+G$8)-BJ211),2)</f>
        <v>0</v>
      </c>
      <c r="AO211" s="27" t="n">
        <f aca="false">ROUND(MAX(0,AO210*(1+H$8)-BK211),2)</f>
        <v>0</v>
      </c>
      <c r="AP211" s="27" t="n">
        <f aca="false">ROUND(MAX(0,AP210*(1+I$8)-BL211),2)</f>
        <v>0</v>
      </c>
      <c r="AQ211" s="27" t="n">
        <f aca="false">ROUND(MAX(0,AQ210*(1+J$8)-BM211),2)</f>
        <v>0</v>
      </c>
      <c r="AR211" s="27" t="n">
        <f aca="false">ROUND(MAX(0,AR210*(1+K$8)-BN211),2)</f>
        <v>0</v>
      </c>
      <c r="AS211" s="27" t="n">
        <f aca="false">SUM(AI211:AR211)</f>
        <v>0</v>
      </c>
      <c r="AT211" s="27" t="n">
        <f aca="false">SUMPRODUCT(AI210:AR210,$B$8:$K$8)</f>
        <v>0</v>
      </c>
      <c r="AU211" s="27" t="n">
        <f aca="false">MIN(AI210*(1+B$8),B$9)</f>
        <v>0</v>
      </c>
      <c r="AV211" s="27" t="n">
        <f aca="false">MIN(AJ210*(1+C$8),C$9)</f>
        <v>0</v>
      </c>
      <c r="AW211" s="27" t="n">
        <f aca="false">MIN(AK210*(1+D$8),D$9)</f>
        <v>0</v>
      </c>
      <c r="AX211" s="27" t="n">
        <f aca="false">MIN(AL210*(1+E$8),E$9)</f>
        <v>0</v>
      </c>
      <c r="AY211" s="27" t="n">
        <f aca="false">MIN(AM210*(1+F$8),F$9)</f>
        <v>0</v>
      </c>
      <c r="AZ211" s="27" t="n">
        <f aca="false">MIN(AN210*(1+G$8),G$9)</f>
        <v>0</v>
      </c>
      <c r="BA211" s="27" t="n">
        <f aca="false">MIN(AO210*(1+H$8),H$9)</f>
        <v>0</v>
      </c>
      <c r="BB211" s="27" t="n">
        <f aca="false">MIN(AP210*(1+I$8),I$9)</f>
        <v>0</v>
      </c>
      <c r="BC211" s="27" t="n">
        <f aca="false">MIN(AQ210*(1+J$8),J$9)</f>
        <v>0</v>
      </c>
      <c r="BD211" s="27" t="n">
        <f aca="false">MIN(AR210*(1+K$8),K$9)</f>
        <v>0</v>
      </c>
      <c r="BE211" s="27" t="n">
        <f aca="false">MIN(AI210*(1+B$8),MAX(AU211,$B$12-SUM(AV211:BD211)))</f>
        <v>0</v>
      </c>
      <c r="BF211" s="27" t="n">
        <f aca="false">MIN(AJ210*(1+C$8),MAX(AV211,$B$12-SUM(BE211:BE211)-SUM(AW211:BD211)))</f>
        <v>0</v>
      </c>
      <c r="BG211" s="27" t="n">
        <f aca="false">MIN(AK210*(1+D$8),MAX(AW211,$B$12-SUM(BE211:BF211)-SUM(AX211:BD211)))</f>
        <v>0</v>
      </c>
      <c r="BH211" s="27" t="n">
        <f aca="false">MIN(AL210*(1+E$8),MAX(AX211,$B$12-SUM(BE211:BG211)-SUM(AY211:BD211)))</f>
        <v>0</v>
      </c>
      <c r="BI211" s="27" t="n">
        <f aca="false">MIN(AM210*(1+F$8),MAX(AY211,$B$12-SUM(BE211:BH211)-SUM(AZ211:BD211)))</f>
        <v>0</v>
      </c>
      <c r="BJ211" s="27" t="n">
        <f aca="false">MIN(AN210*(1+G$8),MAX(AZ211,$B$12-SUM(BE211:BI211)-SUM(BA211:BD211)))</f>
        <v>0</v>
      </c>
      <c r="BK211" s="27" t="n">
        <f aca="false">MIN(AO210*(1+H$8),MAX(BA211,$B$12-SUM(BE211:BJ211)-SUM(BB211:BD211)))</f>
        <v>0</v>
      </c>
      <c r="BL211" s="27" t="n">
        <f aca="false">MIN(AP210*(1+I$8),MAX(BB211,$B$12-SUM(BE211:BK211)-SUM(BC211:BD211)))</f>
        <v>0</v>
      </c>
      <c r="BM211" s="27" t="n">
        <f aca="false">MIN(AQ210*(1+J$8),MAX(BC211,$B$12-SUM(BE211:BL211)-SUM(BD211:BD211)))</f>
        <v>0</v>
      </c>
      <c r="BN211" s="27" t="n">
        <f aca="false">MIN(AR210*(1+K$8),MAX(BD211,$B$12-SUM(BE211:BM211)))</f>
        <v>0</v>
      </c>
    </row>
    <row r="212" customFormat="false" ht="15" hidden="false" customHeight="false" outlineLevel="0" collapsed="false">
      <c r="A212" s="0" t="n">
        <v>198</v>
      </c>
      <c r="B212" s="27" t="n">
        <f aca="false">ROUND(MAX(0,B211*(1+B$8)-X212),2)</f>
        <v>0</v>
      </c>
      <c r="C212" s="27" t="n">
        <f aca="false">ROUND(MAX(0,C211*(1+C$8)-Y212),2)</f>
        <v>0</v>
      </c>
      <c r="D212" s="27" t="n">
        <f aca="false">ROUND(MAX(0,D211*(1+D$8)-Z212),2)</f>
        <v>0</v>
      </c>
      <c r="E212" s="27" t="n">
        <f aca="false">ROUND(MAX(0,E211*(1+E$8)-AA212),2)</f>
        <v>0</v>
      </c>
      <c r="F212" s="27" t="n">
        <f aca="false">ROUND(MAX(0,F211*(1+F$8)-AB212),2)</f>
        <v>0</v>
      </c>
      <c r="G212" s="27" t="n">
        <f aca="false">ROUND(MAX(0,G211*(1+G$8)-AC212),2)</f>
        <v>0</v>
      </c>
      <c r="H212" s="27" t="n">
        <f aca="false">ROUND(MAX(0,H211*(1+H$8)-AD212),2)</f>
        <v>0</v>
      </c>
      <c r="I212" s="27" t="n">
        <f aca="false">ROUND(MAX(0,I211*(1+I$8)-AE212),2)</f>
        <v>0</v>
      </c>
      <c r="J212" s="27" t="n">
        <f aca="false">ROUND(MAX(0,J211*(1+J$8)-AF212),2)</f>
        <v>0</v>
      </c>
      <c r="K212" s="27" t="n">
        <f aca="false">ROUND(MAX(0,K211*(1+K$8)-AG212),2)</f>
        <v>0</v>
      </c>
      <c r="L212" s="30" t="n">
        <f aca="false">SUM(B212:K212)</f>
        <v>0</v>
      </c>
      <c r="M212" s="27" t="n">
        <f aca="false">SUMPRODUCT(B211:K211,$B$8:$K$8)</f>
        <v>0</v>
      </c>
      <c r="N212" s="27" t="n">
        <f aca="false">MIN(B211*(1+B$8),B$9)</f>
        <v>0</v>
      </c>
      <c r="O212" s="27" t="n">
        <f aca="false">MIN(C211*(1+C$8),C$9)</f>
        <v>0</v>
      </c>
      <c r="P212" s="27" t="n">
        <f aca="false">MIN(D211*(1+D$8),D$9)</f>
        <v>0</v>
      </c>
      <c r="Q212" s="27" t="n">
        <f aca="false">MIN(E211*(1+E$8),E$9)</f>
        <v>0</v>
      </c>
      <c r="R212" s="27" t="n">
        <f aca="false">MIN(F211*(1+F$8),F$9)</f>
        <v>0</v>
      </c>
      <c r="S212" s="27" t="n">
        <f aca="false">MIN(G211*(1+G$8),G$9)</f>
        <v>0</v>
      </c>
      <c r="T212" s="27" t="n">
        <f aca="false">MIN(H211*(1+H$8),H$9)</f>
        <v>0</v>
      </c>
      <c r="U212" s="27" t="n">
        <f aca="false">MIN(I211*(1+I$8),I$9)</f>
        <v>0</v>
      </c>
      <c r="V212" s="27" t="n">
        <f aca="false">MIN(J211*(1+J$8),J$9)</f>
        <v>0</v>
      </c>
      <c r="W212" s="27" t="n">
        <f aca="false">MIN(K211*(1+K$8),K$9)</f>
        <v>0</v>
      </c>
      <c r="X212" s="27" t="n">
        <f aca="false">MIN(B211*(1+B$8),MAX(N212,$B$11-SUM(O212:W212)))</f>
        <v>0</v>
      </c>
      <c r="Y212" s="27" t="n">
        <f aca="false">MIN(C211*(1+C$8),MAX(O212,$B$11-SUM(X212:X212)-SUM(P212:W212)))</f>
        <v>0</v>
      </c>
      <c r="Z212" s="27" t="n">
        <f aca="false">MIN(D211*(1+D$8),MAX(P212,$B$11-SUM(X212:Y212)-SUM(Q212:W212)))</f>
        <v>0</v>
      </c>
      <c r="AA212" s="27" t="n">
        <f aca="false">MIN(E211*(1+E$8),MAX(Q212,$B$11-SUM(X212:Z212)-SUM(R212:W212)))</f>
        <v>0</v>
      </c>
      <c r="AB212" s="27" t="n">
        <f aca="false">MIN(F211*(1+F$8),MAX(R212,$B$11-SUM(X212:AA212)-SUM(S212:W212)))</f>
        <v>0</v>
      </c>
      <c r="AC212" s="27" t="n">
        <f aca="false">MIN(G211*(1+G$8),MAX(S212,$B$11-SUM(X212:AB212)-SUM(T212:W212)))</f>
        <v>0</v>
      </c>
      <c r="AD212" s="27" t="n">
        <f aca="false">MIN(H211*(1+H$8),MAX(T212,$B$11-SUM(X212:AC212)-SUM(U212:W212)))</f>
        <v>0</v>
      </c>
      <c r="AE212" s="27" t="n">
        <f aca="false">MIN(I211*(1+I$8),MAX(U212,$B$11-SUM(X212:AD212)-SUM(V212:W212)))</f>
        <v>0</v>
      </c>
      <c r="AF212" s="27" t="n">
        <f aca="false">MIN(J211*(1+J$8),MAX(V212,$B$11-SUM(X212:AE212)-SUM(W212:W212)))</f>
        <v>0</v>
      </c>
      <c r="AG212" s="27" t="n">
        <f aca="false">MIN(K211*(1+K$8),MAX(W212,$B$11-SUM(X212:AF212)))</f>
        <v>0</v>
      </c>
      <c r="AI212" s="27" t="n">
        <f aca="false">ROUND(MAX(0,AI211*(1+B$8)-BE212),2)</f>
        <v>0</v>
      </c>
      <c r="AJ212" s="27" t="n">
        <f aca="false">ROUND(MAX(0,AJ211*(1+C$8)-BF212),2)</f>
        <v>0</v>
      </c>
      <c r="AK212" s="27" t="n">
        <f aca="false">ROUND(MAX(0,AK211*(1+D$8)-BG212),2)</f>
        <v>0</v>
      </c>
      <c r="AL212" s="27" t="n">
        <f aca="false">ROUND(MAX(0,AL211*(1+E$8)-BH212),2)</f>
        <v>0</v>
      </c>
      <c r="AM212" s="27" t="n">
        <f aca="false">ROUND(MAX(0,AM211*(1+F$8)-BI212),2)</f>
        <v>0</v>
      </c>
      <c r="AN212" s="27" t="n">
        <f aca="false">ROUND(MAX(0,AN211*(1+G$8)-BJ212),2)</f>
        <v>0</v>
      </c>
      <c r="AO212" s="27" t="n">
        <f aca="false">ROUND(MAX(0,AO211*(1+H$8)-BK212),2)</f>
        <v>0</v>
      </c>
      <c r="AP212" s="27" t="n">
        <f aca="false">ROUND(MAX(0,AP211*(1+I$8)-BL212),2)</f>
        <v>0</v>
      </c>
      <c r="AQ212" s="27" t="n">
        <f aca="false">ROUND(MAX(0,AQ211*(1+J$8)-BM212),2)</f>
        <v>0</v>
      </c>
      <c r="AR212" s="27" t="n">
        <f aca="false">ROUND(MAX(0,AR211*(1+K$8)-BN212),2)</f>
        <v>0</v>
      </c>
      <c r="AS212" s="27" t="n">
        <f aca="false">SUM(AI212:AR212)</f>
        <v>0</v>
      </c>
      <c r="AT212" s="27" t="n">
        <f aca="false">SUMPRODUCT(AI211:AR211,$B$8:$K$8)</f>
        <v>0</v>
      </c>
      <c r="AU212" s="27" t="n">
        <f aca="false">MIN(AI211*(1+B$8),B$9)</f>
        <v>0</v>
      </c>
      <c r="AV212" s="27" t="n">
        <f aca="false">MIN(AJ211*(1+C$8),C$9)</f>
        <v>0</v>
      </c>
      <c r="AW212" s="27" t="n">
        <f aca="false">MIN(AK211*(1+D$8),D$9)</f>
        <v>0</v>
      </c>
      <c r="AX212" s="27" t="n">
        <f aca="false">MIN(AL211*(1+E$8),E$9)</f>
        <v>0</v>
      </c>
      <c r="AY212" s="27" t="n">
        <f aca="false">MIN(AM211*(1+F$8),F$9)</f>
        <v>0</v>
      </c>
      <c r="AZ212" s="27" t="n">
        <f aca="false">MIN(AN211*(1+G$8),G$9)</f>
        <v>0</v>
      </c>
      <c r="BA212" s="27" t="n">
        <f aca="false">MIN(AO211*(1+H$8),H$9)</f>
        <v>0</v>
      </c>
      <c r="BB212" s="27" t="n">
        <f aca="false">MIN(AP211*(1+I$8),I$9)</f>
        <v>0</v>
      </c>
      <c r="BC212" s="27" t="n">
        <f aca="false">MIN(AQ211*(1+J$8),J$9)</f>
        <v>0</v>
      </c>
      <c r="BD212" s="27" t="n">
        <f aca="false">MIN(AR211*(1+K$8),K$9)</f>
        <v>0</v>
      </c>
      <c r="BE212" s="27" t="n">
        <f aca="false">MIN(AI211*(1+B$8),MAX(AU212,$B$12-SUM(AV212:BD212)))</f>
        <v>0</v>
      </c>
      <c r="BF212" s="27" t="n">
        <f aca="false">MIN(AJ211*(1+C$8),MAX(AV212,$B$12-SUM(BE212:BE212)-SUM(AW212:BD212)))</f>
        <v>0</v>
      </c>
      <c r="BG212" s="27" t="n">
        <f aca="false">MIN(AK211*(1+D$8),MAX(AW212,$B$12-SUM(BE212:BF212)-SUM(AX212:BD212)))</f>
        <v>0</v>
      </c>
      <c r="BH212" s="27" t="n">
        <f aca="false">MIN(AL211*(1+E$8),MAX(AX212,$B$12-SUM(BE212:BG212)-SUM(AY212:BD212)))</f>
        <v>0</v>
      </c>
      <c r="BI212" s="27" t="n">
        <f aca="false">MIN(AM211*(1+F$8),MAX(AY212,$B$12-SUM(BE212:BH212)-SUM(AZ212:BD212)))</f>
        <v>0</v>
      </c>
      <c r="BJ212" s="27" t="n">
        <f aca="false">MIN(AN211*(1+G$8),MAX(AZ212,$B$12-SUM(BE212:BI212)-SUM(BA212:BD212)))</f>
        <v>0</v>
      </c>
      <c r="BK212" s="27" t="n">
        <f aca="false">MIN(AO211*(1+H$8),MAX(BA212,$B$12-SUM(BE212:BJ212)-SUM(BB212:BD212)))</f>
        <v>0</v>
      </c>
      <c r="BL212" s="27" t="n">
        <f aca="false">MIN(AP211*(1+I$8),MAX(BB212,$B$12-SUM(BE212:BK212)-SUM(BC212:BD212)))</f>
        <v>0</v>
      </c>
      <c r="BM212" s="27" t="n">
        <f aca="false">MIN(AQ211*(1+J$8),MAX(BC212,$B$12-SUM(BE212:BL212)-SUM(BD212:BD212)))</f>
        <v>0</v>
      </c>
      <c r="BN212" s="27" t="n">
        <f aca="false">MIN(AR211*(1+K$8),MAX(BD212,$B$12-SUM(BE212:BM212)))</f>
        <v>0</v>
      </c>
    </row>
    <row r="213" customFormat="false" ht="15" hidden="false" customHeight="false" outlineLevel="0" collapsed="false">
      <c r="A213" s="0" t="n">
        <v>199</v>
      </c>
      <c r="B213" s="27" t="n">
        <f aca="false">ROUND(MAX(0,B212*(1+B$8)-X213),2)</f>
        <v>0</v>
      </c>
      <c r="C213" s="27" t="n">
        <f aca="false">ROUND(MAX(0,C212*(1+C$8)-Y213),2)</f>
        <v>0</v>
      </c>
      <c r="D213" s="27" t="n">
        <f aca="false">ROUND(MAX(0,D212*(1+D$8)-Z213),2)</f>
        <v>0</v>
      </c>
      <c r="E213" s="27" t="n">
        <f aca="false">ROUND(MAX(0,E212*(1+E$8)-AA213),2)</f>
        <v>0</v>
      </c>
      <c r="F213" s="27" t="n">
        <f aca="false">ROUND(MAX(0,F212*(1+F$8)-AB213),2)</f>
        <v>0</v>
      </c>
      <c r="G213" s="27" t="n">
        <f aca="false">ROUND(MAX(0,G212*(1+G$8)-AC213),2)</f>
        <v>0</v>
      </c>
      <c r="H213" s="27" t="n">
        <f aca="false">ROUND(MAX(0,H212*(1+H$8)-AD213),2)</f>
        <v>0</v>
      </c>
      <c r="I213" s="27" t="n">
        <f aca="false">ROUND(MAX(0,I212*(1+I$8)-AE213),2)</f>
        <v>0</v>
      </c>
      <c r="J213" s="27" t="n">
        <f aca="false">ROUND(MAX(0,J212*(1+J$8)-AF213),2)</f>
        <v>0</v>
      </c>
      <c r="K213" s="27" t="n">
        <f aca="false">ROUND(MAX(0,K212*(1+K$8)-AG213),2)</f>
        <v>0</v>
      </c>
      <c r="L213" s="30" t="n">
        <f aca="false">SUM(B213:K213)</f>
        <v>0</v>
      </c>
      <c r="M213" s="27" t="n">
        <f aca="false">SUMPRODUCT(B212:K212,$B$8:$K$8)</f>
        <v>0</v>
      </c>
      <c r="N213" s="27" t="n">
        <f aca="false">MIN(B212*(1+B$8),B$9)</f>
        <v>0</v>
      </c>
      <c r="O213" s="27" t="n">
        <f aca="false">MIN(C212*(1+C$8),C$9)</f>
        <v>0</v>
      </c>
      <c r="P213" s="27" t="n">
        <f aca="false">MIN(D212*(1+D$8),D$9)</f>
        <v>0</v>
      </c>
      <c r="Q213" s="27" t="n">
        <f aca="false">MIN(E212*(1+E$8),E$9)</f>
        <v>0</v>
      </c>
      <c r="R213" s="27" t="n">
        <f aca="false">MIN(F212*(1+F$8),F$9)</f>
        <v>0</v>
      </c>
      <c r="S213" s="27" t="n">
        <f aca="false">MIN(G212*(1+G$8),G$9)</f>
        <v>0</v>
      </c>
      <c r="T213" s="27" t="n">
        <f aca="false">MIN(H212*(1+H$8),H$9)</f>
        <v>0</v>
      </c>
      <c r="U213" s="27" t="n">
        <f aca="false">MIN(I212*(1+I$8),I$9)</f>
        <v>0</v>
      </c>
      <c r="V213" s="27" t="n">
        <f aca="false">MIN(J212*(1+J$8),J$9)</f>
        <v>0</v>
      </c>
      <c r="W213" s="27" t="n">
        <f aca="false">MIN(K212*(1+K$8),K$9)</f>
        <v>0</v>
      </c>
      <c r="X213" s="27" t="n">
        <f aca="false">MIN(B212*(1+B$8),MAX(N213,$B$11-SUM(O213:W213)))</f>
        <v>0</v>
      </c>
      <c r="Y213" s="27" t="n">
        <f aca="false">MIN(C212*(1+C$8),MAX(O213,$B$11-SUM(X213:X213)-SUM(P213:W213)))</f>
        <v>0</v>
      </c>
      <c r="Z213" s="27" t="n">
        <f aca="false">MIN(D212*(1+D$8),MAX(P213,$B$11-SUM(X213:Y213)-SUM(Q213:W213)))</f>
        <v>0</v>
      </c>
      <c r="AA213" s="27" t="n">
        <f aca="false">MIN(E212*(1+E$8),MAX(Q213,$B$11-SUM(X213:Z213)-SUM(R213:W213)))</f>
        <v>0</v>
      </c>
      <c r="AB213" s="27" t="n">
        <f aca="false">MIN(F212*(1+F$8),MAX(R213,$B$11-SUM(X213:AA213)-SUM(S213:W213)))</f>
        <v>0</v>
      </c>
      <c r="AC213" s="27" t="n">
        <f aca="false">MIN(G212*(1+G$8),MAX(S213,$B$11-SUM(X213:AB213)-SUM(T213:W213)))</f>
        <v>0</v>
      </c>
      <c r="AD213" s="27" t="n">
        <f aca="false">MIN(H212*(1+H$8),MAX(T213,$B$11-SUM(X213:AC213)-SUM(U213:W213)))</f>
        <v>0</v>
      </c>
      <c r="AE213" s="27" t="n">
        <f aca="false">MIN(I212*(1+I$8),MAX(U213,$B$11-SUM(X213:AD213)-SUM(V213:W213)))</f>
        <v>0</v>
      </c>
      <c r="AF213" s="27" t="n">
        <f aca="false">MIN(J212*(1+J$8),MAX(V213,$B$11-SUM(X213:AE213)-SUM(W213:W213)))</f>
        <v>0</v>
      </c>
      <c r="AG213" s="27" t="n">
        <f aca="false">MIN(K212*(1+K$8),MAX(W213,$B$11-SUM(X213:AF213)))</f>
        <v>0</v>
      </c>
      <c r="AI213" s="27" t="n">
        <f aca="false">ROUND(MAX(0,AI212*(1+B$8)-BE213),2)</f>
        <v>0</v>
      </c>
      <c r="AJ213" s="27" t="n">
        <f aca="false">ROUND(MAX(0,AJ212*(1+C$8)-BF213),2)</f>
        <v>0</v>
      </c>
      <c r="AK213" s="27" t="n">
        <f aca="false">ROUND(MAX(0,AK212*(1+D$8)-BG213),2)</f>
        <v>0</v>
      </c>
      <c r="AL213" s="27" t="n">
        <f aca="false">ROUND(MAX(0,AL212*(1+E$8)-BH213),2)</f>
        <v>0</v>
      </c>
      <c r="AM213" s="27" t="n">
        <f aca="false">ROUND(MAX(0,AM212*(1+F$8)-BI213),2)</f>
        <v>0</v>
      </c>
      <c r="AN213" s="27" t="n">
        <f aca="false">ROUND(MAX(0,AN212*(1+G$8)-BJ213),2)</f>
        <v>0</v>
      </c>
      <c r="AO213" s="27" t="n">
        <f aca="false">ROUND(MAX(0,AO212*(1+H$8)-BK213),2)</f>
        <v>0</v>
      </c>
      <c r="AP213" s="27" t="n">
        <f aca="false">ROUND(MAX(0,AP212*(1+I$8)-BL213),2)</f>
        <v>0</v>
      </c>
      <c r="AQ213" s="27" t="n">
        <f aca="false">ROUND(MAX(0,AQ212*(1+J$8)-BM213),2)</f>
        <v>0</v>
      </c>
      <c r="AR213" s="27" t="n">
        <f aca="false">ROUND(MAX(0,AR212*(1+K$8)-BN213),2)</f>
        <v>0</v>
      </c>
      <c r="AS213" s="27" t="n">
        <f aca="false">SUM(AI213:AR213)</f>
        <v>0</v>
      </c>
      <c r="AT213" s="27" t="n">
        <f aca="false">SUMPRODUCT(AI212:AR212,$B$8:$K$8)</f>
        <v>0</v>
      </c>
      <c r="AU213" s="27" t="n">
        <f aca="false">MIN(AI212*(1+B$8),B$9)</f>
        <v>0</v>
      </c>
      <c r="AV213" s="27" t="n">
        <f aca="false">MIN(AJ212*(1+C$8),C$9)</f>
        <v>0</v>
      </c>
      <c r="AW213" s="27" t="n">
        <f aca="false">MIN(AK212*(1+D$8),D$9)</f>
        <v>0</v>
      </c>
      <c r="AX213" s="27" t="n">
        <f aca="false">MIN(AL212*(1+E$8),E$9)</f>
        <v>0</v>
      </c>
      <c r="AY213" s="27" t="n">
        <f aca="false">MIN(AM212*(1+F$8),F$9)</f>
        <v>0</v>
      </c>
      <c r="AZ213" s="27" t="n">
        <f aca="false">MIN(AN212*(1+G$8),G$9)</f>
        <v>0</v>
      </c>
      <c r="BA213" s="27" t="n">
        <f aca="false">MIN(AO212*(1+H$8),H$9)</f>
        <v>0</v>
      </c>
      <c r="BB213" s="27" t="n">
        <f aca="false">MIN(AP212*(1+I$8),I$9)</f>
        <v>0</v>
      </c>
      <c r="BC213" s="27" t="n">
        <f aca="false">MIN(AQ212*(1+J$8),J$9)</f>
        <v>0</v>
      </c>
      <c r="BD213" s="27" t="n">
        <f aca="false">MIN(AR212*(1+K$8),K$9)</f>
        <v>0</v>
      </c>
      <c r="BE213" s="27" t="n">
        <f aca="false">MIN(AI212*(1+B$8),MAX(AU213,$B$12-SUM(AV213:BD213)))</f>
        <v>0</v>
      </c>
      <c r="BF213" s="27" t="n">
        <f aca="false">MIN(AJ212*(1+C$8),MAX(AV213,$B$12-SUM(BE213:BE213)-SUM(AW213:BD213)))</f>
        <v>0</v>
      </c>
      <c r="BG213" s="27" t="n">
        <f aca="false">MIN(AK212*(1+D$8),MAX(AW213,$B$12-SUM(BE213:BF213)-SUM(AX213:BD213)))</f>
        <v>0</v>
      </c>
      <c r="BH213" s="27" t="n">
        <f aca="false">MIN(AL212*(1+E$8),MAX(AX213,$B$12-SUM(BE213:BG213)-SUM(AY213:BD213)))</f>
        <v>0</v>
      </c>
      <c r="BI213" s="27" t="n">
        <f aca="false">MIN(AM212*(1+F$8),MAX(AY213,$B$12-SUM(BE213:BH213)-SUM(AZ213:BD213)))</f>
        <v>0</v>
      </c>
      <c r="BJ213" s="27" t="n">
        <f aca="false">MIN(AN212*(1+G$8),MAX(AZ213,$B$12-SUM(BE213:BI213)-SUM(BA213:BD213)))</f>
        <v>0</v>
      </c>
      <c r="BK213" s="27" t="n">
        <f aca="false">MIN(AO212*(1+H$8),MAX(BA213,$B$12-SUM(BE213:BJ213)-SUM(BB213:BD213)))</f>
        <v>0</v>
      </c>
      <c r="BL213" s="27" t="n">
        <f aca="false">MIN(AP212*(1+I$8),MAX(BB213,$B$12-SUM(BE213:BK213)-SUM(BC213:BD213)))</f>
        <v>0</v>
      </c>
      <c r="BM213" s="27" t="n">
        <f aca="false">MIN(AQ212*(1+J$8),MAX(BC213,$B$12-SUM(BE213:BL213)-SUM(BD213:BD213)))</f>
        <v>0</v>
      </c>
      <c r="BN213" s="27" t="n">
        <f aca="false">MIN(AR212*(1+K$8),MAX(BD213,$B$12-SUM(BE213:BM213)))</f>
        <v>0</v>
      </c>
    </row>
    <row r="214" customFormat="false" ht="15" hidden="false" customHeight="false" outlineLevel="0" collapsed="false">
      <c r="A214" s="0" t="n">
        <v>200</v>
      </c>
      <c r="B214" s="27" t="n">
        <f aca="false">ROUND(MAX(0,B213*(1+B$8)-X214),2)</f>
        <v>0</v>
      </c>
      <c r="C214" s="27" t="n">
        <f aca="false">ROUND(MAX(0,C213*(1+C$8)-Y214),2)</f>
        <v>0</v>
      </c>
      <c r="D214" s="27" t="n">
        <f aca="false">ROUND(MAX(0,D213*(1+D$8)-Z214),2)</f>
        <v>0</v>
      </c>
      <c r="E214" s="27" t="n">
        <f aca="false">ROUND(MAX(0,E213*(1+E$8)-AA214),2)</f>
        <v>0</v>
      </c>
      <c r="F214" s="27" t="n">
        <f aca="false">ROUND(MAX(0,F213*(1+F$8)-AB214),2)</f>
        <v>0</v>
      </c>
      <c r="G214" s="27" t="n">
        <f aca="false">ROUND(MAX(0,G213*(1+G$8)-AC214),2)</f>
        <v>0</v>
      </c>
      <c r="H214" s="27" t="n">
        <f aca="false">ROUND(MAX(0,H213*(1+H$8)-AD214),2)</f>
        <v>0</v>
      </c>
      <c r="I214" s="27" t="n">
        <f aca="false">ROUND(MAX(0,I213*(1+I$8)-AE214),2)</f>
        <v>0</v>
      </c>
      <c r="J214" s="27" t="n">
        <f aca="false">ROUND(MAX(0,J213*(1+J$8)-AF214),2)</f>
        <v>0</v>
      </c>
      <c r="K214" s="27" t="n">
        <f aca="false">ROUND(MAX(0,K213*(1+K$8)-AG214),2)</f>
        <v>0</v>
      </c>
      <c r="L214" s="30" t="n">
        <f aca="false">SUM(B214:K214)</f>
        <v>0</v>
      </c>
      <c r="M214" s="27" t="n">
        <f aca="false">SUMPRODUCT(B213:K213,$B$8:$K$8)</f>
        <v>0</v>
      </c>
      <c r="N214" s="27" t="n">
        <f aca="false">MIN(B213*(1+B$8),B$9)</f>
        <v>0</v>
      </c>
      <c r="O214" s="27" t="n">
        <f aca="false">MIN(C213*(1+C$8),C$9)</f>
        <v>0</v>
      </c>
      <c r="P214" s="27" t="n">
        <f aca="false">MIN(D213*(1+D$8),D$9)</f>
        <v>0</v>
      </c>
      <c r="Q214" s="27" t="n">
        <f aca="false">MIN(E213*(1+E$8),E$9)</f>
        <v>0</v>
      </c>
      <c r="R214" s="27" t="n">
        <f aca="false">MIN(F213*(1+F$8),F$9)</f>
        <v>0</v>
      </c>
      <c r="S214" s="27" t="n">
        <f aca="false">MIN(G213*(1+G$8),G$9)</f>
        <v>0</v>
      </c>
      <c r="T214" s="27" t="n">
        <f aca="false">MIN(H213*(1+H$8),H$9)</f>
        <v>0</v>
      </c>
      <c r="U214" s="27" t="n">
        <f aca="false">MIN(I213*(1+I$8),I$9)</f>
        <v>0</v>
      </c>
      <c r="V214" s="27" t="n">
        <f aca="false">MIN(J213*(1+J$8),J$9)</f>
        <v>0</v>
      </c>
      <c r="W214" s="27" t="n">
        <f aca="false">MIN(K213*(1+K$8),K$9)</f>
        <v>0</v>
      </c>
      <c r="X214" s="27" t="n">
        <f aca="false">MIN(B213*(1+B$8),MAX(N214,$B$11-SUM(O214:W214)))</f>
        <v>0</v>
      </c>
      <c r="Y214" s="27" t="n">
        <f aca="false">MIN(C213*(1+C$8),MAX(O214,$B$11-SUM(X214:X214)-SUM(P214:W214)))</f>
        <v>0</v>
      </c>
      <c r="Z214" s="27" t="n">
        <f aca="false">MIN(D213*(1+D$8),MAX(P214,$B$11-SUM(X214:Y214)-SUM(Q214:W214)))</f>
        <v>0</v>
      </c>
      <c r="AA214" s="27" t="n">
        <f aca="false">MIN(E213*(1+E$8),MAX(Q214,$B$11-SUM(X214:Z214)-SUM(R214:W214)))</f>
        <v>0</v>
      </c>
      <c r="AB214" s="27" t="n">
        <f aca="false">MIN(F213*(1+F$8),MAX(R214,$B$11-SUM(X214:AA214)-SUM(S214:W214)))</f>
        <v>0</v>
      </c>
      <c r="AC214" s="27" t="n">
        <f aca="false">MIN(G213*(1+G$8),MAX(S214,$B$11-SUM(X214:AB214)-SUM(T214:W214)))</f>
        <v>0</v>
      </c>
      <c r="AD214" s="27" t="n">
        <f aca="false">MIN(H213*(1+H$8),MAX(T214,$B$11-SUM(X214:AC214)-SUM(U214:W214)))</f>
        <v>0</v>
      </c>
      <c r="AE214" s="27" t="n">
        <f aca="false">MIN(I213*(1+I$8),MAX(U214,$B$11-SUM(X214:AD214)-SUM(V214:W214)))</f>
        <v>0</v>
      </c>
      <c r="AF214" s="27" t="n">
        <f aca="false">MIN(J213*(1+J$8),MAX(V214,$B$11-SUM(X214:AE214)-SUM(W214:W214)))</f>
        <v>0</v>
      </c>
      <c r="AG214" s="27" t="n">
        <f aca="false">MIN(K213*(1+K$8),MAX(W214,$B$11-SUM(X214:AF214)))</f>
        <v>0</v>
      </c>
      <c r="AI214" s="27" t="n">
        <f aca="false">ROUND(MAX(0,AI213*(1+B$8)-BE214),2)</f>
        <v>0</v>
      </c>
      <c r="AJ214" s="27" t="n">
        <f aca="false">ROUND(MAX(0,AJ213*(1+C$8)-BF214),2)</f>
        <v>0</v>
      </c>
      <c r="AK214" s="27" t="n">
        <f aca="false">ROUND(MAX(0,AK213*(1+D$8)-BG214),2)</f>
        <v>0</v>
      </c>
      <c r="AL214" s="27" t="n">
        <f aca="false">ROUND(MAX(0,AL213*(1+E$8)-BH214),2)</f>
        <v>0</v>
      </c>
      <c r="AM214" s="27" t="n">
        <f aca="false">ROUND(MAX(0,AM213*(1+F$8)-BI214),2)</f>
        <v>0</v>
      </c>
      <c r="AN214" s="27" t="n">
        <f aca="false">ROUND(MAX(0,AN213*(1+G$8)-BJ214),2)</f>
        <v>0</v>
      </c>
      <c r="AO214" s="27" t="n">
        <f aca="false">ROUND(MAX(0,AO213*(1+H$8)-BK214),2)</f>
        <v>0</v>
      </c>
      <c r="AP214" s="27" t="n">
        <f aca="false">ROUND(MAX(0,AP213*(1+I$8)-BL214),2)</f>
        <v>0</v>
      </c>
      <c r="AQ214" s="27" t="n">
        <f aca="false">ROUND(MAX(0,AQ213*(1+J$8)-BM214),2)</f>
        <v>0</v>
      </c>
      <c r="AR214" s="27" t="n">
        <f aca="false">ROUND(MAX(0,AR213*(1+K$8)-BN214),2)</f>
        <v>0</v>
      </c>
      <c r="AS214" s="27" t="n">
        <f aca="false">SUM(AI214:AR214)</f>
        <v>0</v>
      </c>
      <c r="AT214" s="27" t="n">
        <f aca="false">SUMPRODUCT(AI213:AR213,$B$8:$K$8)</f>
        <v>0</v>
      </c>
      <c r="AU214" s="27" t="n">
        <f aca="false">MIN(AI213*(1+B$8),B$9)</f>
        <v>0</v>
      </c>
      <c r="AV214" s="27" t="n">
        <f aca="false">MIN(AJ213*(1+C$8),C$9)</f>
        <v>0</v>
      </c>
      <c r="AW214" s="27" t="n">
        <f aca="false">MIN(AK213*(1+D$8),D$9)</f>
        <v>0</v>
      </c>
      <c r="AX214" s="27" t="n">
        <f aca="false">MIN(AL213*(1+E$8),E$9)</f>
        <v>0</v>
      </c>
      <c r="AY214" s="27" t="n">
        <f aca="false">MIN(AM213*(1+F$8),F$9)</f>
        <v>0</v>
      </c>
      <c r="AZ214" s="27" t="n">
        <f aca="false">MIN(AN213*(1+G$8),G$9)</f>
        <v>0</v>
      </c>
      <c r="BA214" s="27" t="n">
        <f aca="false">MIN(AO213*(1+H$8),H$9)</f>
        <v>0</v>
      </c>
      <c r="BB214" s="27" t="n">
        <f aca="false">MIN(AP213*(1+I$8),I$9)</f>
        <v>0</v>
      </c>
      <c r="BC214" s="27" t="n">
        <f aca="false">MIN(AQ213*(1+J$8),J$9)</f>
        <v>0</v>
      </c>
      <c r="BD214" s="27" t="n">
        <f aca="false">MIN(AR213*(1+K$8),K$9)</f>
        <v>0</v>
      </c>
      <c r="BE214" s="27" t="n">
        <f aca="false">MIN(AI213*(1+B$8),MAX(AU214,$B$12-SUM(AV214:BD214)))</f>
        <v>0</v>
      </c>
      <c r="BF214" s="27" t="n">
        <f aca="false">MIN(AJ213*(1+C$8),MAX(AV214,$B$12-SUM(BE214:BE214)-SUM(AW214:BD214)))</f>
        <v>0</v>
      </c>
      <c r="BG214" s="27" t="n">
        <f aca="false">MIN(AK213*(1+D$8),MAX(AW214,$B$12-SUM(BE214:BF214)-SUM(AX214:BD214)))</f>
        <v>0</v>
      </c>
      <c r="BH214" s="27" t="n">
        <f aca="false">MIN(AL213*(1+E$8),MAX(AX214,$B$12-SUM(BE214:BG214)-SUM(AY214:BD214)))</f>
        <v>0</v>
      </c>
      <c r="BI214" s="27" t="n">
        <f aca="false">MIN(AM213*(1+F$8),MAX(AY214,$B$12-SUM(BE214:BH214)-SUM(AZ214:BD214)))</f>
        <v>0</v>
      </c>
      <c r="BJ214" s="27" t="n">
        <f aca="false">MIN(AN213*(1+G$8),MAX(AZ214,$B$12-SUM(BE214:BI214)-SUM(BA214:BD214)))</f>
        <v>0</v>
      </c>
      <c r="BK214" s="27" t="n">
        <f aca="false">MIN(AO213*(1+H$8),MAX(BA214,$B$12-SUM(BE214:BJ214)-SUM(BB214:BD214)))</f>
        <v>0</v>
      </c>
      <c r="BL214" s="27" t="n">
        <f aca="false">MIN(AP213*(1+I$8),MAX(BB214,$B$12-SUM(BE214:BK214)-SUM(BC214:BD214)))</f>
        <v>0</v>
      </c>
      <c r="BM214" s="27" t="n">
        <f aca="false">MIN(AQ213*(1+J$8),MAX(BC214,$B$12-SUM(BE214:BL214)-SUM(BD214:BD214)))</f>
        <v>0</v>
      </c>
      <c r="BN214" s="27" t="n">
        <f aca="false">MIN(AR213*(1+K$8),MAX(BD214,$B$12-SUM(BE214:BM214)))</f>
        <v>0</v>
      </c>
    </row>
    <row r="215" customFormat="false" ht="15" hidden="false" customHeight="false" outlineLevel="0" collapsed="false">
      <c r="A215" s="0" t="n">
        <v>201</v>
      </c>
      <c r="B215" s="27" t="n">
        <f aca="false">ROUND(MAX(0,B214*(1+B$8)-X215),2)</f>
        <v>0</v>
      </c>
      <c r="C215" s="27" t="n">
        <f aca="false">ROUND(MAX(0,C214*(1+C$8)-Y215),2)</f>
        <v>0</v>
      </c>
      <c r="D215" s="27" t="n">
        <f aca="false">ROUND(MAX(0,D214*(1+D$8)-Z215),2)</f>
        <v>0</v>
      </c>
      <c r="E215" s="27" t="n">
        <f aca="false">ROUND(MAX(0,E214*(1+E$8)-AA215),2)</f>
        <v>0</v>
      </c>
      <c r="F215" s="27" t="n">
        <f aca="false">ROUND(MAX(0,F214*(1+F$8)-AB215),2)</f>
        <v>0</v>
      </c>
      <c r="G215" s="27" t="n">
        <f aca="false">ROUND(MAX(0,G214*(1+G$8)-AC215),2)</f>
        <v>0</v>
      </c>
      <c r="H215" s="27" t="n">
        <f aca="false">ROUND(MAX(0,H214*(1+H$8)-AD215),2)</f>
        <v>0</v>
      </c>
      <c r="I215" s="27" t="n">
        <f aca="false">ROUND(MAX(0,I214*(1+I$8)-AE215),2)</f>
        <v>0</v>
      </c>
      <c r="J215" s="27" t="n">
        <f aca="false">ROUND(MAX(0,J214*(1+J$8)-AF215),2)</f>
        <v>0</v>
      </c>
      <c r="K215" s="27" t="n">
        <f aca="false">ROUND(MAX(0,K214*(1+K$8)-AG215),2)</f>
        <v>0</v>
      </c>
      <c r="L215" s="30" t="n">
        <f aca="false">SUM(B215:K215)</f>
        <v>0</v>
      </c>
      <c r="M215" s="27" t="n">
        <f aca="false">SUMPRODUCT(B214:K214,$B$8:$K$8)</f>
        <v>0</v>
      </c>
      <c r="N215" s="27" t="n">
        <f aca="false">MIN(B214*(1+B$8),B$9)</f>
        <v>0</v>
      </c>
      <c r="O215" s="27" t="n">
        <f aca="false">MIN(C214*(1+C$8),C$9)</f>
        <v>0</v>
      </c>
      <c r="P215" s="27" t="n">
        <f aca="false">MIN(D214*(1+D$8),D$9)</f>
        <v>0</v>
      </c>
      <c r="Q215" s="27" t="n">
        <f aca="false">MIN(E214*(1+E$8),E$9)</f>
        <v>0</v>
      </c>
      <c r="R215" s="27" t="n">
        <f aca="false">MIN(F214*(1+F$8),F$9)</f>
        <v>0</v>
      </c>
      <c r="S215" s="27" t="n">
        <f aca="false">MIN(G214*(1+G$8),G$9)</f>
        <v>0</v>
      </c>
      <c r="T215" s="27" t="n">
        <f aca="false">MIN(H214*(1+H$8),H$9)</f>
        <v>0</v>
      </c>
      <c r="U215" s="27" t="n">
        <f aca="false">MIN(I214*(1+I$8),I$9)</f>
        <v>0</v>
      </c>
      <c r="V215" s="27" t="n">
        <f aca="false">MIN(J214*(1+J$8),J$9)</f>
        <v>0</v>
      </c>
      <c r="W215" s="27" t="n">
        <f aca="false">MIN(K214*(1+K$8),K$9)</f>
        <v>0</v>
      </c>
      <c r="X215" s="27" t="n">
        <f aca="false">MIN(B214*(1+B$8),MAX(N215,$B$11-SUM(O215:W215)))</f>
        <v>0</v>
      </c>
      <c r="Y215" s="27" t="n">
        <f aca="false">MIN(C214*(1+C$8),MAX(O215,$B$11-SUM(X215:X215)-SUM(P215:W215)))</f>
        <v>0</v>
      </c>
      <c r="Z215" s="27" t="n">
        <f aca="false">MIN(D214*(1+D$8),MAX(P215,$B$11-SUM(X215:Y215)-SUM(Q215:W215)))</f>
        <v>0</v>
      </c>
      <c r="AA215" s="27" t="n">
        <f aca="false">MIN(E214*(1+E$8),MAX(Q215,$B$11-SUM(X215:Z215)-SUM(R215:W215)))</f>
        <v>0</v>
      </c>
      <c r="AB215" s="27" t="n">
        <f aca="false">MIN(F214*(1+F$8),MAX(R215,$B$11-SUM(X215:AA215)-SUM(S215:W215)))</f>
        <v>0</v>
      </c>
      <c r="AC215" s="27" t="n">
        <f aca="false">MIN(G214*(1+G$8),MAX(S215,$B$11-SUM(X215:AB215)-SUM(T215:W215)))</f>
        <v>0</v>
      </c>
      <c r="AD215" s="27" t="n">
        <f aca="false">MIN(H214*(1+H$8),MAX(T215,$B$11-SUM(X215:AC215)-SUM(U215:W215)))</f>
        <v>0</v>
      </c>
      <c r="AE215" s="27" t="n">
        <f aca="false">MIN(I214*(1+I$8),MAX(U215,$B$11-SUM(X215:AD215)-SUM(V215:W215)))</f>
        <v>0</v>
      </c>
      <c r="AF215" s="27" t="n">
        <f aca="false">MIN(J214*(1+J$8),MAX(V215,$B$11-SUM(X215:AE215)-SUM(W215:W215)))</f>
        <v>0</v>
      </c>
      <c r="AG215" s="27" t="n">
        <f aca="false">MIN(K214*(1+K$8),MAX(W215,$B$11-SUM(X215:AF215)))</f>
        <v>0</v>
      </c>
      <c r="AI215" s="27" t="n">
        <f aca="false">ROUND(MAX(0,AI214*(1+B$8)-BE215),2)</f>
        <v>0</v>
      </c>
      <c r="AJ215" s="27" t="n">
        <f aca="false">ROUND(MAX(0,AJ214*(1+C$8)-BF215),2)</f>
        <v>0</v>
      </c>
      <c r="AK215" s="27" t="n">
        <f aca="false">ROUND(MAX(0,AK214*(1+D$8)-BG215),2)</f>
        <v>0</v>
      </c>
      <c r="AL215" s="27" t="n">
        <f aca="false">ROUND(MAX(0,AL214*(1+E$8)-BH215),2)</f>
        <v>0</v>
      </c>
      <c r="AM215" s="27" t="n">
        <f aca="false">ROUND(MAX(0,AM214*(1+F$8)-BI215),2)</f>
        <v>0</v>
      </c>
      <c r="AN215" s="27" t="n">
        <f aca="false">ROUND(MAX(0,AN214*(1+G$8)-BJ215),2)</f>
        <v>0</v>
      </c>
      <c r="AO215" s="27" t="n">
        <f aca="false">ROUND(MAX(0,AO214*(1+H$8)-BK215),2)</f>
        <v>0</v>
      </c>
      <c r="AP215" s="27" t="n">
        <f aca="false">ROUND(MAX(0,AP214*(1+I$8)-BL215),2)</f>
        <v>0</v>
      </c>
      <c r="AQ215" s="27" t="n">
        <f aca="false">ROUND(MAX(0,AQ214*(1+J$8)-BM215),2)</f>
        <v>0</v>
      </c>
      <c r="AR215" s="27" t="n">
        <f aca="false">ROUND(MAX(0,AR214*(1+K$8)-BN215),2)</f>
        <v>0</v>
      </c>
      <c r="AS215" s="27" t="n">
        <f aca="false">SUM(AI215:AR215)</f>
        <v>0</v>
      </c>
      <c r="AT215" s="27" t="n">
        <f aca="false">SUMPRODUCT(AI214:AR214,$B$8:$K$8)</f>
        <v>0</v>
      </c>
      <c r="AU215" s="27" t="n">
        <f aca="false">MIN(AI214*(1+B$8),B$9)</f>
        <v>0</v>
      </c>
      <c r="AV215" s="27" t="n">
        <f aca="false">MIN(AJ214*(1+C$8),C$9)</f>
        <v>0</v>
      </c>
      <c r="AW215" s="27" t="n">
        <f aca="false">MIN(AK214*(1+D$8),D$9)</f>
        <v>0</v>
      </c>
      <c r="AX215" s="27" t="n">
        <f aca="false">MIN(AL214*(1+E$8),E$9)</f>
        <v>0</v>
      </c>
      <c r="AY215" s="27" t="n">
        <f aca="false">MIN(AM214*(1+F$8),F$9)</f>
        <v>0</v>
      </c>
      <c r="AZ215" s="27" t="n">
        <f aca="false">MIN(AN214*(1+G$8),G$9)</f>
        <v>0</v>
      </c>
      <c r="BA215" s="27" t="n">
        <f aca="false">MIN(AO214*(1+H$8),H$9)</f>
        <v>0</v>
      </c>
      <c r="BB215" s="27" t="n">
        <f aca="false">MIN(AP214*(1+I$8),I$9)</f>
        <v>0</v>
      </c>
      <c r="BC215" s="27" t="n">
        <f aca="false">MIN(AQ214*(1+J$8),J$9)</f>
        <v>0</v>
      </c>
      <c r="BD215" s="27" t="n">
        <f aca="false">MIN(AR214*(1+K$8),K$9)</f>
        <v>0</v>
      </c>
      <c r="BE215" s="27" t="n">
        <f aca="false">MIN(AI214*(1+B$8),MAX(AU215,$B$12-SUM(AV215:BD215)))</f>
        <v>0</v>
      </c>
      <c r="BF215" s="27" t="n">
        <f aca="false">MIN(AJ214*(1+C$8),MAX(AV215,$B$12-SUM(BE215:BE215)-SUM(AW215:BD215)))</f>
        <v>0</v>
      </c>
      <c r="BG215" s="27" t="n">
        <f aca="false">MIN(AK214*(1+D$8),MAX(AW215,$B$12-SUM(BE215:BF215)-SUM(AX215:BD215)))</f>
        <v>0</v>
      </c>
      <c r="BH215" s="27" t="n">
        <f aca="false">MIN(AL214*(1+E$8),MAX(AX215,$B$12-SUM(BE215:BG215)-SUM(AY215:BD215)))</f>
        <v>0</v>
      </c>
      <c r="BI215" s="27" t="n">
        <f aca="false">MIN(AM214*(1+F$8),MAX(AY215,$B$12-SUM(BE215:BH215)-SUM(AZ215:BD215)))</f>
        <v>0</v>
      </c>
      <c r="BJ215" s="27" t="n">
        <f aca="false">MIN(AN214*(1+G$8),MAX(AZ215,$B$12-SUM(BE215:BI215)-SUM(BA215:BD215)))</f>
        <v>0</v>
      </c>
      <c r="BK215" s="27" t="n">
        <f aca="false">MIN(AO214*(1+H$8),MAX(BA215,$B$12-SUM(BE215:BJ215)-SUM(BB215:BD215)))</f>
        <v>0</v>
      </c>
      <c r="BL215" s="27" t="n">
        <f aca="false">MIN(AP214*(1+I$8),MAX(BB215,$B$12-SUM(BE215:BK215)-SUM(BC215:BD215)))</f>
        <v>0</v>
      </c>
      <c r="BM215" s="27" t="n">
        <f aca="false">MIN(AQ214*(1+J$8),MAX(BC215,$B$12-SUM(BE215:BL215)-SUM(BD215:BD215)))</f>
        <v>0</v>
      </c>
      <c r="BN215" s="27" t="n">
        <f aca="false">MIN(AR214*(1+K$8),MAX(BD215,$B$12-SUM(BE215:BM215)))</f>
        <v>0</v>
      </c>
    </row>
    <row r="216" customFormat="false" ht="15" hidden="false" customHeight="false" outlineLevel="0" collapsed="false">
      <c r="A216" s="0" t="n">
        <v>202</v>
      </c>
      <c r="B216" s="27" t="n">
        <f aca="false">ROUND(MAX(0,B215*(1+B$8)-X216),2)</f>
        <v>0</v>
      </c>
      <c r="C216" s="27" t="n">
        <f aca="false">ROUND(MAX(0,C215*(1+C$8)-Y216),2)</f>
        <v>0</v>
      </c>
      <c r="D216" s="27" t="n">
        <f aca="false">ROUND(MAX(0,D215*(1+D$8)-Z216),2)</f>
        <v>0</v>
      </c>
      <c r="E216" s="27" t="n">
        <f aca="false">ROUND(MAX(0,E215*(1+E$8)-AA216),2)</f>
        <v>0</v>
      </c>
      <c r="F216" s="27" t="n">
        <f aca="false">ROUND(MAX(0,F215*(1+F$8)-AB216),2)</f>
        <v>0</v>
      </c>
      <c r="G216" s="27" t="n">
        <f aca="false">ROUND(MAX(0,G215*(1+G$8)-AC216),2)</f>
        <v>0</v>
      </c>
      <c r="H216" s="27" t="n">
        <f aca="false">ROUND(MAX(0,H215*(1+H$8)-AD216),2)</f>
        <v>0</v>
      </c>
      <c r="I216" s="27" t="n">
        <f aca="false">ROUND(MAX(0,I215*(1+I$8)-AE216),2)</f>
        <v>0</v>
      </c>
      <c r="J216" s="27" t="n">
        <f aca="false">ROUND(MAX(0,J215*(1+J$8)-AF216),2)</f>
        <v>0</v>
      </c>
      <c r="K216" s="27" t="n">
        <f aca="false">ROUND(MAX(0,K215*(1+K$8)-AG216),2)</f>
        <v>0</v>
      </c>
      <c r="L216" s="30" t="n">
        <f aca="false">SUM(B216:K216)</f>
        <v>0</v>
      </c>
      <c r="M216" s="27" t="n">
        <f aca="false">SUMPRODUCT(B215:K215,$B$8:$K$8)</f>
        <v>0</v>
      </c>
      <c r="N216" s="27" t="n">
        <f aca="false">MIN(B215*(1+B$8),B$9)</f>
        <v>0</v>
      </c>
      <c r="O216" s="27" t="n">
        <f aca="false">MIN(C215*(1+C$8),C$9)</f>
        <v>0</v>
      </c>
      <c r="P216" s="27" t="n">
        <f aca="false">MIN(D215*(1+D$8),D$9)</f>
        <v>0</v>
      </c>
      <c r="Q216" s="27" t="n">
        <f aca="false">MIN(E215*(1+E$8),E$9)</f>
        <v>0</v>
      </c>
      <c r="R216" s="27" t="n">
        <f aca="false">MIN(F215*(1+F$8),F$9)</f>
        <v>0</v>
      </c>
      <c r="S216" s="27" t="n">
        <f aca="false">MIN(G215*(1+G$8),G$9)</f>
        <v>0</v>
      </c>
      <c r="T216" s="27" t="n">
        <f aca="false">MIN(H215*(1+H$8),H$9)</f>
        <v>0</v>
      </c>
      <c r="U216" s="27" t="n">
        <f aca="false">MIN(I215*(1+I$8),I$9)</f>
        <v>0</v>
      </c>
      <c r="V216" s="27" t="n">
        <f aca="false">MIN(J215*(1+J$8),J$9)</f>
        <v>0</v>
      </c>
      <c r="W216" s="27" t="n">
        <f aca="false">MIN(K215*(1+K$8),K$9)</f>
        <v>0</v>
      </c>
      <c r="X216" s="27" t="n">
        <f aca="false">MIN(B215*(1+B$8),MAX(N216,$B$11-SUM(O216:W216)))</f>
        <v>0</v>
      </c>
      <c r="Y216" s="27" t="n">
        <f aca="false">MIN(C215*(1+C$8),MAX(O216,$B$11-SUM(X216:X216)-SUM(P216:W216)))</f>
        <v>0</v>
      </c>
      <c r="Z216" s="27" t="n">
        <f aca="false">MIN(D215*(1+D$8),MAX(P216,$B$11-SUM(X216:Y216)-SUM(Q216:W216)))</f>
        <v>0</v>
      </c>
      <c r="AA216" s="27" t="n">
        <f aca="false">MIN(E215*(1+E$8),MAX(Q216,$B$11-SUM(X216:Z216)-SUM(R216:W216)))</f>
        <v>0</v>
      </c>
      <c r="AB216" s="27" t="n">
        <f aca="false">MIN(F215*(1+F$8),MAX(R216,$B$11-SUM(X216:AA216)-SUM(S216:W216)))</f>
        <v>0</v>
      </c>
      <c r="AC216" s="27" t="n">
        <f aca="false">MIN(G215*(1+G$8),MAX(S216,$B$11-SUM(X216:AB216)-SUM(T216:W216)))</f>
        <v>0</v>
      </c>
      <c r="AD216" s="27" t="n">
        <f aca="false">MIN(H215*(1+H$8),MAX(T216,$B$11-SUM(X216:AC216)-SUM(U216:W216)))</f>
        <v>0</v>
      </c>
      <c r="AE216" s="27" t="n">
        <f aca="false">MIN(I215*(1+I$8),MAX(U216,$B$11-SUM(X216:AD216)-SUM(V216:W216)))</f>
        <v>0</v>
      </c>
      <c r="AF216" s="27" t="n">
        <f aca="false">MIN(J215*(1+J$8),MAX(V216,$B$11-SUM(X216:AE216)-SUM(W216:W216)))</f>
        <v>0</v>
      </c>
      <c r="AG216" s="27" t="n">
        <f aca="false">MIN(K215*(1+K$8),MAX(W216,$B$11-SUM(X216:AF216)))</f>
        <v>0</v>
      </c>
      <c r="AI216" s="27" t="n">
        <f aca="false">ROUND(MAX(0,AI215*(1+B$8)-BE216),2)</f>
        <v>0</v>
      </c>
      <c r="AJ216" s="27" t="n">
        <f aca="false">ROUND(MAX(0,AJ215*(1+C$8)-BF216),2)</f>
        <v>0</v>
      </c>
      <c r="AK216" s="27" t="n">
        <f aca="false">ROUND(MAX(0,AK215*(1+D$8)-BG216),2)</f>
        <v>0</v>
      </c>
      <c r="AL216" s="27" t="n">
        <f aca="false">ROUND(MAX(0,AL215*(1+E$8)-BH216),2)</f>
        <v>0</v>
      </c>
      <c r="AM216" s="27" t="n">
        <f aca="false">ROUND(MAX(0,AM215*(1+F$8)-BI216),2)</f>
        <v>0</v>
      </c>
      <c r="AN216" s="27" t="n">
        <f aca="false">ROUND(MAX(0,AN215*(1+G$8)-BJ216),2)</f>
        <v>0</v>
      </c>
      <c r="AO216" s="27" t="n">
        <f aca="false">ROUND(MAX(0,AO215*(1+H$8)-BK216),2)</f>
        <v>0</v>
      </c>
      <c r="AP216" s="27" t="n">
        <f aca="false">ROUND(MAX(0,AP215*(1+I$8)-BL216),2)</f>
        <v>0</v>
      </c>
      <c r="AQ216" s="27" t="n">
        <f aca="false">ROUND(MAX(0,AQ215*(1+J$8)-BM216),2)</f>
        <v>0</v>
      </c>
      <c r="AR216" s="27" t="n">
        <f aca="false">ROUND(MAX(0,AR215*(1+K$8)-BN216),2)</f>
        <v>0</v>
      </c>
      <c r="AS216" s="27" t="n">
        <f aca="false">SUM(AI216:AR216)</f>
        <v>0</v>
      </c>
      <c r="AT216" s="27" t="n">
        <f aca="false">SUMPRODUCT(AI215:AR215,$B$8:$K$8)</f>
        <v>0</v>
      </c>
      <c r="AU216" s="27" t="n">
        <f aca="false">MIN(AI215*(1+B$8),B$9)</f>
        <v>0</v>
      </c>
      <c r="AV216" s="27" t="n">
        <f aca="false">MIN(AJ215*(1+C$8),C$9)</f>
        <v>0</v>
      </c>
      <c r="AW216" s="27" t="n">
        <f aca="false">MIN(AK215*(1+D$8),D$9)</f>
        <v>0</v>
      </c>
      <c r="AX216" s="27" t="n">
        <f aca="false">MIN(AL215*(1+E$8),E$9)</f>
        <v>0</v>
      </c>
      <c r="AY216" s="27" t="n">
        <f aca="false">MIN(AM215*(1+F$8),F$9)</f>
        <v>0</v>
      </c>
      <c r="AZ216" s="27" t="n">
        <f aca="false">MIN(AN215*(1+G$8),G$9)</f>
        <v>0</v>
      </c>
      <c r="BA216" s="27" t="n">
        <f aca="false">MIN(AO215*(1+H$8),H$9)</f>
        <v>0</v>
      </c>
      <c r="BB216" s="27" t="n">
        <f aca="false">MIN(AP215*(1+I$8),I$9)</f>
        <v>0</v>
      </c>
      <c r="BC216" s="27" t="n">
        <f aca="false">MIN(AQ215*(1+J$8),J$9)</f>
        <v>0</v>
      </c>
      <c r="BD216" s="27" t="n">
        <f aca="false">MIN(AR215*(1+K$8),K$9)</f>
        <v>0</v>
      </c>
      <c r="BE216" s="27" t="n">
        <f aca="false">MIN(AI215*(1+B$8),MAX(AU216,$B$12-SUM(AV216:BD216)))</f>
        <v>0</v>
      </c>
      <c r="BF216" s="27" t="n">
        <f aca="false">MIN(AJ215*(1+C$8),MAX(AV216,$B$12-SUM(BE216:BE216)-SUM(AW216:BD216)))</f>
        <v>0</v>
      </c>
      <c r="BG216" s="27" t="n">
        <f aca="false">MIN(AK215*(1+D$8),MAX(AW216,$B$12-SUM(BE216:BF216)-SUM(AX216:BD216)))</f>
        <v>0</v>
      </c>
      <c r="BH216" s="27" t="n">
        <f aca="false">MIN(AL215*(1+E$8),MAX(AX216,$B$12-SUM(BE216:BG216)-SUM(AY216:BD216)))</f>
        <v>0</v>
      </c>
      <c r="BI216" s="27" t="n">
        <f aca="false">MIN(AM215*(1+F$8),MAX(AY216,$B$12-SUM(BE216:BH216)-SUM(AZ216:BD216)))</f>
        <v>0</v>
      </c>
      <c r="BJ216" s="27" t="n">
        <f aca="false">MIN(AN215*(1+G$8),MAX(AZ216,$B$12-SUM(BE216:BI216)-SUM(BA216:BD216)))</f>
        <v>0</v>
      </c>
      <c r="BK216" s="27" t="n">
        <f aca="false">MIN(AO215*(1+H$8),MAX(BA216,$B$12-SUM(BE216:BJ216)-SUM(BB216:BD216)))</f>
        <v>0</v>
      </c>
      <c r="BL216" s="27" t="n">
        <f aca="false">MIN(AP215*(1+I$8),MAX(BB216,$B$12-SUM(BE216:BK216)-SUM(BC216:BD216)))</f>
        <v>0</v>
      </c>
      <c r="BM216" s="27" t="n">
        <f aca="false">MIN(AQ215*(1+J$8),MAX(BC216,$B$12-SUM(BE216:BL216)-SUM(BD216:BD216)))</f>
        <v>0</v>
      </c>
      <c r="BN216" s="27" t="n">
        <f aca="false">MIN(AR215*(1+K$8),MAX(BD216,$B$12-SUM(BE216:BM216)))</f>
        <v>0</v>
      </c>
    </row>
    <row r="217" customFormat="false" ht="15" hidden="false" customHeight="false" outlineLevel="0" collapsed="false">
      <c r="A217" s="0" t="n">
        <v>203</v>
      </c>
      <c r="B217" s="27" t="n">
        <f aca="false">ROUND(MAX(0,B216*(1+B$8)-X217),2)</f>
        <v>0</v>
      </c>
      <c r="C217" s="27" t="n">
        <f aca="false">ROUND(MAX(0,C216*(1+C$8)-Y217),2)</f>
        <v>0</v>
      </c>
      <c r="D217" s="27" t="n">
        <f aca="false">ROUND(MAX(0,D216*(1+D$8)-Z217),2)</f>
        <v>0</v>
      </c>
      <c r="E217" s="27" t="n">
        <f aca="false">ROUND(MAX(0,E216*(1+E$8)-AA217),2)</f>
        <v>0</v>
      </c>
      <c r="F217" s="27" t="n">
        <f aca="false">ROUND(MAX(0,F216*(1+F$8)-AB217),2)</f>
        <v>0</v>
      </c>
      <c r="G217" s="27" t="n">
        <f aca="false">ROUND(MAX(0,G216*(1+G$8)-AC217),2)</f>
        <v>0</v>
      </c>
      <c r="H217" s="27" t="n">
        <f aca="false">ROUND(MAX(0,H216*(1+H$8)-AD217),2)</f>
        <v>0</v>
      </c>
      <c r="I217" s="27" t="n">
        <f aca="false">ROUND(MAX(0,I216*(1+I$8)-AE217),2)</f>
        <v>0</v>
      </c>
      <c r="J217" s="27" t="n">
        <f aca="false">ROUND(MAX(0,J216*(1+J$8)-AF217),2)</f>
        <v>0</v>
      </c>
      <c r="K217" s="27" t="n">
        <f aca="false">ROUND(MAX(0,K216*(1+K$8)-AG217),2)</f>
        <v>0</v>
      </c>
      <c r="L217" s="30" t="n">
        <f aca="false">SUM(B217:K217)</f>
        <v>0</v>
      </c>
      <c r="M217" s="27" t="n">
        <f aca="false">SUMPRODUCT(B216:K216,$B$8:$K$8)</f>
        <v>0</v>
      </c>
      <c r="N217" s="27" t="n">
        <f aca="false">MIN(B216*(1+B$8),B$9)</f>
        <v>0</v>
      </c>
      <c r="O217" s="27" t="n">
        <f aca="false">MIN(C216*(1+C$8),C$9)</f>
        <v>0</v>
      </c>
      <c r="P217" s="27" t="n">
        <f aca="false">MIN(D216*(1+D$8),D$9)</f>
        <v>0</v>
      </c>
      <c r="Q217" s="27" t="n">
        <f aca="false">MIN(E216*(1+E$8),E$9)</f>
        <v>0</v>
      </c>
      <c r="R217" s="27" t="n">
        <f aca="false">MIN(F216*(1+F$8),F$9)</f>
        <v>0</v>
      </c>
      <c r="S217" s="27" t="n">
        <f aca="false">MIN(G216*(1+G$8),G$9)</f>
        <v>0</v>
      </c>
      <c r="T217" s="27" t="n">
        <f aca="false">MIN(H216*(1+H$8),H$9)</f>
        <v>0</v>
      </c>
      <c r="U217" s="27" t="n">
        <f aca="false">MIN(I216*(1+I$8),I$9)</f>
        <v>0</v>
      </c>
      <c r="V217" s="27" t="n">
        <f aca="false">MIN(J216*(1+J$8),J$9)</f>
        <v>0</v>
      </c>
      <c r="W217" s="27" t="n">
        <f aca="false">MIN(K216*(1+K$8),K$9)</f>
        <v>0</v>
      </c>
      <c r="X217" s="27" t="n">
        <f aca="false">MIN(B216*(1+B$8),MAX(N217,$B$11-SUM(O217:W217)))</f>
        <v>0</v>
      </c>
      <c r="Y217" s="27" t="n">
        <f aca="false">MIN(C216*(1+C$8),MAX(O217,$B$11-SUM(X217:X217)-SUM(P217:W217)))</f>
        <v>0</v>
      </c>
      <c r="Z217" s="27" t="n">
        <f aca="false">MIN(D216*(1+D$8),MAX(P217,$B$11-SUM(X217:Y217)-SUM(Q217:W217)))</f>
        <v>0</v>
      </c>
      <c r="AA217" s="27" t="n">
        <f aca="false">MIN(E216*(1+E$8),MAX(Q217,$B$11-SUM(X217:Z217)-SUM(R217:W217)))</f>
        <v>0</v>
      </c>
      <c r="AB217" s="27" t="n">
        <f aca="false">MIN(F216*(1+F$8),MAX(R217,$B$11-SUM(X217:AA217)-SUM(S217:W217)))</f>
        <v>0</v>
      </c>
      <c r="AC217" s="27" t="n">
        <f aca="false">MIN(G216*(1+G$8),MAX(S217,$B$11-SUM(X217:AB217)-SUM(T217:W217)))</f>
        <v>0</v>
      </c>
      <c r="AD217" s="27" t="n">
        <f aca="false">MIN(H216*(1+H$8),MAX(T217,$B$11-SUM(X217:AC217)-SUM(U217:W217)))</f>
        <v>0</v>
      </c>
      <c r="AE217" s="27" t="n">
        <f aca="false">MIN(I216*(1+I$8),MAX(U217,$B$11-SUM(X217:AD217)-SUM(V217:W217)))</f>
        <v>0</v>
      </c>
      <c r="AF217" s="27" t="n">
        <f aca="false">MIN(J216*(1+J$8),MAX(V217,$B$11-SUM(X217:AE217)-SUM(W217:W217)))</f>
        <v>0</v>
      </c>
      <c r="AG217" s="27" t="n">
        <f aca="false">MIN(K216*(1+K$8),MAX(W217,$B$11-SUM(X217:AF217)))</f>
        <v>0</v>
      </c>
      <c r="AI217" s="27" t="n">
        <f aca="false">ROUND(MAX(0,AI216*(1+B$8)-BE217),2)</f>
        <v>0</v>
      </c>
      <c r="AJ217" s="27" t="n">
        <f aca="false">ROUND(MAX(0,AJ216*(1+C$8)-BF217),2)</f>
        <v>0</v>
      </c>
      <c r="AK217" s="27" t="n">
        <f aca="false">ROUND(MAX(0,AK216*(1+D$8)-BG217),2)</f>
        <v>0</v>
      </c>
      <c r="AL217" s="27" t="n">
        <f aca="false">ROUND(MAX(0,AL216*(1+E$8)-BH217),2)</f>
        <v>0</v>
      </c>
      <c r="AM217" s="27" t="n">
        <f aca="false">ROUND(MAX(0,AM216*(1+F$8)-BI217),2)</f>
        <v>0</v>
      </c>
      <c r="AN217" s="27" t="n">
        <f aca="false">ROUND(MAX(0,AN216*(1+G$8)-BJ217),2)</f>
        <v>0</v>
      </c>
      <c r="AO217" s="27" t="n">
        <f aca="false">ROUND(MAX(0,AO216*(1+H$8)-BK217),2)</f>
        <v>0</v>
      </c>
      <c r="AP217" s="27" t="n">
        <f aca="false">ROUND(MAX(0,AP216*(1+I$8)-BL217),2)</f>
        <v>0</v>
      </c>
      <c r="AQ217" s="27" t="n">
        <f aca="false">ROUND(MAX(0,AQ216*(1+J$8)-BM217),2)</f>
        <v>0</v>
      </c>
      <c r="AR217" s="27" t="n">
        <f aca="false">ROUND(MAX(0,AR216*(1+K$8)-BN217),2)</f>
        <v>0</v>
      </c>
      <c r="AS217" s="27" t="n">
        <f aca="false">SUM(AI217:AR217)</f>
        <v>0</v>
      </c>
      <c r="AT217" s="27" t="n">
        <f aca="false">SUMPRODUCT(AI216:AR216,$B$8:$K$8)</f>
        <v>0</v>
      </c>
      <c r="AU217" s="27" t="n">
        <f aca="false">MIN(AI216*(1+B$8),B$9)</f>
        <v>0</v>
      </c>
      <c r="AV217" s="27" t="n">
        <f aca="false">MIN(AJ216*(1+C$8),C$9)</f>
        <v>0</v>
      </c>
      <c r="AW217" s="27" t="n">
        <f aca="false">MIN(AK216*(1+D$8),D$9)</f>
        <v>0</v>
      </c>
      <c r="AX217" s="27" t="n">
        <f aca="false">MIN(AL216*(1+E$8),E$9)</f>
        <v>0</v>
      </c>
      <c r="AY217" s="27" t="n">
        <f aca="false">MIN(AM216*(1+F$8),F$9)</f>
        <v>0</v>
      </c>
      <c r="AZ217" s="27" t="n">
        <f aca="false">MIN(AN216*(1+G$8),G$9)</f>
        <v>0</v>
      </c>
      <c r="BA217" s="27" t="n">
        <f aca="false">MIN(AO216*(1+H$8),H$9)</f>
        <v>0</v>
      </c>
      <c r="BB217" s="27" t="n">
        <f aca="false">MIN(AP216*(1+I$8),I$9)</f>
        <v>0</v>
      </c>
      <c r="BC217" s="27" t="n">
        <f aca="false">MIN(AQ216*(1+J$8),J$9)</f>
        <v>0</v>
      </c>
      <c r="BD217" s="27" t="n">
        <f aca="false">MIN(AR216*(1+K$8),K$9)</f>
        <v>0</v>
      </c>
      <c r="BE217" s="27" t="n">
        <f aca="false">MIN(AI216*(1+B$8),MAX(AU217,$B$12-SUM(AV217:BD217)))</f>
        <v>0</v>
      </c>
      <c r="BF217" s="27" t="n">
        <f aca="false">MIN(AJ216*(1+C$8),MAX(AV217,$B$12-SUM(BE217:BE217)-SUM(AW217:BD217)))</f>
        <v>0</v>
      </c>
      <c r="BG217" s="27" t="n">
        <f aca="false">MIN(AK216*(1+D$8),MAX(AW217,$B$12-SUM(BE217:BF217)-SUM(AX217:BD217)))</f>
        <v>0</v>
      </c>
      <c r="BH217" s="27" t="n">
        <f aca="false">MIN(AL216*(1+E$8),MAX(AX217,$B$12-SUM(BE217:BG217)-SUM(AY217:BD217)))</f>
        <v>0</v>
      </c>
      <c r="BI217" s="27" t="n">
        <f aca="false">MIN(AM216*(1+F$8),MAX(AY217,$B$12-SUM(BE217:BH217)-SUM(AZ217:BD217)))</f>
        <v>0</v>
      </c>
      <c r="BJ217" s="27" t="n">
        <f aca="false">MIN(AN216*(1+G$8),MAX(AZ217,$B$12-SUM(BE217:BI217)-SUM(BA217:BD217)))</f>
        <v>0</v>
      </c>
      <c r="BK217" s="27" t="n">
        <f aca="false">MIN(AO216*(1+H$8),MAX(BA217,$B$12-SUM(BE217:BJ217)-SUM(BB217:BD217)))</f>
        <v>0</v>
      </c>
      <c r="BL217" s="27" t="n">
        <f aca="false">MIN(AP216*(1+I$8),MAX(BB217,$B$12-SUM(BE217:BK217)-SUM(BC217:BD217)))</f>
        <v>0</v>
      </c>
      <c r="BM217" s="27" t="n">
        <f aca="false">MIN(AQ216*(1+J$8),MAX(BC217,$B$12-SUM(BE217:BL217)-SUM(BD217:BD217)))</f>
        <v>0</v>
      </c>
      <c r="BN217" s="27" t="n">
        <f aca="false">MIN(AR216*(1+K$8),MAX(BD217,$B$12-SUM(BE217:BM217)))</f>
        <v>0</v>
      </c>
    </row>
    <row r="218" customFormat="false" ht="15" hidden="false" customHeight="false" outlineLevel="0" collapsed="false">
      <c r="A218" s="0" t="n">
        <v>204</v>
      </c>
      <c r="B218" s="27" t="n">
        <f aca="false">ROUND(MAX(0,B217*(1+B$8)-X218),2)</f>
        <v>0</v>
      </c>
      <c r="C218" s="27" t="n">
        <f aca="false">ROUND(MAX(0,C217*(1+C$8)-Y218),2)</f>
        <v>0</v>
      </c>
      <c r="D218" s="27" t="n">
        <f aca="false">ROUND(MAX(0,D217*(1+D$8)-Z218),2)</f>
        <v>0</v>
      </c>
      <c r="E218" s="27" t="n">
        <f aca="false">ROUND(MAX(0,E217*(1+E$8)-AA218),2)</f>
        <v>0</v>
      </c>
      <c r="F218" s="27" t="n">
        <f aca="false">ROUND(MAX(0,F217*(1+F$8)-AB218),2)</f>
        <v>0</v>
      </c>
      <c r="G218" s="27" t="n">
        <f aca="false">ROUND(MAX(0,G217*(1+G$8)-AC218),2)</f>
        <v>0</v>
      </c>
      <c r="H218" s="27" t="n">
        <f aca="false">ROUND(MAX(0,H217*(1+H$8)-AD218),2)</f>
        <v>0</v>
      </c>
      <c r="I218" s="27" t="n">
        <f aca="false">ROUND(MAX(0,I217*(1+I$8)-AE218),2)</f>
        <v>0</v>
      </c>
      <c r="J218" s="27" t="n">
        <f aca="false">ROUND(MAX(0,J217*(1+J$8)-AF218),2)</f>
        <v>0</v>
      </c>
      <c r="K218" s="27" t="n">
        <f aca="false">ROUND(MAX(0,K217*(1+K$8)-AG218),2)</f>
        <v>0</v>
      </c>
      <c r="L218" s="30" t="n">
        <f aca="false">SUM(B218:K218)</f>
        <v>0</v>
      </c>
      <c r="M218" s="27" t="n">
        <f aca="false">SUMPRODUCT(B217:K217,$B$8:$K$8)</f>
        <v>0</v>
      </c>
      <c r="N218" s="27" t="n">
        <f aca="false">MIN(B217*(1+B$8),B$9)</f>
        <v>0</v>
      </c>
      <c r="O218" s="27" t="n">
        <f aca="false">MIN(C217*(1+C$8),C$9)</f>
        <v>0</v>
      </c>
      <c r="P218" s="27" t="n">
        <f aca="false">MIN(D217*(1+D$8),D$9)</f>
        <v>0</v>
      </c>
      <c r="Q218" s="27" t="n">
        <f aca="false">MIN(E217*(1+E$8),E$9)</f>
        <v>0</v>
      </c>
      <c r="R218" s="27" t="n">
        <f aca="false">MIN(F217*(1+F$8),F$9)</f>
        <v>0</v>
      </c>
      <c r="S218" s="27" t="n">
        <f aca="false">MIN(G217*(1+G$8),G$9)</f>
        <v>0</v>
      </c>
      <c r="T218" s="27" t="n">
        <f aca="false">MIN(H217*(1+H$8),H$9)</f>
        <v>0</v>
      </c>
      <c r="U218" s="27" t="n">
        <f aca="false">MIN(I217*(1+I$8),I$9)</f>
        <v>0</v>
      </c>
      <c r="V218" s="27" t="n">
        <f aca="false">MIN(J217*(1+J$8),J$9)</f>
        <v>0</v>
      </c>
      <c r="W218" s="27" t="n">
        <f aca="false">MIN(K217*(1+K$8),K$9)</f>
        <v>0</v>
      </c>
      <c r="X218" s="27" t="n">
        <f aca="false">MIN(B217*(1+B$8),MAX(N218,$B$11-SUM(O218:W218)))</f>
        <v>0</v>
      </c>
      <c r="Y218" s="27" t="n">
        <f aca="false">MIN(C217*(1+C$8),MAX(O218,$B$11-SUM(X218:X218)-SUM(P218:W218)))</f>
        <v>0</v>
      </c>
      <c r="Z218" s="27" t="n">
        <f aca="false">MIN(D217*(1+D$8),MAX(P218,$B$11-SUM(X218:Y218)-SUM(Q218:W218)))</f>
        <v>0</v>
      </c>
      <c r="AA218" s="27" t="n">
        <f aca="false">MIN(E217*(1+E$8),MAX(Q218,$B$11-SUM(X218:Z218)-SUM(R218:W218)))</f>
        <v>0</v>
      </c>
      <c r="AB218" s="27" t="n">
        <f aca="false">MIN(F217*(1+F$8),MAX(R218,$B$11-SUM(X218:AA218)-SUM(S218:W218)))</f>
        <v>0</v>
      </c>
      <c r="AC218" s="27" t="n">
        <f aca="false">MIN(G217*(1+G$8),MAX(S218,$B$11-SUM(X218:AB218)-SUM(T218:W218)))</f>
        <v>0</v>
      </c>
      <c r="AD218" s="27" t="n">
        <f aca="false">MIN(H217*(1+H$8),MAX(T218,$B$11-SUM(X218:AC218)-SUM(U218:W218)))</f>
        <v>0</v>
      </c>
      <c r="AE218" s="27" t="n">
        <f aca="false">MIN(I217*(1+I$8),MAX(U218,$B$11-SUM(X218:AD218)-SUM(V218:W218)))</f>
        <v>0</v>
      </c>
      <c r="AF218" s="27" t="n">
        <f aca="false">MIN(J217*(1+J$8),MAX(V218,$B$11-SUM(X218:AE218)-SUM(W218:W218)))</f>
        <v>0</v>
      </c>
      <c r="AG218" s="27" t="n">
        <f aca="false">MIN(K217*(1+K$8),MAX(W218,$B$11-SUM(X218:AF218)))</f>
        <v>0</v>
      </c>
      <c r="AI218" s="27" t="n">
        <f aca="false">ROUND(MAX(0,AI217*(1+B$8)-BE218),2)</f>
        <v>0</v>
      </c>
      <c r="AJ218" s="27" t="n">
        <f aca="false">ROUND(MAX(0,AJ217*(1+C$8)-BF218),2)</f>
        <v>0</v>
      </c>
      <c r="AK218" s="27" t="n">
        <f aca="false">ROUND(MAX(0,AK217*(1+D$8)-BG218),2)</f>
        <v>0</v>
      </c>
      <c r="AL218" s="27" t="n">
        <f aca="false">ROUND(MAX(0,AL217*(1+E$8)-BH218),2)</f>
        <v>0</v>
      </c>
      <c r="AM218" s="27" t="n">
        <f aca="false">ROUND(MAX(0,AM217*(1+F$8)-BI218),2)</f>
        <v>0</v>
      </c>
      <c r="AN218" s="27" t="n">
        <f aca="false">ROUND(MAX(0,AN217*(1+G$8)-BJ218),2)</f>
        <v>0</v>
      </c>
      <c r="AO218" s="27" t="n">
        <f aca="false">ROUND(MAX(0,AO217*(1+H$8)-BK218),2)</f>
        <v>0</v>
      </c>
      <c r="AP218" s="27" t="n">
        <f aca="false">ROUND(MAX(0,AP217*(1+I$8)-BL218),2)</f>
        <v>0</v>
      </c>
      <c r="AQ218" s="27" t="n">
        <f aca="false">ROUND(MAX(0,AQ217*(1+J$8)-BM218),2)</f>
        <v>0</v>
      </c>
      <c r="AR218" s="27" t="n">
        <f aca="false">ROUND(MAX(0,AR217*(1+K$8)-BN218),2)</f>
        <v>0</v>
      </c>
      <c r="AS218" s="27" t="n">
        <f aca="false">SUM(AI218:AR218)</f>
        <v>0</v>
      </c>
      <c r="AT218" s="27" t="n">
        <f aca="false">SUMPRODUCT(AI217:AR217,$B$8:$K$8)</f>
        <v>0</v>
      </c>
      <c r="AU218" s="27" t="n">
        <f aca="false">MIN(AI217*(1+B$8),B$9)</f>
        <v>0</v>
      </c>
      <c r="AV218" s="27" t="n">
        <f aca="false">MIN(AJ217*(1+C$8),C$9)</f>
        <v>0</v>
      </c>
      <c r="AW218" s="27" t="n">
        <f aca="false">MIN(AK217*(1+D$8),D$9)</f>
        <v>0</v>
      </c>
      <c r="AX218" s="27" t="n">
        <f aca="false">MIN(AL217*(1+E$8),E$9)</f>
        <v>0</v>
      </c>
      <c r="AY218" s="27" t="n">
        <f aca="false">MIN(AM217*(1+F$8),F$9)</f>
        <v>0</v>
      </c>
      <c r="AZ218" s="27" t="n">
        <f aca="false">MIN(AN217*(1+G$8),G$9)</f>
        <v>0</v>
      </c>
      <c r="BA218" s="27" t="n">
        <f aca="false">MIN(AO217*(1+H$8),H$9)</f>
        <v>0</v>
      </c>
      <c r="BB218" s="27" t="n">
        <f aca="false">MIN(AP217*(1+I$8),I$9)</f>
        <v>0</v>
      </c>
      <c r="BC218" s="27" t="n">
        <f aca="false">MIN(AQ217*(1+J$8),J$9)</f>
        <v>0</v>
      </c>
      <c r="BD218" s="27" t="n">
        <f aca="false">MIN(AR217*(1+K$8),K$9)</f>
        <v>0</v>
      </c>
      <c r="BE218" s="27" t="n">
        <f aca="false">MIN(AI217*(1+B$8),MAX(AU218,$B$12-SUM(AV218:BD218)))</f>
        <v>0</v>
      </c>
      <c r="BF218" s="27" t="n">
        <f aca="false">MIN(AJ217*(1+C$8),MAX(AV218,$B$12-SUM(BE218:BE218)-SUM(AW218:BD218)))</f>
        <v>0</v>
      </c>
      <c r="BG218" s="27" t="n">
        <f aca="false">MIN(AK217*(1+D$8),MAX(AW218,$B$12-SUM(BE218:BF218)-SUM(AX218:BD218)))</f>
        <v>0</v>
      </c>
      <c r="BH218" s="27" t="n">
        <f aca="false">MIN(AL217*(1+E$8),MAX(AX218,$B$12-SUM(BE218:BG218)-SUM(AY218:BD218)))</f>
        <v>0</v>
      </c>
      <c r="BI218" s="27" t="n">
        <f aca="false">MIN(AM217*(1+F$8),MAX(AY218,$B$12-SUM(BE218:BH218)-SUM(AZ218:BD218)))</f>
        <v>0</v>
      </c>
      <c r="BJ218" s="27" t="n">
        <f aca="false">MIN(AN217*(1+G$8),MAX(AZ218,$B$12-SUM(BE218:BI218)-SUM(BA218:BD218)))</f>
        <v>0</v>
      </c>
      <c r="BK218" s="27" t="n">
        <f aca="false">MIN(AO217*(1+H$8),MAX(BA218,$B$12-SUM(BE218:BJ218)-SUM(BB218:BD218)))</f>
        <v>0</v>
      </c>
      <c r="BL218" s="27" t="n">
        <f aca="false">MIN(AP217*(1+I$8),MAX(BB218,$B$12-SUM(BE218:BK218)-SUM(BC218:BD218)))</f>
        <v>0</v>
      </c>
      <c r="BM218" s="27" t="n">
        <f aca="false">MIN(AQ217*(1+J$8),MAX(BC218,$B$12-SUM(BE218:BL218)-SUM(BD218:BD218)))</f>
        <v>0</v>
      </c>
      <c r="BN218" s="27" t="n">
        <f aca="false">MIN(AR217*(1+K$8),MAX(BD218,$B$12-SUM(BE218:BM218)))</f>
        <v>0</v>
      </c>
    </row>
    <row r="219" customFormat="false" ht="15" hidden="false" customHeight="false" outlineLevel="0" collapsed="false">
      <c r="A219" s="0" t="n">
        <v>205</v>
      </c>
      <c r="B219" s="27" t="n">
        <f aca="false">ROUND(MAX(0,B218*(1+B$8)-X219),2)</f>
        <v>0</v>
      </c>
      <c r="C219" s="27" t="n">
        <f aca="false">ROUND(MAX(0,C218*(1+C$8)-Y219),2)</f>
        <v>0</v>
      </c>
      <c r="D219" s="27" t="n">
        <f aca="false">ROUND(MAX(0,D218*(1+D$8)-Z219),2)</f>
        <v>0</v>
      </c>
      <c r="E219" s="27" t="n">
        <f aca="false">ROUND(MAX(0,E218*(1+E$8)-AA219),2)</f>
        <v>0</v>
      </c>
      <c r="F219" s="27" t="n">
        <f aca="false">ROUND(MAX(0,F218*(1+F$8)-AB219),2)</f>
        <v>0</v>
      </c>
      <c r="G219" s="27" t="n">
        <f aca="false">ROUND(MAX(0,G218*(1+G$8)-AC219),2)</f>
        <v>0</v>
      </c>
      <c r="H219" s="27" t="n">
        <f aca="false">ROUND(MAX(0,H218*(1+H$8)-AD219),2)</f>
        <v>0</v>
      </c>
      <c r="I219" s="27" t="n">
        <f aca="false">ROUND(MAX(0,I218*(1+I$8)-AE219),2)</f>
        <v>0</v>
      </c>
      <c r="J219" s="27" t="n">
        <f aca="false">ROUND(MAX(0,J218*(1+J$8)-AF219),2)</f>
        <v>0</v>
      </c>
      <c r="K219" s="27" t="n">
        <f aca="false">ROUND(MAX(0,K218*(1+K$8)-AG219),2)</f>
        <v>0</v>
      </c>
      <c r="L219" s="30" t="n">
        <f aca="false">SUM(B219:K219)</f>
        <v>0</v>
      </c>
      <c r="M219" s="27" t="n">
        <f aca="false">SUMPRODUCT(B218:K218,$B$8:$K$8)</f>
        <v>0</v>
      </c>
      <c r="N219" s="27" t="n">
        <f aca="false">MIN(B218*(1+B$8),B$9)</f>
        <v>0</v>
      </c>
      <c r="O219" s="27" t="n">
        <f aca="false">MIN(C218*(1+C$8),C$9)</f>
        <v>0</v>
      </c>
      <c r="P219" s="27" t="n">
        <f aca="false">MIN(D218*(1+D$8),D$9)</f>
        <v>0</v>
      </c>
      <c r="Q219" s="27" t="n">
        <f aca="false">MIN(E218*(1+E$8),E$9)</f>
        <v>0</v>
      </c>
      <c r="R219" s="27" t="n">
        <f aca="false">MIN(F218*(1+F$8),F$9)</f>
        <v>0</v>
      </c>
      <c r="S219" s="27" t="n">
        <f aca="false">MIN(G218*(1+G$8),G$9)</f>
        <v>0</v>
      </c>
      <c r="T219" s="27" t="n">
        <f aca="false">MIN(H218*(1+H$8),H$9)</f>
        <v>0</v>
      </c>
      <c r="U219" s="27" t="n">
        <f aca="false">MIN(I218*(1+I$8),I$9)</f>
        <v>0</v>
      </c>
      <c r="V219" s="27" t="n">
        <f aca="false">MIN(J218*(1+J$8),J$9)</f>
        <v>0</v>
      </c>
      <c r="W219" s="27" t="n">
        <f aca="false">MIN(K218*(1+K$8),K$9)</f>
        <v>0</v>
      </c>
      <c r="X219" s="27" t="n">
        <f aca="false">MIN(B218*(1+B$8),MAX(N219,$B$11-SUM(O219:W219)))</f>
        <v>0</v>
      </c>
      <c r="Y219" s="27" t="n">
        <f aca="false">MIN(C218*(1+C$8),MAX(O219,$B$11-SUM(X219:X219)-SUM(P219:W219)))</f>
        <v>0</v>
      </c>
      <c r="Z219" s="27" t="n">
        <f aca="false">MIN(D218*(1+D$8),MAX(P219,$B$11-SUM(X219:Y219)-SUM(Q219:W219)))</f>
        <v>0</v>
      </c>
      <c r="AA219" s="27" t="n">
        <f aca="false">MIN(E218*(1+E$8),MAX(Q219,$B$11-SUM(X219:Z219)-SUM(R219:W219)))</f>
        <v>0</v>
      </c>
      <c r="AB219" s="27" t="n">
        <f aca="false">MIN(F218*(1+F$8),MAX(R219,$B$11-SUM(X219:AA219)-SUM(S219:W219)))</f>
        <v>0</v>
      </c>
      <c r="AC219" s="27" t="n">
        <f aca="false">MIN(G218*(1+G$8),MAX(S219,$B$11-SUM(X219:AB219)-SUM(T219:W219)))</f>
        <v>0</v>
      </c>
      <c r="AD219" s="27" t="n">
        <f aca="false">MIN(H218*(1+H$8),MAX(T219,$B$11-SUM(X219:AC219)-SUM(U219:W219)))</f>
        <v>0</v>
      </c>
      <c r="AE219" s="27" t="n">
        <f aca="false">MIN(I218*(1+I$8),MAX(U219,$B$11-SUM(X219:AD219)-SUM(V219:W219)))</f>
        <v>0</v>
      </c>
      <c r="AF219" s="27" t="n">
        <f aca="false">MIN(J218*(1+J$8),MAX(V219,$B$11-SUM(X219:AE219)-SUM(W219:W219)))</f>
        <v>0</v>
      </c>
      <c r="AG219" s="27" t="n">
        <f aca="false">MIN(K218*(1+K$8),MAX(W219,$B$11-SUM(X219:AF219)))</f>
        <v>0</v>
      </c>
      <c r="AI219" s="27" t="n">
        <f aca="false">ROUND(MAX(0,AI218*(1+B$8)-BE219),2)</f>
        <v>0</v>
      </c>
      <c r="AJ219" s="27" t="n">
        <f aca="false">ROUND(MAX(0,AJ218*(1+C$8)-BF219),2)</f>
        <v>0</v>
      </c>
      <c r="AK219" s="27" t="n">
        <f aca="false">ROUND(MAX(0,AK218*(1+D$8)-BG219),2)</f>
        <v>0</v>
      </c>
      <c r="AL219" s="27" t="n">
        <f aca="false">ROUND(MAX(0,AL218*(1+E$8)-BH219),2)</f>
        <v>0</v>
      </c>
      <c r="AM219" s="27" t="n">
        <f aca="false">ROUND(MAX(0,AM218*(1+F$8)-BI219),2)</f>
        <v>0</v>
      </c>
      <c r="AN219" s="27" t="n">
        <f aca="false">ROUND(MAX(0,AN218*(1+G$8)-BJ219),2)</f>
        <v>0</v>
      </c>
      <c r="AO219" s="27" t="n">
        <f aca="false">ROUND(MAX(0,AO218*(1+H$8)-BK219),2)</f>
        <v>0</v>
      </c>
      <c r="AP219" s="27" t="n">
        <f aca="false">ROUND(MAX(0,AP218*(1+I$8)-BL219),2)</f>
        <v>0</v>
      </c>
      <c r="AQ219" s="27" t="n">
        <f aca="false">ROUND(MAX(0,AQ218*(1+J$8)-BM219),2)</f>
        <v>0</v>
      </c>
      <c r="AR219" s="27" t="n">
        <f aca="false">ROUND(MAX(0,AR218*(1+K$8)-BN219),2)</f>
        <v>0</v>
      </c>
      <c r="AS219" s="27" t="n">
        <f aca="false">SUM(AI219:AR219)</f>
        <v>0</v>
      </c>
      <c r="AT219" s="27" t="n">
        <f aca="false">SUMPRODUCT(AI218:AR218,$B$8:$K$8)</f>
        <v>0</v>
      </c>
      <c r="AU219" s="27" t="n">
        <f aca="false">MIN(AI218*(1+B$8),B$9)</f>
        <v>0</v>
      </c>
      <c r="AV219" s="27" t="n">
        <f aca="false">MIN(AJ218*(1+C$8),C$9)</f>
        <v>0</v>
      </c>
      <c r="AW219" s="27" t="n">
        <f aca="false">MIN(AK218*(1+D$8),D$9)</f>
        <v>0</v>
      </c>
      <c r="AX219" s="27" t="n">
        <f aca="false">MIN(AL218*(1+E$8),E$9)</f>
        <v>0</v>
      </c>
      <c r="AY219" s="27" t="n">
        <f aca="false">MIN(AM218*(1+F$8),F$9)</f>
        <v>0</v>
      </c>
      <c r="AZ219" s="27" t="n">
        <f aca="false">MIN(AN218*(1+G$8),G$9)</f>
        <v>0</v>
      </c>
      <c r="BA219" s="27" t="n">
        <f aca="false">MIN(AO218*(1+H$8),H$9)</f>
        <v>0</v>
      </c>
      <c r="BB219" s="27" t="n">
        <f aca="false">MIN(AP218*(1+I$8),I$9)</f>
        <v>0</v>
      </c>
      <c r="BC219" s="27" t="n">
        <f aca="false">MIN(AQ218*(1+J$8),J$9)</f>
        <v>0</v>
      </c>
      <c r="BD219" s="27" t="n">
        <f aca="false">MIN(AR218*(1+K$8),K$9)</f>
        <v>0</v>
      </c>
      <c r="BE219" s="27" t="n">
        <f aca="false">MIN(AI218*(1+B$8),MAX(AU219,$B$12-SUM(AV219:BD219)))</f>
        <v>0</v>
      </c>
      <c r="BF219" s="27" t="n">
        <f aca="false">MIN(AJ218*(1+C$8),MAX(AV219,$B$12-SUM(BE219:BE219)-SUM(AW219:BD219)))</f>
        <v>0</v>
      </c>
      <c r="BG219" s="27" t="n">
        <f aca="false">MIN(AK218*(1+D$8),MAX(AW219,$B$12-SUM(BE219:BF219)-SUM(AX219:BD219)))</f>
        <v>0</v>
      </c>
      <c r="BH219" s="27" t="n">
        <f aca="false">MIN(AL218*(1+E$8),MAX(AX219,$B$12-SUM(BE219:BG219)-SUM(AY219:BD219)))</f>
        <v>0</v>
      </c>
      <c r="BI219" s="27" t="n">
        <f aca="false">MIN(AM218*(1+F$8),MAX(AY219,$B$12-SUM(BE219:BH219)-SUM(AZ219:BD219)))</f>
        <v>0</v>
      </c>
      <c r="BJ219" s="27" t="n">
        <f aca="false">MIN(AN218*(1+G$8),MAX(AZ219,$B$12-SUM(BE219:BI219)-SUM(BA219:BD219)))</f>
        <v>0</v>
      </c>
      <c r="BK219" s="27" t="n">
        <f aca="false">MIN(AO218*(1+H$8),MAX(BA219,$B$12-SUM(BE219:BJ219)-SUM(BB219:BD219)))</f>
        <v>0</v>
      </c>
      <c r="BL219" s="27" t="n">
        <f aca="false">MIN(AP218*(1+I$8),MAX(BB219,$B$12-SUM(BE219:BK219)-SUM(BC219:BD219)))</f>
        <v>0</v>
      </c>
      <c r="BM219" s="27" t="n">
        <f aca="false">MIN(AQ218*(1+J$8),MAX(BC219,$B$12-SUM(BE219:BL219)-SUM(BD219:BD219)))</f>
        <v>0</v>
      </c>
      <c r="BN219" s="27" t="n">
        <f aca="false">MIN(AR218*(1+K$8),MAX(BD219,$B$12-SUM(BE219:BM219)))</f>
        <v>0</v>
      </c>
    </row>
    <row r="220" customFormat="false" ht="15" hidden="false" customHeight="false" outlineLevel="0" collapsed="false">
      <c r="A220" s="0" t="n">
        <v>206</v>
      </c>
      <c r="B220" s="27" t="n">
        <f aca="false">ROUND(MAX(0,B219*(1+B$8)-X220),2)</f>
        <v>0</v>
      </c>
      <c r="C220" s="27" t="n">
        <f aca="false">ROUND(MAX(0,C219*(1+C$8)-Y220),2)</f>
        <v>0</v>
      </c>
      <c r="D220" s="27" t="n">
        <f aca="false">ROUND(MAX(0,D219*(1+D$8)-Z220),2)</f>
        <v>0</v>
      </c>
      <c r="E220" s="27" t="n">
        <f aca="false">ROUND(MAX(0,E219*(1+E$8)-AA220),2)</f>
        <v>0</v>
      </c>
      <c r="F220" s="27" t="n">
        <f aca="false">ROUND(MAX(0,F219*(1+F$8)-AB220),2)</f>
        <v>0</v>
      </c>
      <c r="G220" s="27" t="n">
        <f aca="false">ROUND(MAX(0,G219*(1+G$8)-AC220),2)</f>
        <v>0</v>
      </c>
      <c r="H220" s="27" t="n">
        <f aca="false">ROUND(MAX(0,H219*(1+H$8)-AD220),2)</f>
        <v>0</v>
      </c>
      <c r="I220" s="27" t="n">
        <f aca="false">ROUND(MAX(0,I219*(1+I$8)-AE220),2)</f>
        <v>0</v>
      </c>
      <c r="J220" s="27" t="n">
        <f aca="false">ROUND(MAX(0,J219*(1+J$8)-AF220),2)</f>
        <v>0</v>
      </c>
      <c r="K220" s="27" t="n">
        <f aca="false">ROUND(MAX(0,K219*(1+K$8)-AG220),2)</f>
        <v>0</v>
      </c>
      <c r="L220" s="30" t="n">
        <f aca="false">SUM(B220:K220)</f>
        <v>0</v>
      </c>
      <c r="M220" s="27" t="n">
        <f aca="false">SUMPRODUCT(B219:K219,$B$8:$K$8)</f>
        <v>0</v>
      </c>
      <c r="N220" s="27" t="n">
        <f aca="false">MIN(B219*(1+B$8),B$9)</f>
        <v>0</v>
      </c>
      <c r="O220" s="27" t="n">
        <f aca="false">MIN(C219*(1+C$8),C$9)</f>
        <v>0</v>
      </c>
      <c r="P220" s="27" t="n">
        <f aca="false">MIN(D219*(1+D$8),D$9)</f>
        <v>0</v>
      </c>
      <c r="Q220" s="27" t="n">
        <f aca="false">MIN(E219*(1+E$8),E$9)</f>
        <v>0</v>
      </c>
      <c r="R220" s="27" t="n">
        <f aca="false">MIN(F219*(1+F$8),F$9)</f>
        <v>0</v>
      </c>
      <c r="S220" s="27" t="n">
        <f aca="false">MIN(G219*(1+G$8),G$9)</f>
        <v>0</v>
      </c>
      <c r="T220" s="27" t="n">
        <f aca="false">MIN(H219*(1+H$8),H$9)</f>
        <v>0</v>
      </c>
      <c r="U220" s="27" t="n">
        <f aca="false">MIN(I219*(1+I$8),I$9)</f>
        <v>0</v>
      </c>
      <c r="V220" s="27" t="n">
        <f aca="false">MIN(J219*(1+J$8),J$9)</f>
        <v>0</v>
      </c>
      <c r="W220" s="27" t="n">
        <f aca="false">MIN(K219*(1+K$8),K$9)</f>
        <v>0</v>
      </c>
      <c r="X220" s="27" t="n">
        <f aca="false">MIN(B219*(1+B$8),MAX(N220,$B$11-SUM(O220:W220)))</f>
        <v>0</v>
      </c>
      <c r="Y220" s="27" t="n">
        <f aca="false">MIN(C219*(1+C$8),MAX(O220,$B$11-SUM(X220:X220)-SUM(P220:W220)))</f>
        <v>0</v>
      </c>
      <c r="Z220" s="27" t="n">
        <f aca="false">MIN(D219*(1+D$8),MAX(P220,$B$11-SUM(X220:Y220)-SUM(Q220:W220)))</f>
        <v>0</v>
      </c>
      <c r="AA220" s="27" t="n">
        <f aca="false">MIN(E219*(1+E$8),MAX(Q220,$B$11-SUM(X220:Z220)-SUM(R220:W220)))</f>
        <v>0</v>
      </c>
      <c r="AB220" s="27" t="n">
        <f aca="false">MIN(F219*(1+F$8),MAX(R220,$B$11-SUM(X220:AA220)-SUM(S220:W220)))</f>
        <v>0</v>
      </c>
      <c r="AC220" s="27" t="n">
        <f aca="false">MIN(G219*(1+G$8),MAX(S220,$B$11-SUM(X220:AB220)-SUM(T220:W220)))</f>
        <v>0</v>
      </c>
      <c r="AD220" s="27" t="n">
        <f aca="false">MIN(H219*(1+H$8),MAX(T220,$B$11-SUM(X220:AC220)-SUM(U220:W220)))</f>
        <v>0</v>
      </c>
      <c r="AE220" s="27" t="n">
        <f aca="false">MIN(I219*(1+I$8),MAX(U220,$B$11-SUM(X220:AD220)-SUM(V220:W220)))</f>
        <v>0</v>
      </c>
      <c r="AF220" s="27" t="n">
        <f aca="false">MIN(J219*(1+J$8),MAX(V220,$B$11-SUM(X220:AE220)-SUM(W220:W220)))</f>
        <v>0</v>
      </c>
      <c r="AG220" s="27" t="n">
        <f aca="false">MIN(K219*(1+K$8),MAX(W220,$B$11-SUM(X220:AF220)))</f>
        <v>0</v>
      </c>
      <c r="AI220" s="27" t="n">
        <f aca="false">ROUND(MAX(0,AI219*(1+B$8)-BE220),2)</f>
        <v>0</v>
      </c>
      <c r="AJ220" s="27" t="n">
        <f aca="false">ROUND(MAX(0,AJ219*(1+C$8)-BF220),2)</f>
        <v>0</v>
      </c>
      <c r="AK220" s="27" t="n">
        <f aca="false">ROUND(MAX(0,AK219*(1+D$8)-BG220),2)</f>
        <v>0</v>
      </c>
      <c r="AL220" s="27" t="n">
        <f aca="false">ROUND(MAX(0,AL219*(1+E$8)-BH220),2)</f>
        <v>0</v>
      </c>
      <c r="AM220" s="27" t="n">
        <f aca="false">ROUND(MAX(0,AM219*(1+F$8)-BI220),2)</f>
        <v>0</v>
      </c>
      <c r="AN220" s="27" t="n">
        <f aca="false">ROUND(MAX(0,AN219*(1+G$8)-BJ220),2)</f>
        <v>0</v>
      </c>
      <c r="AO220" s="27" t="n">
        <f aca="false">ROUND(MAX(0,AO219*(1+H$8)-BK220),2)</f>
        <v>0</v>
      </c>
      <c r="AP220" s="27" t="n">
        <f aca="false">ROUND(MAX(0,AP219*(1+I$8)-BL220),2)</f>
        <v>0</v>
      </c>
      <c r="AQ220" s="27" t="n">
        <f aca="false">ROUND(MAX(0,AQ219*(1+J$8)-BM220),2)</f>
        <v>0</v>
      </c>
      <c r="AR220" s="27" t="n">
        <f aca="false">ROUND(MAX(0,AR219*(1+K$8)-BN220),2)</f>
        <v>0</v>
      </c>
      <c r="AS220" s="27" t="n">
        <f aca="false">SUM(AI220:AR220)</f>
        <v>0</v>
      </c>
      <c r="AT220" s="27" t="n">
        <f aca="false">SUMPRODUCT(AI219:AR219,$B$8:$K$8)</f>
        <v>0</v>
      </c>
      <c r="AU220" s="27" t="n">
        <f aca="false">MIN(AI219*(1+B$8),B$9)</f>
        <v>0</v>
      </c>
      <c r="AV220" s="27" t="n">
        <f aca="false">MIN(AJ219*(1+C$8),C$9)</f>
        <v>0</v>
      </c>
      <c r="AW220" s="27" t="n">
        <f aca="false">MIN(AK219*(1+D$8),D$9)</f>
        <v>0</v>
      </c>
      <c r="AX220" s="27" t="n">
        <f aca="false">MIN(AL219*(1+E$8),E$9)</f>
        <v>0</v>
      </c>
      <c r="AY220" s="27" t="n">
        <f aca="false">MIN(AM219*(1+F$8),F$9)</f>
        <v>0</v>
      </c>
      <c r="AZ220" s="27" t="n">
        <f aca="false">MIN(AN219*(1+G$8),G$9)</f>
        <v>0</v>
      </c>
      <c r="BA220" s="27" t="n">
        <f aca="false">MIN(AO219*(1+H$8),H$9)</f>
        <v>0</v>
      </c>
      <c r="BB220" s="27" t="n">
        <f aca="false">MIN(AP219*(1+I$8),I$9)</f>
        <v>0</v>
      </c>
      <c r="BC220" s="27" t="n">
        <f aca="false">MIN(AQ219*(1+J$8),J$9)</f>
        <v>0</v>
      </c>
      <c r="BD220" s="27" t="n">
        <f aca="false">MIN(AR219*(1+K$8),K$9)</f>
        <v>0</v>
      </c>
      <c r="BE220" s="27" t="n">
        <f aca="false">MIN(AI219*(1+B$8),MAX(AU220,$B$12-SUM(AV220:BD220)))</f>
        <v>0</v>
      </c>
      <c r="BF220" s="27" t="n">
        <f aca="false">MIN(AJ219*(1+C$8),MAX(AV220,$B$12-SUM(BE220:BE220)-SUM(AW220:BD220)))</f>
        <v>0</v>
      </c>
      <c r="BG220" s="27" t="n">
        <f aca="false">MIN(AK219*(1+D$8),MAX(AW220,$B$12-SUM(BE220:BF220)-SUM(AX220:BD220)))</f>
        <v>0</v>
      </c>
      <c r="BH220" s="27" t="n">
        <f aca="false">MIN(AL219*(1+E$8),MAX(AX220,$B$12-SUM(BE220:BG220)-SUM(AY220:BD220)))</f>
        <v>0</v>
      </c>
      <c r="BI220" s="27" t="n">
        <f aca="false">MIN(AM219*(1+F$8),MAX(AY220,$B$12-SUM(BE220:BH220)-SUM(AZ220:BD220)))</f>
        <v>0</v>
      </c>
      <c r="BJ220" s="27" t="n">
        <f aca="false">MIN(AN219*(1+G$8),MAX(AZ220,$B$12-SUM(BE220:BI220)-SUM(BA220:BD220)))</f>
        <v>0</v>
      </c>
      <c r="BK220" s="27" t="n">
        <f aca="false">MIN(AO219*(1+H$8),MAX(BA220,$B$12-SUM(BE220:BJ220)-SUM(BB220:BD220)))</f>
        <v>0</v>
      </c>
      <c r="BL220" s="27" t="n">
        <f aca="false">MIN(AP219*(1+I$8),MAX(BB220,$B$12-SUM(BE220:BK220)-SUM(BC220:BD220)))</f>
        <v>0</v>
      </c>
      <c r="BM220" s="27" t="n">
        <f aca="false">MIN(AQ219*(1+J$8),MAX(BC220,$B$12-SUM(BE220:BL220)-SUM(BD220:BD220)))</f>
        <v>0</v>
      </c>
      <c r="BN220" s="27" t="n">
        <f aca="false">MIN(AR219*(1+K$8),MAX(BD220,$B$12-SUM(BE220:BM220)))</f>
        <v>0</v>
      </c>
    </row>
    <row r="221" customFormat="false" ht="15" hidden="false" customHeight="false" outlineLevel="0" collapsed="false">
      <c r="A221" s="0" t="n">
        <v>207</v>
      </c>
      <c r="B221" s="27" t="n">
        <f aca="false">ROUND(MAX(0,B220*(1+B$8)-X221),2)</f>
        <v>0</v>
      </c>
      <c r="C221" s="27" t="n">
        <f aca="false">ROUND(MAX(0,C220*(1+C$8)-Y221),2)</f>
        <v>0</v>
      </c>
      <c r="D221" s="27" t="n">
        <f aca="false">ROUND(MAX(0,D220*(1+D$8)-Z221),2)</f>
        <v>0</v>
      </c>
      <c r="E221" s="27" t="n">
        <f aca="false">ROUND(MAX(0,E220*(1+E$8)-AA221),2)</f>
        <v>0</v>
      </c>
      <c r="F221" s="27" t="n">
        <f aca="false">ROUND(MAX(0,F220*(1+F$8)-AB221),2)</f>
        <v>0</v>
      </c>
      <c r="G221" s="27" t="n">
        <f aca="false">ROUND(MAX(0,G220*(1+G$8)-AC221),2)</f>
        <v>0</v>
      </c>
      <c r="H221" s="27" t="n">
        <f aca="false">ROUND(MAX(0,H220*(1+H$8)-AD221),2)</f>
        <v>0</v>
      </c>
      <c r="I221" s="27" t="n">
        <f aca="false">ROUND(MAX(0,I220*(1+I$8)-AE221),2)</f>
        <v>0</v>
      </c>
      <c r="J221" s="27" t="n">
        <f aca="false">ROUND(MAX(0,J220*(1+J$8)-AF221),2)</f>
        <v>0</v>
      </c>
      <c r="K221" s="27" t="n">
        <f aca="false">ROUND(MAX(0,K220*(1+K$8)-AG221),2)</f>
        <v>0</v>
      </c>
      <c r="L221" s="30" t="n">
        <f aca="false">SUM(B221:K221)</f>
        <v>0</v>
      </c>
      <c r="M221" s="27" t="n">
        <f aca="false">SUMPRODUCT(B220:K220,$B$8:$K$8)</f>
        <v>0</v>
      </c>
      <c r="N221" s="27" t="n">
        <f aca="false">MIN(B220*(1+B$8),B$9)</f>
        <v>0</v>
      </c>
      <c r="O221" s="27" t="n">
        <f aca="false">MIN(C220*(1+C$8),C$9)</f>
        <v>0</v>
      </c>
      <c r="P221" s="27" t="n">
        <f aca="false">MIN(D220*(1+D$8),D$9)</f>
        <v>0</v>
      </c>
      <c r="Q221" s="27" t="n">
        <f aca="false">MIN(E220*(1+E$8),E$9)</f>
        <v>0</v>
      </c>
      <c r="R221" s="27" t="n">
        <f aca="false">MIN(F220*(1+F$8),F$9)</f>
        <v>0</v>
      </c>
      <c r="S221" s="27" t="n">
        <f aca="false">MIN(G220*(1+G$8),G$9)</f>
        <v>0</v>
      </c>
      <c r="T221" s="27" t="n">
        <f aca="false">MIN(H220*(1+H$8),H$9)</f>
        <v>0</v>
      </c>
      <c r="U221" s="27" t="n">
        <f aca="false">MIN(I220*(1+I$8),I$9)</f>
        <v>0</v>
      </c>
      <c r="V221" s="27" t="n">
        <f aca="false">MIN(J220*(1+J$8),J$9)</f>
        <v>0</v>
      </c>
      <c r="W221" s="27" t="n">
        <f aca="false">MIN(K220*(1+K$8),K$9)</f>
        <v>0</v>
      </c>
      <c r="X221" s="27" t="n">
        <f aca="false">MIN(B220*(1+B$8),MAX(N221,$B$11-SUM(O221:W221)))</f>
        <v>0</v>
      </c>
      <c r="Y221" s="27" t="n">
        <f aca="false">MIN(C220*(1+C$8),MAX(O221,$B$11-SUM(X221:X221)-SUM(P221:W221)))</f>
        <v>0</v>
      </c>
      <c r="Z221" s="27" t="n">
        <f aca="false">MIN(D220*(1+D$8),MAX(P221,$B$11-SUM(X221:Y221)-SUM(Q221:W221)))</f>
        <v>0</v>
      </c>
      <c r="AA221" s="27" t="n">
        <f aca="false">MIN(E220*(1+E$8),MAX(Q221,$B$11-SUM(X221:Z221)-SUM(R221:W221)))</f>
        <v>0</v>
      </c>
      <c r="AB221" s="27" t="n">
        <f aca="false">MIN(F220*(1+F$8),MAX(R221,$B$11-SUM(X221:AA221)-SUM(S221:W221)))</f>
        <v>0</v>
      </c>
      <c r="AC221" s="27" t="n">
        <f aca="false">MIN(G220*(1+G$8),MAX(S221,$B$11-SUM(X221:AB221)-SUM(T221:W221)))</f>
        <v>0</v>
      </c>
      <c r="AD221" s="27" t="n">
        <f aca="false">MIN(H220*(1+H$8),MAX(T221,$B$11-SUM(X221:AC221)-SUM(U221:W221)))</f>
        <v>0</v>
      </c>
      <c r="AE221" s="27" t="n">
        <f aca="false">MIN(I220*(1+I$8),MAX(U221,$B$11-SUM(X221:AD221)-SUM(V221:W221)))</f>
        <v>0</v>
      </c>
      <c r="AF221" s="27" t="n">
        <f aca="false">MIN(J220*(1+J$8),MAX(V221,$B$11-SUM(X221:AE221)-SUM(W221:W221)))</f>
        <v>0</v>
      </c>
      <c r="AG221" s="27" t="n">
        <f aca="false">MIN(K220*(1+K$8),MAX(W221,$B$11-SUM(X221:AF221)))</f>
        <v>0</v>
      </c>
      <c r="AI221" s="27" t="n">
        <f aca="false">ROUND(MAX(0,AI220*(1+B$8)-BE221),2)</f>
        <v>0</v>
      </c>
      <c r="AJ221" s="27" t="n">
        <f aca="false">ROUND(MAX(0,AJ220*(1+C$8)-BF221),2)</f>
        <v>0</v>
      </c>
      <c r="AK221" s="27" t="n">
        <f aca="false">ROUND(MAX(0,AK220*(1+D$8)-BG221),2)</f>
        <v>0</v>
      </c>
      <c r="AL221" s="27" t="n">
        <f aca="false">ROUND(MAX(0,AL220*(1+E$8)-BH221),2)</f>
        <v>0</v>
      </c>
      <c r="AM221" s="27" t="n">
        <f aca="false">ROUND(MAX(0,AM220*(1+F$8)-BI221),2)</f>
        <v>0</v>
      </c>
      <c r="AN221" s="27" t="n">
        <f aca="false">ROUND(MAX(0,AN220*(1+G$8)-BJ221),2)</f>
        <v>0</v>
      </c>
      <c r="AO221" s="27" t="n">
        <f aca="false">ROUND(MAX(0,AO220*(1+H$8)-BK221),2)</f>
        <v>0</v>
      </c>
      <c r="AP221" s="27" t="n">
        <f aca="false">ROUND(MAX(0,AP220*(1+I$8)-BL221),2)</f>
        <v>0</v>
      </c>
      <c r="AQ221" s="27" t="n">
        <f aca="false">ROUND(MAX(0,AQ220*(1+J$8)-BM221),2)</f>
        <v>0</v>
      </c>
      <c r="AR221" s="27" t="n">
        <f aca="false">ROUND(MAX(0,AR220*(1+K$8)-BN221),2)</f>
        <v>0</v>
      </c>
      <c r="AS221" s="27" t="n">
        <f aca="false">SUM(AI221:AR221)</f>
        <v>0</v>
      </c>
      <c r="AT221" s="27" t="n">
        <f aca="false">SUMPRODUCT(AI220:AR220,$B$8:$K$8)</f>
        <v>0</v>
      </c>
      <c r="AU221" s="27" t="n">
        <f aca="false">MIN(AI220*(1+B$8),B$9)</f>
        <v>0</v>
      </c>
      <c r="AV221" s="27" t="n">
        <f aca="false">MIN(AJ220*(1+C$8),C$9)</f>
        <v>0</v>
      </c>
      <c r="AW221" s="27" t="n">
        <f aca="false">MIN(AK220*(1+D$8),D$9)</f>
        <v>0</v>
      </c>
      <c r="AX221" s="27" t="n">
        <f aca="false">MIN(AL220*(1+E$8),E$9)</f>
        <v>0</v>
      </c>
      <c r="AY221" s="27" t="n">
        <f aca="false">MIN(AM220*(1+F$8),F$9)</f>
        <v>0</v>
      </c>
      <c r="AZ221" s="27" t="n">
        <f aca="false">MIN(AN220*(1+G$8),G$9)</f>
        <v>0</v>
      </c>
      <c r="BA221" s="27" t="n">
        <f aca="false">MIN(AO220*(1+H$8),H$9)</f>
        <v>0</v>
      </c>
      <c r="BB221" s="27" t="n">
        <f aca="false">MIN(AP220*(1+I$8),I$9)</f>
        <v>0</v>
      </c>
      <c r="BC221" s="27" t="n">
        <f aca="false">MIN(AQ220*(1+J$8),J$9)</f>
        <v>0</v>
      </c>
      <c r="BD221" s="27" t="n">
        <f aca="false">MIN(AR220*(1+K$8),K$9)</f>
        <v>0</v>
      </c>
      <c r="BE221" s="27" t="n">
        <f aca="false">MIN(AI220*(1+B$8),MAX(AU221,$B$12-SUM(AV221:BD221)))</f>
        <v>0</v>
      </c>
      <c r="BF221" s="27" t="n">
        <f aca="false">MIN(AJ220*(1+C$8),MAX(AV221,$B$12-SUM(BE221:BE221)-SUM(AW221:BD221)))</f>
        <v>0</v>
      </c>
      <c r="BG221" s="27" t="n">
        <f aca="false">MIN(AK220*(1+D$8),MAX(AW221,$B$12-SUM(BE221:BF221)-SUM(AX221:BD221)))</f>
        <v>0</v>
      </c>
      <c r="BH221" s="27" t="n">
        <f aca="false">MIN(AL220*(1+E$8),MAX(AX221,$B$12-SUM(BE221:BG221)-SUM(AY221:BD221)))</f>
        <v>0</v>
      </c>
      <c r="BI221" s="27" t="n">
        <f aca="false">MIN(AM220*(1+F$8),MAX(AY221,$B$12-SUM(BE221:BH221)-SUM(AZ221:BD221)))</f>
        <v>0</v>
      </c>
      <c r="BJ221" s="27" t="n">
        <f aca="false">MIN(AN220*(1+G$8),MAX(AZ221,$B$12-SUM(BE221:BI221)-SUM(BA221:BD221)))</f>
        <v>0</v>
      </c>
      <c r="BK221" s="27" t="n">
        <f aca="false">MIN(AO220*(1+H$8),MAX(BA221,$B$12-SUM(BE221:BJ221)-SUM(BB221:BD221)))</f>
        <v>0</v>
      </c>
      <c r="BL221" s="27" t="n">
        <f aca="false">MIN(AP220*(1+I$8),MAX(BB221,$B$12-SUM(BE221:BK221)-SUM(BC221:BD221)))</f>
        <v>0</v>
      </c>
      <c r="BM221" s="27" t="n">
        <f aca="false">MIN(AQ220*(1+J$8),MAX(BC221,$B$12-SUM(BE221:BL221)-SUM(BD221:BD221)))</f>
        <v>0</v>
      </c>
      <c r="BN221" s="27" t="n">
        <f aca="false">MIN(AR220*(1+K$8),MAX(BD221,$B$12-SUM(BE221:BM221)))</f>
        <v>0</v>
      </c>
    </row>
    <row r="222" customFormat="false" ht="15" hidden="false" customHeight="false" outlineLevel="0" collapsed="false">
      <c r="A222" s="0" t="n">
        <v>208</v>
      </c>
      <c r="B222" s="27" t="n">
        <f aca="false">ROUND(MAX(0,B221*(1+B$8)-X222),2)</f>
        <v>0</v>
      </c>
      <c r="C222" s="27" t="n">
        <f aca="false">ROUND(MAX(0,C221*(1+C$8)-Y222),2)</f>
        <v>0</v>
      </c>
      <c r="D222" s="27" t="n">
        <f aca="false">ROUND(MAX(0,D221*(1+D$8)-Z222),2)</f>
        <v>0</v>
      </c>
      <c r="E222" s="27" t="n">
        <f aca="false">ROUND(MAX(0,E221*(1+E$8)-AA222),2)</f>
        <v>0</v>
      </c>
      <c r="F222" s="27" t="n">
        <f aca="false">ROUND(MAX(0,F221*(1+F$8)-AB222),2)</f>
        <v>0</v>
      </c>
      <c r="G222" s="27" t="n">
        <f aca="false">ROUND(MAX(0,G221*(1+G$8)-AC222),2)</f>
        <v>0</v>
      </c>
      <c r="H222" s="27" t="n">
        <f aca="false">ROUND(MAX(0,H221*(1+H$8)-AD222),2)</f>
        <v>0</v>
      </c>
      <c r="I222" s="27" t="n">
        <f aca="false">ROUND(MAX(0,I221*(1+I$8)-AE222),2)</f>
        <v>0</v>
      </c>
      <c r="J222" s="27" t="n">
        <f aca="false">ROUND(MAX(0,J221*(1+J$8)-AF222),2)</f>
        <v>0</v>
      </c>
      <c r="K222" s="27" t="n">
        <f aca="false">ROUND(MAX(0,K221*(1+K$8)-AG222),2)</f>
        <v>0</v>
      </c>
      <c r="L222" s="30" t="n">
        <f aca="false">SUM(B222:K222)</f>
        <v>0</v>
      </c>
      <c r="M222" s="27" t="n">
        <f aca="false">SUMPRODUCT(B221:K221,$B$8:$K$8)</f>
        <v>0</v>
      </c>
      <c r="N222" s="27" t="n">
        <f aca="false">MIN(B221*(1+B$8),B$9)</f>
        <v>0</v>
      </c>
      <c r="O222" s="27" t="n">
        <f aca="false">MIN(C221*(1+C$8),C$9)</f>
        <v>0</v>
      </c>
      <c r="P222" s="27" t="n">
        <f aca="false">MIN(D221*(1+D$8),D$9)</f>
        <v>0</v>
      </c>
      <c r="Q222" s="27" t="n">
        <f aca="false">MIN(E221*(1+E$8),E$9)</f>
        <v>0</v>
      </c>
      <c r="R222" s="27" t="n">
        <f aca="false">MIN(F221*(1+F$8),F$9)</f>
        <v>0</v>
      </c>
      <c r="S222" s="27" t="n">
        <f aca="false">MIN(G221*(1+G$8),G$9)</f>
        <v>0</v>
      </c>
      <c r="T222" s="27" t="n">
        <f aca="false">MIN(H221*(1+H$8),H$9)</f>
        <v>0</v>
      </c>
      <c r="U222" s="27" t="n">
        <f aca="false">MIN(I221*(1+I$8),I$9)</f>
        <v>0</v>
      </c>
      <c r="V222" s="27" t="n">
        <f aca="false">MIN(J221*(1+J$8),J$9)</f>
        <v>0</v>
      </c>
      <c r="W222" s="27" t="n">
        <f aca="false">MIN(K221*(1+K$8),K$9)</f>
        <v>0</v>
      </c>
      <c r="X222" s="27" t="n">
        <f aca="false">MIN(B221*(1+B$8),MAX(N222,$B$11-SUM(O222:W222)))</f>
        <v>0</v>
      </c>
      <c r="Y222" s="27" t="n">
        <f aca="false">MIN(C221*(1+C$8),MAX(O222,$B$11-SUM(X222:X222)-SUM(P222:W222)))</f>
        <v>0</v>
      </c>
      <c r="Z222" s="27" t="n">
        <f aca="false">MIN(D221*(1+D$8),MAX(P222,$B$11-SUM(X222:Y222)-SUM(Q222:W222)))</f>
        <v>0</v>
      </c>
      <c r="AA222" s="27" t="n">
        <f aca="false">MIN(E221*(1+E$8),MAX(Q222,$B$11-SUM(X222:Z222)-SUM(R222:W222)))</f>
        <v>0</v>
      </c>
      <c r="AB222" s="27" t="n">
        <f aca="false">MIN(F221*(1+F$8),MAX(R222,$B$11-SUM(X222:AA222)-SUM(S222:W222)))</f>
        <v>0</v>
      </c>
      <c r="AC222" s="27" t="n">
        <f aca="false">MIN(G221*(1+G$8),MAX(S222,$B$11-SUM(X222:AB222)-SUM(T222:W222)))</f>
        <v>0</v>
      </c>
      <c r="AD222" s="27" t="n">
        <f aca="false">MIN(H221*(1+H$8),MAX(T222,$B$11-SUM(X222:AC222)-SUM(U222:W222)))</f>
        <v>0</v>
      </c>
      <c r="AE222" s="27" t="n">
        <f aca="false">MIN(I221*(1+I$8),MAX(U222,$B$11-SUM(X222:AD222)-SUM(V222:W222)))</f>
        <v>0</v>
      </c>
      <c r="AF222" s="27" t="n">
        <f aca="false">MIN(J221*(1+J$8),MAX(V222,$B$11-SUM(X222:AE222)-SUM(W222:W222)))</f>
        <v>0</v>
      </c>
      <c r="AG222" s="27" t="n">
        <f aca="false">MIN(K221*(1+K$8),MAX(W222,$B$11-SUM(X222:AF222)))</f>
        <v>0</v>
      </c>
      <c r="AI222" s="27" t="n">
        <f aca="false">ROUND(MAX(0,AI221*(1+B$8)-BE222),2)</f>
        <v>0</v>
      </c>
      <c r="AJ222" s="27" t="n">
        <f aca="false">ROUND(MAX(0,AJ221*(1+C$8)-BF222),2)</f>
        <v>0</v>
      </c>
      <c r="AK222" s="27" t="n">
        <f aca="false">ROUND(MAX(0,AK221*(1+D$8)-BG222),2)</f>
        <v>0</v>
      </c>
      <c r="AL222" s="27" t="n">
        <f aca="false">ROUND(MAX(0,AL221*(1+E$8)-BH222),2)</f>
        <v>0</v>
      </c>
      <c r="AM222" s="27" t="n">
        <f aca="false">ROUND(MAX(0,AM221*(1+F$8)-BI222),2)</f>
        <v>0</v>
      </c>
      <c r="AN222" s="27" t="n">
        <f aca="false">ROUND(MAX(0,AN221*(1+G$8)-BJ222),2)</f>
        <v>0</v>
      </c>
      <c r="AO222" s="27" t="n">
        <f aca="false">ROUND(MAX(0,AO221*(1+H$8)-BK222),2)</f>
        <v>0</v>
      </c>
      <c r="AP222" s="27" t="n">
        <f aca="false">ROUND(MAX(0,AP221*(1+I$8)-BL222),2)</f>
        <v>0</v>
      </c>
      <c r="AQ222" s="27" t="n">
        <f aca="false">ROUND(MAX(0,AQ221*(1+J$8)-BM222),2)</f>
        <v>0</v>
      </c>
      <c r="AR222" s="27" t="n">
        <f aca="false">ROUND(MAX(0,AR221*(1+K$8)-BN222),2)</f>
        <v>0</v>
      </c>
      <c r="AS222" s="27" t="n">
        <f aca="false">SUM(AI222:AR222)</f>
        <v>0</v>
      </c>
      <c r="AT222" s="27" t="n">
        <f aca="false">SUMPRODUCT(AI221:AR221,$B$8:$K$8)</f>
        <v>0</v>
      </c>
      <c r="AU222" s="27" t="n">
        <f aca="false">MIN(AI221*(1+B$8),B$9)</f>
        <v>0</v>
      </c>
      <c r="AV222" s="27" t="n">
        <f aca="false">MIN(AJ221*(1+C$8),C$9)</f>
        <v>0</v>
      </c>
      <c r="AW222" s="27" t="n">
        <f aca="false">MIN(AK221*(1+D$8),D$9)</f>
        <v>0</v>
      </c>
      <c r="AX222" s="27" t="n">
        <f aca="false">MIN(AL221*(1+E$8),E$9)</f>
        <v>0</v>
      </c>
      <c r="AY222" s="27" t="n">
        <f aca="false">MIN(AM221*(1+F$8),F$9)</f>
        <v>0</v>
      </c>
      <c r="AZ222" s="27" t="n">
        <f aca="false">MIN(AN221*(1+G$8),G$9)</f>
        <v>0</v>
      </c>
      <c r="BA222" s="27" t="n">
        <f aca="false">MIN(AO221*(1+H$8),H$9)</f>
        <v>0</v>
      </c>
      <c r="BB222" s="27" t="n">
        <f aca="false">MIN(AP221*(1+I$8),I$9)</f>
        <v>0</v>
      </c>
      <c r="BC222" s="27" t="n">
        <f aca="false">MIN(AQ221*(1+J$8),J$9)</f>
        <v>0</v>
      </c>
      <c r="BD222" s="27" t="n">
        <f aca="false">MIN(AR221*(1+K$8),K$9)</f>
        <v>0</v>
      </c>
      <c r="BE222" s="27" t="n">
        <f aca="false">MIN(AI221*(1+B$8),MAX(AU222,$B$12-SUM(AV222:BD222)))</f>
        <v>0</v>
      </c>
      <c r="BF222" s="27" t="n">
        <f aca="false">MIN(AJ221*(1+C$8),MAX(AV222,$B$12-SUM(BE222:BE222)-SUM(AW222:BD222)))</f>
        <v>0</v>
      </c>
      <c r="BG222" s="27" t="n">
        <f aca="false">MIN(AK221*(1+D$8),MAX(AW222,$B$12-SUM(BE222:BF222)-SUM(AX222:BD222)))</f>
        <v>0</v>
      </c>
      <c r="BH222" s="27" t="n">
        <f aca="false">MIN(AL221*(1+E$8),MAX(AX222,$B$12-SUM(BE222:BG222)-SUM(AY222:BD222)))</f>
        <v>0</v>
      </c>
      <c r="BI222" s="27" t="n">
        <f aca="false">MIN(AM221*(1+F$8),MAX(AY222,$B$12-SUM(BE222:BH222)-SUM(AZ222:BD222)))</f>
        <v>0</v>
      </c>
      <c r="BJ222" s="27" t="n">
        <f aca="false">MIN(AN221*(1+G$8),MAX(AZ222,$B$12-SUM(BE222:BI222)-SUM(BA222:BD222)))</f>
        <v>0</v>
      </c>
      <c r="BK222" s="27" t="n">
        <f aca="false">MIN(AO221*(1+H$8),MAX(BA222,$B$12-SUM(BE222:BJ222)-SUM(BB222:BD222)))</f>
        <v>0</v>
      </c>
      <c r="BL222" s="27" t="n">
        <f aca="false">MIN(AP221*(1+I$8),MAX(BB222,$B$12-SUM(BE222:BK222)-SUM(BC222:BD222)))</f>
        <v>0</v>
      </c>
      <c r="BM222" s="27" t="n">
        <f aca="false">MIN(AQ221*(1+J$8),MAX(BC222,$B$12-SUM(BE222:BL222)-SUM(BD222:BD222)))</f>
        <v>0</v>
      </c>
      <c r="BN222" s="27" t="n">
        <f aca="false">MIN(AR221*(1+K$8),MAX(BD222,$B$12-SUM(BE222:BM222)))</f>
        <v>0</v>
      </c>
    </row>
    <row r="223" customFormat="false" ht="15" hidden="false" customHeight="false" outlineLevel="0" collapsed="false">
      <c r="A223" s="0" t="n">
        <v>209</v>
      </c>
      <c r="B223" s="27" t="n">
        <f aca="false">ROUND(MAX(0,B222*(1+B$8)-X223),2)</f>
        <v>0</v>
      </c>
      <c r="C223" s="27" t="n">
        <f aca="false">ROUND(MAX(0,C222*(1+C$8)-Y223),2)</f>
        <v>0</v>
      </c>
      <c r="D223" s="27" t="n">
        <f aca="false">ROUND(MAX(0,D222*(1+D$8)-Z223),2)</f>
        <v>0</v>
      </c>
      <c r="E223" s="27" t="n">
        <f aca="false">ROUND(MAX(0,E222*(1+E$8)-AA223),2)</f>
        <v>0</v>
      </c>
      <c r="F223" s="27" t="n">
        <f aca="false">ROUND(MAX(0,F222*(1+F$8)-AB223),2)</f>
        <v>0</v>
      </c>
      <c r="G223" s="27" t="n">
        <f aca="false">ROUND(MAX(0,G222*(1+G$8)-AC223),2)</f>
        <v>0</v>
      </c>
      <c r="H223" s="27" t="n">
        <f aca="false">ROUND(MAX(0,H222*(1+H$8)-AD223),2)</f>
        <v>0</v>
      </c>
      <c r="I223" s="27" t="n">
        <f aca="false">ROUND(MAX(0,I222*(1+I$8)-AE223),2)</f>
        <v>0</v>
      </c>
      <c r="J223" s="27" t="n">
        <f aca="false">ROUND(MAX(0,J222*(1+J$8)-AF223),2)</f>
        <v>0</v>
      </c>
      <c r="K223" s="27" t="n">
        <f aca="false">ROUND(MAX(0,K222*(1+K$8)-AG223),2)</f>
        <v>0</v>
      </c>
      <c r="L223" s="30" t="n">
        <f aca="false">SUM(B223:K223)</f>
        <v>0</v>
      </c>
      <c r="M223" s="27" t="n">
        <f aca="false">SUMPRODUCT(B222:K222,$B$8:$K$8)</f>
        <v>0</v>
      </c>
      <c r="N223" s="27" t="n">
        <f aca="false">MIN(B222*(1+B$8),B$9)</f>
        <v>0</v>
      </c>
      <c r="O223" s="27" t="n">
        <f aca="false">MIN(C222*(1+C$8),C$9)</f>
        <v>0</v>
      </c>
      <c r="P223" s="27" t="n">
        <f aca="false">MIN(D222*(1+D$8),D$9)</f>
        <v>0</v>
      </c>
      <c r="Q223" s="27" t="n">
        <f aca="false">MIN(E222*(1+E$8),E$9)</f>
        <v>0</v>
      </c>
      <c r="R223" s="27" t="n">
        <f aca="false">MIN(F222*(1+F$8),F$9)</f>
        <v>0</v>
      </c>
      <c r="S223" s="27" t="n">
        <f aca="false">MIN(G222*(1+G$8),G$9)</f>
        <v>0</v>
      </c>
      <c r="T223" s="27" t="n">
        <f aca="false">MIN(H222*(1+H$8),H$9)</f>
        <v>0</v>
      </c>
      <c r="U223" s="27" t="n">
        <f aca="false">MIN(I222*(1+I$8),I$9)</f>
        <v>0</v>
      </c>
      <c r="V223" s="27" t="n">
        <f aca="false">MIN(J222*(1+J$8),J$9)</f>
        <v>0</v>
      </c>
      <c r="W223" s="27" t="n">
        <f aca="false">MIN(K222*(1+K$8),K$9)</f>
        <v>0</v>
      </c>
      <c r="X223" s="27" t="n">
        <f aca="false">MIN(B222*(1+B$8),MAX(N223,$B$11-SUM(O223:W223)))</f>
        <v>0</v>
      </c>
      <c r="Y223" s="27" t="n">
        <f aca="false">MIN(C222*(1+C$8),MAX(O223,$B$11-SUM(X223:X223)-SUM(P223:W223)))</f>
        <v>0</v>
      </c>
      <c r="Z223" s="27" t="n">
        <f aca="false">MIN(D222*(1+D$8),MAX(P223,$B$11-SUM(X223:Y223)-SUM(Q223:W223)))</f>
        <v>0</v>
      </c>
      <c r="AA223" s="27" t="n">
        <f aca="false">MIN(E222*(1+E$8),MAX(Q223,$B$11-SUM(X223:Z223)-SUM(R223:W223)))</f>
        <v>0</v>
      </c>
      <c r="AB223" s="27" t="n">
        <f aca="false">MIN(F222*(1+F$8),MAX(R223,$B$11-SUM(X223:AA223)-SUM(S223:W223)))</f>
        <v>0</v>
      </c>
      <c r="AC223" s="27" t="n">
        <f aca="false">MIN(G222*(1+G$8),MAX(S223,$B$11-SUM(X223:AB223)-SUM(T223:W223)))</f>
        <v>0</v>
      </c>
      <c r="AD223" s="27" t="n">
        <f aca="false">MIN(H222*(1+H$8),MAX(T223,$B$11-SUM(X223:AC223)-SUM(U223:W223)))</f>
        <v>0</v>
      </c>
      <c r="AE223" s="27" t="n">
        <f aca="false">MIN(I222*(1+I$8),MAX(U223,$B$11-SUM(X223:AD223)-SUM(V223:W223)))</f>
        <v>0</v>
      </c>
      <c r="AF223" s="27" t="n">
        <f aca="false">MIN(J222*(1+J$8),MAX(V223,$B$11-SUM(X223:AE223)-SUM(W223:W223)))</f>
        <v>0</v>
      </c>
      <c r="AG223" s="27" t="n">
        <f aca="false">MIN(K222*(1+K$8),MAX(W223,$B$11-SUM(X223:AF223)))</f>
        <v>0</v>
      </c>
      <c r="AI223" s="27" t="n">
        <f aca="false">ROUND(MAX(0,AI222*(1+B$8)-BE223),2)</f>
        <v>0</v>
      </c>
      <c r="AJ223" s="27" t="n">
        <f aca="false">ROUND(MAX(0,AJ222*(1+C$8)-BF223),2)</f>
        <v>0</v>
      </c>
      <c r="AK223" s="27" t="n">
        <f aca="false">ROUND(MAX(0,AK222*(1+D$8)-BG223),2)</f>
        <v>0</v>
      </c>
      <c r="AL223" s="27" t="n">
        <f aca="false">ROUND(MAX(0,AL222*(1+E$8)-BH223),2)</f>
        <v>0</v>
      </c>
      <c r="AM223" s="27" t="n">
        <f aca="false">ROUND(MAX(0,AM222*(1+F$8)-BI223),2)</f>
        <v>0</v>
      </c>
      <c r="AN223" s="27" t="n">
        <f aca="false">ROUND(MAX(0,AN222*(1+G$8)-BJ223),2)</f>
        <v>0</v>
      </c>
      <c r="AO223" s="27" t="n">
        <f aca="false">ROUND(MAX(0,AO222*(1+H$8)-BK223),2)</f>
        <v>0</v>
      </c>
      <c r="AP223" s="27" t="n">
        <f aca="false">ROUND(MAX(0,AP222*(1+I$8)-BL223),2)</f>
        <v>0</v>
      </c>
      <c r="AQ223" s="27" t="n">
        <f aca="false">ROUND(MAX(0,AQ222*(1+J$8)-BM223),2)</f>
        <v>0</v>
      </c>
      <c r="AR223" s="27" t="n">
        <f aca="false">ROUND(MAX(0,AR222*(1+K$8)-BN223),2)</f>
        <v>0</v>
      </c>
      <c r="AS223" s="27" t="n">
        <f aca="false">SUM(AI223:AR223)</f>
        <v>0</v>
      </c>
      <c r="AT223" s="27" t="n">
        <f aca="false">SUMPRODUCT(AI222:AR222,$B$8:$K$8)</f>
        <v>0</v>
      </c>
      <c r="AU223" s="27" t="n">
        <f aca="false">MIN(AI222*(1+B$8),B$9)</f>
        <v>0</v>
      </c>
      <c r="AV223" s="27" t="n">
        <f aca="false">MIN(AJ222*(1+C$8),C$9)</f>
        <v>0</v>
      </c>
      <c r="AW223" s="27" t="n">
        <f aca="false">MIN(AK222*(1+D$8),D$9)</f>
        <v>0</v>
      </c>
      <c r="AX223" s="27" t="n">
        <f aca="false">MIN(AL222*(1+E$8),E$9)</f>
        <v>0</v>
      </c>
      <c r="AY223" s="27" t="n">
        <f aca="false">MIN(AM222*(1+F$8),F$9)</f>
        <v>0</v>
      </c>
      <c r="AZ223" s="27" t="n">
        <f aca="false">MIN(AN222*(1+G$8),G$9)</f>
        <v>0</v>
      </c>
      <c r="BA223" s="27" t="n">
        <f aca="false">MIN(AO222*(1+H$8),H$9)</f>
        <v>0</v>
      </c>
      <c r="BB223" s="27" t="n">
        <f aca="false">MIN(AP222*(1+I$8),I$9)</f>
        <v>0</v>
      </c>
      <c r="BC223" s="27" t="n">
        <f aca="false">MIN(AQ222*(1+J$8),J$9)</f>
        <v>0</v>
      </c>
      <c r="BD223" s="27" t="n">
        <f aca="false">MIN(AR222*(1+K$8),K$9)</f>
        <v>0</v>
      </c>
      <c r="BE223" s="27" t="n">
        <f aca="false">MIN(AI222*(1+B$8),MAX(AU223,$B$12-SUM(AV223:BD223)))</f>
        <v>0</v>
      </c>
      <c r="BF223" s="27" t="n">
        <f aca="false">MIN(AJ222*(1+C$8),MAX(AV223,$B$12-SUM(BE223:BE223)-SUM(AW223:BD223)))</f>
        <v>0</v>
      </c>
      <c r="BG223" s="27" t="n">
        <f aca="false">MIN(AK222*(1+D$8),MAX(AW223,$B$12-SUM(BE223:BF223)-SUM(AX223:BD223)))</f>
        <v>0</v>
      </c>
      <c r="BH223" s="27" t="n">
        <f aca="false">MIN(AL222*(1+E$8),MAX(AX223,$B$12-SUM(BE223:BG223)-SUM(AY223:BD223)))</f>
        <v>0</v>
      </c>
      <c r="BI223" s="27" t="n">
        <f aca="false">MIN(AM222*(1+F$8),MAX(AY223,$B$12-SUM(BE223:BH223)-SUM(AZ223:BD223)))</f>
        <v>0</v>
      </c>
      <c r="BJ223" s="27" t="n">
        <f aca="false">MIN(AN222*(1+G$8),MAX(AZ223,$B$12-SUM(BE223:BI223)-SUM(BA223:BD223)))</f>
        <v>0</v>
      </c>
      <c r="BK223" s="27" t="n">
        <f aca="false">MIN(AO222*(1+H$8),MAX(BA223,$B$12-SUM(BE223:BJ223)-SUM(BB223:BD223)))</f>
        <v>0</v>
      </c>
      <c r="BL223" s="27" t="n">
        <f aca="false">MIN(AP222*(1+I$8),MAX(BB223,$B$12-SUM(BE223:BK223)-SUM(BC223:BD223)))</f>
        <v>0</v>
      </c>
      <c r="BM223" s="27" t="n">
        <f aca="false">MIN(AQ222*(1+J$8),MAX(BC223,$B$12-SUM(BE223:BL223)-SUM(BD223:BD223)))</f>
        <v>0</v>
      </c>
      <c r="BN223" s="27" t="n">
        <f aca="false">MIN(AR222*(1+K$8),MAX(BD223,$B$12-SUM(BE223:BM223)))</f>
        <v>0</v>
      </c>
    </row>
    <row r="224" customFormat="false" ht="15" hidden="false" customHeight="false" outlineLevel="0" collapsed="false">
      <c r="A224" s="0" t="n">
        <v>210</v>
      </c>
      <c r="B224" s="27" t="n">
        <f aca="false">ROUND(MAX(0,B223*(1+B$8)-X224),2)</f>
        <v>0</v>
      </c>
      <c r="C224" s="27" t="n">
        <f aca="false">ROUND(MAX(0,C223*(1+C$8)-Y224),2)</f>
        <v>0</v>
      </c>
      <c r="D224" s="27" t="n">
        <f aca="false">ROUND(MAX(0,D223*(1+D$8)-Z224),2)</f>
        <v>0</v>
      </c>
      <c r="E224" s="27" t="n">
        <f aca="false">ROUND(MAX(0,E223*(1+E$8)-AA224),2)</f>
        <v>0</v>
      </c>
      <c r="F224" s="27" t="n">
        <f aca="false">ROUND(MAX(0,F223*(1+F$8)-AB224),2)</f>
        <v>0</v>
      </c>
      <c r="G224" s="27" t="n">
        <f aca="false">ROUND(MAX(0,G223*(1+G$8)-AC224),2)</f>
        <v>0</v>
      </c>
      <c r="H224" s="27" t="n">
        <f aca="false">ROUND(MAX(0,H223*(1+H$8)-AD224),2)</f>
        <v>0</v>
      </c>
      <c r="I224" s="27" t="n">
        <f aca="false">ROUND(MAX(0,I223*(1+I$8)-AE224),2)</f>
        <v>0</v>
      </c>
      <c r="J224" s="27" t="n">
        <f aca="false">ROUND(MAX(0,J223*(1+J$8)-AF224),2)</f>
        <v>0</v>
      </c>
      <c r="K224" s="27" t="n">
        <f aca="false">ROUND(MAX(0,K223*(1+K$8)-AG224),2)</f>
        <v>0</v>
      </c>
      <c r="L224" s="30" t="n">
        <f aca="false">SUM(B224:K224)</f>
        <v>0</v>
      </c>
      <c r="M224" s="27" t="n">
        <f aca="false">SUMPRODUCT(B223:K223,$B$8:$K$8)</f>
        <v>0</v>
      </c>
      <c r="N224" s="27" t="n">
        <f aca="false">MIN(B223*(1+B$8),B$9)</f>
        <v>0</v>
      </c>
      <c r="O224" s="27" t="n">
        <f aca="false">MIN(C223*(1+C$8),C$9)</f>
        <v>0</v>
      </c>
      <c r="P224" s="27" t="n">
        <f aca="false">MIN(D223*(1+D$8),D$9)</f>
        <v>0</v>
      </c>
      <c r="Q224" s="27" t="n">
        <f aca="false">MIN(E223*(1+E$8),E$9)</f>
        <v>0</v>
      </c>
      <c r="R224" s="27" t="n">
        <f aca="false">MIN(F223*(1+F$8),F$9)</f>
        <v>0</v>
      </c>
      <c r="S224" s="27" t="n">
        <f aca="false">MIN(G223*(1+G$8),G$9)</f>
        <v>0</v>
      </c>
      <c r="T224" s="27" t="n">
        <f aca="false">MIN(H223*(1+H$8),H$9)</f>
        <v>0</v>
      </c>
      <c r="U224" s="27" t="n">
        <f aca="false">MIN(I223*(1+I$8),I$9)</f>
        <v>0</v>
      </c>
      <c r="V224" s="27" t="n">
        <f aca="false">MIN(J223*(1+J$8),J$9)</f>
        <v>0</v>
      </c>
      <c r="W224" s="27" t="n">
        <f aca="false">MIN(K223*(1+K$8),K$9)</f>
        <v>0</v>
      </c>
      <c r="X224" s="27" t="n">
        <f aca="false">MIN(B223*(1+B$8),MAX(N224,$B$11-SUM(O224:W224)))</f>
        <v>0</v>
      </c>
      <c r="Y224" s="27" t="n">
        <f aca="false">MIN(C223*(1+C$8),MAX(O224,$B$11-SUM(X224:X224)-SUM(P224:W224)))</f>
        <v>0</v>
      </c>
      <c r="Z224" s="27" t="n">
        <f aca="false">MIN(D223*(1+D$8),MAX(P224,$B$11-SUM(X224:Y224)-SUM(Q224:W224)))</f>
        <v>0</v>
      </c>
      <c r="AA224" s="27" t="n">
        <f aca="false">MIN(E223*(1+E$8),MAX(Q224,$B$11-SUM(X224:Z224)-SUM(R224:W224)))</f>
        <v>0</v>
      </c>
      <c r="AB224" s="27" t="n">
        <f aca="false">MIN(F223*(1+F$8),MAX(R224,$B$11-SUM(X224:AA224)-SUM(S224:W224)))</f>
        <v>0</v>
      </c>
      <c r="AC224" s="27" t="n">
        <f aca="false">MIN(G223*(1+G$8),MAX(S224,$B$11-SUM(X224:AB224)-SUM(T224:W224)))</f>
        <v>0</v>
      </c>
      <c r="AD224" s="27" t="n">
        <f aca="false">MIN(H223*(1+H$8),MAX(T224,$B$11-SUM(X224:AC224)-SUM(U224:W224)))</f>
        <v>0</v>
      </c>
      <c r="AE224" s="27" t="n">
        <f aca="false">MIN(I223*(1+I$8),MAX(U224,$B$11-SUM(X224:AD224)-SUM(V224:W224)))</f>
        <v>0</v>
      </c>
      <c r="AF224" s="27" t="n">
        <f aca="false">MIN(J223*(1+J$8),MAX(V224,$B$11-SUM(X224:AE224)-SUM(W224:W224)))</f>
        <v>0</v>
      </c>
      <c r="AG224" s="27" t="n">
        <f aca="false">MIN(K223*(1+K$8),MAX(W224,$B$11-SUM(X224:AF224)))</f>
        <v>0</v>
      </c>
      <c r="AI224" s="27" t="n">
        <f aca="false">ROUND(MAX(0,AI223*(1+B$8)-BE224),2)</f>
        <v>0</v>
      </c>
      <c r="AJ224" s="27" t="n">
        <f aca="false">ROUND(MAX(0,AJ223*(1+C$8)-BF224),2)</f>
        <v>0</v>
      </c>
      <c r="AK224" s="27" t="n">
        <f aca="false">ROUND(MAX(0,AK223*(1+D$8)-BG224),2)</f>
        <v>0</v>
      </c>
      <c r="AL224" s="27" t="n">
        <f aca="false">ROUND(MAX(0,AL223*(1+E$8)-BH224),2)</f>
        <v>0</v>
      </c>
      <c r="AM224" s="27" t="n">
        <f aca="false">ROUND(MAX(0,AM223*(1+F$8)-BI224),2)</f>
        <v>0</v>
      </c>
      <c r="AN224" s="27" t="n">
        <f aca="false">ROUND(MAX(0,AN223*(1+G$8)-BJ224),2)</f>
        <v>0</v>
      </c>
      <c r="AO224" s="27" t="n">
        <f aca="false">ROUND(MAX(0,AO223*(1+H$8)-BK224),2)</f>
        <v>0</v>
      </c>
      <c r="AP224" s="27" t="n">
        <f aca="false">ROUND(MAX(0,AP223*(1+I$8)-BL224),2)</f>
        <v>0</v>
      </c>
      <c r="AQ224" s="27" t="n">
        <f aca="false">ROUND(MAX(0,AQ223*(1+J$8)-BM224),2)</f>
        <v>0</v>
      </c>
      <c r="AR224" s="27" t="n">
        <f aca="false">ROUND(MAX(0,AR223*(1+K$8)-BN224),2)</f>
        <v>0</v>
      </c>
      <c r="AS224" s="27" t="n">
        <f aca="false">SUM(AI224:AR224)</f>
        <v>0</v>
      </c>
      <c r="AT224" s="27" t="n">
        <f aca="false">SUMPRODUCT(AI223:AR223,$B$8:$K$8)</f>
        <v>0</v>
      </c>
      <c r="AU224" s="27" t="n">
        <f aca="false">MIN(AI223*(1+B$8),B$9)</f>
        <v>0</v>
      </c>
      <c r="AV224" s="27" t="n">
        <f aca="false">MIN(AJ223*(1+C$8),C$9)</f>
        <v>0</v>
      </c>
      <c r="AW224" s="27" t="n">
        <f aca="false">MIN(AK223*(1+D$8),D$9)</f>
        <v>0</v>
      </c>
      <c r="AX224" s="27" t="n">
        <f aca="false">MIN(AL223*(1+E$8),E$9)</f>
        <v>0</v>
      </c>
      <c r="AY224" s="27" t="n">
        <f aca="false">MIN(AM223*(1+F$8),F$9)</f>
        <v>0</v>
      </c>
      <c r="AZ224" s="27" t="n">
        <f aca="false">MIN(AN223*(1+G$8),G$9)</f>
        <v>0</v>
      </c>
      <c r="BA224" s="27" t="n">
        <f aca="false">MIN(AO223*(1+H$8),H$9)</f>
        <v>0</v>
      </c>
      <c r="BB224" s="27" t="n">
        <f aca="false">MIN(AP223*(1+I$8),I$9)</f>
        <v>0</v>
      </c>
      <c r="BC224" s="27" t="n">
        <f aca="false">MIN(AQ223*(1+J$8),J$9)</f>
        <v>0</v>
      </c>
      <c r="BD224" s="27" t="n">
        <f aca="false">MIN(AR223*(1+K$8),K$9)</f>
        <v>0</v>
      </c>
      <c r="BE224" s="27" t="n">
        <f aca="false">MIN(AI223*(1+B$8),MAX(AU224,$B$12-SUM(AV224:BD224)))</f>
        <v>0</v>
      </c>
      <c r="BF224" s="27" t="n">
        <f aca="false">MIN(AJ223*(1+C$8),MAX(AV224,$B$12-SUM(BE224:BE224)-SUM(AW224:BD224)))</f>
        <v>0</v>
      </c>
      <c r="BG224" s="27" t="n">
        <f aca="false">MIN(AK223*(1+D$8),MAX(AW224,$B$12-SUM(BE224:BF224)-SUM(AX224:BD224)))</f>
        <v>0</v>
      </c>
      <c r="BH224" s="27" t="n">
        <f aca="false">MIN(AL223*(1+E$8),MAX(AX224,$B$12-SUM(BE224:BG224)-SUM(AY224:BD224)))</f>
        <v>0</v>
      </c>
      <c r="BI224" s="27" t="n">
        <f aca="false">MIN(AM223*(1+F$8),MAX(AY224,$B$12-SUM(BE224:BH224)-SUM(AZ224:BD224)))</f>
        <v>0</v>
      </c>
      <c r="BJ224" s="27" t="n">
        <f aca="false">MIN(AN223*(1+G$8),MAX(AZ224,$B$12-SUM(BE224:BI224)-SUM(BA224:BD224)))</f>
        <v>0</v>
      </c>
      <c r="BK224" s="27" t="n">
        <f aca="false">MIN(AO223*(1+H$8),MAX(BA224,$B$12-SUM(BE224:BJ224)-SUM(BB224:BD224)))</f>
        <v>0</v>
      </c>
      <c r="BL224" s="27" t="n">
        <f aca="false">MIN(AP223*(1+I$8),MAX(BB224,$B$12-SUM(BE224:BK224)-SUM(BC224:BD224)))</f>
        <v>0</v>
      </c>
      <c r="BM224" s="27" t="n">
        <f aca="false">MIN(AQ223*(1+J$8),MAX(BC224,$B$12-SUM(BE224:BL224)-SUM(BD224:BD224)))</f>
        <v>0</v>
      </c>
      <c r="BN224" s="27" t="n">
        <f aca="false">MIN(AR223*(1+K$8),MAX(BD224,$B$12-SUM(BE224:BM224)))</f>
        <v>0</v>
      </c>
    </row>
    <row r="225" customFormat="false" ht="15" hidden="false" customHeight="false" outlineLevel="0" collapsed="false">
      <c r="A225" s="0" t="n">
        <v>211</v>
      </c>
      <c r="B225" s="27" t="n">
        <f aca="false">ROUND(MAX(0,B224*(1+B$8)-X225),2)</f>
        <v>0</v>
      </c>
      <c r="C225" s="27" t="n">
        <f aca="false">ROUND(MAX(0,C224*(1+C$8)-Y225),2)</f>
        <v>0</v>
      </c>
      <c r="D225" s="27" t="n">
        <f aca="false">ROUND(MAX(0,D224*(1+D$8)-Z225),2)</f>
        <v>0</v>
      </c>
      <c r="E225" s="27" t="n">
        <f aca="false">ROUND(MAX(0,E224*(1+E$8)-AA225),2)</f>
        <v>0</v>
      </c>
      <c r="F225" s="27" t="n">
        <f aca="false">ROUND(MAX(0,F224*(1+F$8)-AB225),2)</f>
        <v>0</v>
      </c>
      <c r="G225" s="27" t="n">
        <f aca="false">ROUND(MAX(0,G224*(1+G$8)-AC225),2)</f>
        <v>0</v>
      </c>
      <c r="H225" s="27" t="n">
        <f aca="false">ROUND(MAX(0,H224*(1+H$8)-AD225),2)</f>
        <v>0</v>
      </c>
      <c r="I225" s="27" t="n">
        <f aca="false">ROUND(MAX(0,I224*(1+I$8)-AE225),2)</f>
        <v>0</v>
      </c>
      <c r="J225" s="27" t="n">
        <f aca="false">ROUND(MAX(0,J224*(1+J$8)-AF225),2)</f>
        <v>0</v>
      </c>
      <c r="K225" s="27" t="n">
        <f aca="false">ROUND(MAX(0,K224*(1+K$8)-AG225),2)</f>
        <v>0</v>
      </c>
      <c r="L225" s="30" t="n">
        <f aca="false">SUM(B225:K225)</f>
        <v>0</v>
      </c>
      <c r="M225" s="27" t="n">
        <f aca="false">SUMPRODUCT(B224:K224,$B$8:$K$8)</f>
        <v>0</v>
      </c>
      <c r="N225" s="27" t="n">
        <f aca="false">MIN(B224*(1+B$8),B$9)</f>
        <v>0</v>
      </c>
      <c r="O225" s="27" t="n">
        <f aca="false">MIN(C224*(1+C$8),C$9)</f>
        <v>0</v>
      </c>
      <c r="P225" s="27" t="n">
        <f aca="false">MIN(D224*(1+D$8),D$9)</f>
        <v>0</v>
      </c>
      <c r="Q225" s="27" t="n">
        <f aca="false">MIN(E224*(1+E$8),E$9)</f>
        <v>0</v>
      </c>
      <c r="R225" s="27" t="n">
        <f aca="false">MIN(F224*(1+F$8),F$9)</f>
        <v>0</v>
      </c>
      <c r="S225" s="27" t="n">
        <f aca="false">MIN(G224*(1+G$8),G$9)</f>
        <v>0</v>
      </c>
      <c r="T225" s="27" t="n">
        <f aca="false">MIN(H224*(1+H$8),H$9)</f>
        <v>0</v>
      </c>
      <c r="U225" s="27" t="n">
        <f aca="false">MIN(I224*(1+I$8),I$9)</f>
        <v>0</v>
      </c>
      <c r="V225" s="27" t="n">
        <f aca="false">MIN(J224*(1+J$8),J$9)</f>
        <v>0</v>
      </c>
      <c r="W225" s="27" t="n">
        <f aca="false">MIN(K224*(1+K$8),K$9)</f>
        <v>0</v>
      </c>
      <c r="X225" s="27" t="n">
        <f aca="false">MIN(B224*(1+B$8),MAX(N225,$B$11-SUM(O225:W225)))</f>
        <v>0</v>
      </c>
      <c r="Y225" s="27" t="n">
        <f aca="false">MIN(C224*(1+C$8),MAX(O225,$B$11-SUM(X225:X225)-SUM(P225:W225)))</f>
        <v>0</v>
      </c>
      <c r="Z225" s="27" t="n">
        <f aca="false">MIN(D224*(1+D$8),MAX(P225,$B$11-SUM(X225:Y225)-SUM(Q225:W225)))</f>
        <v>0</v>
      </c>
      <c r="AA225" s="27" t="n">
        <f aca="false">MIN(E224*(1+E$8),MAX(Q225,$B$11-SUM(X225:Z225)-SUM(R225:W225)))</f>
        <v>0</v>
      </c>
      <c r="AB225" s="27" t="n">
        <f aca="false">MIN(F224*(1+F$8),MAX(R225,$B$11-SUM(X225:AA225)-SUM(S225:W225)))</f>
        <v>0</v>
      </c>
      <c r="AC225" s="27" t="n">
        <f aca="false">MIN(G224*(1+G$8),MAX(S225,$B$11-SUM(X225:AB225)-SUM(T225:W225)))</f>
        <v>0</v>
      </c>
      <c r="AD225" s="27" t="n">
        <f aca="false">MIN(H224*(1+H$8),MAX(T225,$B$11-SUM(X225:AC225)-SUM(U225:W225)))</f>
        <v>0</v>
      </c>
      <c r="AE225" s="27" t="n">
        <f aca="false">MIN(I224*(1+I$8),MAX(U225,$B$11-SUM(X225:AD225)-SUM(V225:W225)))</f>
        <v>0</v>
      </c>
      <c r="AF225" s="27" t="n">
        <f aca="false">MIN(J224*(1+J$8),MAX(V225,$B$11-SUM(X225:AE225)-SUM(W225:W225)))</f>
        <v>0</v>
      </c>
      <c r="AG225" s="27" t="n">
        <f aca="false">MIN(K224*(1+K$8),MAX(W225,$B$11-SUM(X225:AF225)))</f>
        <v>0</v>
      </c>
      <c r="AI225" s="27" t="n">
        <f aca="false">ROUND(MAX(0,AI224*(1+B$8)-BE225),2)</f>
        <v>0</v>
      </c>
      <c r="AJ225" s="27" t="n">
        <f aca="false">ROUND(MAX(0,AJ224*(1+C$8)-BF225),2)</f>
        <v>0</v>
      </c>
      <c r="AK225" s="27" t="n">
        <f aca="false">ROUND(MAX(0,AK224*(1+D$8)-BG225),2)</f>
        <v>0</v>
      </c>
      <c r="AL225" s="27" t="n">
        <f aca="false">ROUND(MAX(0,AL224*(1+E$8)-BH225),2)</f>
        <v>0</v>
      </c>
      <c r="AM225" s="27" t="n">
        <f aca="false">ROUND(MAX(0,AM224*(1+F$8)-BI225),2)</f>
        <v>0</v>
      </c>
      <c r="AN225" s="27" t="n">
        <f aca="false">ROUND(MAX(0,AN224*(1+G$8)-BJ225),2)</f>
        <v>0</v>
      </c>
      <c r="AO225" s="27" t="n">
        <f aca="false">ROUND(MAX(0,AO224*(1+H$8)-BK225),2)</f>
        <v>0</v>
      </c>
      <c r="AP225" s="27" t="n">
        <f aca="false">ROUND(MAX(0,AP224*(1+I$8)-BL225),2)</f>
        <v>0</v>
      </c>
      <c r="AQ225" s="27" t="n">
        <f aca="false">ROUND(MAX(0,AQ224*(1+J$8)-BM225),2)</f>
        <v>0</v>
      </c>
      <c r="AR225" s="27" t="n">
        <f aca="false">ROUND(MAX(0,AR224*(1+K$8)-BN225),2)</f>
        <v>0</v>
      </c>
      <c r="AS225" s="27" t="n">
        <f aca="false">SUM(AI225:AR225)</f>
        <v>0</v>
      </c>
      <c r="AT225" s="27" t="n">
        <f aca="false">SUMPRODUCT(AI224:AR224,$B$8:$K$8)</f>
        <v>0</v>
      </c>
      <c r="AU225" s="27" t="n">
        <f aca="false">MIN(AI224*(1+B$8),B$9)</f>
        <v>0</v>
      </c>
      <c r="AV225" s="27" t="n">
        <f aca="false">MIN(AJ224*(1+C$8),C$9)</f>
        <v>0</v>
      </c>
      <c r="AW225" s="27" t="n">
        <f aca="false">MIN(AK224*(1+D$8),D$9)</f>
        <v>0</v>
      </c>
      <c r="AX225" s="27" t="n">
        <f aca="false">MIN(AL224*(1+E$8),E$9)</f>
        <v>0</v>
      </c>
      <c r="AY225" s="27" t="n">
        <f aca="false">MIN(AM224*(1+F$8),F$9)</f>
        <v>0</v>
      </c>
      <c r="AZ225" s="27" t="n">
        <f aca="false">MIN(AN224*(1+G$8),G$9)</f>
        <v>0</v>
      </c>
      <c r="BA225" s="27" t="n">
        <f aca="false">MIN(AO224*(1+H$8),H$9)</f>
        <v>0</v>
      </c>
      <c r="BB225" s="27" t="n">
        <f aca="false">MIN(AP224*(1+I$8),I$9)</f>
        <v>0</v>
      </c>
      <c r="BC225" s="27" t="n">
        <f aca="false">MIN(AQ224*(1+J$8),J$9)</f>
        <v>0</v>
      </c>
      <c r="BD225" s="27" t="n">
        <f aca="false">MIN(AR224*(1+K$8),K$9)</f>
        <v>0</v>
      </c>
      <c r="BE225" s="27" t="n">
        <f aca="false">MIN(AI224*(1+B$8),MAX(AU225,$B$12-SUM(AV225:BD225)))</f>
        <v>0</v>
      </c>
      <c r="BF225" s="27" t="n">
        <f aca="false">MIN(AJ224*(1+C$8),MAX(AV225,$B$12-SUM(BE225:BE225)-SUM(AW225:BD225)))</f>
        <v>0</v>
      </c>
      <c r="BG225" s="27" t="n">
        <f aca="false">MIN(AK224*(1+D$8),MAX(AW225,$B$12-SUM(BE225:BF225)-SUM(AX225:BD225)))</f>
        <v>0</v>
      </c>
      <c r="BH225" s="27" t="n">
        <f aca="false">MIN(AL224*(1+E$8),MAX(AX225,$B$12-SUM(BE225:BG225)-SUM(AY225:BD225)))</f>
        <v>0</v>
      </c>
      <c r="BI225" s="27" t="n">
        <f aca="false">MIN(AM224*(1+F$8),MAX(AY225,$B$12-SUM(BE225:BH225)-SUM(AZ225:BD225)))</f>
        <v>0</v>
      </c>
      <c r="BJ225" s="27" t="n">
        <f aca="false">MIN(AN224*(1+G$8),MAX(AZ225,$B$12-SUM(BE225:BI225)-SUM(BA225:BD225)))</f>
        <v>0</v>
      </c>
      <c r="BK225" s="27" t="n">
        <f aca="false">MIN(AO224*(1+H$8),MAX(BA225,$B$12-SUM(BE225:BJ225)-SUM(BB225:BD225)))</f>
        <v>0</v>
      </c>
      <c r="BL225" s="27" t="n">
        <f aca="false">MIN(AP224*(1+I$8),MAX(BB225,$B$12-SUM(BE225:BK225)-SUM(BC225:BD225)))</f>
        <v>0</v>
      </c>
      <c r="BM225" s="27" t="n">
        <f aca="false">MIN(AQ224*(1+J$8),MAX(BC225,$B$12-SUM(BE225:BL225)-SUM(BD225:BD225)))</f>
        <v>0</v>
      </c>
      <c r="BN225" s="27" t="n">
        <f aca="false">MIN(AR224*(1+K$8),MAX(BD225,$B$12-SUM(BE225:BM225)))</f>
        <v>0</v>
      </c>
    </row>
    <row r="226" customFormat="false" ht="15" hidden="false" customHeight="false" outlineLevel="0" collapsed="false">
      <c r="A226" s="0" t="n">
        <v>212</v>
      </c>
      <c r="B226" s="27" t="n">
        <f aca="false">ROUND(MAX(0,B225*(1+B$8)-X226),2)</f>
        <v>0</v>
      </c>
      <c r="C226" s="27" t="n">
        <f aca="false">ROUND(MAX(0,C225*(1+C$8)-Y226),2)</f>
        <v>0</v>
      </c>
      <c r="D226" s="27" t="n">
        <f aca="false">ROUND(MAX(0,D225*(1+D$8)-Z226),2)</f>
        <v>0</v>
      </c>
      <c r="E226" s="27" t="n">
        <f aca="false">ROUND(MAX(0,E225*(1+E$8)-AA226),2)</f>
        <v>0</v>
      </c>
      <c r="F226" s="27" t="n">
        <f aca="false">ROUND(MAX(0,F225*(1+F$8)-AB226),2)</f>
        <v>0</v>
      </c>
      <c r="G226" s="27" t="n">
        <f aca="false">ROUND(MAX(0,G225*(1+G$8)-AC226),2)</f>
        <v>0</v>
      </c>
      <c r="H226" s="27" t="n">
        <f aca="false">ROUND(MAX(0,H225*(1+H$8)-AD226),2)</f>
        <v>0</v>
      </c>
      <c r="I226" s="27" t="n">
        <f aca="false">ROUND(MAX(0,I225*(1+I$8)-AE226),2)</f>
        <v>0</v>
      </c>
      <c r="J226" s="27" t="n">
        <f aca="false">ROUND(MAX(0,J225*(1+J$8)-AF226),2)</f>
        <v>0</v>
      </c>
      <c r="K226" s="27" t="n">
        <f aca="false">ROUND(MAX(0,K225*(1+K$8)-AG226),2)</f>
        <v>0</v>
      </c>
      <c r="L226" s="30" t="n">
        <f aca="false">SUM(B226:K226)</f>
        <v>0</v>
      </c>
      <c r="M226" s="27" t="n">
        <f aca="false">SUMPRODUCT(B225:K225,$B$8:$K$8)</f>
        <v>0</v>
      </c>
      <c r="N226" s="27" t="n">
        <f aca="false">MIN(B225*(1+B$8),B$9)</f>
        <v>0</v>
      </c>
      <c r="O226" s="27" t="n">
        <f aca="false">MIN(C225*(1+C$8),C$9)</f>
        <v>0</v>
      </c>
      <c r="P226" s="27" t="n">
        <f aca="false">MIN(D225*(1+D$8),D$9)</f>
        <v>0</v>
      </c>
      <c r="Q226" s="27" t="n">
        <f aca="false">MIN(E225*(1+E$8),E$9)</f>
        <v>0</v>
      </c>
      <c r="R226" s="27" t="n">
        <f aca="false">MIN(F225*(1+F$8),F$9)</f>
        <v>0</v>
      </c>
      <c r="S226" s="27" t="n">
        <f aca="false">MIN(G225*(1+G$8),G$9)</f>
        <v>0</v>
      </c>
      <c r="T226" s="27" t="n">
        <f aca="false">MIN(H225*(1+H$8),H$9)</f>
        <v>0</v>
      </c>
      <c r="U226" s="27" t="n">
        <f aca="false">MIN(I225*(1+I$8),I$9)</f>
        <v>0</v>
      </c>
      <c r="V226" s="27" t="n">
        <f aca="false">MIN(J225*(1+J$8),J$9)</f>
        <v>0</v>
      </c>
      <c r="W226" s="27" t="n">
        <f aca="false">MIN(K225*(1+K$8),K$9)</f>
        <v>0</v>
      </c>
      <c r="X226" s="27" t="n">
        <f aca="false">MIN(B225*(1+B$8),MAX(N226,$B$11-SUM(O226:W226)))</f>
        <v>0</v>
      </c>
      <c r="Y226" s="27" t="n">
        <f aca="false">MIN(C225*(1+C$8),MAX(O226,$B$11-SUM(X226:X226)-SUM(P226:W226)))</f>
        <v>0</v>
      </c>
      <c r="Z226" s="27" t="n">
        <f aca="false">MIN(D225*(1+D$8),MAX(P226,$B$11-SUM(X226:Y226)-SUM(Q226:W226)))</f>
        <v>0</v>
      </c>
      <c r="AA226" s="27" t="n">
        <f aca="false">MIN(E225*(1+E$8),MAX(Q226,$B$11-SUM(X226:Z226)-SUM(R226:W226)))</f>
        <v>0</v>
      </c>
      <c r="AB226" s="27" t="n">
        <f aca="false">MIN(F225*(1+F$8),MAX(R226,$B$11-SUM(X226:AA226)-SUM(S226:W226)))</f>
        <v>0</v>
      </c>
      <c r="AC226" s="27" t="n">
        <f aca="false">MIN(G225*(1+G$8),MAX(S226,$B$11-SUM(X226:AB226)-SUM(T226:W226)))</f>
        <v>0</v>
      </c>
      <c r="AD226" s="27" t="n">
        <f aca="false">MIN(H225*(1+H$8),MAX(T226,$B$11-SUM(X226:AC226)-SUM(U226:W226)))</f>
        <v>0</v>
      </c>
      <c r="AE226" s="27" t="n">
        <f aca="false">MIN(I225*(1+I$8),MAX(U226,$B$11-SUM(X226:AD226)-SUM(V226:W226)))</f>
        <v>0</v>
      </c>
      <c r="AF226" s="27" t="n">
        <f aca="false">MIN(J225*(1+J$8),MAX(V226,$B$11-SUM(X226:AE226)-SUM(W226:W226)))</f>
        <v>0</v>
      </c>
      <c r="AG226" s="27" t="n">
        <f aca="false">MIN(K225*(1+K$8),MAX(W226,$B$11-SUM(X226:AF226)))</f>
        <v>0</v>
      </c>
      <c r="AI226" s="27" t="n">
        <f aca="false">ROUND(MAX(0,AI225*(1+B$8)-BE226),2)</f>
        <v>0</v>
      </c>
      <c r="AJ226" s="27" t="n">
        <f aca="false">ROUND(MAX(0,AJ225*(1+C$8)-BF226),2)</f>
        <v>0</v>
      </c>
      <c r="AK226" s="27" t="n">
        <f aca="false">ROUND(MAX(0,AK225*(1+D$8)-BG226),2)</f>
        <v>0</v>
      </c>
      <c r="AL226" s="27" t="n">
        <f aca="false">ROUND(MAX(0,AL225*(1+E$8)-BH226),2)</f>
        <v>0</v>
      </c>
      <c r="AM226" s="27" t="n">
        <f aca="false">ROUND(MAX(0,AM225*(1+F$8)-BI226),2)</f>
        <v>0</v>
      </c>
      <c r="AN226" s="27" t="n">
        <f aca="false">ROUND(MAX(0,AN225*(1+G$8)-BJ226),2)</f>
        <v>0</v>
      </c>
      <c r="AO226" s="27" t="n">
        <f aca="false">ROUND(MAX(0,AO225*(1+H$8)-BK226),2)</f>
        <v>0</v>
      </c>
      <c r="AP226" s="27" t="n">
        <f aca="false">ROUND(MAX(0,AP225*(1+I$8)-BL226),2)</f>
        <v>0</v>
      </c>
      <c r="AQ226" s="27" t="n">
        <f aca="false">ROUND(MAX(0,AQ225*(1+J$8)-BM226),2)</f>
        <v>0</v>
      </c>
      <c r="AR226" s="27" t="n">
        <f aca="false">ROUND(MAX(0,AR225*(1+K$8)-BN226),2)</f>
        <v>0</v>
      </c>
      <c r="AS226" s="27" t="n">
        <f aca="false">SUM(AI226:AR226)</f>
        <v>0</v>
      </c>
      <c r="AT226" s="27" t="n">
        <f aca="false">SUMPRODUCT(AI225:AR225,$B$8:$K$8)</f>
        <v>0</v>
      </c>
      <c r="AU226" s="27" t="n">
        <f aca="false">MIN(AI225*(1+B$8),B$9)</f>
        <v>0</v>
      </c>
      <c r="AV226" s="27" t="n">
        <f aca="false">MIN(AJ225*(1+C$8),C$9)</f>
        <v>0</v>
      </c>
      <c r="AW226" s="27" t="n">
        <f aca="false">MIN(AK225*(1+D$8),D$9)</f>
        <v>0</v>
      </c>
      <c r="AX226" s="27" t="n">
        <f aca="false">MIN(AL225*(1+E$8),E$9)</f>
        <v>0</v>
      </c>
      <c r="AY226" s="27" t="n">
        <f aca="false">MIN(AM225*(1+F$8),F$9)</f>
        <v>0</v>
      </c>
      <c r="AZ226" s="27" t="n">
        <f aca="false">MIN(AN225*(1+G$8),G$9)</f>
        <v>0</v>
      </c>
      <c r="BA226" s="27" t="n">
        <f aca="false">MIN(AO225*(1+H$8),H$9)</f>
        <v>0</v>
      </c>
      <c r="BB226" s="27" t="n">
        <f aca="false">MIN(AP225*(1+I$8),I$9)</f>
        <v>0</v>
      </c>
      <c r="BC226" s="27" t="n">
        <f aca="false">MIN(AQ225*(1+J$8),J$9)</f>
        <v>0</v>
      </c>
      <c r="BD226" s="27" t="n">
        <f aca="false">MIN(AR225*(1+K$8),K$9)</f>
        <v>0</v>
      </c>
      <c r="BE226" s="27" t="n">
        <f aca="false">MIN(AI225*(1+B$8),MAX(AU226,$B$12-SUM(AV226:BD226)))</f>
        <v>0</v>
      </c>
      <c r="BF226" s="27" t="n">
        <f aca="false">MIN(AJ225*(1+C$8),MAX(AV226,$B$12-SUM(BE226:BE226)-SUM(AW226:BD226)))</f>
        <v>0</v>
      </c>
      <c r="BG226" s="27" t="n">
        <f aca="false">MIN(AK225*(1+D$8),MAX(AW226,$B$12-SUM(BE226:BF226)-SUM(AX226:BD226)))</f>
        <v>0</v>
      </c>
      <c r="BH226" s="27" t="n">
        <f aca="false">MIN(AL225*(1+E$8),MAX(AX226,$B$12-SUM(BE226:BG226)-SUM(AY226:BD226)))</f>
        <v>0</v>
      </c>
      <c r="BI226" s="27" t="n">
        <f aca="false">MIN(AM225*(1+F$8),MAX(AY226,$B$12-SUM(BE226:BH226)-SUM(AZ226:BD226)))</f>
        <v>0</v>
      </c>
      <c r="BJ226" s="27" t="n">
        <f aca="false">MIN(AN225*(1+G$8),MAX(AZ226,$B$12-SUM(BE226:BI226)-SUM(BA226:BD226)))</f>
        <v>0</v>
      </c>
      <c r="BK226" s="27" t="n">
        <f aca="false">MIN(AO225*(1+H$8),MAX(BA226,$B$12-SUM(BE226:BJ226)-SUM(BB226:BD226)))</f>
        <v>0</v>
      </c>
      <c r="BL226" s="27" t="n">
        <f aca="false">MIN(AP225*(1+I$8),MAX(BB226,$B$12-SUM(BE226:BK226)-SUM(BC226:BD226)))</f>
        <v>0</v>
      </c>
      <c r="BM226" s="27" t="n">
        <f aca="false">MIN(AQ225*(1+J$8),MAX(BC226,$B$12-SUM(BE226:BL226)-SUM(BD226:BD226)))</f>
        <v>0</v>
      </c>
      <c r="BN226" s="27" t="n">
        <f aca="false">MIN(AR225*(1+K$8),MAX(BD226,$B$12-SUM(BE226:BM226)))</f>
        <v>0</v>
      </c>
    </row>
    <row r="227" customFormat="false" ht="15" hidden="false" customHeight="false" outlineLevel="0" collapsed="false">
      <c r="A227" s="0" t="n">
        <v>213</v>
      </c>
      <c r="B227" s="27" t="n">
        <f aca="false">ROUND(MAX(0,B226*(1+B$8)-X227),2)</f>
        <v>0</v>
      </c>
      <c r="C227" s="27" t="n">
        <f aca="false">ROUND(MAX(0,C226*(1+C$8)-Y227),2)</f>
        <v>0</v>
      </c>
      <c r="D227" s="27" t="n">
        <f aca="false">ROUND(MAX(0,D226*(1+D$8)-Z227),2)</f>
        <v>0</v>
      </c>
      <c r="E227" s="27" t="n">
        <f aca="false">ROUND(MAX(0,E226*(1+E$8)-AA227),2)</f>
        <v>0</v>
      </c>
      <c r="F227" s="27" t="n">
        <f aca="false">ROUND(MAX(0,F226*(1+F$8)-AB227),2)</f>
        <v>0</v>
      </c>
      <c r="G227" s="27" t="n">
        <f aca="false">ROUND(MAX(0,G226*(1+G$8)-AC227),2)</f>
        <v>0</v>
      </c>
      <c r="H227" s="27" t="n">
        <f aca="false">ROUND(MAX(0,H226*(1+H$8)-AD227),2)</f>
        <v>0</v>
      </c>
      <c r="I227" s="27" t="n">
        <f aca="false">ROUND(MAX(0,I226*(1+I$8)-AE227),2)</f>
        <v>0</v>
      </c>
      <c r="J227" s="27" t="n">
        <f aca="false">ROUND(MAX(0,J226*(1+J$8)-AF227),2)</f>
        <v>0</v>
      </c>
      <c r="K227" s="27" t="n">
        <f aca="false">ROUND(MAX(0,K226*(1+K$8)-AG227),2)</f>
        <v>0</v>
      </c>
      <c r="L227" s="30" t="n">
        <f aca="false">SUM(B227:K227)</f>
        <v>0</v>
      </c>
      <c r="M227" s="27" t="n">
        <f aca="false">SUMPRODUCT(B226:K226,$B$8:$K$8)</f>
        <v>0</v>
      </c>
      <c r="N227" s="27" t="n">
        <f aca="false">MIN(B226*(1+B$8),B$9)</f>
        <v>0</v>
      </c>
      <c r="O227" s="27" t="n">
        <f aca="false">MIN(C226*(1+C$8),C$9)</f>
        <v>0</v>
      </c>
      <c r="P227" s="27" t="n">
        <f aca="false">MIN(D226*(1+D$8),D$9)</f>
        <v>0</v>
      </c>
      <c r="Q227" s="27" t="n">
        <f aca="false">MIN(E226*(1+E$8),E$9)</f>
        <v>0</v>
      </c>
      <c r="R227" s="27" t="n">
        <f aca="false">MIN(F226*(1+F$8),F$9)</f>
        <v>0</v>
      </c>
      <c r="S227" s="27" t="n">
        <f aca="false">MIN(G226*(1+G$8),G$9)</f>
        <v>0</v>
      </c>
      <c r="T227" s="27" t="n">
        <f aca="false">MIN(H226*(1+H$8),H$9)</f>
        <v>0</v>
      </c>
      <c r="U227" s="27" t="n">
        <f aca="false">MIN(I226*(1+I$8),I$9)</f>
        <v>0</v>
      </c>
      <c r="V227" s="27" t="n">
        <f aca="false">MIN(J226*(1+J$8),J$9)</f>
        <v>0</v>
      </c>
      <c r="W227" s="27" t="n">
        <f aca="false">MIN(K226*(1+K$8),K$9)</f>
        <v>0</v>
      </c>
      <c r="X227" s="27" t="n">
        <f aca="false">MIN(B226*(1+B$8),MAX(N227,$B$11-SUM(O227:W227)))</f>
        <v>0</v>
      </c>
      <c r="Y227" s="27" t="n">
        <f aca="false">MIN(C226*(1+C$8),MAX(O227,$B$11-SUM(X227:X227)-SUM(P227:W227)))</f>
        <v>0</v>
      </c>
      <c r="Z227" s="27" t="n">
        <f aca="false">MIN(D226*(1+D$8),MAX(P227,$B$11-SUM(X227:Y227)-SUM(Q227:W227)))</f>
        <v>0</v>
      </c>
      <c r="AA227" s="27" t="n">
        <f aca="false">MIN(E226*(1+E$8),MAX(Q227,$B$11-SUM(X227:Z227)-SUM(R227:W227)))</f>
        <v>0</v>
      </c>
      <c r="AB227" s="27" t="n">
        <f aca="false">MIN(F226*(1+F$8),MAX(R227,$B$11-SUM(X227:AA227)-SUM(S227:W227)))</f>
        <v>0</v>
      </c>
      <c r="AC227" s="27" t="n">
        <f aca="false">MIN(G226*(1+G$8),MAX(S227,$B$11-SUM(X227:AB227)-SUM(T227:W227)))</f>
        <v>0</v>
      </c>
      <c r="AD227" s="27" t="n">
        <f aca="false">MIN(H226*(1+H$8),MAX(T227,$B$11-SUM(X227:AC227)-SUM(U227:W227)))</f>
        <v>0</v>
      </c>
      <c r="AE227" s="27" t="n">
        <f aca="false">MIN(I226*(1+I$8),MAX(U227,$B$11-SUM(X227:AD227)-SUM(V227:W227)))</f>
        <v>0</v>
      </c>
      <c r="AF227" s="27" t="n">
        <f aca="false">MIN(J226*(1+J$8),MAX(V227,$B$11-SUM(X227:AE227)-SUM(W227:W227)))</f>
        <v>0</v>
      </c>
      <c r="AG227" s="27" t="n">
        <f aca="false">MIN(K226*(1+K$8),MAX(W227,$B$11-SUM(X227:AF227)))</f>
        <v>0</v>
      </c>
      <c r="AI227" s="27" t="n">
        <f aca="false">ROUND(MAX(0,AI226*(1+B$8)-BE227),2)</f>
        <v>0</v>
      </c>
      <c r="AJ227" s="27" t="n">
        <f aca="false">ROUND(MAX(0,AJ226*(1+C$8)-BF227),2)</f>
        <v>0</v>
      </c>
      <c r="AK227" s="27" t="n">
        <f aca="false">ROUND(MAX(0,AK226*(1+D$8)-BG227),2)</f>
        <v>0</v>
      </c>
      <c r="AL227" s="27" t="n">
        <f aca="false">ROUND(MAX(0,AL226*(1+E$8)-BH227),2)</f>
        <v>0</v>
      </c>
      <c r="AM227" s="27" t="n">
        <f aca="false">ROUND(MAX(0,AM226*(1+F$8)-BI227),2)</f>
        <v>0</v>
      </c>
      <c r="AN227" s="27" t="n">
        <f aca="false">ROUND(MAX(0,AN226*(1+G$8)-BJ227),2)</f>
        <v>0</v>
      </c>
      <c r="AO227" s="27" t="n">
        <f aca="false">ROUND(MAX(0,AO226*(1+H$8)-BK227),2)</f>
        <v>0</v>
      </c>
      <c r="AP227" s="27" t="n">
        <f aca="false">ROUND(MAX(0,AP226*(1+I$8)-BL227),2)</f>
        <v>0</v>
      </c>
      <c r="AQ227" s="27" t="n">
        <f aca="false">ROUND(MAX(0,AQ226*(1+J$8)-BM227),2)</f>
        <v>0</v>
      </c>
      <c r="AR227" s="27" t="n">
        <f aca="false">ROUND(MAX(0,AR226*(1+K$8)-BN227),2)</f>
        <v>0</v>
      </c>
      <c r="AS227" s="27" t="n">
        <f aca="false">SUM(AI227:AR227)</f>
        <v>0</v>
      </c>
      <c r="AT227" s="27" t="n">
        <f aca="false">SUMPRODUCT(AI226:AR226,$B$8:$K$8)</f>
        <v>0</v>
      </c>
      <c r="AU227" s="27" t="n">
        <f aca="false">MIN(AI226*(1+B$8),B$9)</f>
        <v>0</v>
      </c>
      <c r="AV227" s="27" t="n">
        <f aca="false">MIN(AJ226*(1+C$8),C$9)</f>
        <v>0</v>
      </c>
      <c r="AW227" s="27" t="n">
        <f aca="false">MIN(AK226*(1+D$8),D$9)</f>
        <v>0</v>
      </c>
      <c r="AX227" s="27" t="n">
        <f aca="false">MIN(AL226*(1+E$8),E$9)</f>
        <v>0</v>
      </c>
      <c r="AY227" s="27" t="n">
        <f aca="false">MIN(AM226*(1+F$8),F$9)</f>
        <v>0</v>
      </c>
      <c r="AZ227" s="27" t="n">
        <f aca="false">MIN(AN226*(1+G$8),G$9)</f>
        <v>0</v>
      </c>
      <c r="BA227" s="27" t="n">
        <f aca="false">MIN(AO226*(1+H$8),H$9)</f>
        <v>0</v>
      </c>
      <c r="BB227" s="27" t="n">
        <f aca="false">MIN(AP226*(1+I$8),I$9)</f>
        <v>0</v>
      </c>
      <c r="BC227" s="27" t="n">
        <f aca="false">MIN(AQ226*(1+J$8),J$9)</f>
        <v>0</v>
      </c>
      <c r="BD227" s="27" t="n">
        <f aca="false">MIN(AR226*(1+K$8),K$9)</f>
        <v>0</v>
      </c>
      <c r="BE227" s="27" t="n">
        <f aca="false">MIN(AI226*(1+B$8),MAX(AU227,$B$12-SUM(AV227:BD227)))</f>
        <v>0</v>
      </c>
      <c r="BF227" s="27" t="n">
        <f aca="false">MIN(AJ226*(1+C$8),MAX(AV227,$B$12-SUM(BE227:BE227)-SUM(AW227:BD227)))</f>
        <v>0</v>
      </c>
      <c r="BG227" s="27" t="n">
        <f aca="false">MIN(AK226*(1+D$8),MAX(AW227,$B$12-SUM(BE227:BF227)-SUM(AX227:BD227)))</f>
        <v>0</v>
      </c>
      <c r="BH227" s="27" t="n">
        <f aca="false">MIN(AL226*(1+E$8),MAX(AX227,$B$12-SUM(BE227:BG227)-SUM(AY227:BD227)))</f>
        <v>0</v>
      </c>
      <c r="BI227" s="27" t="n">
        <f aca="false">MIN(AM226*(1+F$8),MAX(AY227,$B$12-SUM(BE227:BH227)-SUM(AZ227:BD227)))</f>
        <v>0</v>
      </c>
      <c r="BJ227" s="27" t="n">
        <f aca="false">MIN(AN226*(1+G$8),MAX(AZ227,$B$12-SUM(BE227:BI227)-SUM(BA227:BD227)))</f>
        <v>0</v>
      </c>
      <c r="BK227" s="27" t="n">
        <f aca="false">MIN(AO226*(1+H$8),MAX(BA227,$B$12-SUM(BE227:BJ227)-SUM(BB227:BD227)))</f>
        <v>0</v>
      </c>
      <c r="BL227" s="27" t="n">
        <f aca="false">MIN(AP226*(1+I$8),MAX(BB227,$B$12-SUM(BE227:BK227)-SUM(BC227:BD227)))</f>
        <v>0</v>
      </c>
      <c r="BM227" s="27" t="n">
        <f aca="false">MIN(AQ226*(1+J$8),MAX(BC227,$B$12-SUM(BE227:BL227)-SUM(BD227:BD227)))</f>
        <v>0</v>
      </c>
      <c r="BN227" s="27" t="n">
        <f aca="false">MIN(AR226*(1+K$8),MAX(BD227,$B$12-SUM(BE227:BM227)))</f>
        <v>0</v>
      </c>
    </row>
    <row r="228" customFormat="false" ht="15" hidden="false" customHeight="false" outlineLevel="0" collapsed="false">
      <c r="A228" s="0" t="n">
        <v>214</v>
      </c>
      <c r="B228" s="27" t="n">
        <f aca="false">ROUND(MAX(0,B227*(1+B$8)-X228),2)</f>
        <v>0</v>
      </c>
      <c r="C228" s="27" t="n">
        <f aca="false">ROUND(MAX(0,C227*(1+C$8)-Y228),2)</f>
        <v>0</v>
      </c>
      <c r="D228" s="27" t="n">
        <f aca="false">ROUND(MAX(0,D227*(1+D$8)-Z228),2)</f>
        <v>0</v>
      </c>
      <c r="E228" s="27" t="n">
        <f aca="false">ROUND(MAX(0,E227*(1+E$8)-AA228),2)</f>
        <v>0</v>
      </c>
      <c r="F228" s="27" t="n">
        <f aca="false">ROUND(MAX(0,F227*(1+F$8)-AB228),2)</f>
        <v>0</v>
      </c>
      <c r="G228" s="27" t="n">
        <f aca="false">ROUND(MAX(0,G227*(1+G$8)-AC228),2)</f>
        <v>0</v>
      </c>
      <c r="H228" s="27" t="n">
        <f aca="false">ROUND(MAX(0,H227*(1+H$8)-AD228),2)</f>
        <v>0</v>
      </c>
      <c r="I228" s="27" t="n">
        <f aca="false">ROUND(MAX(0,I227*(1+I$8)-AE228),2)</f>
        <v>0</v>
      </c>
      <c r="J228" s="27" t="n">
        <f aca="false">ROUND(MAX(0,J227*(1+J$8)-AF228),2)</f>
        <v>0</v>
      </c>
      <c r="K228" s="27" t="n">
        <f aca="false">ROUND(MAX(0,K227*(1+K$8)-AG228),2)</f>
        <v>0</v>
      </c>
      <c r="L228" s="30" t="n">
        <f aca="false">SUM(B228:K228)</f>
        <v>0</v>
      </c>
      <c r="M228" s="27" t="n">
        <f aca="false">SUMPRODUCT(B227:K227,$B$8:$K$8)</f>
        <v>0</v>
      </c>
      <c r="N228" s="27" t="n">
        <f aca="false">MIN(B227*(1+B$8),B$9)</f>
        <v>0</v>
      </c>
      <c r="O228" s="27" t="n">
        <f aca="false">MIN(C227*(1+C$8),C$9)</f>
        <v>0</v>
      </c>
      <c r="P228" s="27" t="n">
        <f aca="false">MIN(D227*(1+D$8),D$9)</f>
        <v>0</v>
      </c>
      <c r="Q228" s="27" t="n">
        <f aca="false">MIN(E227*(1+E$8),E$9)</f>
        <v>0</v>
      </c>
      <c r="R228" s="27" t="n">
        <f aca="false">MIN(F227*(1+F$8),F$9)</f>
        <v>0</v>
      </c>
      <c r="S228" s="27" t="n">
        <f aca="false">MIN(G227*(1+G$8),G$9)</f>
        <v>0</v>
      </c>
      <c r="T228" s="27" t="n">
        <f aca="false">MIN(H227*(1+H$8),H$9)</f>
        <v>0</v>
      </c>
      <c r="U228" s="27" t="n">
        <f aca="false">MIN(I227*(1+I$8),I$9)</f>
        <v>0</v>
      </c>
      <c r="V228" s="27" t="n">
        <f aca="false">MIN(J227*(1+J$8),J$9)</f>
        <v>0</v>
      </c>
      <c r="W228" s="27" t="n">
        <f aca="false">MIN(K227*(1+K$8),K$9)</f>
        <v>0</v>
      </c>
      <c r="X228" s="27" t="n">
        <f aca="false">MIN(B227*(1+B$8),MAX(N228,$B$11-SUM(O228:W228)))</f>
        <v>0</v>
      </c>
      <c r="Y228" s="27" t="n">
        <f aca="false">MIN(C227*(1+C$8),MAX(O228,$B$11-SUM(X228:X228)-SUM(P228:W228)))</f>
        <v>0</v>
      </c>
      <c r="Z228" s="27" t="n">
        <f aca="false">MIN(D227*(1+D$8),MAX(P228,$B$11-SUM(X228:Y228)-SUM(Q228:W228)))</f>
        <v>0</v>
      </c>
      <c r="AA228" s="27" t="n">
        <f aca="false">MIN(E227*(1+E$8),MAX(Q228,$B$11-SUM(X228:Z228)-SUM(R228:W228)))</f>
        <v>0</v>
      </c>
      <c r="AB228" s="27" t="n">
        <f aca="false">MIN(F227*(1+F$8),MAX(R228,$B$11-SUM(X228:AA228)-SUM(S228:W228)))</f>
        <v>0</v>
      </c>
      <c r="AC228" s="27" t="n">
        <f aca="false">MIN(G227*(1+G$8),MAX(S228,$B$11-SUM(X228:AB228)-SUM(T228:W228)))</f>
        <v>0</v>
      </c>
      <c r="AD228" s="27" t="n">
        <f aca="false">MIN(H227*(1+H$8),MAX(T228,$B$11-SUM(X228:AC228)-SUM(U228:W228)))</f>
        <v>0</v>
      </c>
      <c r="AE228" s="27" t="n">
        <f aca="false">MIN(I227*(1+I$8),MAX(U228,$B$11-SUM(X228:AD228)-SUM(V228:W228)))</f>
        <v>0</v>
      </c>
      <c r="AF228" s="27" t="n">
        <f aca="false">MIN(J227*(1+J$8),MAX(V228,$B$11-SUM(X228:AE228)-SUM(W228:W228)))</f>
        <v>0</v>
      </c>
      <c r="AG228" s="27" t="n">
        <f aca="false">MIN(K227*(1+K$8),MAX(W228,$B$11-SUM(X228:AF228)))</f>
        <v>0</v>
      </c>
      <c r="AI228" s="27" t="n">
        <f aca="false">ROUND(MAX(0,AI227*(1+B$8)-BE228),2)</f>
        <v>0</v>
      </c>
      <c r="AJ228" s="27" t="n">
        <f aca="false">ROUND(MAX(0,AJ227*(1+C$8)-BF228),2)</f>
        <v>0</v>
      </c>
      <c r="AK228" s="27" t="n">
        <f aca="false">ROUND(MAX(0,AK227*(1+D$8)-BG228),2)</f>
        <v>0</v>
      </c>
      <c r="AL228" s="27" t="n">
        <f aca="false">ROUND(MAX(0,AL227*(1+E$8)-BH228),2)</f>
        <v>0</v>
      </c>
      <c r="AM228" s="27" t="n">
        <f aca="false">ROUND(MAX(0,AM227*(1+F$8)-BI228),2)</f>
        <v>0</v>
      </c>
      <c r="AN228" s="27" t="n">
        <f aca="false">ROUND(MAX(0,AN227*(1+G$8)-BJ228),2)</f>
        <v>0</v>
      </c>
      <c r="AO228" s="27" t="n">
        <f aca="false">ROUND(MAX(0,AO227*(1+H$8)-BK228),2)</f>
        <v>0</v>
      </c>
      <c r="AP228" s="27" t="n">
        <f aca="false">ROUND(MAX(0,AP227*(1+I$8)-BL228),2)</f>
        <v>0</v>
      </c>
      <c r="AQ228" s="27" t="n">
        <f aca="false">ROUND(MAX(0,AQ227*(1+J$8)-BM228),2)</f>
        <v>0</v>
      </c>
      <c r="AR228" s="27" t="n">
        <f aca="false">ROUND(MAX(0,AR227*(1+K$8)-BN228),2)</f>
        <v>0</v>
      </c>
      <c r="AS228" s="27" t="n">
        <f aca="false">SUM(AI228:AR228)</f>
        <v>0</v>
      </c>
      <c r="AT228" s="27" t="n">
        <f aca="false">SUMPRODUCT(AI227:AR227,$B$8:$K$8)</f>
        <v>0</v>
      </c>
      <c r="AU228" s="27" t="n">
        <f aca="false">MIN(AI227*(1+B$8),B$9)</f>
        <v>0</v>
      </c>
      <c r="AV228" s="27" t="n">
        <f aca="false">MIN(AJ227*(1+C$8),C$9)</f>
        <v>0</v>
      </c>
      <c r="AW228" s="27" t="n">
        <f aca="false">MIN(AK227*(1+D$8),D$9)</f>
        <v>0</v>
      </c>
      <c r="AX228" s="27" t="n">
        <f aca="false">MIN(AL227*(1+E$8),E$9)</f>
        <v>0</v>
      </c>
      <c r="AY228" s="27" t="n">
        <f aca="false">MIN(AM227*(1+F$8),F$9)</f>
        <v>0</v>
      </c>
      <c r="AZ228" s="27" t="n">
        <f aca="false">MIN(AN227*(1+G$8),G$9)</f>
        <v>0</v>
      </c>
      <c r="BA228" s="27" t="n">
        <f aca="false">MIN(AO227*(1+H$8),H$9)</f>
        <v>0</v>
      </c>
      <c r="BB228" s="27" t="n">
        <f aca="false">MIN(AP227*(1+I$8),I$9)</f>
        <v>0</v>
      </c>
      <c r="BC228" s="27" t="n">
        <f aca="false">MIN(AQ227*(1+J$8),J$9)</f>
        <v>0</v>
      </c>
      <c r="BD228" s="27" t="n">
        <f aca="false">MIN(AR227*(1+K$8),K$9)</f>
        <v>0</v>
      </c>
      <c r="BE228" s="27" t="n">
        <f aca="false">MIN(AI227*(1+B$8),MAX(AU228,$B$12-SUM(AV228:BD228)))</f>
        <v>0</v>
      </c>
      <c r="BF228" s="27" t="n">
        <f aca="false">MIN(AJ227*(1+C$8),MAX(AV228,$B$12-SUM(BE228:BE228)-SUM(AW228:BD228)))</f>
        <v>0</v>
      </c>
      <c r="BG228" s="27" t="n">
        <f aca="false">MIN(AK227*(1+D$8),MAX(AW228,$B$12-SUM(BE228:BF228)-SUM(AX228:BD228)))</f>
        <v>0</v>
      </c>
      <c r="BH228" s="27" t="n">
        <f aca="false">MIN(AL227*(1+E$8),MAX(AX228,$B$12-SUM(BE228:BG228)-SUM(AY228:BD228)))</f>
        <v>0</v>
      </c>
      <c r="BI228" s="27" t="n">
        <f aca="false">MIN(AM227*(1+F$8),MAX(AY228,$B$12-SUM(BE228:BH228)-SUM(AZ228:BD228)))</f>
        <v>0</v>
      </c>
      <c r="BJ228" s="27" t="n">
        <f aca="false">MIN(AN227*(1+G$8),MAX(AZ228,$B$12-SUM(BE228:BI228)-SUM(BA228:BD228)))</f>
        <v>0</v>
      </c>
      <c r="BK228" s="27" t="n">
        <f aca="false">MIN(AO227*(1+H$8),MAX(BA228,$B$12-SUM(BE228:BJ228)-SUM(BB228:BD228)))</f>
        <v>0</v>
      </c>
      <c r="BL228" s="27" t="n">
        <f aca="false">MIN(AP227*(1+I$8),MAX(BB228,$B$12-SUM(BE228:BK228)-SUM(BC228:BD228)))</f>
        <v>0</v>
      </c>
      <c r="BM228" s="27" t="n">
        <f aca="false">MIN(AQ227*(1+J$8),MAX(BC228,$B$12-SUM(BE228:BL228)-SUM(BD228:BD228)))</f>
        <v>0</v>
      </c>
      <c r="BN228" s="27" t="n">
        <f aca="false">MIN(AR227*(1+K$8),MAX(BD228,$B$12-SUM(BE228:BM228)))</f>
        <v>0</v>
      </c>
    </row>
    <row r="229" customFormat="false" ht="15" hidden="false" customHeight="false" outlineLevel="0" collapsed="false">
      <c r="A229" s="0" t="n">
        <v>215</v>
      </c>
      <c r="B229" s="27" t="n">
        <f aca="false">ROUND(MAX(0,B228*(1+B$8)-X229),2)</f>
        <v>0</v>
      </c>
      <c r="C229" s="27" t="n">
        <f aca="false">ROUND(MAX(0,C228*(1+C$8)-Y229),2)</f>
        <v>0</v>
      </c>
      <c r="D229" s="27" t="n">
        <f aca="false">ROUND(MAX(0,D228*(1+D$8)-Z229),2)</f>
        <v>0</v>
      </c>
      <c r="E229" s="27" t="n">
        <f aca="false">ROUND(MAX(0,E228*(1+E$8)-AA229),2)</f>
        <v>0</v>
      </c>
      <c r="F229" s="27" t="n">
        <f aca="false">ROUND(MAX(0,F228*(1+F$8)-AB229),2)</f>
        <v>0</v>
      </c>
      <c r="G229" s="27" t="n">
        <f aca="false">ROUND(MAX(0,G228*(1+G$8)-AC229),2)</f>
        <v>0</v>
      </c>
      <c r="H229" s="27" t="n">
        <f aca="false">ROUND(MAX(0,H228*(1+H$8)-AD229),2)</f>
        <v>0</v>
      </c>
      <c r="I229" s="27" t="n">
        <f aca="false">ROUND(MAX(0,I228*(1+I$8)-AE229),2)</f>
        <v>0</v>
      </c>
      <c r="J229" s="27" t="n">
        <f aca="false">ROUND(MAX(0,J228*(1+J$8)-AF229),2)</f>
        <v>0</v>
      </c>
      <c r="K229" s="27" t="n">
        <f aca="false">ROUND(MAX(0,K228*(1+K$8)-AG229),2)</f>
        <v>0</v>
      </c>
      <c r="L229" s="30" t="n">
        <f aca="false">SUM(B229:K229)</f>
        <v>0</v>
      </c>
      <c r="M229" s="27" t="n">
        <f aca="false">SUMPRODUCT(B228:K228,$B$8:$K$8)</f>
        <v>0</v>
      </c>
      <c r="N229" s="27" t="n">
        <f aca="false">MIN(B228*(1+B$8),B$9)</f>
        <v>0</v>
      </c>
      <c r="O229" s="27" t="n">
        <f aca="false">MIN(C228*(1+C$8),C$9)</f>
        <v>0</v>
      </c>
      <c r="P229" s="27" t="n">
        <f aca="false">MIN(D228*(1+D$8),D$9)</f>
        <v>0</v>
      </c>
      <c r="Q229" s="27" t="n">
        <f aca="false">MIN(E228*(1+E$8),E$9)</f>
        <v>0</v>
      </c>
      <c r="R229" s="27" t="n">
        <f aca="false">MIN(F228*(1+F$8),F$9)</f>
        <v>0</v>
      </c>
      <c r="S229" s="27" t="n">
        <f aca="false">MIN(G228*(1+G$8),G$9)</f>
        <v>0</v>
      </c>
      <c r="T229" s="27" t="n">
        <f aca="false">MIN(H228*(1+H$8),H$9)</f>
        <v>0</v>
      </c>
      <c r="U229" s="27" t="n">
        <f aca="false">MIN(I228*(1+I$8),I$9)</f>
        <v>0</v>
      </c>
      <c r="V229" s="27" t="n">
        <f aca="false">MIN(J228*(1+J$8),J$9)</f>
        <v>0</v>
      </c>
      <c r="W229" s="27" t="n">
        <f aca="false">MIN(K228*(1+K$8),K$9)</f>
        <v>0</v>
      </c>
      <c r="X229" s="27" t="n">
        <f aca="false">MIN(B228*(1+B$8),MAX(N229,$B$11-SUM(O229:W229)))</f>
        <v>0</v>
      </c>
      <c r="Y229" s="27" t="n">
        <f aca="false">MIN(C228*(1+C$8),MAX(O229,$B$11-SUM(X229:X229)-SUM(P229:W229)))</f>
        <v>0</v>
      </c>
      <c r="Z229" s="27" t="n">
        <f aca="false">MIN(D228*(1+D$8),MAX(P229,$B$11-SUM(X229:Y229)-SUM(Q229:W229)))</f>
        <v>0</v>
      </c>
      <c r="AA229" s="27" t="n">
        <f aca="false">MIN(E228*(1+E$8),MAX(Q229,$B$11-SUM(X229:Z229)-SUM(R229:W229)))</f>
        <v>0</v>
      </c>
      <c r="AB229" s="27" t="n">
        <f aca="false">MIN(F228*(1+F$8),MAX(R229,$B$11-SUM(X229:AA229)-SUM(S229:W229)))</f>
        <v>0</v>
      </c>
      <c r="AC229" s="27" t="n">
        <f aca="false">MIN(G228*(1+G$8),MAX(S229,$B$11-SUM(X229:AB229)-SUM(T229:W229)))</f>
        <v>0</v>
      </c>
      <c r="AD229" s="27" t="n">
        <f aca="false">MIN(H228*(1+H$8),MAX(T229,$B$11-SUM(X229:AC229)-SUM(U229:W229)))</f>
        <v>0</v>
      </c>
      <c r="AE229" s="27" t="n">
        <f aca="false">MIN(I228*(1+I$8),MAX(U229,$B$11-SUM(X229:AD229)-SUM(V229:W229)))</f>
        <v>0</v>
      </c>
      <c r="AF229" s="27" t="n">
        <f aca="false">MIN(J228*(1+J$8),MAX(V229,$B$11-SUM(X229:AE229)-SUM(W229:W229)))</f>
        <v>0</v>
      </c>
      <c r="AG229" s="27" t="n">
        <f aca="false">MIN(K228*(1+K$8),MAX(W229,$B$11-SUM(X229:AF229)))</f>
        <v>0</v>
      </c>
      <c r="AI229" s="27" t="n">
        <f aca="false">ROUND(MAX(0,AI228*(1+B$8)-BE229),2)</f>
        <v>0</v>
      </c>
      <c r="AJ229" s="27" t="n">
        <f aca="false">ROUND(MAX(0,AJ228*(1+C$8)-BF229),2)</f>
        <v>0</v>
      </c>
      <c r="AK229" s="27" t="n">
        <f aca="false">ROUND(MAX(0,AK228*(1+D$8)-BG229),2)</f>
        <v>0</v>
      </c>
      <c r="AL229" s="27" t="n">
        <f aca="false">ROUND(MAX(0,AL228*(1+E$8)-BH229),2)</f>
        <v>0</v>
      </c>
      <c r="AM229" s="27" t="n">
        <f aca="false">ROUND(MAX(0,AM228*(1+F$8)-BI229),2)</f>
        <v>0</v>
      </c>
      <c r="AN229" s="27" t="n">
        <f aca="false">ROUND(MAX(0,AN228*(1+G$8)-BJ229),2)</f>
        <v>0</v>
      </c>
      <c r="AO229" s="27" t="n">
        <f aca="false">ROUND(MAX(0,AO228*(1+H$8)-BK229),2)</f>
        <v>0</v>
      </c>
      <c r="AP229" s="27" t="n">
        <f aca="false">ROUND(MAX(0,AP228*(1+I$8)-BL229),2)</f>
        <v>0</v>
      </c>
      <c r="AQ229" s="27" t="n">
        <f aca="false">ROUND(MAX(0,AQ228*(1+J$8)-BM229),2)</f>
        <v>0</v>
      </c>
      <c r="AR229" s="27" t="n">
        <f aca="false">ROUND(MAX(0,AR228*(1+K$8)-BN229),2)</f>
        <v>0</v>
      </c>
      <c r="AS229" s="27" t="n">
        <f aca="false">SUM(AI229:AR229)</f>
        <v>0</v>
      </c>
      <c r="AT229" s="27" t="n">
        <f aca="false">SUMPRODUCT(AI228:AR228,$B$8:$K$8)</f>
        <v>0</v>
      </c>
      <c r="AU229" s="27" t="n">
        <f aca="false">MIN(AI228*(1+B$8),B$9)</f>
        <v>0</v>
      </c>
      <c r="AV229" s="27" t="n">
        <f aca="false">MIN(AJ228*(1+C$8),C$9)</f>
        <v>0</v>
      </c>
      <c r="AW229" s="27" t="n">
        <f aca="false">MIN(AK228*(1+D$8),D$9)</f>
        <v>0</v>
      </c>
      <c r="AX229" s="27" t="n">
        <f aca="false">MIN(AL228*(1+E$8),E$9)</f>
        <v>0</v>
      </c>
      <c r="AY229" s="27" t="n">
        <f aca="false">MIN(AM228*(1+F$8),F$9)</f>
        <v>0</v>
      </c>
      <c r="AZ229" s="27" t="n">
        <f aca="false">MIN(AN228*(1+G$8),G$9)</f>
        <v>0</v>
      </c>
      <c r="BA229" s="27" t="n">
        <f aca="false">MIN(AO228*(1+H$8),H$9)</f>
        <v>0</v>
      </c>
      <c r="BB229" s="27" t="n">
        <f aca="false">MIN(AP228*(1+I$8),I$9)</f>
        <v>0</v>
      </c>
      <c r="BC229" s="27" t="n">
        <f aca="false">MIN(AQ228*(1+J$8),J$9)</f>
        <v>0</v>
      </c>
      <c r="BD229" s="27" t="n">
        <f aca="false">MIN(AR228*(1+K$8),K$9)</f>
        <v>0</v>
      </c>
      <c r="BE229" s="27" t="n">
        <f aca="false">MIN(AI228*(1+B$8),MAX(AU229,$B$12-SUM(AV229:BD229)))</f>
        <v>0</v>
      </c>
      <c r="BF229" s="27" t="n">
        <f aca="false">MIN(AJ228*(1+C$8),MAX(AV229,$B$12-SUM(BE229:BE229)-SUM(AW229:BD229)))</f>
        <v>0</v>
      </c>
      <c r="BG229" s="27" t="n">
        <f aca="false">MIN(AK228*(1+D$8),MAX(AW229,$B$12-SUM(BE229:BF229)-SUM(AX229:BD229)))</f>
        <v>0</v>
      </c>
      <c r="BH229" s="27" t="n">
        <f aca="false">MIN(AL228*(1+E$8),MAX(AX229,$B$12-SUM(BE229:BG229)-SUM(AY229:BD229)))</f>
        <v>0</v>
      </c>
      <c r="BI229" s="27" t="n">
        <f aca="false">MIN(AM228*(1+F$8),MAX(AY229,$B$12-SUM(BE229:BH229)-SUM(AZ229:BD229)))</f>
        <v>0</v>
      </c>
      <c r="BJ229" s="27" t="n">
        <f aca="false">MIN(AN228*(1+G$8),MAX(AZ229,$B$12-SUM(BE229:BI229)-SUM(BA229:BD229)))</f>
        <v>0</v>
      </c>
      <c r="BK229" s="27" t="n">
        <f aca="false">MIN(AO228*(1+H$8),MAX(BA229,$B$12-SUM(BE229:BJ229)-SUM(BB229:BD229)))</f>
        <v>0</v>
      </c>
      <c r="BL229" s="27" t="n">
        <f aca="false">MIN(AP228*(1+I$8),MAX(BB229,$B$12-SUM(BE229:BK229)-SUM(BC229:BD229)))</f>
        <v>0</v>
      </c>
      <c r="BM229" s="27" t="n">
        <f aca="false">MIN(AQ228*(1+J$8),MAX(BC229,$B$12-SUM(BE229:BL229)-SUM(BD229:BD229)))</f>
        <v>0</v>
      </c>
      <c r="BN229" s="27" t="n">
        <f aca="false">MIN(AR228*(1+K$8),MAX(BD229,$B$12-SUM(BE229:BM229)))</f>
        <v>0</v>
      </c>
    </row>
    <row r="230" customFormat="false" ht="15" hidden="false" customHeight="false" outlineLevel="0" collapsed="false">
      <c r="A230" s="0" t="n">
        <v>216</v>
      </c>
      <c r="B230" s="27" t="n">
        <f aca="false">ROUND(MAX(0,B229*(1+B$8)-X230),2)</f>
        <v>0</v>
      </c>
      <c r="C230" s="27" t="n">
        <f aca="false">ROUND(MAX(0,C229*(1+C$8)-Y230),2)</f>
        <v>0</v>
      </c>
      <c r="D230" s="27" t="n">
        <f aca="false">ROUND(MAX(0,D229*(1+D$8)-Z230),2)</f>
        <v>0</v>
      </c>
      <c r="E230" s="27" t="n">
        <f aca="false">ROUND(MAX(0,E229*(1+E$8)-AA230),2)</f>
        <v>0</v>
      </c>
      <c r="F230" s="27" t="n">
        <f aca="false">ROUND(MAX(0,F229*(1+F$8)-AB230),2)</f>
        <v>0</v>
      </c>
      <c r="G230" s="27" t="n">
        <f aca="false">ROUND(MAX(0,G229*(1+G$8)-AC230),2)</f>
        <v>0</v>
      </c>
      <c r="H230" s="27" t="n">
        <f aca="false">ROUND(MAX(0,H229*(1+H$8)-AD230),2)</f>
        <v>0</v>
      </c>
      <c r="I230" s="27" t="n">
        <f aca="false">ROUND(MAX(0,I229*(1+I$8)-AE230),2)</f>
        <v>0</v>
      </c>
      <c r="J230" s="27" t="n">
        <f aca="false">ROUND(MAX(0,J229*(1+J$8)-AF230),2)</f>
        <v>0</v>
      </c>
      <c r="K230" s="27" t="n">
        <f aca="false">ROUND(MAX(0,K229*(1+K$8)-AG230),2)</f>
        <v>0</v>
      </c>
      <c r="L230" s="30" t="n">
        <f aca="false">SUM(B230:K230)</f>
        <v>0</v>
      </c>
      <c r="M230" s="27" t="n">
        <f aca="false">SUMPRODUCT(B229:K229,$B$8:$K$8)</f>
        <v>0</v>
      </c>
      <c r="N230" s="27" t="n">
        <f aca="false">MIN(B229*(1+B$8),B$9)</f>
        <v>0</v>
      </c>
      <c r="O230" s="27" t="n">
        <f aca="false">MIN(C229*(1+C$8),C$9)</f>
        <v>0</v>
      </c>
      <c r="P230" s="27" t="n">
        <f aca="false">MIN(D229*(1+D$8),D$9)</f>
        <v>0</v>
      </c>
      <c r="Q230" s="27" t="n">
        <f aca="false">MIN(E229*(1+E$8),E$9)</f>
        <v>0</v>
      </c>
      <c r="R230" s="27" t="n">
        <f aca="false">MIN(F229*(1+F$8),F$9)</f>
        <v>0</v>
      </c>
      <c r="S230" s="27" t="n">
        <f aca="false">MIN(G229*(1+G$8),G$9)</f>
        <v>0</v>
      </c>
      <c r="T230" s="27" t="n">
        <f aca="false">MIN(H229*(1+H$8),H$9)</f>
        <v>0</v>
      </c>
      <c r="U230" s="27" t="n">
        <f aca="false">MIN(I229*(1+I$8),I$9)</f>
        <v>0</v>
      </c>
      <c r="V230" s="27" t="n">
        <f aca="false">MIN(J229*(1+J$8),J$9)</f>
        <v>0</v>
      </c>
      <c r="W230" s="27" t="n">
        <f aca="false">MIN(K229*(1+K$8),K$9)</f>
        <v>0</v>
      </c>
      <c r="X230" s="27" t="n">
        <f aca="false">MIN(B229*(1+B$8),MAX(N230,$B$11-SUM(O230:W230)))</f>
        <v>0</v>
      </c>
      <c r="Y230" s="27" t="n">
        <f aca="false">MIN(C229*(1+C$8),MAX(O230,$B$11-SUM(X230:X230)-SUM(P230:W230)))</f>
        <v>0</v>
      </c>
      <c r="Z230" s="27" t="n">
        <f aca="false">MIN(D229*(1+D$8),MAX(P230,$B$11-SUM(X230:Y230)-SUM(Q230:W230)))</f>
        <v>0</v>
      </c>
      <c r="AA230" s="27" t="n">
        <f aca="false">MIN(E229*(1+E$8),MAX(Q230,$B$11-SUM(X230:Z230)-SUM(R230:W230)))</f>
        <v>0</v>
      </c>
      <c r="AB230" s="27" t="n">
        <f aca="false">MIN(F229*(1+F$8),MAX(R230,$B$11-SUM(X230:AA230)-SUM(S230:W230)))</f>
        <v>0</v>
      </c>
      <c r="AC230" s="27" t="n">
        <f aca="false">MIN(G229*(1+G$8),MAX(S230,$B$11-SUM(X230:AB230)-SUM(T230:W230)))</f>
        <v>0</v>
      </c>
      <c r="AD230" s="27" t="n">
        <f aca="false">MIN(H229*(1+H$8),MAX(T230,$B$11-SUM(X230:AC230)-SUM(U230:W230)))</f>
        <v>0</v>
      </c>
      <c r="AE230" s="27" t="n">
        <f aca="false">MIN(I229*(1+I$8),MAX(U230,$B$11-SUM(X230:AD230)-SUM(V230:W230)))</f>
        <v>0</v>
      </c>
      <c r="AF230" s="27" t="n">
        <f aca="false">MIN(J229*(1+J$8),MAX(V230,$B$11-SUM(X230:AE230)-SUM(W230:W230)))</f>
        <v>0</v>
      </c>
      <c r="AG230" s="27" t="n">
        <f aca="false">MIN(K229*(1+K$8),MAX(W230,$B$11-SUM(X230:AF230)))</f>
        <v>0</v>
      </c>
      <c r="AI230" s="27" t="n">
        <f aca="false">ROUND(MAX(0,AI229*(1+B$8)-BE230),2)</f>
        <v>0</v>
      </c>
      <c r="AJ230" s="27" t="n">
        <f aca="false">ROUND(MAX(0,AJ229*(1+C$8)-BF230),2)</f>
        <v>0</v>
      </c>
      <c r="AK230" s="27" t="n">
        <f aca="false">ROUND(MAX(0,AK229*(1+D$8)-BG230),2)</f>
        <v>0</v>
      </c>
      <c r="AL230" s="27" t="n">
        <f aca="false">ROUND(MAX(0,AL229*(1+E$8)-BH230),2)</f>
        <v>0</v>
      </c>
      <c r="AM230" s="27" t="n">
        <f aca="false">ROUND(MAX(0,AM229*(1+F$8)-BI230),2)</f>
        <v>0</v>
      </c>
      <c r="AN230" s="27" t="n">
        <f aca="false">ROUND(MAX(0,AN229*(1+G$8)-BJ230),2)</f>
        <v>0</v>
      </c>
      <c r="AO230" s="27" t="n">
        <f aca="false">ROUND(MAX(0,AO229*(1+H$8)-BK230),2)</f>
        <v>0</v>
      </c>
      <c r="AP230" s="27" t="n">
        <f aca="false">ROUND(MAX(0,AP229*(1+I$8)-BL230),2)</f>
        <v>0</v>
      </c>
      <c r="AQ230" s="27" t="n">
        <f aca="false">ROUND(MAX(0,AQ229*(1+J$8)-BM230),2)</f>
        <v>0</v>
      </c>
      <c r="AR230" s="27" t="n">
        <f aca="false">ROUND(MAX(0,AR229*(1+K$8)-BN230),2)</f>
        <v>0</v>
      </c>
      <c r="AS230" s="27" t="n">
        <f aca="false">SUM(AI230:AR230)</f>
        <v>0</v>
      </c>
      <c r="AT230" s="27" t="n">
        <f aca="false">SUMPRODUCT(AI229:AR229,$B$8:$K$8)</f>
        <v>0</v>
      </c>
      <c r="AU230" s="27" t="n">
        <f aca="false">MIN(AI229*(1+B$8),B$9)</f>
        <v>0</v>
      </c>
      <c r="AV230" s="27" t="n">
        <f aca="false">MIN(AJ229*(1+C$8),C$9)</f>
        <v>0</v>
      </c>
      <c r="AW230" s="27" t="n">
        <f aca="false">MIN(AK229*(1+D$8),D$9)</f>
        <v>0</v>
      </c>
      <c r="AX230" s="27" t="n">
        <f aca="false">MIN(AL229*(1+E$8),E$9)</f>
        <v>0</v>
      </c>
      <c r="AY230" s="27" t="n">
        <f aca="false">MIN(AM229*(1+F$8),F$9)</f>
        <v>0</v>
      </c>
      <c r="AZ230" s="27" t="n">
        <f aca="false">MIN(AN229*(1+G$8),G$9)</f>
        <v>0</v>
      </c>
      <c r="BA230" s="27" t="n">
        <f aca="false">MIN(AO229*(1+H$8),H$9)</f>
        <v>0</v>
      </c>
      <c r="BB230" s="27" t="n">
        <f aca="false">MIN(AP229*(1+I$8),I$9)</f>
        <v>0</v>
      </c>
      <c r="BC230" s="27" t="n">
        <f aca="false">MIN(AQ229*(1+J$8),J$9)</f>
        <v>0</v>
      </c>
      <c r="BD230" s="27" t="n">
        <f aca="false">MIN(AR229*(1+K$8),K$9)</f>
        <v>0</v>
      </c>
      <c r="BE230" s="27" t="n">
        <f aca="false">MIN(AI229*(1+B$8),MAX(AU230,$B$12-SUM(AV230:BD230)))</f>
        <v>0</v>
      </c>
      <c r="BF230" s="27" t="n">
        <f aca="false">MIN(AJ229*(1+C$8),MAX(AV230,$B$12-SUM(BE230:BE230)-SUM(AW230:BD230)))</f>
        <v>0</v>
      </c>
      <c r="BG230" s="27" t="n">
        <f aca="false">MIN(AK229*(1+D$8),MAX(AW230,$B$12-SUM(BE230:BF230)-SUM(AX230:BD230)))</f>
        <v>0</v>
      </c>
      <c r="BH230" s="27" t="n">
        <f aca="false">MIN(AL229*(1+E$8),MAX(AX230,$B$12-SUM(BE230:BG230)-SUM(AY230:BD230)))</f>
        <v>0</v>
      </c>
      <c r="BI230" s="27" t="n">
        <f aca="false">MIN(AM229*(1+F$8),MAX(AY230,$B$12-SUM(BE230:BH230)-SUM(AZ230:BD230)))</f>
        <v>0</v>
      </c>
      <c r="BJ230" s="27" t="n">
        <f aca="false">MIN(AN229*(1+G$8),MAX(AZ230,$B$12-SUM(BE230:BI230)-SUM(BA230:BD230)))</f>
        <v>0</v>
      </c>
      <c r="BK230" s="27" t="n">
        <f aca="false">MIN(AO229*(1+H$8),MAX(BA230,$B$12-SUM(BE230:BJ230)-SUM(BB230:BD230)))</f>
        <v>0</v>
      </c>
      <c r="BL230" s="27" t="n">
        <f aca="false">MIN(AP229*(1+I$8),MAX(BB230,$B$12-SUM(BE230:BK230)-SUM(BC230:BD230)))</f>
        <v>0</v>
      </c>
      <c r="BM230" s="27" t="n">
        <f aca="false">MIN(AQ229*(1+J$8),MAX(BC230,$B$12-SUM(BE230:BL230)-SUM(BD230:BD230)))</f>
        <v>0</v>
      </c>
      <c r="BN230" s="27" t="n">
        <f aca="false">MIN(AR229*(1+K$8),MAX(BD230,$B$12-SUM(BE230:BM230)))</f>
        <v>0</v>
      </c>
    </row>
    <row r="231" customFormat="false" ht="15" hidden="false" customHeight="false" outlineLevel="0" collapsed="false">
      <c r="A231" s="0" t="n">
        <v>217</v>
      </c>
      <c r="B231" s="27" t="n">
        <f aca="false">ROUND(MAX(0,B230*(1+B$8)-X231),2)</f>
        <v>0</v>
      </c>
      <c r="C231" s="27" t="n">
        <f aca="false">ROUND(MAX(0,C230*(1+C$8)-Y231),2)</f>
        <v>0</v>
      </c>
      <c r="D231" s="27" t="n">
        <f aca="false">ROUND(MAX(0,D230*(1+D$8)-Z231),2)</f>
        <v>0</v>
      </c>
      <c r="E231" s="27" t="n">
        <f aca="false">ROUND(MAX(0,E230*(1+E$8)-AA231),2)</f>
        <v>0</v>
      </c>
      <c r="F231" s="27" t="n">
        <f aca="false">ROUND(MAX(0,F230*(1+F$8)-AB231),2)</f>
        <v>0</v>
      </c>
      <c r="G231" s="27" t="n">
        <f aca="false">ROUND(MAX(0,G230*(1+G$8)-AC231),2)</f>
        <v>0</v>
      </c>
      <c r="H231" s="27" t="n">
        <f aca="false">ROUND(MAX(0,H230*(1+H$8)-AD231),2)</f>
        <v>0</v>
      </c>
      <c r="I231" s="27" t="n">
        <f aca="false">ROUND(MAX(0,I230*(1+I$8)-AE231),2)</f>
        <v>0</v>
      </c>
      <c r="J231" s="27" t="n">
        <f aca="false">ROUND(MAX(0,J230*(1+J$8)-AF231),2)</f>
        <v>0</v>
      </c>
      <c r="K231" s="27" t="n">
        <f aca="false">ROUND(MAX(0,K230*(1+K$8)-AG231),2)</f>
        <v>0</v>
      </c>
      <c r="L231" s="30" t="n">
        <f aca="false">SUM(B231:K231)</f>
        <v>0</v>
      </c>
      <c r="M231" s="27" t="n">
        <f aca="false">SUMPRODUCT(B230:K230,$B$8:$K$8)</f>
        <v>0</v>
      </c>
      <c r="N231" s="27" t="n">
        <f aca="false">MIN(B230*(1+B$8),B$9)</f>
        <v>0</v>
      </c>
      <c r="O231" s="27" t="n">
        <f aca="false">MIN(C230*(1+C$8),C$9)</f>
        <v>0</v>
      </c>
      <c r="P231" s="27" t="n">
        <f aca="false">MIN(D230*(1+D$8),D$9)</f>
        <v>0</v>
      </c>
      <c r="Q231" s="27" t="n">
        <f aca="false">MIN(E230*(1+E$8),E$9)</f>
        <v>0</v>
      </c>
      <c r="R231" s="27" t="n">
        <f aca="false">MIN(F230*(1+F$8),F$9)</f>
        <v>0</v>
      </c>
      <c r="S231" s="27" t="n">
        <f aca="false">MIN(G230*(1+G$8),G$9)</f>
        <v>0</v>
      </c>
      <c r="T231" s="27" t="n">
        <f aca="false">MIN(H230*(1+H$8),H$9)</f>
        <v>0</v>
      </c>
      <c r="U231" s="27" t="n">
        <f aca="false">MIN(I230*(1+I$8),I$9)</f>
        <v>0</v>
      </c>
      <c r="V231" s="27" t="n">
        <f aca="false">MIN(J230*(1+J$8),J$9)</f>
        <v>0</v>
      </c>
      <c r="W231" s="27" t="n">
        <f aca="false">MIN(K230*(1+K$8),K$9)</f>
        <v>0</v>
      </c>
      <c r="X231" s="27" t="n">
        <f aca="false">MIN(B230*(1+B$8),MAX(N231,$B$11-SUM(O231:W231)))</f>
        <v>0</v>
      </c>
      <c r="Y231" s="27" t="n">
        <f aca="false">MIN(C230*(1+C$8),MAX(O231,$B$11-SUM(X231:X231)-SUM(P231:W231)))</f>
        <v>0</v>
      </c>
      <c r="Z231" s="27" t="n">
        <f aca="false">MIN(D230*(1+D$8),MAX(P231,$B$11-SUM(X231:Y231)-SUM(Q231:W231)))</f>
        <v>0</v>
      </c>
      <c r="AA231" s="27" t="n">
        <f aca="false">MIN(E230*(1+E$8),MAX(Q231,$B$11-SUM(X231:Z231)-SUM(R231:W231)))</f>
        <v>0</v>
      </c>
      <c r="AB231" s="27" t="n">
        <f aca="false">MIN(F230*(1+F$8),MAX(R231,$B$11-SUM(X231:AA231)-SUM(S231:W231)))</f>
        <v>0</v>
      </c>
      <c r="AC231" s="27" t="n">
        <f aca="false">MIN(G230*(1+G$8),MAX(S231,$B$11-SUM(X231:AB231)-SUM(T231:W231)))</f>
        <v>0</v>
      </c>
      <c r="AD231" s="27" t="n">
        <f aca="false">MIN(H230*(1+H$8),MAX(T231,$B$11-SUM(X231:AC231)-SUM(U231:W231)))</f>
        <v>0</v>
      </c>
      <c r="AE231" s="27" t="n">
        <f aca="false">MIN(I230*(1+I$8),MAX(U231,$B$11-SUM(X231:AD231)-SUM(V231:W231)))</f>
        <v>0</v>
      </c>
      <c r="AF231" s="27" t="n">
        <f aca="false">MIN(J230*(1+J$8),MAX(V231,$B$11-SUM(X231:AE231)-SUM(W231:W231)))</f>
        <v>0</v>
      </c>
      <c r="AG231" s="27" t="n">
        <f aca="false">MIN(K230*(1+K$8),MAX(W231,$B$11-SUM(X231:AF231)))</f>
        <v>0</v>
      </c>
      <c r="AI231" s="27" t="n">
        <f aca="false">ROUND(MAX(0,AI230*(1+B$8)-BE231),2)</f>
        <v>0</v>
      </c>
      <c r="AJ231" s="27" t="n">
        <f aca="false">ROUND(MAX(0,AJ230*(1+C$8)-BF231),2)</f>
        <v>0</v>
      </c>
      <c r="AK231" s="27" t="n">
        <f aca="false">ROUND(MAX(0,AK230*(1+D$8)-BG231),2)</f>
        <v>0</v>
      </c>
      <c r="AL231" s="27" t="n">
        <f aca="false">ROUND(MAX(0,AL230*(1+E$8)-BH231),2)</f>
        <v>0</v>
      </c>
      <c r="AM231" s="27" t="n">
        <f aca="false">ROUND(MAX(0,AM230*(1+F$8)-BI231),2)</f>
        <v>0</v>
      </c>
      <c r="AN231" s="27" t="n">
        <f aca="false">ROUND(MAX(0,AN230*(1+G$8)-BJ231),2)</f>
        <v>0</v>
      </c>
      <c r="AO231" s="27" t="n">
        <f aca="false">ROUND(MAX(0,AO230*(1+H$8)-BK231),2)</f>
        <v>0</v>
      </c>
      <c r="AP231" s="27" t="n">
        <f aca="false">ROUND(MAX(0,AP230*(1+I$8)-BL231),2)</f>
        <v>0</v>
      </c>
      <c r="AQ231" s="27" t="n">
        <f aca="false">ROUND(MAX(0,AQ230*(1+J$8)-BM231),2)</f>
        <v>0</v>
      </c>
      <c r="AR231" s="27" t="n">
        <f aca="false">ROUND(MAX(0,AR230*(1+K$8)-BN231),2)</f>
        <v>0</v>
      </c>
      <c r="AS231" s="27" t="n">
        <f aca="false">SUM(AI231:AR231)</f>
        <v>0</v>
      </c>
      <c r="AT231" s="27" t="n">
        <f aca="false">SUMPRODUCT(AI230:AR230,$B$8:$K$8)</f>
        <v>0</v>
      </c>
      <c r="AU231" s="27" t="n">
        <f aca="false">MIN(AI230*(1+B$8),B$9)</f>
        <v>0</v>
      </c>
      <c r="AV231" s="27" t="n">
        <f aca="false">MIN(AJ230*(1+C$8),C$9)</f>
        <v>0</v>
      </c>
      <c r="AW231" s="27" t="n">
        <f aca="false">MIN(AK230*(1+D$8),D$9)</f>
        <v>0</v>
      </c>
      <c r="AX231" s="27" t="n">
        <f aca="false">MIN(AL230*(1+E$8),E$9)</f>
        <v>0</v>
      </c>
      <c r="AY231" s="27" t="n">
        <f aca="false">MIN(AM230*(1+F$8),F$9)</f>
        <v>0</v>
      </c>
      <c r="AZ231" s="27" t="n">
        <f aca="false">MIN(AN230*(1+G$8),G$9)</f>
        <v>0</v>
      </c>
      <c r="BA231" s="27" t="n">
        <f aca="false">MIN(AO230*(1+H$8),H$9)</f>
        <v>0</v>
      </c>
      <c r="BB231" s="27" t="n">
        <f aca="false">MIN(AP230*(1+I$8),I$9)</f>
        <v>0</v>
      </c>
      <c r="BC231" s="27" t="n">
        <f aca="false">MIN(AQ230*(1+J$8),J$9)</f>
        <v>0</v>
      </c>
      <c r="BD231" s="27" t="n">
        <f aca="false">MIN(AR230*(1+K$8),K$9)</f>
        <v>0</v>
      </c>
      <c r="BE231" s="27" t="n">
        <f aca="false">MIN(AI230*(1+B$8),MAX(AU231,$B$12-SUM(AV231:BD231)))</f>
        <v>0</v>
      </c>
      <c r="BF231" s="27" t="n">
        <f aca="false">MIN(AJ230*(1+C$8),MAX(AV231,$B$12-SUM(BE231:BE231)-SUM(AW231:BD231)))</f>
        <v>0</v>
      </c>
      <c r="BG231" s="27" t="n">
        <f aca="false">MIN(AK230*(1+D$8),MAX(AW231,$B$12-SUM(BE231:BF231)-SUM(AX231:BD231)))</f>
        <v>0</v>
      </c>
      <c r="BH231" s="27" t="n">
        <f aca="false">MIN(AL230*(1+E$8),MAX(AX231,$B$12-SUM(BE231:BG231)-SUM(AY231:BD231)))</f>
        <v>0</v>
      </c>
      <c r="BI231" s="27" t="n">
        <f aca="false">MIN(AM230*(1+F$8),MAX(AY231,$B$12-SUM(BE231:BH231)-SUM(AZ231:BD231)))</f>
        <v>0</v>
      </c>
      <c r="BJ231" s="27" t="n">
        <f aca="false">MIN(AN230*(1+G$8),MAX(AZ231,$B$12-SUM(BE231:BI231)-SUM(BA231:BD231)))</f>
        <v>0</v>
      </c>
      <c r="BK231" s="27" t="n">
        <f aca="false">MIN(AO230*(1+H$8),MAX(BA231,$B$12-SUM(BE231:BJ231)-SUM(BB231:BD231)))</f>
        <v>0</v>
      </c>
      <c r="BL231" s="27" t="n">
        <f aca="false">MIN(AP230*(1+I$8),MAX(BB231,$B$12-SUM(BE231:BK231)-SUM(BC231:BD231)))</f>
        <v>0</v>
      </c>
      <c r="BM231" s="27" t="n">
        <f aca="false">MIN(AQ230*(1+J$8),MAX(BC231,$B$12-SUM(BE231:BL231)-SUM(BD231:BD231)))</f>
        <v>0</v>
      </c>
      <c r="BN231" s="27" t="n">
        <f aca="false">MIN(AR230*(1+K$8),MAX(BD231,$B$12-SUM(BE231:BM231)))</f>
        <v>0</v>
      </c>
    </row>
    <row r="232" customFormat="false" ht="15" hidden="false" customHeight="false" outlineLevel="0" collapsed="false">
      <c r="A232" s="0" t="n">
        <v>218</v>
      </c>
      <c r="B232" s="27" t="n">
        <f aca="false">ROUND(MAX(0,B231*(1+B$8)-X232),2)</f>
        <v>0</v>
      </c>
      <c r="C232" s="27" t="n">
        <f aca="false">ROUND(MAX(0,C231*(1+C$8)-Y232),2)</f>
        <v>0</v>
      </c>
      <c r="D232" s="27" t="n">
        <f aca="false">ROUND(MAX(0,D231*(1+D$8)-Z232),2)</f>
        <v>0</v>
      </c>
      <c r="E232" s="27" t="n">
        <f aca="false">ROUND(MAX(0,E231*(1+E$8)-AA232),2)</f>
        <v>0</v>
      </c>
      <c r="F232" s="27" t="n">
        <f aca="false">ROUND(MAX(0,F231*(1+F$8)-AB232),2)</f>
        <v>0</v>
      </c>
      <c r="G232" s="27" t="n">
        <f aca="false">ROUND(MAX(0,G231*(1+G$8)-AC232),2)</f>
        <v>0</v>
      </c>
      <c r="H232" s="27" t="n">
        <f aca="false">ROUND(MAX(0,H231*(1+H$8)-AD232),2)</f>
        <v>0</v>
      </c>
      <c r="I232" s="27" t="n">
        <f aca="false">ROUND(MAX(0,I231*(1+I$8)-AE232),2)</f>
        <v>0</v>
      </c>
      <c r="J232" s="27" t="n">
        <f aca="false">ROUND(MAX(0,J231*(1+J$8)-AF232),2)</f>
        <v>0</v>
      </c>
      <c r="K232" s="27" t="n">
        <f aca="false">ROUND(MAX(0,K231*(1+K$8)-AG232),2)</f>
        <v>0</v>
      </c>
      <c r="L232" s="30" t="n">
        <f aca="false">SUM(B232:K232)</f>
        <v>0</v>
      </c>
      <c r="M232" s="27" t="n">
        <f aca="false">SUMPRODUCT(B231:K231,$B$8:$K$8)</f>
        <v>0</v>
      </c>
      <c r="N232" s="27" t="n">
        <f aca="false">MIN(B231*(1+B$8),B$9)</f>
        <v>0</v>
      </c>
      <c r="O232" s="27" t="n">
        <f aca="false">MIN(C231*(1+C$8),C$9)</f>
        <v>0</v>
      </c>
      <c r="P232" s="27" t="n">
        <f aca="false">MIN(D231*(1+D$8),D$9)</f>
        <v>0</v>
      </c>
      <c r="Q232" s="27" t="n">
        <f aca="false">MIN(E231*(1+E$8),E$9)</f>
        <v>0</v>
      </c>
      <c r="R232" s="27" t="n">
        <f aca="false">MIN(F231*(1+F$8),F$9)</f>
        <v>0</v>
      </c>
      <c r="S232" s="27" t="n">
        <f aca="false">MIN(G231*(1+G$8),G$9)</f>
        <v>0</v>
      </c>
      <c r="T232" s="27" t="n">
        <f aca="false">MIN(H231*(1+H$8),H$9)</f>
        <v>0</v>
      </c>
      <c r="U232" s="27" t="n">
        <f aca="false">MIN(I231*(1+I$8),I$9)</f>
        <v>0</v>
      </c>
      <c r="V232" s="27" t="n">
        <f aca="false">MIN(J231*(1+J$8),J$9)</f>
        <v>0</v>
      </c>
      <c r="W232" s="27" t="n">
        <f aca="false">MIN(K231*(1+K$8),K$9)</f>
        <v>0</v>
      </c>
      <c r="X232" s="27" t="n">
        <f aca="false">MIN(B231*(1+B$8),MAX(N232,$B$11-SUM(O232:W232)))</f>
        <v>0</v>
      </c>
      <c r="Y232" s="27" t="n">
        <f aca="false">MIN(C231*(1+C$8),MAX(O232,$B$11-SUM(X232:X232)-SUM(P232:W232)))</f>
        <v>0</v>
      </c>
      <c r="Z232" s="27" t="n">
        <f aca="false">MIN(D231*(1+D$8),MAX(P232,$B$11-SUM(X232:Y232)-SUM(Q232:W232)))</f>
        <v>0</v>
      </c>
      <c r="AA232" s="27" t="n">
        <f aca="false">MIN(E231*(1+E$8),MAX(Q232,$B$11-SUM(X232:Z232)-SUM(R232:W232)))</f>
        <v>0</v>
      </c>
      <c r="AB232" s="27" t="n">
        <f aca="false">MIN(F231*(1+F$8),MAX(R232,$B$11-SUM(X232:AA232)-SUM(S232:W232)))</f>
        <v>0</v>
      </c>
      <c r="AC232" s="27" t="n">
        <f aca="false">MIN(G231*(1+G$8),MAX(S232,$B$11-SUM(X232:AB232)-SUM(T232:W232)))</f>
        <v>0</v>
      </c>
      <c r="AD232" s="27" t="n">
        <f aca="false">MIN(H231*(1+H$8),MAX(T232,$B$11-SUM(X232:AC232)-SUM(U232:W232)))</f>
        <v>0</v>
      </c>
      <c r="AE232" s="27" t="n">
        <f aca="false">MIN(I231*(1+I$8),MAX(U232,$B$11-SUM(X232:AD232)-SUM(V232:W232)))</f>
        <v>0</v>
      </c>
      <c r="AF232" s="27" t="n">
        <f aca="false">MIN(J231*(1+J$8),MAX(V232,$B$11-SUM(X232:AE232)-SUM(W232:W232)))</f>
        <v>0</v>
      </c>
      <c r="AG232" s="27" t="n">
        <f aca="false">MIN(K231*(1+K$8),MAX(W232,$B$11-SUM(X232:AF232)))</f>
        <v>0</v>
      </c>
      <c r="AI232" s="27" t="n">
        <f aca="false">ROUND(MAX(0,AI231*(1+B$8)-BE232),2)</f>
        <v>0</v>
      </c>
      <c r="AJ232" s="27" t="n">
        <f aca="false">ROUND(MAX(0,AJ231*(1+C$8)-BF232),2)</f>
        <v>0</v>
      </c>
      <c r="AK232" s="27" t="n">
        <f aca="false">ROUND(MAX(0,AK231*(1+D$8)-BG232),2)</f>
        <v>0</v>
      </c>
      <c r="AL232" s="27" t="n">
        <f aca="false">ROUND(MAX(0,AL231*(1+E$8)-BH232),2)</f>
        <v>0</v>
      </c>
      <c r="AM232" s="27" t="n">
        <f aca="false">ROUND(MAX(0,AM231*(1+F$8)-BI232),2)</f>
        <v>0</v>
      </c>
      <c r="AN232" s="27" t="n">
        <f aca="false">ROUND(MAX(0,AN231*(1+G$8)-BJ232),2)</f>
        <v>0</v>
      </c>
      <c r="AO232" s="27" t="n">
        <f aca="false">ROUND(MAX(0,AO231*(1+H$8)-BK232),2)</f>
        <v>0</v>
      </c>
      <c r="AP232" s="27" t="n">
        <f aca="false">ROUND(MAX(0,AP231*(1+I$8)-BL232),2)</f>
        <v>0</v>
      </c>
      <c r="AQ232" s="27" t="n">
        <f aca="false">ROUND(MAX(0,AQ231*(1+J$8)-BM232),2)</f>
        <v>0</v>
      </c>
      <c r="AR232" s="27" t="n">
        <f aca="false">ROUND(MAX(0,AR231*(1+K$8)-BN232),2)</f>
        <v>0</v>
      </c>
      <c r="AS232" s="27" t="n">
        <f aca="false">SUM(AI232:AR232)</f>
        <v>0</v>
      </c>
      <c r="AT232" s="27" t="n">
        <f aca="false">SUMPRODUCT(AI231:AR231,$B$8:$K$8)</f>
        <v>0</v>
      </c>
      <c r="AU232" s="27" t="n">
        <f aca="false">MIN(AI231*(1+B$8),B$9)</f>
        <v>0</v>
      </c>
      <c r="AV232" s="27" t="n">
        <f aca="false">MIN(AJ231*(1+C$8),C$9)</f>
        <v>0</v>
      </c>
      <c r="AW232" s="27" t="n">
        <f aca="false">MIN(AK231*(1+D$8),D$9)</f>
        <v>0</v>
      </c>
      <c r="AX232" s="27" t="n">
        <f aca="false">MIN(AL231*(1+E$8),E$9)</f>
        <v>0</v>
      </c>
      <c r="AY232" s="27" t="n">
        <f aca="false">MIN(AM231*(1+F$8),F$9)</f>
        <v>0</v>
      </c>
      <c r="AZ232" s="27" t="n">
        <f aca="false">MIN(AN231*(1+G$8),G$9)</f>
        <v>0</v>
      </c>
      <c r="BA232" s="27" t="n">
        <f aca="false">MIN(AO231*(1+H$8),H$9)</f>
        <v>0</v>
      </c>
      <c r="BB232" s="27" t="n">
        <f aca="false">MIN(AP231*(1+I$8),I$9)</f>
        <v>0</v>
      </c>
      <c r="BC232" s="27" t="n">
        <f aca="false">MIN(AQ231*(1+J$8),J$9)</f>
        <v>0</v>
      </c>
      <c r="BD232" s="27" t="n">
        <f aca="false">MIN(AR231*(1+K$8),K$9)</f>
        <v>0</v>
      </c>
      <c r="BE232" s="27" t="n">
        <f aca="false">MIN(AI231*(1+B$8),MAX(AU232,$B$12-SUM(AV232:BD232)))</f>
        <v>0</v>
      </c>
      <c r="BF232" s="27" t="n">
        <f aca="false">MIN(AJ231*(1+C$8),MAX(AV232,$B$12-SUM(BE232:BE232)-SUM(AW232:BD232)))</f>
        <v>0</v>
      </c>
      <c r="BG232" s="27" t="n">
        <f aca="false">MIN(AK231*(1+D$8),MAX(AW232,$B$12-SUM(BE232:BF232)-SUM(AX232:BD232)))</f>
        <v>0</v>
      </c>
      <c r="BH232" s="27" t="n">
        <f aca="false">MIN(AL231*(1+E$8),MAX(AX232,$B$12-SUM(BE232:BG232)-SUM(AY232:BD232)))</f>
        <v>0</v>
      </c>
      <c r="BI232" s="27" t="n">
        <f aca="false">MIN(AM231*(1+F$8),MAX(AY232,$B$12-SUM(BE232:BH232)-SUM(AZ232:BD232)))</f>
        <v>0</v>
      </c>
      <c r="BJ232" s="27" t="n">
        <f aca="false">MIN(AN231*(1+G$8),MAX(AZ232,$B$12-SUM(BE232:BI232)-SUM(BA232:BD232)))</f>
        <v>0</v>
      </c>
      <c r="BK232" s="27" t="n">
        <f aca="false">MIN(AO231*(1+H$8),MAX(BA232,$B$12-SUM(BE232:BJ232)-SUM(BB232:BD232)))</f>
        <v>0</v>
      </c>
      <c r="BL232" s="27" t="n">
        <f aca="false">MIN(AP231*(1+I$8),MAX(BB232,$B$12-SUM(BE232:BK232)-SUM(BC232:BD232)))</f>
        <v>0</v>
      </c>
      <c r="BM232" s="27" t="n">
        <f aca="false">MIN(AQ231*(1+J$8),MAX(BC232,$B$12-SUM(BE232:BL232)-SUM(BD232:BD232)))</f>
        <v>0</v>
      </c>
      <c r="BN232" s="27" t="n">
        <f aca="false">MIN(AR231*(1+K$8),MAX(BD232,$B$12-SUM(BE232:BM232)))</f>
        <v>0</v>
      </c>
    </row>
    <row r="233" customFormat="false" ht="15" hidden="false" customHeight="false" outlineLevel="0" collapsed="false">
      <c r="A233" s="0" t="n">
        <v>219</v>
      </c>
      <c r="B233" s="27" t="n">
        <f aca="false">ROUND(MAX(0,B232*(1+B$8)-X233),2)</f>
        <v>0</v>
      </c>
      <c r="C233" s="27" t="n">
        <f aca="false">ROUND(MAX(0,C232*(1+C$8)-Y233),2)</f>
        <v>0</v>
      </c>
      <c r="D233" s="27" t="n">
        <f aca="false">ROUND(MAX(0,D232*(1+D$8)-Z233),2)</f>
        <v>0</v>
      </c>
      <c r="E233" s="27" t="n">
        <f aca="false">ROUND(MAX(0,E232*(1+E$8)-AA233),2)</f>
        <v>0</v>
      </c>
      <c r="F233" s="27" t="n">
        <f aca="false">ROUND(MAX(0,F232*(1+F$8)-AB233),2)</f>
        <v>0</v>
      </c>
      <c r="G233" s="27" t="n">
        <f aca="false">ROUND(MAX(0,G232*(1+G$8)-AC233),2)</f>
        <v>0</v>
      </c>
      <c r="H233" s="27" t="n">
        <f aca="false">ROUND(MAX(0,H232*(1+H$8)-AD233),2)</f>
        <v>0</v>
      </c>
      <c r="I233" s="27" t="n">
        <f aca="false">ROUND(MAX(0,I232*(1+I$8)-AE233),2)</f>
        <v>0</v>
      </c>
      <c r="J233" s="27" t="n">
        <f aca="false">ROUND(MAX(0,J232*(1+J$8)-AF233),2)</f>
        <v>0</v>
      </c>
      <c r="K233" s="27" t="n">
        <f aca="false">ROUND(MAX(0,K232*(1+K$8)-AG233),2)</f>
        <v>0</v>
      </c>
      <c r="L233" s="30" t="n">
        <f aca="false">SUM(B233:K233)</f>
        <v>0</v>
      </c>
      <c r="M233" s="27" t="n">
        <f aca="false">SUMPRODUCT(B232:K232,$B$8:$K$8)</f>
        <v>0</v>
      </c>
      <c r="N233" s="27" t="n">
        <f aca="false">MIN(B232*(1+B$8),B$9)</f>
        <v>0</v>
      </c>
      <c r="O233" s="27" t="n">
        <f aca="false">MIN(C232*(1+C$8),C$9)</f>
        <v>0</v>
      </c>
      <c r="P233" s="27" t="n">
        <f aca="false">MIN(D232*(1+D$8),D$9)</f>
        <v>0</v>
      </c>
      <c r="Q233" s="27" t="n">
        <f aca="false">MIN(E232*(1+E$8),E$9)</f>
        <v>0</v>
      </c>
      <c r="R233" s="27" t="n">
        <f aca="false">MIN(F232*(1+F$8),F$9)</f>
        <v>0</v>
      </c>
      <c r="S233" s="27" t="n">
        <f aca="false">MIN(G232*(1+G$8),G$9)</f>
        <v>0</v>
      </c>
      <c r="T233" s="27" t="n">
        <f aca="false">MIN(H232*(1+H$8),H$9)</f>
        <v>0</v>
      </c>
      <c r="U233" s="27" t="n">
        <f aca="false">MIN(I232*(1+I$8),I$9)</f>
        <v>0</v>
      </c>
      <c r="V233" s="27" t="n">
        <f aca="false">MIN(J232*(1+J$8),J$9)</f>
        <v>0</v>
      </c>
      <c r="W233" s="27" t="n">
        <f aca="false">MIN(K232*(1+K$8),K$9)</f>
        <v>0</v>
      </c>
      <c r="X233" s="27" t="n">
        <f aca="false">MIN(B232*(1+B$8),MAX(N233,$B$11-SUM(O233:W233)))</f>
        <v>0</v>
      </c>
      <c r="Y233" s="27" t="n">
        <f aca="false">MIN(C232*(1+C$8),MAX(O233,$B$11-SUM(X233:X233)-SUM(P233:W233)))</f>
        <v>0</v>
      </c>
      <c r="Z233" s="27" t="n">
        <f aca="false">MIN(D232*(1+D$8),MAX(P233,$B$11-SUM(X233:Y233)-SUM(Q233:W233)))</f>
        <v>0</v>
      </c>
      <c r="AA233" s="27" t="n">
        <f aca="false">MIN(E232*(1+E$8),MAX(Q233,$B$11-SUM(X233:Z233)-SUM(R233:W233)))</f>
        <v>0</v>
      </c>
      <c r="AB233" s="27" t="n">
        <f aca="false">MIN(F232*(1+F$8),MAX(R233,$B$11-SUM(X233:AA233)-SUM(S233:W233)))</f>
        <v>0</v>
      </c>
      <c r="AC233" s="27" t="n">
        <f aca="false">MIN(G232*(1+G$8),MAX(S233,$B$11-SUM(X233:AB233)-SUM(T233:W233)))</f>
        <v>0</v>
      </c>
      <c r="AD233" s="27" t="n">
        <f aca="false">MIN(H232*(1+H$8),MAX(T233,$B$11-SUM(X233:AC233)-SUM(U233:W233)))</f>
        <v>0</v>
      </c>
      <c r="AE233" s="27" t="n">
        <f aca="false">MIN(I232*(1+I$8),MAX(U233,$B$11-SUM(X233:AD233)-SUM(V233:W233)))</f>
        <v>0</v>
      </c>
      <c r="AF233" s="27" t="n">
        <f aca="false">MIN(J232*(1+J$8),MAX(V233,$B$11-SUM(X233:AE233)-SUM(W233:W233)))</f>
        <v>0</v>
      </c>
      <c r="AG233" s="27" t="n">
        <f aca="false">MIN(K232*(1+K$8),MAX(W233,$B$11-SUM(X233:AF233)))</f>
        <v>0</v>
      </c>
      <c r="AI233" s="27" t="n">
        <f aca="false">ROUND(MAX(0,AI232*(1+B$8)-BE233),2)</f>
        <v>0</v>
      </c>
      <c r="AJ233" s="27" t="n">
        <f aca="false">ROUND(MAX(0,AJ232*(1+C$8)-BF233),2)</f>
        <v>0</v>
      </c>
      <c r="AK233" s="27" t="n">
        <f aca="false">ROUND(MAX(0,AK232*(1+D$8)-BG233),2)</f>
        <v>0</v>
      </c>
      <c r="AL233" s="27" t="n">
        <f aca="false">ROUND(MAX(0,AL232*(1+E$8)-BH233),2)</f>
        <v>0</v>
      </c>
      <c r="AM233" s="27" t="n">
        <f aca="false">ROUND(MAX(0,AM232*(1+F$8)-BI233),2)</f>
        <v>0</v>
      </c>
      <c r="AN233" s="27" t="n">
        <f aca="false">ROUND(MAX(0,AN232*(1+G$8)-BJ233),2)</f>
        <v>0</v>
      </c>
      <c r="AO233" s="27" t="n">
        <f aca="false">ROUND(MAX(0,AO232*(1+H$8)-BK233),2)</f>
        <v>0</v>
      </c>
      <c r="AP233" s="27" t="n">
        <f aca="false">ROUND(MAX(0,AP232*(1+I$8)-BL233),2)</f>
        <v>0</v>
      </c>
      <c r="AQ233" s="27" t="n">
        <f aca="false">ROUND(MAX(0,AQ232*(1+J$8)-BM233),2)</f>
        <v>0</v>
      </c>
      <c r="AR233" s="27" t="n">
        <f aca="false">ROUND(MAX(0,AR232*(1+K$8)-BN233),2)</f>
        <v>0</v>
      </c>
      <c r="AS233" s="27" t="n">
        <f aca="false">SUM(AI233:AR233)</f>
        <v>0</v>
      </c>
      <c r="AT233" s="27" t="n">
        <f aca="false">SUMPRODUCT(AI232:AR232,$B$8:$K$8)</f>
        <v>0</v>
      </c>
      <c r="AU233" s="27" t="n">
        <f aca="false">MIN(AI232*(1+B$8),B$9)</f>
        <v>0</v>
      </c>
      <c r="AV233" s="27" t="n">
        <f aca="false">MIN(AJ232*(1+C$8),C$9)</f>
        <v>0</v>
      </c>
      <c r="AW233" s="27" t="n">
        <f aca="false">MIN(AK232*(1+D$8),D$9)</f>
        <v>0</v>
      </c>
      <c r="AX233" s="27" t="n">
        <f aca="false">MIN(AL232*(1+E$8),E$9)</f>
        <v>0</v>
      </c>
      <c r="AY233" s="27" t="n">
        <f aca="false">MIN(AM232*(1+F$8),F$9)</f>
        <v>0</v>
      </c>
      <c r="AZ233" s="27" t="n">
        <f aca="false">MIN(AN232*(1+G$8),G$9)</f>
        <v>0</v>
      </c>
      <c r="BA233" s="27" t="n">
        <f aca="false">MIN(AO232*(1+H$8),H$9)</f>
        <v>0</v>
      </c>
      <c r="BB233" s="27" t="n">
        <f aca="false">MIN(AP232*(1+I$8),I$9)</f>
        <v>0</v>
      </c>
      <c r="BC233" s="27" t="n">
        <f aca="false">MIN(AQ232*(1+J$8),J$9)</f>
        <v>0</v>
      </c>
      <c r="BD233" s="27" t="n">
        <f aca="false">MIN(AR232*(1+K$8),K$9)</f>
        <v>0</v>
      </c>
      <c r="BE233" s="27" t="n">
        <f aca="false">MIN(AI232*(1+B$8),MAX(AU233,$B$12-SUM(AV233:BD233)))</f>
        <v>0</v>
      </c>
      <c r="BF233" s="27" t="n">
        <f aca="false">MIN(AJ232*(1+C$8),MAX(AV233,$B$12-SUM(BE233:BE233)-SUM(AW233:BD233)))</f>
        <v>0</v>
      </c>
      <c r="BG233" s="27" t="n">
        <f aca="false">MIN(AK232*(1+D$8),MAX(AW233,$B$12-SUM(BE233:BF233)-SUM(AX233:BD233)))</f>
        <v>0</v>
      </c>
      <c r="BH233" s="27" t="n">
        <f aca="false">MIN(AL232*(1+E$8),MAX(AX233,$B$12-SUM(BE233:BG233)-SUM(AY233:BD233)))</f>
        <v>0</v>
      </c>
      <c r="BI233" s="27" t="n">
        <f aca="false">MIN(AM232*(1+F$8),MAX(AY233,$B$12-SUM(BE233:BH233)-SUM(AZ233:BD233)))</f>
        <v>0</v>
      </c>
      <c r="BJ233" s="27" t="n">
        <f aca="false">MIN(AN232*(1+G$8),MAX(AZ233,$B$12-SUM(BE233:BI233)-SUM(BA233:BD233)))</f>
        <v>0</v>
      </c>
      <c r="BK233" s="27" t="n">
        <f aca="false">MIN(AO232*(1+H$8),MAX(BA233,$B$12-SUM(BE233:BJ233)-SUM(BB233:BD233)))</f>
        <v>0</v>
      </c>
      <c r="BL233" s="27" t="n">
        <f aca="false">MIN(AP232*(1+I$8),MAX(BB233,$B$12-SUM(BE233:BK233)-SUM(BC233:BD233)))</f>
        <v>0</v>
      </c>
      <c r="BM233" s="27" t="n">
        <f aca="false">MIN(AQ232*(1+J$8),MAX(BC233,$B$12-SUM(BE233:BL233)-SUM(BD233:BD233)))</f>
        <v>0</v>
      </c>
      <c r="BN233" s="27" t="n">
        <f aca="false">MIN(AR232*(1+K$8),MAX(BD233,$B$12-SUM(BE233:BM233)))</f>
        <v>0</v>
      </c>
    </row>
    <row r="234" customFormat="false" ht="15" hidden="false" customHeight="false" outlineLevel="0" collapsed="false">
      <c r="A234" s="0" t="n">
        <v>220</v>
      </c>
      <c r="B234" s="27" t="n">
        <f aca="false">ROUND(MAX(0,B233*(1+B$8)-X234),2)</f>
        <v>0</v>
      </c>
      <c r="C234" s="27" t="n">
        <f aca="false">ROUND(MAX(0,C233*(1+C$8)-Y234),2)</f>
        <v>0</v>
      </c>
      <c r="D234" s="27" t="n">
        <f aca="false">ROUND(MAX(0,D233*(1+D$8)-Z234),2)</f>
        <v>0</v>
      </c>
      <c r="E234" s="27" t="n">
        <f aca="false">ROUND(MAX(0,E233*(1+E$8)-AA234),2)</f>
        <v>0</v>
      </c>
      <c r="F234" s="27" t="n">
        <f aca="false">ROUND(MAX(0,F233*(1+F$8)-AB234),2)</f>
        <v>0</v>
      </c>
      <c r="G234" s="27" t="n">
        <f aca="false">ROUND(MAX(0,G233*(1+G$8)-AC234),2)</f>
        <v>0</v>
      </c>
      <c r="H234" s="27" t="n">
        <f aca="false">ROUND(MAX(0,H233*(1+H$8)-AD234),2)</f>
        <v>0</v>
      </c>
      <c r="I234" s="27" t="n">
        <f aca="false">ROUND(MAX(0,I233*(1+I$8)-AE234),2)</f>
        <v>0</v>
      </c>
      <c r="J234" s="27" t="n">
        <f aca="false">ROUND(MAX(0,J233*(1+J$8)-AF234),2)</f>
        <v>0</v>
      </c>
      <c r="K234" s="27" t="n">
        <f aca="false">ROUND(MAX(0,K233*(1+K$8)-AG234),2)</f>
        <v>0</v>
      </c>
      <c r="L234" s="30" t="n">
        <f aca="false">SUM(B234:K234)</f>
        <v>0</v>
      </c>
      <c r="M234" s="27" t="n">
        <f aca="false">SUMPRODUCT(B233:K233,$B$8:$K$8)</f>
        <v>0</v>
      </c>
      <c r="N234" s="27" t="n">
        <f aca="false">MIN(B233*(1+B$8),B$9)</f>
        <v>0</v>
      </c>
      <c r="O234" s="27" t="n">
        <f aca="false">MIN(C233*(1+C$8),C$9)</f>
        <v>0</v>
      </c>
      <c r="P234" s="27" t="n">
        <f aca="false">MIN(D233*(1+D$8),D$9)</f>
        <v>0</v>
      </c>
      <c r="Q234" s="27" t="n">
        <f aca="false">MIN(E233*(1+E$8),E$9)</f>
        <v>0</v>
      </c>
      <c r="R234" s="27" t="n">
        <f aca="false">MIN(F233*(1+F$8),F$9)</f>
        <v>0</v>
      </c>
      <c r="S234" s="27" t="n">
        <f aca="false">MIN(G233*(1+G$8),G$9)</f>
        <v>0</v>
      </c>
      <c r="T234" s="27" t="n">
        <f aca="false">MIN(H233*(1+H$8),H$9)</f>
        <v>0</v>
      </c>
      <c r="U234" s="27" t="n">
        <f aca="false">MIN(I233*(1+I$8),I$9)</f>
        <v>0</v>
      </c>
      <c r="V234" s="27" t="n">
        <f aca="false">MIN(J233*(1+J$8),J$9)</f>
        <v>0</v>
      </c>
      <c r="W234" s="27" t="n">
        <f aca="false">MIN(K233*(1+K$8),K$9)</f>
        <v>0</v>
      </c>
      <c r="X234" s="27" t="n">
        <f aca="false">MIN(B233*(1+B$8),MAX(N234,$B$11-SUM(O234:W234)))</f>
        <v>0</v>
      </c>
      <c r="Y234" s="27" t="n">
        <f aca="false">MIN(C233*(1+C$8),MAX(O234,$B$11-SUM(X234:X234)-SUM(P234:W234)))</f>
        <v>0</v>
      </c>
      <c r="Z234" s="27" t="n">
        <f aca="false">MIN(D233*(1+D$8),MAX(P234,$B$11-SUM(X234:Y234)-SUM(Q234:W234)))</f>
        <v>0</v>
      </c>
      <c r="AA234" s="27" t="n">
        <f aca="false">MIN(E233*(1+E$8),MAX(Q234,$B$11-SUM(X234:Z234)-SUM(R234:W234)))</f>
        <v>0</v>
      </c>
      <c r="AB234" s="27" t="n">
        <f aca="false">MIN(F233*(1+F$8),MAX(R234,$B$11-SUM(X234:AA234)-SUM(S234:W234)))</f>
        <v>0</v>
      </c>
      <c r="AC234" s="27" t="n">
        <f aca="false">MIN(G233*(1+G$8),MAX(S234,$B$11-SUM(X234:AB234)-SUM(T234:W234)))</f>
        <v>0</v>
      </c>
      <c r="AD234" s="27" t="n">
        <f aca="false">MIN(H233*(1+H$8),MAX(T234,$B$11-SUM(X234:AC234)-SUM(U234:W234)))</f>
        <v>0</v>
      </c>
      <c r="AE234" s="27" t="n">
        <f aca="false">MIN(I233*(1+I$8),MAX(U234,$B$11-SUM(X234:AD234)-SUM(V234:W234)))</f>
        <v>0</v>
      </c>
      <c r="AF234" s="27" t="n">
        <f aca="false">MIN(J233*(1+J$8),MAX(V234,$B$11-SUM(X234:AE234)-SUM(W234:W234)))</f>
        <v>0</v>
      </c>
      <c r="AG234" s="27" t="n">
        <f aca="false">MIN(K233*(1+K$8),MAX(W234,$B$11-SUM(X234:AF234)))</f>
        <v>0</v>
      </c>
      <c r="AI234" s="27" t="n">
        <f aca="false">ROUND(MAX(0,AI233*(1+B$8)-BE234),2)</f>
        <v>0</v>
      </c>
      <c r="AJ234" s="27" t="n">
        <f aca="false">ROUND(MAX(0,AJ233*(1+C$8)-BF234),2)</f>
        <v>0</v>
      </c>
      <c r="AK234" s="27" t="n">
        <f aca="false">ROUND(MAX(0,AK233*(1+D$8)-BG234),2)</f>
        <v>0</v>
      </c>
      <c r="AL234" s="27" t="n">
        <f aca="false">ROUND(MAX(0,AL233*(1+E$8)-BH234),2)</f>
        <v>0</v>
      </c>
      <c r="AM234" s="27" t="n">
        <f aca="false">ROUND(MAX(0,AM233*(1+F$8)-BI234),2)</f>
        <v>0</v>
      </c>
      <c r="AN234" s="27" t="n">
        <f aca="false">ROUND(MAX(0,AN233*(1+G$8)-BJ234),2)</f>
        <v>0</v>
      </c>
      <c r="AO234" s="27" t="n">
        <f aca="false">ROUND(MAX(0,AO233*(1+H$8)-BK234),2)</f>
        <v>0</v>
      </c>
      <c r="AP234" s="27" t="n">
        <f aca="false">ROUND(MAX(0,AP233*(1+I$8)-BL234),2)</f>
        <v>0</v>
      </c>
      <c r="AQ234" s="27" t="n">
        <f aca="false">ROUND(MAX(0,AQ233*(1+J$8)-BM234),2)</f>
        <v>0</v>
      </c>
      <c r="AR234" s="27" t="n">
        <f aca="false">ROUND(MAX(0,AR233*(1+K$8)-BN234),2)</f>
        <v>0</v>
      </c>
      <c r="AS234" s="27" t="n">
        <f aca="false">SUM(AI234:AR234)</f>
        <v>0</v>
      </c>
      <c r="AT234" s="27" t="n">
        <f aca="false">SUMPRODUCT(AI233:AR233,$B$8:$K$8)</f>
        <v>0</v>
      </c>
      <c r="AU234" s="27" t="n">
        <f aca="false">MIN(AI233*(1+B$8),B$9)</f>
        <v>0</v>
      </c>
      <c r="AV234" s="27" t="n">
        <f aca="false">MIN(AJ233*(1+C$8),C$9)</f>
        <v>0</v>
      </c>
      <c r="AW234" s="27" t="n">
        <f aca="false">MIN(AK233*(1+D$8),D$9)</f>
        <v>0</v>
      </c>
      <c r="AX234" s="27" t="n">
        <f aca="false">MIN(AL233*(1+E$8),E$9)</f>
        <v>0</v>
      </c>
      <c r="AY234" s="27" t="n">
        <f aca="false">MIN(AM233*(1+F$8),F$9)</f>
        <v>0</v>
      </c>
      <c r="AZ234" s="27" t="n">
        <f aca="false">MIN(AN233*(1+G$8),G$9)</f>
        <v>0</v>
      </c>
      <c r="BA234" s="27" t="n">
        <f aca="false">MIN(AO233*(1+H$8),H$9)</f>
        <v>0</v>
      </c>
      <c r="BB234" s="27" t="n">
        <f aca="false">MIN(AP233*(1+I$8),I$9)</f>
        <v>0</v>
      </c>
      <c r="BC234" s="27" t="n">
        <f aca="false">MIN(AQ233*(1+J$8),J$9)</f>
        <v>0</v>
      </c>
      <c r="BD234" s="27" t="n">
        <f aca="false">MIN(AR233*(1+K$8),K$9)</f>
        <v>0</v>
      </c>
      <c r="BE234" s="27" t="n">
        <f aca="false">MIN(AI233*(1+B$8),MAX(AU234,$B$12-SUM(AV234:BD234)))</f>
        <v>0</v>
      </c>
      <c r="BF234" s="27" t="n">
        <f aca="false">MIN(AJ233*(1+C$8),MAX(AV234,$B$12-SUM(BE234:BE234)-SUM(AW234:BD234)))</f>
        <v>0</v>
      </c>
      <c r="BG234" s="27" t="n">
        <f aca="false">MIN(AK233*(1+D$8),MAX(AW234,$B$12-SUM(BE234:BF234)-SUM(AX234:BD234)))</f>
        <v>0</v>
      </c>
      <c r="BH234" s="27" t="n">
        <f aca="false">MIN(AL233*(1+E$8),MAX(AX234,$B$12-SUM(BE234:BG234)-SUM(AY234:BD234)))</f>
        <v>0</v>
      </c>
      <c r="BI234" s="27" t="n">
        <f aca="false">MIN(AM233*(1+F$8),MAX(AY234,$B$12-SUM(BE234:BH234)-SUM(AZ234:BD234)))</f>
        <v>0</v>
      </c>
      <c r="BJ234" s="27" t="n">
        <f aca="false">MIN(AN233*(1+G$8),MAX(AZ234,$B$12-SUM(BE234:BI234)-SUM(BA234:BD234)))</f>
        <v>0</v>
      </c>
      <c r="BK234" s="27" t="n">
        <f aca="false">MIN(AO233*(1+H$8),MAX(BA234,$B$12-SUM(BE234:BJ234)-SUM(BB234:BD234)))</f>
        <v>0</v>
      </c>
      <c r="BL234" s="27" t="n">
        <f aca="false">MIN(AP233*(1+I$8),MAX(BB234,$B$12-SUM(BE234:BK234)-SUM(BC234:BD234)))</f>
        <v>0</v>
      </c>
      <c r="BM234" s="27" t="n">
        <f aca="false">MIN(AQ233*(1+J$8),MAX(BC234,$B$12-SUM(BE234:BL234)-SUM(BD234:BD234)))</f>
        <v>0</v>
      </c>
      <c r="BN234" s="27" t="n">
        <f aca="false">MIN(AR233*(1+K$8),MAX(BD234,$B$12-SUM(BE234:BM234)))</f>
        <v>0</v>
      </c>
    </row>
    <row r="235" customFormat="false" ht="15" hidden="false" customHeight="false" outlineLevel="0" collapsed="false">
      <c r="A235" s="0" t="n">
        <v>221</v>
      </c>
      <c r="B235" s="27" t="n">
        <f aca="false">ROUND(MAX(0,B234*(1+B$8)-X235),2)</f>
        <v>0</v>
      </c>
      <c r="C235" s="27" t="n">
        <f aca="false">ROUND(MAX(0,C234*(1+C$8)-Y235),2)</f>
        <v>0</v>
      </c>
      <c r="D235" s="27" t="n">
        <f aca="false">ROUND(MAX(0,D234*(1+D$8)-Z235),2)</f>
        <v>0</v>
      </c>
      <c r="E235" s="27" t="n">
        <f aca="false">ROUND(MAX(0,E234*(1+E$8)-AA235),2)</f>
        <v>0</v>
      </c>
      <c r="F235" s="27" t="n">
        <f aca="false">ROUND(MAX(0,F234*(1+F$8)-AB235),2)</f>
        <v>0</v>
      </c>
      <c r="G235" s="27" t="n">
        <f aca="false">ROUND(MAX(0,G234*(1+G$8)-AC235),2)</f>
        <v>0</v>
      </c>
      <c r="H235" s="27" t="n">
        <f aca="false">ROUND(MAX(0,H234*(1+H$8)-AD235),2)</f>
        <v>0</v>
      </c>
      <c r="I235" s="27" t="n">
        <f aca="false">ROUND(MAX(0,I234*(1+I$8)-AE235),2)</f>
        <v>0</v>
      </c>
      <c r="J235" s="27" t="n">
        <f aca="false">ROUND(MAX(0,J234*(1+J$8)-AF235),2)</f>
        <v>0</v>
      </c>
      <c r="K235" s="27" t="n">
        <f aca="false">ROUND(MAX(0,K234*(1+K$8)-AG235),2)</f>
        <v>0</v>
      </c>
      <c r="L235" s="30" t="n">
        <f aca="false">SUM(B235:K235)</f>
        <v>0</v>
      </c>
      <c r="M235" s="27" t="n">
        <f aca="false">SUMPRODUCT(B234:K234,$B$8:$K$8)</f>
        <v>0</v>
      </c>
      <c r="N235" s="27" t="n">
        <f aca="false">MIN(B234*(1+B$8),B$9)</f>
        <v>0</v>
      </c>
      <c r="O235" s="27" t="n">
        <f aca="false">MIN(C234*(1+C$8),C$9)</f>
        <v>0</v>
      </c>
      <c r="P235" s="27" t="n">
        <f aca="false">MIN(D234*(1+D$8),D$9)</f>
        <v>0</v>
      </c>
      <c r="Q235" s="27" t="n">
        <f aca="false">MIN(E234*(1+E$8),E$9)</f>
        <v>0</v>
      </c>
      <c r="R235" s="27" t="n">
        <f aca="false">MIN(F234*(1+F$8),F$9)</f>
        <v>0</v>
      </c>
      <c r="S235" s="27" t="n">
        <f aca="false">MIN(G234*(1+G$8),G$9)</f>
        <v>0</v>
      </c>
      <c r="T235" s="27" t="n">
        <f aca="false">MIN(H234*(1+H$8),H$9)</f>
        <v>0</v>
      </c>
      <c r="U235" s="27" t="n">
        <f aca="false">MIN(I234*(1+I$8),I$9)</f>
        <v>0</v>
      </c>
      <c r="V235" s="27" t="n">
        <f aca="false">MIN(J234*(1+J$8),J$9)</f>
        <v>0</v>
      </c>
      <c r="W235" s="27" t="n">
        <f aca="false">MIN(K234*(1+K$8),K$9)</f>
        <v>0</v>
      </c>
      <c r="X235" s="27" t="n">
        <f aca="false">MIN(B234*(1+B$8),MAX(N235,$B$11-SUM(O235:W235)))</f>
        <v>0</v>
      </c>
      <c r="Y235" s="27" t="n">
        <f aca="false">MIN(C234*(1+C$8),MAX(O235,$B$11-SUM(X235:X235)-SUM(P235:W235)))</f>
        <v>0</v>
      </c>
      <c r="Z235" s="27" t="n">
        <f aca="false">MIN(D234*(1+D$8),MAX(P235,$B$11-SUM(X235:Y235)-SUM(Q235:W235)))</f>
        <v>0</v>
      </c>
      <c r="AA235" s="27" t="n">
        <f aca="false">MIN(E234*(1+E$8),MAX(Q235,$B$11-SUM(X235:Z235)-SUM(R235:W235)))</f>
        <v>0</v>
      </c>
      <c r="AB235" s="27" t="n">
        <f aca="false">MIN(F234*(1+F$8),MAX(R235,$B$11-SUM(X235:AA235)-SUM(S235:W235)))</f>
        <v>0</v>
      </c>
      <c r="AC235" s="27" t="n">
        <f aca="false">MIN(G234*(1+G$8),MAX(S235,$B$11-SUM(X235:AB235)-SUM(T235:W235)))</f>
        <v>0</v>
      </c>
      <c r="AD235" s="27" t="n">
        <f aca="false">MIN(H234*(1+H$8),MAX(T235,$B$11-SUM(X235:AC235)-SUM(U235:W235)))</f>
        <v>0</v>
      </c>
      <c r="AE235" s="27" t="n">
        <f aca="false">MIN(I234*(1+I$8),MAX(U235,$B$11-SUM(X235:AD235)-SUM(V235:W235)))</f>
        <v>0</v>
      </c>
      <c r="AF235" s="27" t="n">
        <f aca="false">MIN(J234*(1+J$8),MAX(V235,$B$11-SUM(X235:AE235)-SUM(W235:W235)))</f>
        <v>0</v>
      </c>
      <c r="AG235" s="27" t="n">
        <f aca="false">MIN(K234*(1+K$8),MAX(W235,$B$11-SUM(X235:AF235)))</f>
        <v>0</v>
      </c>
      <c r="AI235" s="27" t="n">
        <f aca="false">ROUND(MAX(0,AI234*(1+B$8)-BE235),2)</f>
        <v>0</v>
      </c>
      <c r="AJ235" s="27" t="n">
        <f aca="false">ROUND(MAX(0,AJ234*(1+C$8)-BF235),2)</f>
        <v>0</v>
      </c>
      <c r="AK235" s="27" t="n">
        <f aca="false">ROUND(MAX(0,AK234*(1+D$8)-BG235),2)</f>
        <v>0</v>
      </c>
      <c r="AL235" s="27" t="n">
        <f aca="false">ROUND(MAX(0,AL234*(1+E$8)-BH235),2)</f>
        <v>0</v>
      </c>
      <c r="AM235" s="27" t="n">
        <f aca="false">ROUND(MAX(0,AM234*(1+F$8)-BI235),2)</f>
        <v>0</v>
      </c>
      <c r="AN235" s="27" t="n">
        <f aca="false">ROUND(MAX(0,AN234*(1+G$8)-BJ235),2)</f>
        <v>0</v>
      </c>
      <c r="AO235" s="27" t="n">
        <f aca="false">ROUND(MAX(0,AO234*(1+H$8)-BK235),2)</f>
        <v>0</v>
      </c>
      <c r="AP235" s="27" t="n">
        <f aca="false">ROUND(MAX(0,AP234*(1+I$8)-BL235),2)</f>
        <v>0</v>
      </c>
      <c r="AQ235" s="27" t="n">
        <f aca="false">ROUND(MAX(0,AQ234*(1+J$8)-BM235),2)</f>
        <v>0</v>
      </c>
      <c r="AR235" s="27" t="n">
        <f aca="false">ROUND(MAX(0,AR234*(1+K$8)-BN235),2)</f>
        <v>0</v>
      </c>
      <c r="AS235" s="27" t="n">
        <f aca="false">SUM(AI235:AR235)</f>
        <v>0</v>
      </c>
      <c r="AT235" s="27" t="n">
        <f aca="false">SUMPRODUCT(AI234:AR234,$B$8:$K$8)</f>
        <v>0</v>
      </c>
      <c r="AU235" s="27" t="n">
        <f aca="false">MIN(AI234*(1+B$8),B$9)</f>
        <v>0</v>
      </c>
      <c r="AV235" s="27" t="n">
        <f aca="false">MIN(AJ234*(1+C$8),C$9)</f>
        <v>0</v>
      </c>
      <c r="AW235" s="27" t="n">
        <f aca="false">MIN(AK234*(1+D$8),D$9)</f>
        <v>0</v>
      </c>
      <c r="AX235" s="27" t="n">
        <f aca="false">MIN(AL234*(1+E$8),E$9)</f>
        <v>0</v>
      </c>
      <c r="AY235" s="27" t="n">
        <f aca="false">MIN(AM234*(1+F$8),F$9)</f>
        <v>0</v>
      </c>
      <c r="AZ235" s="27" t="n">
        <f aca="false">MIN(AN234*(1+G$8),G$9)</f>
        <v>0</v>
      </c>
      <c r="BA235" s="27" t="n">
        <f aca="false">MIN(AO234*(1+H$8),H$9)</f>
        <v>0</v>
      </c>
      <c r="BB235" s="27" t="n">
        <f aca="false">MIN(AP234*(1+I$8),I$9)</f>
        <v>0</v>
      </c>
      <c r="BC235" s="27" t="n">
        <f aca="false">MIN(AQ234*(1+J$8),J$9)</f>
        <v>0</v>
      </c>
      <c r="BD235" s="27" t="n">
        <f aca="false">MIN(AR234*(1+K$8),K$9)</f>
        <v>0</v>
      </c>
      <c r="BE235" s="27" t="n">
        <f aca="false">MIN(AI234*(1+B$8),MAX(AU235,$B$12-SUM(AV235:BD235)))</f>
        <v>0</v>
      </c>
      <c r="BF235" s="27" t="n">
        <f aca="false">MIN(AJ234*(1+C$8),MAX(AV235,$B$12-SUM(BE235:BE235)-SUM(AW235:BD235)))</f>
        <v>0</v>
      </c>
      <c r="BG235" s="27" t="n">
        <f aca="false">MIN(AK234*(1+D$8),MAX(AW235,$B$12-SUM(BE235:BF235)-SUM(AX235:BD235)))</f>
        <v>0</v>
      </c>
      <c r="BH235" s="27" t="n">
        <f aca="false">MIN(AL234*(1+E$8),MAX(AX235,$B$12-SUM(BE235:BG235)-SUM(AY235:BD235)))</f>
        <v>0</v>
      </c>
      <c r="BI235" s="27" t="n">
        <f aca="false">MIN(AM234*(1+F$8),MAX(AY235,$B$12-SUM(BE235:BH235)-SUM(AZ235:BD235)))</f>
        <v>0</v>
      </c>
      <c r="BJ235" s="27" t="n">
        <f aca="false">MIN(AN234*(1+G$8),MAX(AZ235,$B$12-SUM(BE235:BI235)-SUM(BA235:BD235)))</f>
        <v>0</v>
      </c>
      <c r="BK235" s="27" t="n">
        <f aca="false">MIN(AO234*(1+H$8),MAX(BA235,$B$12-SUM(BE235:BJ235)-SUM(BB235:BD235)))</f>
        <v>0</v>
      </c>
      <c r="BL235" s="27" t="n">
        <f aca="false">MIN(AP234*(1+I$8),MAX(BB235,$B$12-SUM(BE235:BK235)-SUM(BC235:BD235)))</f>
        <v>0</v>
      </c>
      <c r="BM235" s="27" t="n">
        <f aca="false">MIN(AQ234*(1+J$8),MAX(BC235,$B$12-SUM(BE235:BL235)-SUM(BD235:BD235)))</f>
        <v>0</v>
      </c>
      <c r="BN235" s="27" t="n">
        <f aca="false">MIN(AR234*(1+K$8),MAX(BD235,$B$12-SUM(BE235:BM235)))</f>
        <v>0</v>
      </c>
    </row>
    <row r="236" customFormat="false" ht="15" hidden="false" customHeight="false" outlineLevel="0" collapsed="false">
      <c r="A236" s="0" t="n">
        <v>222</v>
      </c>
      <c r="B236" s="27" t="n">
        <f aca="false">ROUND(MAX(0,B235*(1+B$8)-X236),2)</f>
        <v>0</v>
      </c>
      <c r="C236" s="27" t="n">
        <f aca="false">ROUND(MAX(0,C235*(1+C$8)-Y236),2)</f>
        <v>0</v>
      </c>
      <c r="D236" s="27" t="n">
        <f aca="false">ROUND(MAX(0,D235*(1+D$8)-Z236),2)</f>
        <v>0</v>
      </c>
      <c r="E236" s="27" t="n">
        <f aca="false">ROUND(MAX(0,E235*(1+E$8)-AA236),2)</f>
        <v>0</v>
      </c>
      <c r="F236" s="27" t="n">
        <f aca="false">ROUND(MAX(0,F235*(1+F$8)-AB236),2)</f>
        <v>0</v>
      </c>
      <c r="G236" s="27" t="n">
        <f aca="false">ROUND(MAX(0,G235*(1+G$8)-AC236),2)</f>
        <v>0</v>
      </c>
      <c r="H236" s="27" t="n">
        <f aca="false">ROUND(MAX(0,H235*(1+H$8)-AD236),2)</f>
        <v>0</v>
      </c>
      <c r="I236" s="27" t="n">
        <f aca="false">ROUND(MAX(0,I235*(1+I$8)-AE236),2)</f>
        <v>0</v>
      </c>
      <c r="J236" s="27" t="n">
        <f aca="false">ROUND(MAX(0,J235*(1+J$8)-AF236),2)</f>
        <v>0</v>
      </c>
      <c r="K236" s="27" t="n">
        <f aca="false">ROUND(MAX(0,K235*(1+K$8)-AG236),2)</f>
        <v>0</v>
      </c>
      <c r="L236" s="30" t="n">
        <f aca="false">SUM(B236:K236)</f>
        <v>0</v>
      </c>
      <c r="M236" s="27" t="n">
        <f aca="false">SUMPRODUCT(B235:K235,$B$8:$K$8)</f>
        <v>0</v>
      </c>
      <c r="N236" s="27" t="n">
        <f aca="false">MIN(B235*(1+B$8),B$9)</f>
        <v>0</v>
      </c>
      <c r="O236" s="27" t="n">
        <f aca="false">MIN(C235*(1+C$8),C$9)</f>
        <v>0</v>
      </c>
      <c r="P236" s="27" t="n">
        <f aca="false">MIN(D235*(1+D$8),D$9)</f>
        <v>0</v>
      </c>
      <c r="Q236" s="27" t="n">
        <f aca="false">MIN(E235*(1+E$8),E$9)</f>
        <v>0</v>
      </c>
      <c r="R236" s="27" t="n">
        <f aca="false">MIN(F235*(1+F$8),F$9)</f>
        <v>0</v>
      </c>
      <c r="S236" s="27" t="n">
        <f aca="false">MIN(G235*(1+G$8),G$9)</f>
        <v>0</v>
      </c>
      <c r="T236" s="27" t="n">
        <f aca="false">MIN(H235*(1+H$8),H$9)</f>
        <v>0</v>
      </c>
      <c r="U236" s="27" t="n">
        <f aca="false">MIN(I235*(1+I$8),I$9)</f>
        <v>0</v>
      </c>
      <c r="V236" s="27" t="n">
        <f aca="false">MIN(J235*(1+J$8),J$9)</f>
        <v>0</v>
      </c>
      <c r="W236" s="27" t="n">
        <f aca="false">MIN(K235*(1+K$8),K$9)</f>
        <v>0</v>
      </c>
      <c r="X236" s="27" t="n">
        <f aca="false">MIN(B235*(1+B$8),MAX(N236,$B$11-SUM(O236:W236)))</f>
        <v>0</v>
      </c>
      <c r="Y236" s="27" t="n">
        <f aca="false">MIN(C235*(1+C$8),MAX(O236,$B$11-SUM(X236:X236)-SUM(P236:W236)))</f>
        <v>0</v>
      </c>
      <c r="Z236" s="27" t="n">
        <f aca="false">MIN(D235*(1+D$8),MAX(P236,$B$11-SUM(X236:Y236)-SUM(Q236:W236)))</f>
        <v>0</v>
      </c>
      <c r="AA236" s="27" t="n">
        <f aca="false">MIN(E235*(1+E$8),MAX(Q236,$B$11-SUM(X236:Z236)-SUM(R236:W236)))</f>
        <v>0</v>
      </c>
      <c r="AB236" s="27" t="n">
        <f aca="false">MIN(F235*(1+F$8),MAX(R236,$B$11-SUM(X236:AA236)-SUM(S236:W236)))</f>
        <v>0</v>
      </c>
      <c r="AC236" s="27" t="n">
        <f aca="false">MIN(G235*(1+G$8),MAX(S236,$B$11-SUM(X236:AB236)-SUM(T236:W236)))</f>
        <v>0</v>
      </c>
      <c r="AD236" s="27" t="n">
        <f aca="false">MIN(H235*(1+H$8),MAX(T236,$B$11-SUM(X236:AC236)-SUM(U236:W236)))</f>
        <v>0</v>
      </c>
      <c r="AE236" s="27" t="n">
        <f aca="false">MIN(I235*(1+I$8),MAX(U236,$B$11-SUM(X236:AD236)-SUM(V236:W236)))</f>
        <v>0</v>
      </c>
      <c r="AF236" s="27" t="n">
        <f aca="false">MIN(J235*(1+J$8),MAX(V236,$B$11-SUM(X236:AE236)-SUM(W236:W236)))</f>
        <v>0</v>
      </c>
      <c r="AG236" s="27" t="n">
        <f aca="false">MIN(K235*(1+K$8),MAX(W236,$B$11-SUM(X236:AF236)))</f>
        <v>0</v>
      </c>
      <c r="AI236" s="27" t="n">
        <f aca="false">ROUND(MAX(0,AI235*(1+B$8)-BE236),2)</f>
        <v>0</v>
      </c>
      <c r="AJ236" s="27" t="n">
        <f aca="false">ROUND(MAX(0,AJ235*(1+C$8)-BF236),2)</f>
        <v>0</v>
      </c>
      <c r="AK236" s="27" t="n">
        <f aca="false">ROUND(MAX(0,AK235*(1+D$8)-BG236),2)</f>
        <v>0</v>
      </c>
      <c r="AL236" s="27" t="n">
        <f aca="false">ROUND(MAX(0,AL235*(1+E$8)-BH236),2)</f>
        <v>0</v>
      </c>
      <c r="AM236" s="27" t="n">
        <f aca="false">ROUND(MAX(0,AM235*(1+F$8)-BI236),2)</f>
        <v>0</v>
      </c>
      <c r="AN236" s="27" t="n">
        <f aca="false">ROUND(MAX(0,AN235*(1+G$8)-BJ236),2)</f>
        <v>0</v>
      </c>
      <c r="AO236" s="27" t="n">
        <f aca="false">ROUND(MAX(0,AO235*(1+H$8)-BK236),2)</f>
        <v>0</v>
      </c>
      <c r="AP236" s="27" t="n">
        <f aca="false">ROUND(MAX(0,AP235*(1+I$8)-BL236),2)</f>
        <v>0</v>
      </c>
      <c r="AQ236" s="27" t="n">
        <f aca="false">ROUND(MAX(0,AQ235*(1+J$8)-BM236),2)</f>
        <v>0</v>
      </c>
      <c r="AR236" s="27" t="n">
        <f aca="false">ROUND(MAX(0,AR235*(1+K$8)-BN236),2)</f>
        <v>0</v>
      </c>
      <c r="AS236" s="27" t="n">
        <f aca="false">SUM(AI236:AR236)</f>
        <v>0</v>
      </c>
      <c r="AT236" s="27" t="n">
        <f aca="false">SUMPRODUCT(AI235:AR235,$B$8:$K$8)</f>
        <v>0</v>
      </c>
      <c r="AU236" s="27" t="n">
        <f aca="false">MIN(AI235*(1+B$8),B$9)</f>
        <v>0</v>
      </c>
      <c r="AV236" s="27" t="n">
        <f aca="false">MIN(AJ235*(1+C$8),C$9)</f>
        <v>0</v>
      </c>
      <c r="AW236" s="27" t="n">
        <f aca="false">MIN(AK235*(1+D$8),D$9)</f>
        <v>0</v>
      </c>
      <c r="AX236" s="27" t="n">
        <f aca="false">MIN(AL235*(1+E$8),E$9)</f>
        <v>0</v>
      </c>
      <c r="AY236" s="27" t="n">
        <f aca="false">MIN(AM235*(1+F$8),F$9)</f>
        <v>0</v>
      </c>
      <c r="AZ236" s="27" t="n">
        <f aca="false">MIN(AN235*(1+G$8),G$9)</f>
        <v>0</v>
      </c>
      <c r="BA236" s="27" t="n">
        <f aca="false">MIN(AO235*(1+H$8),H$9)</f>
        <v>0</v>
      </c>
      <c r="BB236" s="27" t="n">
        <f aca="false">MIN(AP235*(1+I$8),I$9)</f>
        <v>0</v>
      </c>
      <c r="BC236" s="27" t="n">
        <f aca="false">MIN(AQ235*(1+J$8),J$9)</f>
        <v>0</v>
      </c>
      <c r="BD236" s="27" t="n">
        <f aca="false">MIN(AR235*(1+K$8),K$9)</f>
        <v>0</v>
      </c>
      <c r="BE236" s="27" t="n">
        <f aca="false">MIN(AI235*(1+B$8),MAX(AU236,$B$12-SUM(AV236:BD236)))</f>
        <v>0</v>
      </c>
      <c r="BF236" s="27" t="n">
        <f aca="false">MIN(AJ235*(1+C$8),MAX(AV236,$B$12-SUM(BE236:BE236)-SUM(AW236:BD236)))</f>
        <v>0</v>
      </c>
      <c r="BG236" s="27" t="n">
        <f aca="false">MIN(AK235*(1+D$8),MAX(AW236,$B$12-SUM(BE236:BF236)-SUM(AX236:BD236)))</f>
        <v>0</v>
      </c>
      <c r="BH236" s="27" t="n">
        <f aca="false">MIN(AL235*(1+E$8),MAX(AX236,$B$12-SUM(BE236:BG236)-SUM(AY236:BD236)))</f>
        <v>0</v>
      </c>
      <c r="BI236" s="27" t="n">
        <f aca="false">MIN(AM235*(1+F$8),MAX(AY236,$B$12-SUM(BE236:BH236)-SUM(AZ236:BD236)))</f>
        <v>0</v>
      </c>
      <c r="BJ236" s="27" t="n">
        <f aca="false">MIN(AN235*(1+G$8),MAX(AZ236,$B$12-SUM(BE236:BI236)-SUM(BA236:BD236)))</f>
        <v>0</v>
      </c>
      <c r="BK236" s="27" t="n">
        <f aca="false">MIN(AO235*(1+H$8),MAX(BA236,$B$12-SUM(BE236:BJ236)-SUM(BB236:BD236)))</f>
        <v>0</v>
      </c>
      <c r="BL236" s="27" t="n">
        <f aca="false">MIN(AP235*(1+I$8),MAX(BB236,$B$12-SUM(BE236:BK236)-SUM(BC236:BD236)))</f>
        <v>0</v>
      </c>
      <c r="BM236" s="27" t="n">
        <f aca="false">MIN(AQ235*(1+J$8),MAX(BC236,$B$12-SUM(BE236:BL236)-SUM(BD236:BD236)))</f>
        <v>0</v>
      </c>
      <c r="BN236" s="27" t="n">
        <f aca="false">MIN(AR235*(1+K$8),MAX(BD236,$B$12-SUM(BE236:BM236)))</f>
        <v>0</v>
      </c>
    </row>
    <row r="237" customFormat="false" ht="15" hidden="false" customHeight="false" outlineLevel="0" collapsed="false">
      <c r="A237" s="0" t="n">
        <v>223</v>
      </c>
      <c r="B237" s="27" t="n">
        <f aca="false">ROUND(MAX(0,B236*(1+B$8)-X237),2)</f>
        <v>0</v>
      </c>
      <c r="C237" s="27" t="n">
        <f aca="false">ROUND(MAX(0,C236*(1+C$8)-Y237),2)</f>
        <v>0</v>
      </c>
      <c r="D237" s="27" t="n">
        <f aca="false">ROUND(MAX(0,D236*(1+D$8)-Z237),2)</f>
        <v>0</v>
      </c>
      <c r="E237" s="27" t="n">
        <f aca="false">ROUND(MAX(0,E236*(1+E$8)-AA237),2)</f>
        <v>0</v>
      </c>
      <c r="F237" s="27" t="n">
        <f aca="false">ROUND(MAX(0,F236*(1+F$8)-AB237),2)</f>
        <v>0</v>
      </c>
      <c r="G237" s="27" t="n">
        <f aca="false">ROUND(MAX(0,G236*(1+G$8)-AC237),2)</f>
        <v>0</v>
      </c>
      <c r="H237" s="27" t="n">
        <f aca="false">ROUND(MAX(0,H236*(1+H$8)-AD237),2)</f>
        <v>0</v>
      </c>
      <c r="I237" s="27" t="n">
        <f aca="false">ROUND(MAX(0,I236*(1+I$8)-AE237),2)</f>
        <v>0</v>
      </c>
      <c r="J237" s="27" t="n">
        <f aca="false">ROUND(MAX(0,J236*(1+J$8)-AF237),2)</f>
        <v>0</v>
      </c>
      <c r="K237" s="27" t="n">
        <f aca="false">ROUND(MAX(0,K236*(1+K$8)-AG237),2)</f>
        <v>0</v>
      </c>
      <c r="L237" s="30" t="n">
        <f aca="false">SUM(B237:K237)</f>
        <v>0</v>
      </c>
      <c r="M237" s="27" t="n">
        <f aca="false">SUMPRODUCT(B236:K236,$B$8:$K$8)</f>
        <v>0</v>
      </c>
      <c r="N237" s="27" t="n">
        <f aca="false">MIN(B236*(1+B$8),B$9)</f>
        <v>0</v>
      </c>
      <c r="O237" s="27" t="n">
        <f aca="false">MIN(C236*(1+C$8),C$9)</f>
        <v>0</v>
      </c>
      <c r="P237" s="27" t="n">
        <f aca="false">MIN(D236*(1+D$8),D$9)</f>
        <v>0</v>
      </c>
      <c r="Q237" s="27" t="n">
        <f aca="false">MIN(E236*(1+E$8),E$9)</f>
        <v>0</v>
      </c>
      <c r="R237" s="27" t="n">
        <f aca="false">MIN(F236*(1+F$8),F$9)</f>
        <v>0</v>
      </c>
      <c r="S237" s="27" t="n">
        <f aca="false">MIN(G236*(1+G$8),G$9)</f>
        <v>0</v>
      </c>
      <c r="T237" s="27" t="n">
        <f aca="false">MIN(H236*(1+H$8),H$9)</f>
        <v>0</v>
      </c>
      <c r="U237" s="27" t="n">
        <f aca="false">MIN(I236*(1+I$8),I$9)</f>
        <v>0</v>
      </c>
      <c r="V237" s="27" t="n">
        <f aca="false">MIN(J236*(1+J$8),J$9)</f>
        <v>0</v>
      </c>
      <c r="W237" s="27" t="n">
        <f aca="false">MIN(K236*(1+K$8),K$9)</f>
        <v>0</v>
      </c>
      <c r="X237" s="27" t="n">
        <f aca="false">MIN(B236*(1+B$8),MAX(N237,$B$11-SUM(O237:W237)))</f>
        <v>0</v>
      </c>
      <c r="Y237" s="27" t="n">
        <f aca="false">MIN(C236*(1+C$8),MAX(O237,$B$11-SUM(X237:X237)-SUM(P237:W237)))</f>
        <v>0</v>
      </c>
      <c r="Z237" s="27" t="n">
        <f aca="false">MIN(D236*(1+D$8),MAX(P237,$B$11-SUM(X237:Y237)-SUM(Q237:W237)))</f>
        <v>0</v>
      </c>
      <c r="AA237" s="27" t="n">
        <f aca="false">MIN(E236*(1+E$8),MAX(Q237,$B$11-SUM(X237:Z237)-SUM(R237:W237)))</f>
        <v>0</v>
      </c>
      <c r="AB237" s="27" t="n">
        <f aca="false">MIN(F236*(1+F$8),MAX(R237,$B$11-SUM(X237:AA237)-SUM(S237:W237)))</f>
        <v>0</v>
      </c>
      <c r="AC237" s="27" t="n">
        <f aca="false">MIN(G236*(1+G$8),MAX(S237,$B$11-SUM(X237:AB237)-SUM(T237:W237)))</f>
        <v>0</v>
      </c>
      <c r="AD237" s="27" t="n">
        <f aca="false">MIN(H236*(1+H$8),MAX(T237,$B$11-SUM(X237:AC237)-SUM(U237:W237)))</f>
        <v>0</v>
      </c>
      <c r="AE237" s="27" t="n">
        <f aca="false">MIN(I236*(1+I$8),MAX(U237,$B$11-SUM(X237:AD237)-SUM(V237:W237)))</f>
        <v>0</v>
      </c>
      <c r="AF237" s="27" t="n">
        <f aca="false">MIN(J236*(1+J$8),MAX(V237,$B$11-SUM(X237:AE237)-SUM(W237:W237)))</f>
        <v>0</v>
      </c>
      <c r="AG237" s="27" t="n">
        <f aca="false">MIN(K236*(1+K$8),MAX(W237,$B$11-SUM(X237:AF237)))</f>
        <v>0</v>
      </c>
      <c r="AI237" s="27" t="n">
        <f aca="false">ROUND(MAX(0,AI236*(1+B$8)-BE237),2)</f>
        <v>0</v>
      </c>
      <c r="AJ237" s="27" t="n">
        <f aca="false">ROUND(MAX(0,AJ236*(1+C$8)-BF237),2)</f>
        <v>0</v>
      </c>
      <c r="AK237" s="27" t="n">
        <f aca="false">ROUND(MAX(0,AK236*(1+D$8)-BG237),2)</f>
        <v>0</v>
      </c>
      <c r="AL237" s="27" t="n">
        <f aca="false">ROUND(MAX(0,AL236*(1+E$8)-BH237),2)</f>
        <v>0</v>
      </c>
      <c r="AM237" s="27" t="n">
        <f aca="false">ROUND(MAX(0,AM236*(1+F$8)-BI237),2)</f>
        <v>0</v>
      </c>
      <c r="AN237" s="27" t="n">
        <f aca="false">ROUND(MAX(0,AN236*(1+G$8)-BJ237),2)</f>
        <v>0</v>
      </c>
      <c r="AO237" s="27" t="n">
        <f aca="false">ROUND(MAX(0,AO236*(1+H$8)-BK237),2)</f>
        <v>0</v>
      </c>
      <c r="AP237" s="27" t="n">
        <f aca="false">ROUND(MAX(0,AP236*(1+I$8)-BL237),2)</f>
        <v>0</v>
      </c>
      <c r="AQ237" s="27" t="n">
        <f aca="false">ROUND(MAX(0,AQ236*(1+J$8)-BM237),2)</f>
        <v>0</v>
      </c>
      <c r="AR237" s="27" t="n">
        <f aca="false">ROUND(MAX(0,AR236*(1+K$8)-BN237),2)</f>
        <v>0</v>
      </c>
      <c r="AS237" s="27" t="n">
        <f aca="false">SUM(AI237:AR237)</f>
        <v>0</v>
      </c>
      <c r="AT237" s="27" t="n">
        <f aca="false">SUMPRODUCT(AI236:AR236,$B$8:$K$8)</f>
        <v>0</v>
      </c>
      <c r="AU237" s="27" t="n">
        <f aca="false">MIN(AI236*(1+B$8),B$9)</f>
        <v>0</v>
      </c>
      <c r="AV237" s="27" t="n">
        <f aca="false">MIN(AJ236*(1+C$8),C$9)</f>
        <v>0</v>
      </c>
      <c r="AW237" s="27" t="n">
        <f aca="false">MIN(AK236*(1+D$8),D$9)</f>
        <v>0</v>
      </c>
      <c r="AX237" s="27" t="n">
        <f aca="false">MIN(AL236*(1+E$8),E$9)</f>
        <v>0</v>
      </c>
      <c r="AY237" s="27" t="n">
        <f aca="false">MIN(AM236*(1+F$8),F$9)</f>
        <v>0</v>
      </c>
      <c r="AZ237" s="27" t="n">
        <f aca="false">MIN(AN236*(1+G$8),G$9)</f>
        <v>0</v>
      </c>
      <c r="BA237" s="27" t="n">
        <f aca="false">MIN(AO236*(1+H$8),H$9)</f>
        <v>0</v>
      </c>
      <c r="BB237" s="27" t="n">
        <f aca="false">MIN(AP236*(1+I$8),I$9)</f>
        <v>0</v>
      </c>
      <c r="BC237" s="27" t="n">
        <f aca="false">MIN(AQ236*(1+J$8),J$9)</f>
        <v>0</v>
      </c>
      <c r="BD237" s="27" t="n">
        <f aca="false">MIN(AR236*(1+K$8),K$9)</f>
        <v>0</v>
      </c>
      <c r="BE237" s="27" t="n">
        <f aca="false">MIN(AI236*(1+B$8),MAX(AU237,$B$12-SUM(AV237:BD237)))</f>
        <v>0</v>
      </c>
      <c r="BF237" s="27" t="n">
        <f aca="false">MIN(AJ236*(1+C$8),MAX(AV237,$B$12-SUM(BE237:BE237)-SUM(AW237:BD237)))</f>
        <v>0</v>
      </c>
      <c r="BG237" s="27" t="n">
        <f aca="false">MIN(AK236*(1+D$8),MAX(AW237,$B$12-SUM(BE237:BF237)-SUM(AX237:BD237)))</f>
        <v>0</v>
      </c>
      <c r="BH237" s="27" t="n">
        <f aca="false">MIN(AL236*(1+E$8),MAX(AX237,$B$12-SUM(BE237:BG237)-SUM(AY237:BD237)))</f>
        <v>0</v>
      </c>
      <c r="BI237" s="27" t="n">
        <f aca="false">MIN(AM236*(1+F$8),MAX(AY237,$B$12-SUM(BE237:BH237)-SUM(AZ237:BD237)))</f>
        <v>0</v>
      </c>
      <c r="BJ237" s="27" t="n">
        <f aca="false">MIN(AN236*(1+G$8),MAX(AZ237,$B$12-SUM(BE237:BI237)-SUM(BA237:BD237)))</f>
        <v>0</v>
      </c>
      <c r="BK237" s="27" t="n">
        <f aca="false">MIN(AO236*(1+H$8),MAX(BA237,$B$12-SUM(BE237:BJ237)-SUM(BB237:BD237)))</f>
        <v>0</v>
      </c>
      <c r="BL237" s="27" t="n">
        <f aca="false">MIN(AP236*(1+I$8),MAX(BB237,$B$12-SUM(BE237:BK237)-SUM(BC237:BD237)))</f>
        <v>0</v>
      </c>
      <c r="BM237" s="27" t="n">
        <f aca="false">MIN(AQ236*(1+J$8),MAX(BC237,$B$12-SUM(BE237:BL237)-SUM(BD237:BD237)))</f>
        <v>0</v>
      </c>
      <c r="BN237" s="27" t="n">
        <f aca="false">MIN(AR236*(1+K$8),MAX(BD237,$B$12-SUM(BE237:BM237)))</f>
        <v>0</v>
      </c>
    </row>
    <row r="238" customFormat="false" ht="15" hidden="false" customHeight="false" outlineLevel="0" collapsed="false">
      <c r="A238" s="0" t="n">
        <v>224</v>
      </c>
      <c r="B238" s="27" t="n">
        <f aca="false">ROUND(MAX(0,B237*(1+B$8)-X238),2)</f>
        <v>0</v>
      </c>
      <c r="C238" s="27" t="n">
        <f aca="false">ROUND(MAX(0,C237*(1+C$8)-Y238),2)</f>
        <v>0</v>
      </c>
      <c r="D238" s="27" t="n">
        <f aca="false">ROUND(MAX(0,D237*(1+D$8)-Z238),2)</f>
        <v>0</v>
      </c>
      <c r="E238" s="27" t="n">
        <f aca="false">ROUND(MAX(0,E237*(1+E$8)-AA238),2)</f>
        <v>0</v>
      </c>
      <c r="F238" s="27" t="n">
        <f aca="false">ROUND(MAX(0,F237*(1+F$8)-AB238),2)</f>
        <v>0</v>
      </c>
      <c r="G238" s="27" t="n">
        <f aca="false">ROUND(MAX(0,G237*(1+G$8)-AC238),2)</f>
        <v>0</v>
      </c>
      <c r="H238" s="27" t="n">
        <f aca="false">ROUND(MAX(0,H237*(1+H$8)-AD238),2)</f>
        <v>0</v>
      </c>
      <c r="I238" s="27" t="n">
        <f aca="false">ROUND(MAX(0,I237*(1+I$8)-AE238),2)</f>
        <v>0</v>
      </c>
      <c r="J238" s="27" t="n">
        <f aca="false">ROUND(MAX(0,J237*(1+J$8)-AF238),2)</f>
        <v>0</v>
      </c>
      <c r="K238" s="27" t="n">
        <f aca="false">ROUND(MAX(0,K237*(1+K$8)-AG238),2)</f>
        <v>0</v>
      </c>
      <c r="L238" s="30" t="n">
        <f aca="false">SUM(B238:K238)</f>
        <v>0</v>
      </c>
      <c r="M238" s="27" t="n">
        <f aca="false">SUMPRODUCT(B237:K237,$B$8:$K$8)</f>
        <v>0</v>
      </c>
      <c r="N238" s="27" t="n">
        <f aca="false">MIN(B237*(1+B$8),B$9)</f>
        <v>0</v>
      </c>
      <c r="O238" s="27" t="n">
        <f aca="false">MIN(C237*(1+C$8),C$9)</f>
        <v>0</v>
      </c>
      <c r="P238" s="27" t="n">
        <f aca="false">MIN(D237*(1+D$8),D$9)</f>
        <v>0</v>
      </c>
      <c r="Q238" s="27" t="n">
        <f aca="false">MIN(E237*(1+E$8),E$9)</f>
        <v>0</v>
      </c>
      <c r="R238" s="27" t="n">
        <f aca="false">MIN(F237*(1+F$8),F$9)</f>
        <v>0</v>
      </c>
      <c r="S238" s="27" t="n">
        <f aca="false">MIN(G237*(1+G$8),G$9)</f>
        <v>0</v>
      </c>
      <c r="T238" s="27" t="n">
        <f aca="false">MIN(H237*(1+H$8),H$9)</f>
        <v>0</v>
      </c>
      <c r="U238" s="27" t="n">
        <f aca="false">MIN(I237*(1+I$8),I$9)</f>
        <v>0</v>
      </c>
      <c r="V238" s="27" t="n">
        <f aca="false">MIN(J237*(1+J$8),J$9)</f>
        <v>0</v>
      </c>
      <c r="W238" s="27" t="n">
        <f aca="false">MIN(K237*(1+K$8),K$9)</f>
        <v>0</v>
      </c>
      <c r="X238" s="27" t="n">
        <f aca="false">MIN(B237*(1+B$8),MAX(N238,$B$11-SUM(O238:W238)))</f>
        <v>0</v>
      </c>
      <c r="Y238" s="27" t="n">
        <f aca="false">MIN(C237*(1+C$8),MAX(O238,$B$11-SUM(X238:X238)-SUM(P238:W238)))</f>
        <v>0</v>
      </c>
      <c r="Z238" s="27" t="n">
        <f aca="false">MIN(D237*(1+D$8),MAX(P238,$B$11-SUM(X238:Y238)-SUM(Q238:W238)))</f>
        <v>0</v>
      </c>
      <c r="AA238" s="27" t="n">
        <f aca="false">MIN(E237*(1+E$8),MAX(Q238,$B$11-SUM(X238:Z238)-SUM(R238:W238)))</f>
        <v>0</v>
      </c>
      <c r="AB238" s="27" t="n">
        <f aca="false">MIN(F237*(1+F$8),MAX(R238,$B$11-SUM(X238:AA238)-SUM(S238:W238)))</f>
        <v>0</v>
      </c>
      <c r="AC238" s="27" t="n">
        <f aca="false">MIN(G237*(1+G$8),MAX(S238,$B$11-SUM(X238:AB238)-SUM(T238:W238)))</f>
        <v>0</v>
      </c>
      <c r="AD238" s="27" t="n">
        <f aca="false">MIN(H237*(1+H$8),MAX(T238,$B$11-SUM(X238:AC238)-SUM(U238:W238)))</f>
        <v>0</v>
      </c>
      <c r="AE238" s="27" t="n">
        <f aca="false">MIN(I237*(1+I$8),MAX(U238,$B$11-SUM(X238:AD238)-SUM(V238:W238)))</f>
        <v>0</v>
      </c>
      <c r="AF238" s="27" t="n">
        <f aca="false">MIN(J237*(1+J$8),MAX(V238,$B$11-SUM(X238:AE238)-SUM(W238:W238)))</f>
        <v>0</v>
      </c>
      <c r="AG238" s="27" t="n">
        <f aca="false">MIN(K237*(1+K$8),MAX(W238,$B$11-SUM(X238:AF238)))</f>
        <v>0</v>
      </c>
      <c r="AI238" s="27" t="n">
        <f aca="false">ROUND(MAX(0,AI237*(1+B$8)-BE238),2)</f>
        <v>0</v>
      </c>
      <c r="AJ238" s="27" t="n">
        <f aca="false">ROUND(MAX(0,AJ237*(1+C$8)-BF238),2)</f>
        <v>0</v>
      </c>
      <c r="AK238" s="27" t="n">
        <f aca="false">ROUND(MAX(0,AK237*(1+D$8)-BG238),2)</f>
        <v>0</v>
      </c>
      <c r="AL238" s="27" t="n">
        <f aca="false">ROUND(MAX(0,AL237*(1+E$8)-BH238),2)</f>
        <v>0</v>
      </c>
      <c r="AM238" s="27" t="n">
        <f aca="false">ROUND(MAX(0,AM237*(1+F$8)-BI238),2)</f>
        <v>0</v>
      </c>
      <c r="AN238" s="27" t="n">
        <f aca="false">ROUND(MAX(0,AN237*(1+G$8)-BJ238),2)</f>
        <v>0</v>
      </c>
      <c r="AO238" s="27" t="n">
        <f aca="false">ROUND(MAX(0,AO237*(1+H$8)-BK238),2)</f>
        <v>0</v>
      </c>
      <c r="AP238" s="27" t="n">
        <f aca="false">ROUND(MAX(0,AP237*(1+I$8)-BL238),2)</f>
        <v>0</v>
      </c>
      <c r="AQ238" s="27" t="n">
        <f aca="false">ROUND(MAX(0,AQ237*(1+J$8)-BM238),2)</f>
        <v>0</v>
      </c>
      <c r="AR238" s="27" t="n">
        <f aca="false">ROUND(MAX(0,AR237*(1+K$8)-BN238),2)</f>
        <v>0</v>
      </c>
      <c r="AS238" s="27" t="n">
        <f aca="false">SUM(AI238:AR238)</f>
        <v>0</v>
      </c>
      <c r="AT238" s="27" t="n">
        <f aca="false">SUMPRODUCT(AI237:AR237,$B$8:$K$8)</f>
        <v>0</v>
      </c>
      <c r="AU238" s="27" t="n">
        <f aca="false">MIN(AI237*(1+B$8),B$9)</f>
        <v>0</v>
      </c>
      <c r="AV238" s="27" t="n">
        <f aca="false">MIN(AJ237*(1+C$8),C$9)</f>
        <v>0</v>
      </c>
      <c r="AW238" s="27" t="n">
        <f aca="false">MIN(AK237*(1+D$8),D$9)</f>
        <v>0</v>
      </c>
      <c r="AX238" s="27" t="n">
        <f aca="false">MIN(AL237*(1+E$8),E$9)</f>
        <v>0</v>
      </c>
      <c r="AY238" s="27" t="n">
        <f aca="false">MIN(AM237*(1+F$8),F$9)</f>
        <v>0</v>
      </c>
      <c r="AZ238" s="27" t="n">
        <f aca="false">MIN(AN237*(1+G$8),G$9)</f>
        <v>0</v>
      </c>
      <c r="BA238" s="27" t="n">
        <f aca="false">MIN(AO237*(1+H$8),H$9)</f>
        <v>0</v>
      </c>
      <c r="BB238" s="27" t="n">
        <f aca="false">MIN(AP237*(1+I$8),I$9)</f>
        <v>0</v>
      </c>
      <c r="BC238" s="27" t="n">
        <f aca="false">MIN(AQ237*(1+J$8),J$9)</f>
        <v>0</v>
      </c>
      <c r="BD238" s="27" t="n">
        <f aca="false">MIN(AR237*(1+K$8),K$9)</f>
        <v>0</v>
      </c>
      <c r="BE238" s="27" t="n">
        <f aca="false">MIN(AI237*(1+B$8),MAX(AU238,$B$12-SUM(AV238:BD238)))</f>
        <v>0</v>
      </c>
      <c r="BF238" s="27" t="n">
        <f aca="false">MIN(AJ237*(1+C$8),MAX(AV238,$B$12-SUM(BE238:BE238)-SUM(AW238:BD238)))</f>
        <v>0</v>
      </c>
      <c r="BG238" s="27" t="n">
        <f aca="false">MIN(AK237*(1+D$8),MAX(AW238,$B$12-SUM(BE238:BF238)-SUM(AX238:BD238)))</f>
        <v>0</v>
      </c>
      <c r="BH238" s="27" t="n">
        <f aca="false">MIN(AL237*(1+E$8),MAX(AX238,$B$12-SUM(BE238:BG238)-SUM(AY238:BD238)))</f>
        <v>0</v>
      </c>
      <c r="BI238" s="27" t="n">
        <f aca="false">MIN(AM237*(1+F$8),MAX(AY238,$B$12-SUM(BE238:BH238)-SUM(AZ238:BD238)))</f>
        <v>0</v>
      </c>
      <c r="BJ238" s="27" t="n">
        <f aca="false">MIN(AN237*(1+G$8),MAX(AZ238,$B$12-SUM(BE238:BI238)-SUM(BA238:BD238)))</f>
        <v>0</v>
      </c>
      <c r="BK238" s="27" t="n">
        <f aca="false">MIN(AO237*(1+H$8),MAX(BA238,$B$12-SUM(BE238:BJ238)-SUM(BB238:BD238)))</f>
        <v>0</v>
      </c>
      <c r="BL238" s="27" t="n">
        <f aca="false">MIN(AP237*(1+I$8),MAX(BB238,$B$12-SUM(BE238:BK238)-SUM(BC238:BD238)))</f>
        <v>0</v>
      </c>
      <c r="BM238" s="27" t="n">
        <f aca="false">MIN(AQ237*(1+J$8),MAX(BC238,$B$12-SUM(BE238:BL238)-SUM(BD238:BD238)))</f>
        <v>0</v>
      </c>
      <c r="BN238" s="27" t="n">
        <f aca="false">MIN(AR237*(1+K$8),MAX(BD238,$B$12-SUM(BE238:BM238)))</f>
        <v>0</v>
      </c>
    </row>
    <row r="239" customFormat="false" ht="15" hidden="false" customHeight="false" outlineLevel="0" collapsed="false">
      <c r="A239" s="0" t="n">
        <v>225</v>
      </c>
      <c r="B239" s="27" t="n">
        <f aca="false">ROUND(MAX(0,B238*(1+B$8)-X239),2)</f>
        <v>0</v>
      </c>
      <c r="C239" s="27" t="n">
        <f aca="false">ROUND(MAX(0,C238*(1+C$8)-Y239),2)</f>
        <v>0</v>
      </c>
      <c r="D239" s="27" t="n">
        <f aca="false">ROUND(MAX(0,D238*(1+D$8)-Z239),2)</f>
        <v>0</v>
      </c>
      <c r="E239" s="27" t="n">
        <f aca="false">ROUND(MAX(0,E238*(1+E$8)-AA239),2)</f>
        <v>0</v>
      </c>
      <c r="F239" s="27" t="n">
        <f aca="false">ROUND(MAX(0,F238*(1+F$8)-AB239),2)</f>
        <v>0</v>
      </c>
      <c r="G239" s="27" t="n">
        <f aca="false">ROUND(MAX(0,G238*(1+G$8)-AC239),2)</f>
        <v>0</v>
      </c>
      <c r="H239" s="27" t="n">
        <f aca="false">ROUND(MAX(0,H238*(1+H$8)-AD239),2)</f>
        <v>0</v>
      </c>
      <c r="I239" s="27" t="n">
        <f aca="false">ROUND(MAX(0,I238*(1+I$8)-AE239),2)</f>
        <v>0</v>
      </c>
      <c r="J239" s="27" t="n">
        <f aca="false">ROUND(MAX(0,J238*(1+J$8)-AF239),2)</f>
        <v>0</v>
      </c>
      <c r="K239" s="27" t="n">
        <f aca="false">ROUND(MAX(0,K238*(1+K$8)-AG239),2)</f>
        <v>0</v>
      </c>
      <c r="L239" s="30" t="n">
        <f aca="false">SUM(B239:K239)</f>
        <v>0</v>
      </c>
      <c r="M239" s="27" t="n">
        <f aca="false">SUMPRODUCT(B238:K238,$B$8:$K$8)</f>
        <v>0</v>
      </c>
      <c r="N239" s="27" t="n">
        <f aca="false">MIN(B238*(1+B$8),B$9)</f>
        <v>0</v>
      </c>
      <c r="O239" s="27" t="n">
        <f aca="false">MIN(C238*(1+C$8),C$9)</f>
        <v>0</v>
      </c>
      <c r="P239" s="27" t="n">
        <f aca="false">MIN(D238*(1+D$8),D$9)</f>
        <v>0</v>
      </c>
      <c r="Q239" s="27" t="n">
        <f aca="false">MIN(E238*(1+E$8),E$9)</f>
        <v>0</v>
      </c>
      <c r="R239" s="27" t="n">
        <f aca="false">MIN(F238*(1+F$8),F$9)</f>
        <v>0</v>
      </c>
      <c r="S239" s="27" t="n">
        <f aca="false">MIN(G238*(1+G$8),G$9)</f>
        <v>0</v>
      </c>
      <c r="T239" s="27" t="n">
        <f aca="false">MIN(H238*(1+H$8),H$9)</f>
        <v>0</v>
      </c>
      <c r="U239" s="27" t="n">
        <f aca="false">MIN(I238*(1+I$8),I$9)</f>
        <v>0</v>
      </c>
      <c r="V239" s="27" t="n">
        <f aca="false">MIN(J238*(1+J$8),J$9)</f>
        <v>0</v>
      </c>
      <c r="W239" s="27" t="n">
        <f aca="false">MIN(K238*(1+K$8),K$9)</f>
        <v>0</v>
      </c>
      <c r="X239" s="27" t="n">
        <f aca="false">MIN(B238*(1+B$8),MAX(N239,$B$11-SUM(O239:W239)))</f>
        <v>0</v>
      </c>
      <c r="Y239" s="27" t="n">
        <f aca="false">MIN(C238*(1+C$8),MAX(O239,$B$11-SUM(X239:X239)-SUM(P239:W239)))</f>
        <v>0</v>
      </c>
      <c r="Z239" s="27" t="n">
        <f aca="false">MIN(D238*(1+D$8),MAX(P239,$B$11-SUM(X239:Y239)-SUM(Q239:W239)))</f>
        <v>0</v>
      </c>
      <c r="AA239" s="27" t="n">
        <f aca="false">MIN(E238*(1+E$8),MAX(Q239,$B$11-SUM(X239:Z239)-SUM(R239:W239)))</f>
        <v>0</v>
      </c>
      <c r="AB239" s="27" t="n">
        <f aca="false">MIN(F238*(1+F$8),MAX(R239,$B$11-SUM(X239:AA239)-SUM(S239:W239)))</f>
        <v>0</v>
      </c>
      <c r="AC239" s="27" t="n">
        <f aca="false">MIN(G238*(1+G$8),MAX(S239,$B$11-SUM(X239:AB239)-SUM(T239:W239)))</f>
        <v>0</v>
      </c>
      <c r="AD239" s="27" t="n">
        <f aca="false">MIN(H238*(1+H$8),MAX(T239,$B$11-SUM(X239:AC239)-SUM(U239:W239)))</f>
        <v>0</v>
      </c>
      <c r="AE239" s="27" t="n">
        <f aca="false">MIN(I238*(1+I$8),MAX(U239,$B$11-SUM(X239:AD239)-SUM(V239:W239)))</f>
        <v>0</v>
      </c>
      <c r="AF239" s="27" t="n">
        <f aca="false">MIN(J238*(1+J$8),MAX(V239,$B$11-SUM(X239:AE239)-SUM(W239:W239)))</f>
        <v>0</v>
      </c>
      <c r="AG239" s="27" t="n">
        <f aca="false">MIN(K238*(1+K$8),MAX(W239,$B$11-SUM(X239:AF239)))</f>
        <v>0</v>
      </c>
      <c r="AI239" s="27" t="n">
        <f aca="false">ROUND(MAX(0,AI238*(1+B$8)-BE239),2)</f>
        <v>0</v>
      </c>
      <c r="AJ239" s="27" t="n">
        <f aca="false">ROUND(MAX(0,AJ238*(1+C$8)-BF239),2)</f>
        <v>0</v>
      </c>
      <c r="AK239" s="27" t="n">
        <f aca="false">ROUND(MAX(0,AK238*(1+D$8)-BG239),2)</f>
        <v>0</v>
      </c>
      <c r="AL239" s="27" t="n">
        <f aca="false">ROUND(MAX(0,AL238*(1+E$8)-BH239),2)</f>
        <v>0</v>
      </c>
      <c r="AM239" s="27" t="n">
        <f aca="false">ROUND(MAX(0,AM238*(1+F$8)-BI239),2)</f>
        <v>0</v>
      </c>
      <c r="AN239" s="27" t="n">
        <f aca="false">ROUND(MAX(0,AN238*(1+G$8)-BJ239),2)</f>
        <v>0</v>
      </c>
      <c r="AO239" s="27" t="n">
        <f aca="false">ROUND(MAX(0,AO238*(1+H$8)-BK239),2)</f>
        <v>0</v>
      </c>
      <c r="AP239" s="27" t="n">
        <f aca="false">ROUND(MAX(0,AP238*(1+I$8)-BL239),2)</f>
        <v>0</v>
      </c>
      <c r="AQ239" s="27" t="n">
        <f aca="false">ROUND(MAX(0,AQ238*(1+J$8)-BM239),2)</f>
        <v>0</v>
      </c>
      <c r="AR239" s="27" t="n">
        <f aca="false">ROUND(MAX(0,AR238*(1+K$8)-BN239),2)</f>
        <v>0</v>
      </c>
      <c r="AS239" s="27" t="n">
        <f aca="false">SUM(AI239:AR239)</f>
        <v>0</v>
      </c>
      <c r="AT239" s="27" t="n">
        <f aca="false">SUMPRODUCT(AI238:AR238,$B$8:$K$8)</f>
        <v>0</v>
      </c>
      <c r="AU239" s="27" t="n">
        <f aca="false">MIN(AI238*(1+B$8),B$9)</f>
        <v>0</v>
      </c>
      <c r="AV239" s="27" t="n">
        <f aca="false">MIN(AJ238*(1+C$8),C$9)</f>
        <v>0</v>
      </c>
      <c r="AW239" s="27" t="n">
        <f aca="false">MIN(AK238*(1+D$8),D$9)</f>
        <v>0</v>
      </c>
      <c r="AX239" s="27" t="n">
        <f aca="false">MIN(AL238*(1+E$8),E$9)</f>
        <v>0</v>
      </c>
      <c r="AY239" s="27" t="n">
        <f aca="false">MIN(AM238*(1+F$8),F$9)</f>
        <v>0</v>
      </c>
      <c r="AZ239" s="27" t="n">
        <f aca="false">MIN(AN238*(1+G$8),G$9)</f>
        <v>0</v>
      </c>
      <c r="BA239" s="27" t="n">
        <f aca="false">MIN(AO238*(1+H$8),H$9)</f>
        <v>0</v>
      </c>
      <c r="BB239" s="27" t="n">
        <f aca="false">MIN(AP238*(1+I$8),I$9)</f>
        <v>0</v>
      </c>
      <c r="BC239" s="27" t="n">
        <f aca="false">MIN(AQ238*(1+J$8),J$9)</f>
        <v>0</v>
      </c>
      <c r="BD239" s="27" t="n">
        <f aca="false">MIN(AR238*(1+K$8),K$9)</f>
        <v>0</v>
      </c>
      <c r="BE239" s="27" t="n">
        <f aca="false">MIN(AI238*(1+B$8),MAX(AU239,$B$12-SUM(AV239:BD239)))</f>
        <v>0</v>
      </c>
      <c r="BF239" s="27" t="n">
        <f aca="false">MIN(AJ238*(1+C$8),MAX(AV239,$B$12-SUM(BE239:BE239)-SUM(AW239:BD239)))</f>
        <v>0</v>
      </c>
      <c r="BG239" s="27" t="n">
        <f aca="false">MIN(AK238*(1+D$8),MAX(AW239,$B$12-SUM(BE239:BF239)-SUM(AX239:BD239)))</f>
        <v>0</v>
      </c>
      <c r="BH239" s="27" t="n">
        <f aca="false">MIN(AL238*(1+E$8),MAX(AX239,$B$12-SUM(BE239:BG239)-SUM(AY239:BD239)))</f>
        <v>0</v>
      </c>
      <c r="BI239" s="27" t="n">
        <f aca="false">MIN(AM238*(1+F$8),MAX(AY239,$B$12-SUM(BE239:BH239)-SUM(AZ239:BD239)))</f>
        <v>0</v>
      </c>
      <c r="BJ239" s="27" t="n">
        <f aca="false">MIN(AN238*(1+G$8),MAX(AZ239,$B$12-SUM(BE239:BI239)-SUM(BA239:BD239)))</f>
        <v>0</v>
      </c>
      <c r="BK239" s="27" t="n">
        <f aca="false">MIN(AO238*(1+H$8),MAX(BA239,$B$12-SUM(BE239:BJ239)-SUM(BB239:BD239)))</f>
        <v>0</v>
      </c>
      <c r="BL239" s="27" t="n">
        <f aca="false">MIN(AP238*(1+I$8),MAX(BB239,$B$12-SUM(BE239:BK239)-SUM(BC239:BD239)))</f>
        <v>0</v>
      </c>
      <c r="BM239" s="27" t="n">
        <f aca="false">MIN(AQ238*(1+J$8),MAX(BC239,$B$12-SUM(BE239:BL239)-SUM(BD239:BD239)))</f>
        <v>0</v>
      </c>
      <c r="BN239" s="27" t="n">
        <f aca="false">MIN(AR238*(1+K$8),MAX(BD239,$B$12-SUM(BE239:BM239)))</f>
        <v>0</v>
      </c>
    </row>
    <row r="240" customFormat="false" ht="15" hidden="false" customHeight="false" outlineLevel="0" collapsed="false">
      <c r="A240" s="0" t="n">
        <v>226</v>
      </c>
      <c r="B240" s="27" t="n">
        <f aca="false">ROUND(MAX(0,B239*(1+B$8)-X240),2)</f>
        <v>0</v>
      </c>
      <c r="C240" s="27" t="n">
        <f aca="false">ROUND(MAX(0,C239*(1+C$8)-Y240),2)</f>
        <v>0</v>
      </c>
      <c r="D240" s="27" t="n">
        <f aca="false">ROUND(MAX(0,D239*(1+D$8)-Z240),2)</f>
        <v>0</v>
      </c>
      <c r="E240" s="27" t="n">
        <f aca="false">ROUND(MAX(0,E239*(1+E$8)-AA240),2)</f>
        <v>0</v>
      </c>
      <c r="F240" s="27" t="n">
        <f aca="false">ROUND(MAX(0,F239*(1+F$8)-AB240),2)</f>
        <v>0</v>
      </c>
      <c r="G240" s="27" t="n">
        <f aca="false">ROUND(MAX(0,G239*(1+G$8)-AC240),2)</f>
        <v>0</v>
      </c>
      <c r="H240" s="27" t="n">
        <f aca="false">ROUND(MAX(0,H239*(1+H$8)-AD240),2)</f>
        <v>0</v>
      </c>
      <c r="I240" s="27" t="n">
        <f aca="false">ROUND(MAX(0,I239*(1+I$8)-AE240),2)</f>
        <v>0</v>
      </c>
      <c r="J240" s="27" t="n">
        <f aca="false">ROUND(MAX(0,J239*(1+J$8)-AF240),2)</f>
        <v>0</v>
      </c>
      <c r="K240" s="27" t="n">
        <f aca="false">ROUND(MAX(0,K239*(1+K$8)-AG240),2)</f>
        <v>0</v>
      </c>
      <c r="L240" s="30" t="n">
        <f aca="false">SUM(B240:K240)</f>
        <v>0</v>
      </c>
      <c r="M240" s="27" t="n">
        <f aca="false">SUMPRODUCT(B239:K239,$B$8:$K$8)</f>
        <v>0</v>
      </c>
      <c r="N240" s="27" t="n">
        <f aca="false">MIN(B239*(1+B$8),B$9)</f>
        <v>0</v>
      </c>
      <c r="O240" s="27" t="n">
        <f aca="false">MIN(C239*(1+C$8),C$9)</f>
        <v>0</v>
      </c>
      <c r="P240" s="27" t="n">
        <f aca="false">MIN(D239*(1+D$8),D$9)</f>
        <v>0</v>
      </c>
      <c r="Q240" s="27" t="n">
        <f aca="false">MIN(E239*(1+E$8),E$9)</f>
        <v>0</v>
      </c>
      <c r="R240" s="27" t="n">
        <f aca="false">MIN(F239*(1+F$8),F$9)</f>
        <v>0</v>
      </c>
      <c r="S240" s="27" t="n">
        <f aca="false">MIN(G239*(1+G$8),G$9)</f>
        <v>0</v>
      </c>
      <c r="T240" s="27" t="n">
        <f aca="false">MIN(H239*(1+H$8),H$9)</f>
        <v>0</v>
      </c>
      <c r="U240" s="27" t="n">
        <f aca="false">MIN(I239*(1+I$8),I$9)</f>
        <v>0</v>
      </c>
      <c r="V240" s="27" t="n">
        <f aca="false">MIN(J239*(1+J$8),J$9)</f>
        <v>0</v>
      </c>
      <c r="W240" s="27" t="n">
        <f aca="false">MIN(K239*(1+K$8),K$9)</f>
        <v>0</v>
      </c>
      <c r="X240" s="27" t="n">
        <f aca="false">MIN(B239*(1+B$8),MAX(N240,$B$11-SUM(O240:W240)))</f>
        <v>0</v>
      </c>
      <c r="Y240" s="27" t="n">
        <f aca="false">MIN(C239*(1+C$8),MAX(O240,$B$11-SUM(X240:X240)-SUM(P240:W240)))</f>
        <v>0</v>
      </c>
      <c r="Z240" s="27" t="n">
        <f aca="false">MIN(D239*(1+D$8),MAX(P240,$B$11-SUM(X240:Y240)-SUM(Q240:W240)))</f>
        <v>0</v>
      </c>
      <c r="AA240" s="27" t="n">
        <f aca="false">MIN(E239*(1+E$8),MAX(Q240,$B$11-SUM(X240:Z240)-SUM(R240:W240)))</f>
        <v>0</v>
      </c>
      <c r="AB240" s="27" t="n">
        <f aca="false">MIN(F239*(1+F$8),MAX(R240,$B$11-SUM(X240:AA240)-SUM(S240:W240)))</f>
        <v>0</v>
      </c>
      <c r="AC240" s="27" t="n">
        <f aca="false">MIN(G239*(1+G$8),MAX(S240,$B$11-SUM(X240:AB240)-SUM(T240:W240)))</f>
        <v>0</v>
      </c>
      <c r="AD240" s="27" t="n">
        <f aca="false">MIN(H239*(1+H$8),MAX(T240,$B$11-SUM(X240:AC240)-SUM(U240:W240)))</f>
        <v>0</v>
      </c>
      <c r="AE240" s="27" t="n">
        <f aca="false">MIN(I239*(1+I$8),MAX(U240,$B$11-SUM(X240:AD240)-SUM(V240:W240)))</f>
        <v>0</v>
      </c>
      <c r="AF240" s="27" t="n">
        <f aca="false">MIN(J239*(1+J$8),MAX(V240,$B$11-SUM(X240:AE240)-SUM(W240:W240)))</f>
        <v>0</v>
      </c>
      <c r="AG240" s="27" t="n">
        <f aca="false">MIN(K239*(1+K$8),MAX(W240,$B$11-SUM(X240:AF240)))</f>
        <v>0</v>
      </c>
      <c r="AI240" s="27" t="n">
        <f aca="false">ROUND(MAX(0,AI239*(1+B$8)-BE240),2)</f>
        <v>0</v>
      </c>
      <c r="AJ240" s="27" t="n">
        <f aca="false">ROUND(MAX(0,AJ239*(1+C$8)-BF240),2)</f>
        <v>0</v>
      </c>
      <c r="AK240" s="27" t="n">
        <f aca="false">ROUND(MAX(0,AK239*(1+D$8)-BG240),2)</f>
        <v>0</v>
      </c>
      <c r="AL240" s="27" t="n">
        <f aca="false">ROUND(MAX(0,AL239*(1+E$8)-BH240),2)</f>
        <v>0</v>
      </c>
      <c r="AM240" s="27" t="n">
        <f aca="false">ROUND(MAX(0,AM239*(1+F$8)-BI240),2)</f>
        <v>0</v>
      </c>
      <c r="AN240" s="27" t="n">
        <f aca="false">ROUND(MAX(0,AN239*(1+G$8)-BJ240),2)</f>
        <v>0</v>
      </c>
      <c r="AO240" s="27" t="n">
        <f aca="false">ROUND(MAX(0,AO239*(1+H$8)-BK240),2)</f>
        <v>0</v>
      </c>
      <c r="AP240" s="27" t="n">
        <f aca="false">ROUND(MAX(0,AP239*(1+I$8)-BL240),2)</f>
        <v>0</v>
      </c>
      <c r="AQ240" s="27" t="n">
        <f aca="false">ROUND(MAX(0,AQ239*(1+J$8)-BM240),2)</f>
        <v>0</v>
      </c>
      <c r="AR240" s="27" t="n">
        <f aca="false">ROUND(MAX(0,AR239*(1+K$8)-BN240),2)</f>
        <v>0</v>
      </c>
      <c r="AS240" s="27" t="n">
        <f aca="false">SUM(AI240:AR240)</f>
        <v>0</v>
      </c>
      <c r="AT240" s="27" t="n">
        <f aca="false">SUMPRODUCT(AI239:AR239,$B$8:$K$8)</f>
        <v>0</v>
      </c>
      <c r="AU240" s="27" t="n">
        <f aca="false">MIN(AI239*(1+B$8),B$9)</f>
        <v>0</v>
      </c>
      <c r="AV240" s="27" t="n">
        <f aca="false">MIN(AJ239*(1+C$8),C$9)</f>
        <v>0</v>
      </c>
      <c r="AW240" s="27" t="n">
        <f aca="false">MIN(AK239*(1+D$8),D$9)</f>
        <v>0</v>
      </c>
      <c r="AX240" s="27" t="n">
        <f aca="false">MIN(AL239*(1+E$8),E$9)</f>
        <v>0</v>
      </c>
      <c r="AY240" s="27" t="n">
        <f aca="false">MIN(AM239*(1+F$8),F$9)</f>
        <v>0</v>
      </c>
      <c r="AZ240" s="27" t="n">
        <f aca="false">MIN(AN239*(1+G$8),G$9)</f>
        <v>0</v>
      </c>
      <c r="BA240" s="27" t="n">
        <f aca="false">MIN(AO239*(1+H$8),H$9)</f>
        <v>0</v>
      </c>
      <c r="BB240" s="27" t="n">
        <f aca="false">MIN(AP239*(1+I$8),I$9)</f>
        <v>0</v>
      </c>
      <c r="BC240" s="27" t="n">
        <f aca="false">MIN(AQ239*(1+J$8),J$9)</f>
        <v>0</v>
      </c>
      <c r="BD240" s="27" t="n">
        <f aca="false">MIN(AR239*(1+K$8),K$9)</f>
        <v>0</v>
      </c>
      <c r="BE240" s="27" t="n">
        <f aca="false">MIN(AI239*(1+B$8),MAX(AU240,$B$12-SUM(AV240:BD240)))</f>
        <v>0</v>
      </c>
      <c r="BF240" s="27" t="n">
        <f aca="false">MIN(AJ239*(1+C$8),MAX(AV240,$B$12-SUM(BE240:BE240)-SUM(AW240:BD240)))</f>
        <v>0</v>
      </c>
      <c r="BG240" s="27" t="n">
        <f aca="false">MIN(AK239*(1+D$8),MAX(AW240,$B$12-SUM(BE240:BF240)-SUM(AX240:BD240)))</f>
        <v>0</v>
      </c>
      <c r="BH240" s="27" t="n">
        <f aca="false">MIN(AL239*(1+E$8),MAX(AX240,$B$12-SUM(BE240:BG240)-SUM(AY240:BD240)))</f>
        <v>0</v>
      </c>
      <c r="BI240" s="27" t="n">
        <f aca="false">MIN(AM239*(1+F$8),MAX(AY240,$B$12-SUM(BE240:BH240)-SUM(AZ240:BD240)))</f>
        <v>0</v>
      </c>
      <c r="BJ240" s="27" t="n">
        <f aca="false">MIN(AN239*(1+G$8),MAX(AZ240,$B$12-SUM(BE240:BI240)-SUM(BA240:BD240)))</f>
        <v>0</v>
      </c>
      <c r="BK240" s="27" t="n">
        <f aca="false">MIN(AO239*(1+H$8),MAX(BA240,$B$12-SUM(BE240:BJ240)-SUM(BB240:BD240)))</f>
        <v>0</v>
      </c>
      <c r="BL240" s="27" t="n">
        <f aca="false">MIN(AP239*(1+I$8),MAX(BB240,$B$12-SUM(BE240:BK240)-SUM(BC240:BD240)))</f>
        <v>0</v>
      </c>
      <c r="BM240" s="27" t="n">
        <f aca="false">MIN(AQ239*(1+J$8),MAX(BC240,$B$12-SUM(BE240:BL240)-SUM(BD240:BD240)))</f>
        <v>0</v>
      </c>
      <c r="BN240" s="27" t="n">
        <f aca="false">MIN(AR239*(1+K$8),MAX(BD240,$B$12-SUM(BE240:BM240)))</f>
        <v>0</v>
      </c>
    </row>
    <row r="241" customFormat="false" ht="15" hidden="false" customHeight="false" outlineLevel="0" collapsed="false">
      <c r="A241" s="0" t="n">
        <v>227</v>
      </c>
      <c r="B241" s="27" t="n">
        <f aca="false">ROUND(MAX(0,B240*(1+B$8)-X241),2)</f>
        <v>0</v>
      </c>
      <c r="C241" s="27" t="n">
        <f aca="false">ROUND(MAX(0,C240*(1+C$8)-Y241),2)</f>
        <v>0</v>
      </c>
      <c r="D241" s="27" t="n">
        <f aca="false">ROUND(MAX(0,D240*(1+D$8)-Z241),2)</f>
        <v>0</v>
      </c>
      <c r="E241" s="27" t="n">
        <f aca="false">ROUND(MAX(0,E240*(1+E$8)-AA241),2)</f>
        <v>0</v>
      </c>
      <c r="F241" s="27" t="n">
        <f aca="false">ROUND(MAX(0,F240*(1+F$8)-AB241),2)</f>
        <v>0</v>
      </c>
      <c r="G241" s="27" t="n">
        <f aca="false">ROUND(MAX(0,G240*(1+G$8)-AC241),2)</f>
        <v>0</v>
      </c>
      <c r="H241" s="27" t="n">
        <f aca="false">ROUND(MAX(0,H240*(1+H$8)-AD241),2)</f>
        <v>0</v>
      </c>
      <c r="I241" s="27" t="n">
        <f aca="false">ROUND(MAX(0,I240*(1+I$8)-AE241),2)</f>
        <v>0</v>
      </c>
      <c r="J241" s="27" t="n">
        <f aca="false">ROUND(MAX(0,J240*(1+J$8)-AF241),2)</f>
        <v>0</v>
      </c>
      <c r="K241" s="27" t="n">
        <f aca="false">ROUND(MAX(0,K240*(1+K$8)-AG241),2)</f>
        <v>0</v>
      </c>
      <c r="L241" s="30" t="n">
        <f aca="false">SUM(B241:K241)</f>
        <v>0</v>
      </c>
      <c r="M241" s="27" t="n">
        <f aca="false">SUMPRODUCT(B240:K240,$B$8:$K$8)</f>
        <v>0</v>
      </c>
      <c r="N241" s="27" t="n">
        <f aca="false">MIN(B240*(1+B$8),B$9)</f>
        <v>0</v>
      </c>
      <c r="O241" s="27" t="n">
        <f aca="false">MIN(C240*(1+C$8),C$9)</f>
        <v>0</v>
      </c>
      <c r="P241" s="27" t="n">
        <f aca="false">MIN(D240*(1+D$8),D$9)</f>
        <v>0</v>
      </c>
      <c r="Q241" s="27" t="n">
        <f aca="false">MIN(E240*(1+E$8),E$9)</f>
        <v>0</v>
      </c>
      <c r="R241" s="27" t="n">
        <f aca="false">MIN(F240*(1+F$8),F$9)</f>
        <v>0</v>
      </c>
      <c r="S241" s="27" t="n">
        <f aca="false">MIN(G240*(1+G$8),G$9)</f>
        <v>0</v>
      </c>
      <c r="T241" s="27" t="n">
        <f aca="false">MIN(H240*(1+H$8),H$9)</f>
        <v>0</v>
      </c>
      <c r="U241" s="27" t="n">
        <f aca="false">MIN(I240*(1+I$8),I$9)</f>
        <v>0</v>
      </c>
      <c r="V241" s="27" t="n">
        <f aca="false">MIN(J240*(1+J$8),J$9)</f>
        <v>0</v>
      </c>
      <c r="W241" s="27" t="n">
        <f aca="false">MIN(K240*(1+K$8),K$9)</f>
        <v>0</v>
      </c>
      <c r="X241" s="27" t="n">
        <f aca="false">MIN(B240*(1+B$8),MAX(N241,$B$11-SUM(O241:W241)))</f>
        <v>0</v>
      </c>
      <c r="Y241" s="27" t="n">
        <f aca="false">MIN(C240*(1+C$8),MAX(O241,$B$11-SUM(X241:X241)-SUM(P241:W241)))</f>
        <v>0</v>
      </c>
      <c r="Z241" s="27" t="n">
        <f aca="false">MIN(D240*(1+D$8),MAX(P241,$B$11-SUM(X241:Y241)-SUM(Q241:W241)))</f>
        <v>0</v>
      </c>
      <c r="AA241" s="27" t="n">
        <f aca="false">MIN(E240*(1+E$8),MAX(Q241,$B$11-SUM(X241:Z241)-SUM(R241:W241)))</f>
        <v>0</v>
      </c>
      <c r="AB241" s="27" t="n">
        <f aca="false">MIN(F240*(1+F$8),MAX(R241,$B$11-SUM(X241:AA241)-SUM(S241:W241)))</f>
        <v>0</v>
      </c>
      <c r="AC241" s="27" t="n">
        <f aca="false">MIN(G240*(1+G$8),MAX(S241,$B$11-SUM(X241:AB241)-SUM(T241:W241)))</f>
        <v>0</v>
      </c>
      <c r="AD241" s="27" t="n">
        <f aca="false">MIN(H240*(1+H$8),MAX(T241,$B$11-SUM(X241:AC241)-SUM(U241:W241)))</f>
        <v>0</v>
      </c>
      <c r="AE241" s="27" t="n">
        <f aca="false">MIN(I240*(1+I$8),MAX(U241,$B$11-SUM(X241:AD241)-SUM(V241:W241)))</f>
        <v>0</v>
      </c>
      <c r="AF241" s="27" t="n">
        <f aca="false">MIN(J240*(1+J$8),MAX(V241,$B$11-SUM(X241:AE241)-SUM(W241:W241)))</f>
        <v>0</v>
      </c>
      <c r="AG241" s="27" t="n">
        <f aca="false">MIN(K240*(1+K$8),MAX(W241,$B$11-SUM(X241:AF241)))</f>
        <v>0</v>
      </c>
      <c r="AI241" s="27" t="n">
        <f aca="false">ROUND(MAX(0,AI240*(1+B$8)-BE241),2)</f>
        <v>0</v>
      </c>
      <c r="AJ241" s="27" t="n">
        <f aca="false">ROUND(MAX(0,AJ240*(1+C$8)-BF241),2)</f>
        <v>0</v>
      </c>
      <c r="AK241" s="27" t="n">
        <f aca="false">ROUND(MAX(0,AK240*(1+D$8)-BG241),2)</f>
        <v>0</v>
      </c>
      <c r="AL241" s="27" t="n">
        <f aca="false">ROUND(MAX(0,AL240*(1+E$8)-BH241),2)</f>
        <v>0</v>
      </c>
      <c r="AM241" s="27" t="n">
        <f aca="false">ROUND(MAX(0,AM240*(1+F$8)-BI241),2)</f>
        <v>0</v>
      </c>
      <c r="AN241" s="27" t="n">
        <f aca="false">ROUND(MAX(0,AN240*(1+G$8)-BJ241),2)</f>
        <v>0</v>
      </c>
      <c r="AO241" s="27" t="n">
        <f aca="false">ROUND(MAX(0,AO240*(1+H$8)-BK241),2)</f>
        <v>0</v>
      </c>
      <c r="AP241" s="27" t="n">
        <f aca="false">ROUND(MAX(0,AP240*(1+I$8)-BL241),2)</f>
        <v>0</v>
      </c>
      <c r="AQ241" s="27" t="n">
        <f aca="false">ROUND(MAX(0,AQ240*(1+J$8)-BM241),2)</f>
        <v>0</v>
      </c>
      <c r="AR241" s="27" t="n">
        <f aca="false">ROUND(MAX(0,AR240*(1+K$8)-BN241),2)</f>
        <v>0</v>
      </c>
      <c r="AS241" s="27" t="n">
        <f aca="false">SUM(AI241:AR241)</f>
        <v>0</v>
      </c>
      <c r="AT241" s="27" t="n">
        <f aca="false">SUMPRODUCT(AI240:AR240,$B$8:$K$8)</f>
        <v>0</v>
      </c>
      <c r="AU241" s="27" t="n">
        <f aca="false">MIN(AI240*(1+B$8),B$9)</f>
        <v>0</v>
      </c>
      <c r="AV241" s="27" t="n">
        <f aca="false">MIN(AJ240*(1+C$8),C$9)</f>
        <v>0</v>
      </c>
      <c r="AW241" s="27" t="n">
        <f aca="false">MIN(AK240*(1+D$8),D$9)</f>
        <v>0</v>
      </c>
      <c r="AX241" s="27" t="n">
        <f aca="false">MIN(AL240*(1+E$8),E$9)</f>
        <v>0</v>
      </c>
      <c r="AY241" s="27" t="n">
        <f aca="false">MIN(AM240*(1+F$8),F$9)</f>
        <v>0</v>
      </c>
      <c r="AZ241" s="27" t="n">
        <f aca="false">MIN(AN240*(1+G$8),G$9)</f>
        <v>0</v>
      </c>
      <c r="BA241" s="27" t="n">
        <f aca="false">MIN(AO240*(1+H$8),H$9)</f>
        <v>0</v>
      </c>
      <c r="BB241" s="27" t="n">
        <f aca="false">MIN(AP240*(1+I$8),I$9)</f>
        <v>0</v>
      </c>
      <c r="BC241" s="27" t="n">
        <f aca="false">MIN(AQ240*(1+J$8),J$9)</f>
        <v>0</v>
      </c>
      <c r="BD241" s="27" t="n">
        <f aca="false">MIN(AR240*(1+K$8),K$9)</f>
        <v>0</v>
      </c>
      <c r="BE241" s="27" t="n">
        <f aca="false">MIN(AI240*(1+B$8),MAX(AU241,$B$12-SUM(AV241:BD241)))</f>
        <v>0</v>
      </c>
      <c r="BF241" s="27" t="n">
        <f aca="false">MIN(AJ240*(1+C$8),MAX(AV241,$B$12-SUM(BE241:BE241)-SUM(AW241:BD241)))</f>
        <v>0</v>
      </c>
      <c r="BG241" s="27" t="n">
        <f aca="false">MIN(AK240*(1+D$8),MAX(AW241,$B$12-SUM(BE241:BF241)-SUM(AX241:BD241)))</f>
        <v>0</v>
      </c>
      <c r="BH241" s="27" t="n">
        <f aca="false">MIN(AL240*(1+E$8),MAX(AX241,$B$12-SUM(BE241:BG241)-SUM(AY241:BD241)))</f>
        <v>0</v>
      </c>
      <c r="BI241" s="27" t="n">
        <f aca="false">MIN(AM240*(1+F$8),MAX(AY241,$B$12-SUM(BE241:BH241)-SUM(AZ241:BD241)))</f>
        <v>0</v>
      </c>
      <c r="BJ241" s="27" t="n">
        <f aca="false">MIN(AN240*(1+G$8),MAX(AZ241,$B$12-SUM(BE241:BI241)-SUM(BA241:BD241)))</f>
        <v>0</v>
      </c>
      <c r="BK241" s="27" t="n">
        <f aca="false">MIN(AO240*(1+H$8),MAX(BA241,$B$12-SUM(BE241:BJ241)-SUM(BB241:BD241)))</f>
        <v>0</v>
      </c>
      <c r="BL241" s="27" t="n">
        <f aca="false">MIN(AP240*(1+I$8),MAX(BB241,$B$12-SUM(BE241:BK241)-SUM(BC241:BD241)))</f>
        <v>0</v>
      </c>
      <c r="BM241" s="27" t="n">
        <f aca="false">MIN(AQ240*(1+J$8),MAX(BC241,$B$12-SUM(BE241:BL241)-SUM(BD241:BD241)))</f>
        <v>0</v>
      </c>
      <c r="BN241" s="27" t="n">
        <f aca="false">MIN(AR240*(1+K$8),MAX(BD241,$B$12-SUM(BE241:BM241)))</f>
        <v>0</v>
      </c>
    </row>
    <row r="242" customFormat="false" ht="15" hidden="false" customHeight="false" outlineLevel="0" collapsed="false">
      <c r="A242" s="0" t="n">
        <v>228</v>
      </c>
      <c r="B242" s="27" t="n">
        <f aca="false">ROUND(MAX(0,B241*(1+B$8)-X242),2)</f>
        <v>0</v>
      </c>
      <c r="C242" s="27" t="n">
        <f aca="false">ROUND(MAX(0,C241*(1+C$8)-Y242),2)</f>
        <v>0</v>
      </c>
      <c r="D242" s="27" t="n">
        <f aca="false">ROUND(MAX(0,D241*(1+D$8)-Z242),2)</f>
        <v>0</v>
      </c>
      <c r="E242" s="27" t="n">
        <f aca="false">ROUND(MAX(0,E241*(1+E$8)-AA242),2)</f>
        <v>0</v>
      </c>
      <c r="F242" s="27" t="n">
        <f aca="false">ROUND(MAX(0,F241*(1+F$8)-AB242),2)</f>
        <v>0</v>
      </c>
      <c r="G242" s="27" t="n">
        <f aca="false">ROUND(MAX(0,G241*(1+G$8)-AC242),2)</f>
        <v>0</v>
      </c>
      <c r="H242" s="27" t="n">
        <f aca="false">ROUND(MAX(0,H241*(1+H$8)-AD242),2)</f>
        <v>0</v>
      </c>
      <c r="I242" s="27" t="n">
        <f aca="false">ROUND(MAX(0,I241*(1+I$8)-AE242),2)</f>
        <v>0</v>
      </c>
      <c r="J242" s="27" t="n">
        <f aca="false">ROUND(MAX(0,J241*(1+J$8)-AF242),2)</f>
        <v>0</v>
      </c>
      <c r="K242" s="27" t="n">
        <f aca="false">ROUND(MAX(0,K241*(1+K$8)-AG242),2)</f>
        <v>0</v>
      </c>
      <c r="L242" s="30" t="n">
        <f aca="false">SUM(B242:K242)</f>
        <v>0</v>
      </c>
      <c r="M242" s="27" t="n">
        <f aca="false">SUMPRODUCT(B241:K241,$B$8:$K$8)</f>
        <v>0</v>
      </c>
      <c r="N242" s="27" t="n">
        <f aca="false">MIN(B241*(1+B$8),B$9)</f>
        <v>0</v>
      </c>
      <c r="O242" s="27" t="n">
        <f aca="false">MIN(C241*(1+C$8),C$9)</f>
        <v>0</v>
      </c>
      <c r="P242" s="27" t="n">
        <f aca="false">MIN(D241*(1+D$8),D$9)</f>
        <v>0</v>
      </c>
      <c r="Q242" s="27" t="n">
        <f aca="false">MIN(E241*(1+E$8),E$9)</f>
        <v>0</v>
      </c>
      <c r="R242" s="27" t="n">
        <f aca="false">MIN(F241*(1+F$8),F$9)</f>
        <v>0</v>
      </c>
      <c r="S242" s="27" t="n">
        <f aca="false">MIN(G241*(1+G$8),G$9)</f>
        <v>0</v>
      </c>
      <c r="T242" s="27" t="n">
        <f aca="false">MIN(H241*(1+H$8),H$9)</f>
        <v>0</v>
      </c>
      <c r="U242" s="27" t="n">
        <f aca="false">MIN(I241*(1+I$8),I$9)</f>
        <v>0</v>
      </c>
      <c r="V242" s="27" t="n">
        <f aca="false">MIN(J241*(1+J$8),J$9)</f>
        <v>0</v>
      </c>
      <c r="W242" s="27" t="n">
        <f aca="false">MIN(K241*(1+K$8),K$9)</f>
        <v>0</v>
      </c>
      <c r="X242" s="27" t="n">
        <f aca="false">MIN(B241*(1+B$8),MAX(N242,$B$11-SUM(O242:W242)))</f>
        <v>0</v>
      </c>
      <c r="Y242" s="27" t="n">
        <f aca="false">MIN(C241*(1+C$8),MAX(O242,$B$11-SUM(X242:X242)-SUM(P242:W242)))</f>
        <v>0</v>
      </c>
      <c r="Z242" s="27" t="n">
        <f aca="false">MIN(D241*(1+D$8),MAX(P242,$B$11-SUM(X242:Y242)-SUM(Q242:W242)))</f>
        <v>0</v>
      </c>
      <c r="AA242" s="27" t="n">
        <f aca="false">MIN(E241*(1+E$8),MAX(Q242,$B$11-SUM(X242:Z242)-SUM(R242:W242)))</f>
        <v>0</v>
      </c>
      <c r="AB242" s="27" t="n">
        <f aca="false">MIN(F241*(1+F$8),MAX(R242,$B$11-SUM(X242:AA242)-SUM(S242:W242)))</f>
        <v>0</v>
      </c>
      <c r="AC242" s="27" t="n">
        <f aca="false">MIN(G241*(1+G$8),MAX(S242,$B$11-SUM(X242:AB242)-SUM(T242:W242)))</f>
        <v>0</v>
      </c>
      <c r="AD242" s="27" t="n">
        <f aca="false">MIN(H241*(1+H$8),MAX(T242,$B$11-SUM(X242:AC242)-SUM(U242:W242)))</f>
        <v>0</v>
      </c>
      <c r="AE242" s="27" t="n">
        <f aca="false">MIN(I241*(1+I$8),MAX(U242,$B$11-SUM(X242:AD242)-SUM(V242:W242)))</f>
        <v>0</v>
      </c>
      <c r="AF242" s="27" t="n">
        <f aca="false">MIN(J241*(1+J$8),MAX(V242,$B$11-SUM(X242:AE242)-SUM(W242:W242)))</f>
        <v>0</v>
      </c>
      <c r="AG242" s="27" t="n">
        <f aca="false">MIN(K241*(1+K$8),MAX(W242,$B$11-SUM(X242:AF242)))</f>
        <v>0</v>
      </c>
      <c r="AI242" s="27" t="n">
        <f aca="false">ROUND(MAX(0,AI241*(1+B$8)-BE242),2)</f>
        <v>0</v>
      </c>
      <c r="AJ242" s="27" t="n">
        <f aca="false">ROUND(MAX(0,AJ241*(1+C$8)-BF242),2)</f>
        <v>0</v>
      </c>
      <c r="AK242" s="27" t="n">
        <f aca="false">ROUND(MAX(0,AK241*(1+D$8)-BG242),2)</f>
        <v>0</v>
      </c>
      <c r="AL242" s="27" t="n">
        <f aca="false">ROUND(MAX(0,AL241*(1+E$8)-BH242),2)</f>
        <v>0</v>
      </c>
      <c r="AM242" s="27" t="n">
        <f aca="false">ROUND(MAX(0,AM241*(1+F$8)-BI242),2)</f>
        <v>0</v>
      </c>
      <c r="AN242" s="27" t="n">
        <f aca="false">ROUND(MAX(0,AN241*(1+G$8)-BJ242),2)</f>
        <v>0</v>
      </c>
      <c r="AO242" s="27" t="n">
        <f aca="false">ROUND(MAX(0,AO241*(1+H$8)-BK242),2)</f>
        <v>0</v>
      </c>
      <c r="AP242" s="27" t="n">
        <f aca="false">ROUND(MAX(0,AP241*(1+I$8)-BL242),2)</f>
        <v>0</v>
      </c>
      <c r="AQ242" s="27" t="n">
        <f aca="false">ROUND(MAX(0,AQ241*(1+J$8)-BM242),2)</f>
        <v>0</v>
      </c>
      <c r="AR242" s="27" t="n">
        <f aca="false">ROUND(MAX(0,AR241*(1+K$8)-BN242),2)</f>
        <v>0</v>
      </c>
      <c r="AS242" s="27" t="n">
        <f aca="false">SUM(AI242:AR242)</f>
        <v>0</v>
      </c>
      <c r="AT242" s="27" t="n">
        <f aca="false">SUMPRODUCT(AI241:AR241,$B$8:$K$8)</f>
        <v>0</v>
      </c>
      <c r="AU242" s="27" t="n">
        <f aca="false">MIN(AI241*(1+B$8),B$9)</f>
        <v>0</v>
      </c>
      <c r="AV242" s="27" t="n">
        <f aca="false">MIN(AJ241*(1+C$8),C$9)</f>
        <v>0</v>
      </c>
      <c r="AW242" s="27" t="n">
        <f aca="false">MIN(AK241*(1+D$8),D$9)</f>
        <v>0</v>
      </c>
      <c r="AX242" s="27" t="n">
        <f aca="false">MIN(AL241*(1+E$8),E$9)</f>
        <v>0</v>
      </c>
      <c r="AY242" s="27" t="n">
        <f aca="false">MIN(AM241*(1+F$8),F$9)</f>
        <v>0</v>
      </c>
      <c r="AZ242" s="27" t="n">
        <f aca="false">MIN(AN241*(1+G$8),G$9)</f>
        <v>0</v>
      </c>
      <c r="BA242" s="27" t="n">
        <f aca="false">MIN(AO241*(1+H$8),H$9)</f>
        <v>0</v>
      </c>
      <c r="BB242" s="27" t="n">
        <f aca="false">MIN(AP241*(1+I$8),I$9)</f>
        <v>0</v>
      </c>
      <c r="BC242" s="27" t="n">
        <f aca="false">MIN(AQ241*(1+J$8),J$9)</f>
        <v>0</v>
      </c>
      <c r="BD242" s="27" t="n">
        <f aca="false">MIN(AR241*(1+K$8),K$9)</f>
        <v>0</v>
      </c>
      <c r="BE242" s="27" t="n">
        <f aca="false">MIN(AI241*(1+B$8),MAX(AU242,$B$12-SUM(AV242:BD242)))</f>
        <v>0</v>
      </c>
      <c r="BF242" s="27" t="n">
        <f aca="false">MIN(AJ241*(1+C$8),MAX(AV242,$B$12-SUM(BE242:BE242)-SUM(AW242:BD242)))</f>
        <v>0</v>
      </c>
      <c r="BG242" s="27" t="n">
        <f aca="false">MIN(AK241*(1+D$8),MAX(AW242,$B$12-SUM(BE242:BF242)-SUM(AX242:BD242)))</f>
        <v>0</v>
      </c>
      <c r="BH242" s="27" t="n">
        <f aca="false">MIN(AL241*(1+E$8),MAX(AX242,$B$12-SUM(BE242:BG242)-SUM(AY242:BD242)))</f>
        <v>0</v>
      </c>
      <c r="BI242" s="27" t="n">
        <f aca="false">MIN(AM241*(1+F$8),MAX(AY242,$B$12-SUM(BE242:BH242)-SUM(AZ242:BD242)))</f>
        <v>0</v>
      </c>
      <c r="BJ242" s="27" t="n">
        <f aca="false">MIN(AN241*(1+G$8),MAX(AZ242,$B$12-SUM(BE242:BI242)-SUM(BA242:BD242)))</f>
        <v>0</v>
      </c>
      <c r="BK242" s="27" t="n">
        <f aca="false">MIN(AO241*(1+H$8),MAX(BA242,$B$12-SUM(BE242:BJ242)-SUM(BB242:BD242)))</f>
        <v>0</v>
      </c>
      <c r="BL242" s="27" t="n">
        <f aca="false">MIN(AP241*(1+I$8),MAX(BB242,$B$12-SUM(BE242:BK242)-SUM(BC242:BD242)))</f>
        <v>0</v>
      </c>
      <c r="BM242" s="27" t="n">
        <f aca="false">MIN(AQ241*(1+J$8),MAX(BC242,$B$12-SUM(BE242:BL242)-SUM(BD242:BD242)))</f>
        <v>0</v>
      </c>
      <c r="BN242" s="27" t="n">
        <f aca="false">MIN(AR241*(1+K$8),MAX(BD242,$B$12-SUM(BE242:BM242)))</f>
        <v>0</v>
      </c>
    </row>
    <row r="243" customFormat="false" ht="15" hidden="false" customHeight="false" outlineLevel="0" collapsed="false">
      <c r="A243" s="0" t="n">
        <v>229</v>
      </c>
      <c r="B243" s="27" t="n">
        <f aca="false">ROUND(MAX(0,B242*(1+B$8)-X243),2)</f>
        <v>0</v>
      </c>
      <c r="C243" s="27" t="n">
        <f aca="false">ROUND(MAX(0,C242*(1+C$8)-Y243),2)</f>
        <v>0</v>
      </c>
      <c r="D243" s="27" t="n">
        <f aca="false">ROUND(MAX(0,D242*(1+D$8)-Z243),2)</f>
        <v>0</v>
      </c>
      <c r="E243" s="27" t="n">
        <f aca="false">ROUND(MAX(0,E242*(1+E$8)-AA243),2)</f>
        <v>0</v>
      </c>
      <c r="F243" s="27" t="n">
        <f aca="false">ROUND(MAX(0,F242*(1+F$8)-AB243),2)</f>
        <v>0</v>
      </c>
      <c r="G243" s="27" t="n">
        <f aca="false">ROUND(MAX(0,G242*(1+G$8)-AC243),2)</f>
        <v>0</v>
      </c>
      <c r="H243" s="27" t="n">
        <f aca="false">ROUND(MAX(0,H242*(1+H$8)-AD243),2)</f>
        <v>0</v>
      </c>
      <c r="I243" s="27" t="n">
        <f aca="false">ROUND(MAX(0,I242*(1+I$8)-AE243),2)</f>
        <v>0</v>
      </c>
      <c r="J243" s="27" t="n">
        <f aca="false">ROUND(MAX(0,J242*(1+J$8)-AF243),2)</f>
        <v>0</v>
      </c>
      <c r="K243" s="27" t="n">
        <f aca="false">ROUND(MAX(0,K242*(1+K$8)-AG243),2)</f>
        <v>0</v>
      </c>
      <c r="L243" s="30" t="n">
        <f aca="false">SUM(B243:K243)</f>
        <v>0</v>
      </c>
      <c r="M243" s="27" t="n">
        <f aca="false">SUMPRODUCT(B242:K242,$B$8:$K$8)</f>
        <v>0</v>
      </c>
      <c r="N243" s="27" t="n">
        <f aca="false">MIN(B242*(1+B$8),B$9)</f>
        <v>0</v>
      </c>
      <c r="O243" s="27" t="n">
        <f aca="false">MIN(C242*(1+C$8),C$9)</f>
        <v>0</v>
      </c>
      <c r="P243" s="27" t="n">
        <f aca="false">MIN(D242*(1+D$8),D$9)</f>
        <v>0</v>
      </c>
      <c r="Q243" s="27" t="n">
        <f aca="false">MIN(E242*(1+E$8),E$9)</f>
        <v>0</v>
      </c>
      <c r="R243" s="27" t="n">
        <f aca="false">MIN(F242*(1+F$8),F$9)</f>
        <v>0</v>
      </c>
      <c r="S243" s="27" t="n">
        <f aca="false">MIN(G242*(1+G$8),G$9)</f>
        <v>0</v>
      </c>
      <c r="T243" s="27" t="n">
        <f aca="false">MIN(H242*(1+H$8),H$9)</f>
        <v>0</v>
      </c>
      <c r="U243" s="27" t="n">
        <f aca="false">MIN(I242*(1+I$8),I$9)</f>
        <v>0</v>
      </c>
      <c r="V243" s="27" t="n">
        <f aca="false">MIN(J242*(1+J$8),J$9)</f>
        <v>0</v>
      </c>
      <c r="W243" s="27" t="n">
        <f aca="false">MIN(K242*(1+K$8),K$9)</f>
        <v>0</v>
      </c>
      <c r="X243" s="27" t="n">
        <f aca="false">MIN(B242*(1+B$8),MAX(N243,$B$11-SUM(O243:W243)))</f>
        <v>0</v>
      </c>
      <c r="Y243" s="27" t="n">
        <f aca="false">MIN(C242*(1+C$8),MAX(O243,$B$11-SUM(X243:X243)-SUM(P243:W243)))</f>
        <v>0</v>
      </c>
      <c r="Z243" s="27" t="n">
        <f aca="false">MIN(D242*(1+D$8),MAX(P243,$B$11-SUM(X243:Y243)-SUM(Q243:W243)))</f>
        <v>0</v>
      </c>
      <c r="AA243" s="27" t="n">
        <f aca="false">MIN(E242*(1+E$8),MAX(Q243,$B$11-SUM(X243:Z243)-SUM(R243:W243)))</f>
        <v>0</v>
      </c>
      <c r="AB243" s="27" t="n">
        <f aca="false">MIN(F242*(1+F$8),MAX(R243,$B$11-SUM(X243:AA243)-SUM(S243:W243)))</f>
        <v>0</v>
      </c>
      <c r="AC243" s="27" t="n">
        <f aca="false">MIN(G242*(1+G$8),MAX(S243,$B$11-SUM(X243:AB243)-SUM(T243:W243)))</f>
        <v>0</v>
      </c>
      <c r="AD243" s="27" t="n">
        <f aca="false">MIN(H242*(1+H$8),MAX(T243,$B$11-SUM(X243:AC243)-SUM(U243:W243)))</f>
        <v>0</v>
      </c>
      <c r="AE243" s="27" t="n">
        <f aca="false">MIN(I242*(1+I$8),MAX(U243,$B$11-SUM(X243:AD243)-SUM(V243:W243)))</f>
        <v>0</v>
      </c>
      <c r="AF243" s="27" t="n">
        <f aca="false">MIN(J242*(1+J$8),MAX(V243,$B$11-SUM(X243:AE243)-SUM(W243:W243)))</f>
        <v>0</v>
      </c>
      <c r="AG243" s="27" t="n">
        <f aca="false">MIN(K242*(1+K$8),MAX(W243,$B$11-SUM(X243:AF243)))</f>
        <v>0</v>
      </c>
      <c r="AI243" s="27" t="n">
        <f aca="false">ROUND(MAX(0,AI242*(1+B$8)-BE243),2)</f>
        <v>0</v>
      </c>
      <c r="AJ243" s="27" t="n">
        <f aca="false">ROUND(MAX(0,AJ242*(1+C$8)-BF243),2)</f>
        <v>0</v>
      </c>
      <c r="AK243" s="27" t="n">
        <f aca="false">ROUND(MAX(0,AK242*(1+D$8)-BG243),2)</f>
        <v>0</v>
      </c>
      <c r="AL243" s="27" t="n">
        <f aca="false">ROUND(MAX(0,AL242*(1+E$8)-BH243),2)</f>
        <v>0</v>
      </c>
      <c r="AM243" s="27" t="n">
        <f aca="false">ROUND(MAX(0,AM242*(1+F$8)-BI243),2)</f>
        <v>0</v>
      </c>
      <c r="AN243" s="27" t="n">
        <f aca="false">ROUND(MAX(0,AN242*(1+G$8)-BJ243),2)</f>
        <v>0</v>
      </c>
      <c r="AO243" s="27" t="n">
        <f aca="false">ROUND(MAX(0,AO242*(1+H$8)-BK243),2)</f>
        <v>0</v>
      </c>
      <c r="AP243" s="27" t="n">
        <f aca="false">ROUND(MAX(0,AP242*(1+I$8)-BL243),2)</f>
        <v>0</v>
      </c>
      <c r="AQ243" s="27" t="n">
        <f aca="false">ROUND(MAX(0,AQ242*(1+J$8)-BM243),2)</f>
        <v>0</v>
      </c>
      <c r="AR243" s="27" t="n">
        <f aca="false">ROUND(MAX(0,AR242*(1+K$8)-BN243),2)</f>
        <v>0</v>
      </c>
      <c r="AS243" s="27" t="n">
        <f aca="false">SUM(AI243:AR243)</f>
        <v>0</v>
      </c>
      <c r="AT243" s="27" t="n">
        <f aca="false">SUMPRODUCT(AI242:AR242,$B$8:$K$8)</f>
        <v>0</v>
      </c>
      <c r="AU243" s="27" t="n">
        <f aca="false">MIN(AI242*(1+B$8),B$9)</f>
        <v>0</v>
      </c>
      <c r="AV243" s="27" t="n">
        <f aca="false">MIN(AJ242*(1+C$8),C$9)</f>
        <v>0</v>
      </c>
      <c r="AW243" s="27" t="n">
        <f aca="false">MIN(AK242*(1+D$8),D$9)</f>
        <v>0</v>
      </c>
      <c r="AX243" s="27" t="n">
        <f aca="false">MIN(AL242*(1+E$8),E$9)</f>
        <v>0</v>
      </c>
      <c r="AY243" s="27" t="n">
        <f aca="false">MIN(AM242*(1+F$8),F$9)</f>
        <v>0</v>
      </c>
      <c r="AZ243" s="27" t="n">
        <f aca="false">MIN(AN242*(1+G$8),G$9)</f>
        <v>0</v>
      </c>
      <c r="BA243" s="27" t="n">
        <f aca="false">MIN(AO242*(1+H$8),H$9)</f>
        <v>0</v>
      </c>
      <c r="BB243" s="27" t="n">
        <f aca="false">MIN(AP242*(1+I$8),I$9)</f>
        <v>0</v>
      </c>
      <c r="BC243" s="27" t="n">
        <f aca="false">MIN(AQ242*(1+J$8),J$9)</f>
        <v>0</v>
      </c>
      <c r="BD243" s="27" t="n">
        <f aca="false">MIN(AR242*(1+K$8),K$9)</f>
        <v>0</v>
      </c>
      <c r="BE243" s="27" t="n">
        <f aca="false">MIN(AI242*(1+B$8),MAX(AU243,$B$12-SUM(AV243:BD243)))</f>
        <v>0</v>
      </c>
      <c r="BF243" s="27" t="n">
        <f aca="false">MIN(AJ242*(1+C$8),MAX(AV243,$B$12-SUM(BE243:BE243)-SUM(AW243:BD243)))</f>
        <v>0</v>
      </c>
      <c r="BG243" s="27" t="n">
        <f aca="false">MIN(AK242*(1+D$8),MAX(AW243,$B$12-SUM(BE243:BF243)-SUM(AX243:BD243)))</f>
        <v>0</v>
      </c>
      <c r="BH243" s="27" t="n">
        <f aca="false">MIN(AL242*(1+E$8),MAX(AX243,$B$12-SUM(BE243:BG243)-SUM(AY243:BD243)))</f>
        <v>0</v>
      </c>
      <c r="BI243" s="27" t="n">
        <f aca="false">MIN(AM242*(1+F$8),MAX(AY243,$B$12-SUM(BE243:BH243)-SUM(AZ243:BD243)))</f>
        <v>0</v>
      </c>
      <c r="BJ243" s="27" t="n">
        <f aca="false">MIN(AN242*(1+G$8),MAX(AZ243,$B$12-SUM(BE243:BI243)-SUM(BA243:BD243)))</f>
        <v>0</v>
      </c>
      <c r="BK243" s="27" t="n">
        <f aca="false">MIN(AO242*(1+H$8),MAX(BA243,$B$12-SUM(BE243:BJ243)-SUM(BB243:BD243)))</f>
        <v>0</v>
      </c>
      <c r="BL243" s="27" t="n">
        <f aca="false">MIN(AP242*(1+I$8),MAX(BB243,$B$12-SUM(BE243:BK243)-SUM(BC243:BD243)))</f>
        <v>0</v>
      </c>
      <c r="BM243" s="27" t="n">
        <f aca="false">MIN(AQ242*(1+J$8),MAX(BC243,$B$12-SUM(BE243:BL243)-SUM(BD243:BD243)))</f>
        <v>0</v>
      </c>
      <c r="BN243" s="27" t="n">
        <f aca="false">MIN(AR242*(1+K$8),MAX(BD243,$B$12-SUM(BE243:BM243)))</f>
        <v>0</v>
      </c>
    </row>
    <row r="244" customFormat="false" ht="15" hidden="false" customHeight="false" outlineLevel="0" collapsed="false">
      <c r="A244" s="0" t="n">
        <v>230</v>
      </c>
      <c r="B244" s="27" t="n">
        <f aca="false">ROUND(MAX(0,B243*(1+B$8)-X244),2)</f>
        <v>0</v>
      </c>
      <c r="C244" s="27" t="n">
        <f aca="false">ROUND(MAX(0,C243*(1+C$8)-Y244),2)</f>
        <v>0</v>
      </c>
      <c r="D244" s="27" t="n">
        <f aca="false">ROUND(MAX(0,D243*(1+D$8)-Z244),2)</f>
        <v>0</v>
      </c>
      <c r="E244" s="27" t="n">
        <f aca="false">ROUND(MAX(0,E243*(1+E$8)-AA244),2)</f>
        <v>0</v>
      </c>
      <c r="F244" s="27" t="n">
        <f aca="false">ROUND(MAX(0,F243*(1+F$8)-AB244),2)</f>
        <v>0</v>
      </c>
      <c r="G244" s="27" t="n">
        <f aca="false">ROUND(MAX(0,G243*(1+G$8)-AC244),2)</f>
        <v>0</v>
      </c>
      <c r="H244" s="27" t="n">
        <f aca="false">ROUND(MAX(0,H243*(1+H$8)-AD244),2)</f>
        <v>0</v>
      </c>
      <c r="I244" s="27" t="n">
        <f aca="false">ROUND(MAX(0,I243*(1+I$8)-AE244),2)</f>
        <v>0</v>
      </c>
      <c r="J244" s="27" t="n">
        <f aca="false">ROUND(MAX(0,J243*(1+J$8)-AF244),2)</f>
        <v>0</v>
      </c>
      <c r="K244" s="27" t="n">
        <f aca="false">ROUND(MAX(0,K243*(1+K$8)-AG244),2)</f>
        <v>0</v>
      </c>
      <c r="L244" s="30" t="n">
        <f aca="false">SUM(B244:K244)</f>
        <v>0</v>
      </c>
      <c r="M244" s="27" t="n">
        <f aca="false">SUMPRODUCT(B243:K243,$B$8:$K$8)</f>
        <v>0</v>
      </c>
      <c r="N244" s="27" t="n">
        <f aca="false">MIN(B243*(1+B$8),B$9)</f>
        <v>0</v>
      </c>
      <c r="O244" s="27" t="n">
        <f aca="false">MIN(C243*(1+C$8),C$9)</f>
        <v>0</v>
      </c>
      <c r="P244" s="27" t="n">
        <f aca="false">MIN(D243*(1+D$8),D$9)</f>
        <v>0</v>
      </c>
      <c r="Q244" s="27" t="n">
        <f aca="false">MIN(E243*(1+E$8),E$9)</f>
        <v>0</v>
      </c>
      <c r="R244" s="27" t="n">
        <f aca="false">MIN(F243*(1+F$8),F$9)</f>
        <v>0</v>
      </c>
      <c r="S244" s="27" t="n">
        <f aca="false">MIN(G243*(1+G$8),G$9)</f>
        <v>0</v>
      </c>
      <c r="T244" s="27" t="n">
        <f aca="false">MIN(H243*(1+H$8),H$9)</f>
        <v>0</v>
      </c>
      <c r="U244" s="27" t="n">
        <f aca="false">MIN(I243*(1+I$8),I$9)</f>
        <v>0</v>
      </c>
      <c r="V244" s="27" t="n">
        <f aca="false">MIN(J243*(1+J$8),J$9)</f>
        <v>0</v>
      </c>
      <c r="W244" s="27" t="n">
        <f aca="false">MIN(K243*(1+K$8),K$9)</f>
        <v>0</v>
      </c>
      <c r="X244" s="27" t="n">
        <f aca="false">MIN(B243*(1+B$8),MAX(N244,$B$11-SUM(O244:W244)))</f>
        <v>0</v>
      </c>
      <c r="Y244" s="27" t="n">
        <f aca="false">MIN(C243*(1+C$8),MAX(O244,$B$11-SUM(X244:X244)-SUM(P244:W244)))</f>
        <v>0</v>
      </c>
      <c r="Z244" s="27" t="n">
        <f aca="false">MIN(D243*(1+D$8),MAX(P244,$B$11-SUM(X244:Y244)-SUM(Q244:W244)))</f>
        <v>0</v>
      </c>
      <c r="AA244" s="27" t="n">
        <f aca="false">MIN(E243*(1+E$8),MAX(Q244,$B$11-SUM(X244:Z244)-SUM(R244:W244)))</f>
        <v>0</v>
      </c>
      <c r="AB244" s="27" t="n">
        <f aca="false">MIN(F243*(1+F$8),MAX(R244,$B$11-SUM(X244:AA244)-SUM(S244:W244)))</f>
        <v>0</v>
      </c>
      <c r="AC244" s="27" t="n">
        <f aca="false">MIN(G243*(1+G$8),MAX(S244,$B$11-SUM(X244:AB244)-SUM(T244:W244)))</f>
        <v>0</v>
      </c>
      <c r="AD244" s="27" t="n">
        <f aca="false">MIN(H243*(1+H$8),MAX(T244,$B$11-SUM(X244:AC244)-SUM(U244:W244)))</f>
        <v>0</v>
      </c>
      <c r="AE244" s="27" t="n">
        <f aca="false">MIN(I243*(1+I$8),MAX(U244,$B$11-SUM(X244:AD244)-SUM(V244:W244)))</f>
        <v>0</v>
      </c>
      <c r="AF244" s="27" t="n">
        <f aca="false">MIN(J243*(1+J$8),MAX(V244,$B$11-SUM(X244:AE244)-SUM(W244:W244)))</f>
        <v>0</v>
      </c>
      <c r="AG244" s="27" t="n">
        <f aca="false">MIN(K243*(1+K$8),MAX(W244,$B$11-SUM(X244:AF244)))</f>
        <v>0</v>
      </c>
      <c r="AI244" s="27" t="n">
        <f aca="false">ROUND(MAX(0,AI243*(1+B$8)-BE244),2)</f>
        <v>0</v>
      </c>
      <c r="AJ244" s="27" t="n">
        <f aca="false">ROUND(MAX(0,AJ243*(1+C$8)-BF244),2)</f>
        <v>0</v>
      </c>
      <c r="AK244" s="27" t="n">
        <f aca="false">ROUND(MAX(0,AK243*(1+D$8)-BG244),2)</f>
        <v>0</v>
      </c>
      <c r="AL244" s="27" t="n">
        <f aca="false">ROUND(MAX(0,AL243*(1+E$8)-BH244),2)</f>
        <v>0</v>
      </c>
      <c r="AM244" s="27" t="n">
        <f aca="false">ROUND(MAX(0,AM243*(1+F$8)-BI244),2)</f>
        <v>0</v>
      </c>
      <c r="AN244" s="27" t="n">
        <f aca="false">ROUND(MAX(0,AN243*(1+G$8)-BJ244),2)</f>
        <v>0</v>
      </c>
      <c r="AO244" s="27" t="n">
        <f aca="false">ROUND(MAX(0,AO243*(1+H$8)-BK244),2)</f>
        <v>0</v>
      </c>
      <c r="AP244" s="27" t="n">
        <f aca="false">ROUND(MAX(0,AP243*(1+I$8)-BL244),2)</f>
        <v>0</v>
      </c>
      <c r="AQ244" s="27" t="n">
        <f aca="false">ROUND(MAX(0,AQ243*(1+J$8)-BM244),2)</f>
        <v>0</v>
      </c>
      <c r="AR244" s="27" t="n">
        <f aca="false">ROUND(MAX(0,AR243*(1+K$8)-BN244),2)</f>
        <v>0</v>
      </c>
      <c r="AS244" s="27" t="n">
        <f aca="false">SUM(AI244:AR244)</f>
        <v>0</v>
      </c>
      <c r="AT244" s="27" t="n">
        <f aca="false">SUMPRODUCT(AI243:AR243,$B$8:$K$8)</f>
        <v>0</v>
      </c>
      <c r="AU244" s="27" t="n">
        <f aca="false">MIN(AI243*(1+B$8),B$9)</f>
        <v>0</v>
      </c>
      <c r="AV244" s="27" t="n">
        <f aca="false">MIN(AJ243*(1+C$8),C$9)</f>
        <v>0</v>
      </c>
      <c r="AW244" s="27" t="n">
        <f aca="false">MIN(AK243*(1+D$8),D$9)</f>
        <v>0</v>
      </c>
      <c r="AX244" s="27" t="n">
        <f aca="false">MIN(AL243*(1+E$8),E$9)</f>
        <v>0</v>
      </c>
      <c r="AY244" s="27" t="n">
        <f aca="false">MIN(AM243*(1+F$8),F$9)</f>
        <v>0</v>
      </c>
      <c r="AZ244" s="27" t="n">
        <f aca="false">MIN(AN243*(1+G$8),G$9)</f>
        <v>0</v>
      </c>
      <c r="BA244" s="27" t="n">
        <f aca="false">MIN(AO243*(1+H$8),H$9)</f>
        <v>0</v>
      </c>
      <c r="BB244" s="27" t="n">
        <f aca="false">MIN(AP243*(1+I$8),I$9)</f>
        <v>0</v>
      </c>
      <c r="BC244" s="27" t="n">
        <f aca="false">MIN(AQ243*(1+J$8),J$9)</f>
        <v>0</v>
      </c>
      <c r="BD244" s="27" t="n">
        <f aca="false">MIN(AR243*(1+K$8),K$9)</f>
        <v>0</v>
      </c>
      <c r="BE244" s="27" t="n">
        <f aca="false">MIN(AI243*(1+B$8),MAX(AU244,$B$12-SUM(AV244:BD244)))</f>
        <v>0</v>
      </c>
      <c r="BF244" s="27" t="n">
        <f aca="false">MIN(AJ243*(1+C$8),MAX(AV244,$B$12-SUM(BE244:BE244)-SUM(AW244:BD244)))</f>
        <v>0</v>
      </c>
      <c r="BG244" s="27" t="n">
        <f aca="false">MIN(AK243*(1+D$8),MAX(AW244,$B$12-SUM(BE244:BF244)-SUM(AX244:BD244)))</f>
        <v>0</v>
      </c>
      <c r="BH244" s="27" t="n">
        <f aca="false">MIN(AL243*(1+E$8),MAX(AX244,$B$12-SUM(BE244:BG244)-SUM(AY244:BD244)))</f>
        <v>0</v>
      </c>
      <c r="BI244" s="27" t="n">
        <f aca="false">MIN(AM243*(1+F$8),MAX(AY244,$B$12-SUM(BE244:BH244)-SUM(AZ244:BD244)))</f>
        <v>0</v>
      </c>
      <c r="BJ244" s="27" t="n">
        <f aca="false">MIN(AN243*(1+G$8),MAX(AZ244,$B$12-SUM(BE244:BI244)-SUM(BA244:BD244)))</f>
        <v>0</v>
      </c>
      <c r="BK244" s="27" t="n">
        <f aca="false">MIN(AO243*(1+H$8),MAX(BA244,$B$12-SUM(BE244:BJ244)-SUM(BB244:BD244)))</f>
        <v>0</v>
      </c>
      <c r="BL244" s="27" t="n">
        <f aca="false">MIN(AP243*(1+I$8),MAX(BB244,$B$12-SUM(BE244:BK244)-SUM(BC244:BD244)))</f>
        <v>0</v>
      </c>
      <c r="BM244" s="27" t="n">
        <f aca="false">MIN(AQ243*(1+J$8),MAX(BC244,$B$12-SUM(BE244:BL244)-SUM(BD244:BD244)))</f>
        <v>0</v>
      </c>
      <c r="BN244" s="27" t="n">
        <f aca="false">MIN(AR243*(1+K$8),MAX(BD244,$B$12-SUM(BE244:BM244)))</f>
        <v>0</v>
      </c>
    </row>
    <row r="245" customFormat="false" ht="15" hidden="false" customHeight="false" outlineLevel="0" collapsed="false">
      <c r="A245" s="0" t="n">
        <v>231</v>
      </c>
      <c r="B245" s="27" t="n">
        <f aca="false">ROUND(MAX(0,B244*(1+B$8)-X245),2)</f>
        <v>0</v>
      </c>
      <c r="C245" s="27" t="n">
        <f aca="false">ROUND(MAX(0,C244*(1+C$8)-Y245),2)</f>
        <v>0</v>
      </c>
      <c r="D245" s="27" t="n">
        <f aca="false">ROUND(MAX(0,D244*(1+D$8)-Z245),2)</f>
        <v>0</v>
      </c>
      <c r="E245" s="27" t="n">
        <f aca="false">ROUND(MAX(0,E244*(1+E$8)-AA245),2)</f>
        <v>0</v>
      </c>
      <c r="F245" s="27" t="n">
        <f aca="false">ROUND(MAX(0,F244*(1+F$8)-AB245),2)</f>
        <v>0</v>
      </c>
      <c r="G245" s="27" t="n">
        <f aca="false">ROUND(MAX(0,G244*(1+G$8)-AC245),2)</f>
        <v>0</v>
      </c>
      <c r="H245" s="27" t="n">
        <f aca="false">ROUND(MAX(0,H244*(1+H$8)-AD245),2)</f>
        <v>0</v>
      </c>
      <c r="I245" s="27" t="n">
        <f aca="false">ROUND(MAX(0,I244*(1+I$8)-AE245),2)</f>
        <v>0</v>
      </c>
      <c r="J245" s="27" t="n">
        <f aca="false">ROUND(MAX(0,J244*(1+J$8)-AF245),2)</f>
        <v>0</v>
      </c>
      <c r="K245" s="27" t="n">
        <f aca="false">ROUND(MAX(0,K244*(1+K$8)-AG245),2)</f>
        <v>0</v>
      </c>
      <c r="L245" s="30" t="n">
        <f aca="false">SUM(B245:K245)</f>
        <v>0</v>
      </c>
      <c r="M245" s="27" t="n">
        <f aca="false">SUMPRODUCT(B244:K244,$B$8:$K$8)</f>
        <v>0</v>
      </c>
      <c r="N245" s="27" t="n">
        <f aca="false">MIN(B244*(1+B$8),B$9)</f>
        <v>0</v>
      </c>
      <c r="O245" s="27" t="n">
        <f aca="false">MIN(C244*(1+C$8),C$9)</f>
        <v>0</v>
      </c>
      <c r="P245" s="27" t="n">
        <f aca="false">MIN(D244*(1+D$8),D$9)</f>
        <v>0</v>
      </c>
      <c r="Q245" s="27" t="n">
        <f aca="false">MIN(E244*(1+E$8),E$9)</f>
        <v>0</v>
      </c>
      <c r="R245" s="27" t="n">
        <f aca="false">MIN(F244*(1+F$8),F$9)</f>
        <v>0</v>
      </c>
      <c r="S245" s="27" t="n">
        <f aca="false">MIN(G244*(1+G$8),G$9)</f>
        <v>0</v>
      </c>
      <c r="T245" s="27" t="n">
        <f aca="false">MIN(H244*(1+H$8),H$9)</f>
        <v>0</v>
      </c>
      <c r="U245" s="27" t="n">
        <f aca="false">MIN(I244*(1+I$8),I$9)</f>
        <v>0</v>
      </c>
      <c r="V245" s="27" t="n">
        <f aca="false">MIN(J244*(1+J$8),J$9)</f>
        <v>0</v>
      </c>
      <c r="W245" s="27" t="n">
        <f aca="false">MIN(K244*(1+K$8),K$9)</f>
        <v>0</v>
      </c>
      <c r="X245" s="27" t="n">
        <f aca="false">MIN(B244*(1+B$8),MAX(N245,$B$11-SUM(O245:W245)))</f>
        <v>0</v>
      </c>
      <c r="Y245" s="27" t="n">
        <f aca="false">MIN(C244*(1+C$8),MAX(O245,$B$11-SUM(X245:X245)-SUM(P245:W245)))</f>
        <v>0</v>
      </c>
      <c r="Z245" s="27" t="n">
        <f aca="false">MIN(D244*(1+D$8),MAX(P245,$B$11-SUM(X245:Y245)-SUM(Q245:W245)))</f>
        <v>0</v>
      </c>
      <c r="AA245" s="27" t="n">
        <f aca="false">MIN(E244*(1+E$8),MAX(Q245,$B$11-SUM(X245:Z245)-SUM(R245:W245)))</f>
        <v>0</v>
      </c>
      <c r="AB245" s="27" t="n">
        <f aca="false">MIN(F244*(1+F$8),MAX(R245,$B$11-SUM(X245:AA245)-SUM(S245:W245)))</f>
        <v>0</v>
      </c>
      <c r="AC245" s="27" t="n">
        <f aca="false">MIN(G244*(1+G$8),MAX(S245,$B$11-SUM(X245:AB245)-SUM(T245:W245)))</f>
        <v>0</v>
      </c>
      <c r="AD245" s="27" t="n">
        <f aca="false">MIN(H244*(1+H$8),MAX(T245,$B$11-SUM(X245:AC245)-SUM(U245:W245)))</f>
        <v>0</v>
      </c>
      <c r="AE245" s="27" t="n">
        <f aca="false">MIN(I244*(1+I$8),MAX(U245,$B$11-SUM(X245:AD245)-SUM(V245:W245)))</f>
        <v>0</v>
      </c>
      <c r="AF245" s="27" t="n">
        <f aca="false">MIN(J244*(1+J$8),MAX(V245,$B$11-SUM(X245:AE245)-SUM(W245:W245)))</f>
        <v>0</v>
      </c>
      <c r="AG245" s="27" t="n">
        <f aca="false">MIN(K244*(1+K$8),MAX(W245,$B$11-SUM(X245:AF245)))</f>
        <v>0</v>
      </c>
      <c r="AI245" s="27" t="n">
        <f aca="false">ROUND(MAX(0,AI244*(1+B$8)-BE245),2)</f>
        <v>0</v>
      </c>
      <c r="AJ245" s="27" t="n">
        <f aca="false">ROUND(MAX(0,AJ244*(1+C$8)-BF245),2)</f>
        <v>0</v>
      </c>
      <c r="AK245" s="27" t="n">
        <f aca="false">ROUND(MAX(0,AK244*(1+D$8)-BG245),2)</f>
        <v>0</v>
      </c>
      <c r="AL245" s="27" t="n">
        <f aca="false">ROUND(MAX(0,AL244*(1+E$8)-BH245),2)</f>
        <v>0</v>
      </c>
      <c r="AM245" s="27" t="n">
        <f aca="false">ROUND(MAX(0,AM244*(1+F$8)-BI245),2)</f>
        <v>0</v>
      </c>
      <c r="AN245" s="27" t="n">
        <f aca="false">ROUND(MAX(0,AN244*(1+G$8)-BJ245),2)</f>
        <v>0</v>
      </c>
      <c r="AO245" s="27" t="n">
        <f aca="false">ROUND(MAX(0,AO244*(1+H$8)-BK245),2)</f>
        <v>0</v>
      </c>
      <c r="AP245" s="27" t="n">
        <f aca="false">ROUND(MAX(0,AP244*(1+I$8)-BL245),2)</f>
        <v>0</v>
      </c>
      <c r="AQ245" s="27" t="n">
        <f aca="false">ROUND(MAX(0,AQ244*(1+J$8)-BM245),2)</f>
        <v>0</v>
      </c>
      <c r="AR245" s="27" t="n">
        <f aca="false">ROUND(MAX(0,AR244*(1+K$8)-BN245),2)</f>
        <v>0</v>
      </c>
      <c r="AS245" s="27" t="n">
        <f aca="false">SUM(AI245:AR245)</f>
        <v>0</v>
      </c>
      <c r="AT245" s="27" t="n">
        <f aca="false">SUMPRODUCT(AI244:AR244,$B$8:$K$8)</f>
        <v>0</v>
      </c>
      <c r="AU245" s="27" t="n">
        <f aca="false">MIN(AI244*(1+B$8),B$9)</f>
        <v>0</v>
      </c>
      <c r="AV245" s="27" t="n">
        <f aca="false">MIN(AJ244*(1+C$8),C$9)</f>
        <v>0</v>
      </c>
      <c r="AW245" s="27" t="n">
        <f aca="false">MIN(AK244*(1+D$8),D$9)</f>
        <v>0</v>
      </c>
      <c r="AX245" s="27" t="n">
        <f aca="false">MIN(AL244*(1+E$8),E$9)</f>
        <v>0</v>
      </c>
      <c r="AY245" s="27" t="n">
        <f aca="false">MIN(AM244*(1+F$8),F$9)</f>
        <v>0</v>
      </c>
      <c r="AZ245" s="27" t="n">
        <f aca="false">MIN(AN244*(1+G$8),G$9)</f>
        <v>0</v>
      </c>
      <c r="BA245" s="27" t="n">
        <f aca="false">MIN(AO244*(1+H$8),H$9)</f>
        <v>0</v>
      </c>
      <c r="BB245" s="27" t="n">
        <f aca="false">MIN(AP244*(1+I$8),I$9)</f>
        <v>0</v>
      </c>
      <c r="BC245" s="27" t="n">
        <f aca="false">MIN(AQ244*(1+J$8),J$9)</f>
        <v>0</v>
      </c>
      <c r="BD245" s="27" t="n">
        <f aca="false">MIN(AR244*(1+K$8),K$9)</f>
        <v>0</v>
      </c>
      <c r="BE245" s="27" t="n">
        <f aca="false">MIN(AI244*(1+B$8),MAX(AU245,$B$12-SUM(AV245:BD245)))</f>
        <v>0</v>
      </c>
      <c r="BF245" s="27" t="n">
        <f aca="false">MIN(AJ244*(1+C$8),MAX(AV245,$B$12-SUM(BE245:BE245)-SUM(AW245:BD245)))</f>
        <v>0</v>
      </c>
      <c r="BG245" s="27" t="n">
        <f aca="false">MIN(AK244*(1+D$8),MAX(AW245,$B$12-SUM(BE245:BF245)-SUM(AX245:BD245)))</f>
        <v>0</v>
      </c>
      <c r="BH245" s="27" t="n">
        <f aca="false">MIN(AL244*(1+E$8),MAX(AX245,$B$12-SUM(BE245:BG245)-SUM(AY245:BD245)))</f>
        <v>0</v>
      </c>
      <c r="BI245" s="27" t="n">
        <f aca="false">MIN(AM244*(1+F$8),MAX(AY245,$B$12-SUM(BE245:BH245)-SUM(AZ245:BD245)))</f>
        <v>0</v>
      </c>
      <c r="BJ245" s="27" t="n">
        <f aca="false">MIN(AN244*(1+G$8),MAX(AZ245,$B$12-SUM(BE245:BI245)-SUM(BA245:BD245)))</f>
        <v>0</v>
      </c>
      <c r="BK245" s="27" t="n">
        <f aca="false">MIN(AO244*(1+H$8),MAX(BA245,$B$12-SUM(BE245:BJ245)-SUM(BB245:BD245)))</f>
        <v>0</v>
      </c>
      <c r="BL245" s="27" t="n">
        <f aca="false">MIN(AP244*(1+I$8),MAX(BB245,$B$12-SUM(BE245:BK245)-SUM(BC245:BD245)))</f>
        <v>0</v>
      </c>
      <c r="BM245" s="27" t="n">
        <f aca="false">MIN(AQ244*(1+J$8),MAX(BC245,$B$12-SUM(BE245:BL245)-SUM(BD245:BD245)))</f>
        <v>0</v>
      </c>
      <c r="BN245" s="27" t="n">
        <f aca="false">MIN(AR244*(1+K$8),MAX(BD245,$B$12-SUM(BE245:BM245)))</f>
        <v>0</v>
      </c>
    </row>
    <row r="246" customFormat="false" ht="15" hidden="false" customHeight="false" outlineLevel="0" collapsed="false">
      <c r="A246" s="0" t="n">
        <v>232</v>
      </c>
      <c r="B246" s="27" t="n">
        <f aca="false">ROUND(MAX(0,B245*(1+B$8)-X246),2)</f>
        <v>0</v>
      </c>
      <c r="C246" s="27" t="n">
        <f aca="false">ROUND(MAX(0,C245*(1+C$8)-Y246),2)</f>
        <v>0</v>
      </c>
      <c r="D246" s="27" t="n">
        <f aca="false">ROUND(MAX(0,D245*(1+D$8)-Z246),2)</f>
        <v>0</v>
      </c>
      <c r="E246" s="27" t="n">
        <f aca="false">ROUND(MAX(0,E245*(1+E$8)-AA246),2)</f>
        <v>0</v>
      </c>
      <c r="F246" s="27" t="n">
        <f aca="false">ROUND(MAX(0,F245*(1+F$8)-AB246),2)</f>
        <v>0</v>
      </c>
      <c r="G246" s="27" t="n">
        <f aca="false">ROUND(MAX(0,G245*(1+G$8)-AC246),2)</f>
        <v>0</v>
      </c>
      <c r="H246" s="27" t="n">
        <f aca="false">ROUND(MAX(0,H245*(1+H$8)-AD246),2)</f>
        <v>0</v>
      </c>
      <c r="I246" s="27" t="n">
        <f aca="false">ROUND(MAX(0,I245*(1+I$8)-AE246),2)</f>
        <v>0</v>
      </c>
      <c r="J246" s="27" t="n">
        <f aca="false">ROUND(MAX(0,J245*(1+J$8)-AF246),2)</f>
        <v>0</v>
      </c>
      <c r="K246" s="27" t="n">
        <f aca="false">ROUND(MAX(0,K245*(1+K$8)-AG246),2)</f>
        <v>0</v>
      </c>
      <c r="L246" s="30" t="n">
        <f aca="false">SUM(B246:K246)</f>
        <v>0</v>
      </c>
      <c r="M246" s="27" t="n">
        <f aca="false">SUMPRODUCT(B245:K245,$B$8:$K$8)</f>
        <v>0</v>
      </c>
      <c r="N246" s="27" t="n">
        <f aca="false">MIN(B245*(1+B$8),B$9)</f>
        <v>0</v>
      </c>
      <c r="O246" s="27" t="n">
        <f aca="false">MIN(C245*(1+C$8),C$9)</f>
        <v>0</v>
      </c>
      <c r="P246" s="27" t="n">
        <f aca="false">MIN(D245*(1+D$8),D$9)</f>
        <v>0</v>
      </c>
      <c r="Q246" s="27" t="n">
        <f aca="false">MIN(E245*(1+E$8),E$9)</f>
        <v>0</v>
      </c>
      <c r="R246" s="27" t="n">
        <f aca="false">MIN(F245*(1+F$8),F$9)</f>
        <v>0</v>
      </c>
      <c r="S246" s="27" t="n">
        <f aca="false">MIN(G245*(1+G$8),G$9)</f>
        <v>0</v>
      </c>
      <c r="T246" s="27" t="n">
        <f aca="false">MIN(H245*(1+H$8),H$9)</f>
        <v>0</v>
      </c>
      <c r="U246" s="27" t="n">
        <f aca="false">MIN(I245*(1+I$8),I$9)</f>
        <v>0</v>
      </c>
      <c r="V246" s="27" t="n">
        <f aca="false">MIN(J245*(1+J$8),J$9)</f>
        <v>0</v>
      </c>
      <c r="W246" s="27" t="n">
        <f aca="false">MIN(K245*(1+K$8),K$9)</f>
        <v>0</v>
      </c>
      <c r="X246" s="27" t="n">
        <f aca="false">MIN(B245*(1+B$8),MAX(N246,$B$11-SUM(O246:W246)))</f>
        <v>0</v>
      </c>
      <c r="Y246" s="27" t="n">
        <f aca="false">MIN(C245*(1+C$8),MAX(O246,$B$11-SUM(X246:X246)-SUM(P246:W246)))</f>
        <v>0</v>
      </c>
      <c r="Z246" s="27" t="n">
        <f aca="false">MIN(D245*(1+D$8),MAX(P246,$B$11-SUM(X246:Y246)-SUM(Q246:W246)))</f>
        <v>0</v>
      </c>
      <c r="AA246" s="27" t="n">
        <f aca="false">MIN(E245*(1+E$8),MAX(Q246,$B$11-SUM(X246:Z246)-SUM(R246:W246)))</f>
        <v>0</v>
      </c>
      <c r="AB246" s="27" t="n">
        <f aca="false">MIN(F245*(1+F$8),MAX(R246,$B$11-SUM(X246:AA246)-SUM(S246:W246)))</f>
        <v>0</v>
      </c>
      <c r="AC246" s="27" t="n">
        <f aca="false">MIN(G245*(1+G$8),MAX(S246,$B$11-SUM(X246:AB246)-SUM(T246:W246)))</f>
        <v>0</v>
      </c>
      <c r="AD246" s="27" t="n">
        <f aca="false">MIN(H245*(1+H$8),MAX(T246,$B$11-SUM(X246:AC246)-SUM(U246:W246)))</f>
        <v>0</v>
      </c>
      <c r="AE246" s="27" t="n">
        <f aca="false">MIN(I245*(1+I$8),MAX(U246,$B$11-SUM(X246:AD246)-SUM(V246:W246)))</f>
        <v>0</v>
      </c>
      <c r="AF246" s="27" t="n">
        <f aca="false">MIN(J245*(1+J$8),MAX(V246,$B$11-SUM(X246:AE246)-SUM(W246:W246)))</f>
        <v>0</v>
      </c>
      <c r="AG246" s="27" t="n">
        <f aca="false">MIN(K245*(1+K$8),MAX(W246,$B$11-SUM(X246:AF246)))</f>
        <v>0</v>
      </c>
      <c r="AI246" s="27" t="n">
        <f aca="false">ROUND(MAX(0,AI245*(1+B$8)-BE246),2)</f>
        <v>0</v>
      </c>
      <c r="AJ246" s="27" t="n">
        <f aca="false">ROUND(MAX(0,AJ245*(1+C$8)-BF246),2)</f>
        <v>0</v>
      </c>
      <c r="AK246" s="27" t="n">
        <f aca="false">ROUND(MAX(0,AK245*(1+D$8)-BG246),2)</f>
        <v>0</v>
      </c>
      <c r="AL246" s="27" t="n">
        <f aca="false">ROUND(MAX(0,AL245*(1+E$8)-BH246),2)</f>
        <v>0</v>
      </c>
      <c r="AM246" s="27" t="n">
        <f aca="false">ROUND(MAX(0,AM245*(1+F$8)-BI246),2)</f>
        <v>0</v>
      </c>
      <c r="AN246" s="27" t="n">
        <f aca="false">ROUND(MAX(0,AN245*(1+G$8)-BJ246),2)</f>
        <v>0</v>
      </c>
      <c r="AO246" s="27" t="n">
        <f aca="false">ROUND(MAX(0,AO245*(1+H$8)-BK246),2)</f>
        <v>0</v>
      </c>
      <c r="AP246" s="27" t="n">
        <f aca="false">ROUND(MAX(0,AP245*(1+I$8)-BL246),2)</f>
        <v>0</v>
      </c>
      <c r="AQ246" s="27" t="n">
        <f aca="false">ROUND(MAX(0,AQ245*(1+J$8)-BM246),2)</f>
        <v>0</v>
      </c>
      <c r="AR246" s="27" t="n">
        <f aca="false">ROUND(MAX(0,AR245*(1+K$8)-BN246),2)</f>
        <v>0</v>
      </c>
      <c r="AS246" s="27" t="n">
        <f aca="false">SUM(AI246:AR246)</f>
        <v>0</v>
      </c>
      <c r="AT246" s="27" t="n">
        <f aca="false">SUMPRODUCT(AI245:AR245,$B$8:$K$8)</f>
        <v>0</v>
      </c>
      <c r="AU246" s="27" t="n">
        <f aca="false">MIN(AI245*(1+B$8),B$9)</f>
        <v>0</v>
      </c>
      <c r="AV246" s="27" t="n">
        <f aca="false">MIN(AJ245*(1+C$8),C$9)</f>
        <v>0</v>
      </c>
      <c r="AW246" s="27" t="n">
        <f aca="false">MIN(AK245*(1+D$8),D$9)</f>
        <v>0</v>
      </c>
      <c r="AX246" s="27" t="n">
        <f aca="false">MIN(AL245*(1+E$8),E$9)</f>
        <v>0</v>
      </c>
      <c r="AY246" s="27" t="n">
        <f aca="false">MIN(AM245*(1+F$8),F$9)</f>
        <v>0</v>
      </c>
      <c r="AZ246" s="27" t="n">
        <f aca="false">MIN(AN245*(1+G$8),G$9)</f>
        <v>0</v>
      </c>
      <c r="BA246" s="27" t="n">
        <f aca="false">MIN(AO245*(1+H$8),H$9)</f>
        <v>0</v>
      </c>
      <c r="BB246" s="27" t="n">
        <f aca="false">MIN(AP245*(1+I$8),I$9)</f>
        <v>0</v>
      </c>
      <c r="BC246" s="27" t="n">
        <f aca="false">MIN(AQ245*(1+J$8),J$9)</f>
        <v>0</v>
      </c>
      <c r="BD246" s="27" t="n">
        <f aca="false">MIN(AR245*(1+K$8),K$9)</f>
        <v>0</v>
      </c>
      <c r="BE246" s="27" t="n">
        <f aca="false">MIN(AI245*(1+B$8),MAX(AU246,$B$12-SUM(AV246:BD246)))</f>
        <v>0</v>
      </c>
      <c r="BF246" s="27" t="n">
        <f aca="false">MIN(AJ245*(1+C$8),MAX(AV246,$B$12-SUM(BE246:BE246)-SUM(AW246:BD246)))</f>
        <v>0</v>
      </c>
      <c r="BG246" s="27" t="n">
        <f aca="false">MIN(AK245*(1+D$8),MAX(AW246,$B$12-SUM(BE246:BF246)-SUM(AX246:BD246)))</f>
        <v>0</v>
      </c>
      <c r="BH246" s="27" t="n">
        <f aca="false">MIN(AL245*(1+E$8),MAX(AX246,$B$12-SUM(BE246:BG246)-SUM(AY246:BD246)))</f>
        <v>0</v>
      </c>
      <c r="BI246" s="27" t="n">
        <f aca="false">MIN(AM245*(1+F$8),MAX(AY246,$B$12-SUM(BE246:BH246)-SUM(AZ246:BD246)))</f>
        <v>0</v>
      </c>
      <c r="BJ246" s="27" t="n">
        <f aca="false">MIN(AN245*(1+G$8),MAX(AZ246,$B$12-SUM(BE246:BI246)-SUM(BA246:BD246)))</f>
        <v>0</v>
      </c>
      <c r="BK246" s="27" t="n">
        <f aca="false">MIN(AO245*(1+H$8),MAX(BA246,$B$12-SUM(BE246:BJ246)-SUM(BB246:BD246)))</f>
        <v>0</v>
      </c>
      <c r="BL246" s="27" t="n">
        <f aca="false">MIN(AP245*(1+I$8),MAX(BB246,$B$12-SUM(BE246:BK246)-SUM(BC246:BD246)))</f>
        <v>0</v>
      </c>
      <c r="BM246" s="27" t="n">
        <f aca="false">MIN(AQ245*(1+J$8),MAX(BC246,$B$12-SUM(BE246:BL246)-SUM(BD246:BD246)))</f>
        <v>0</v>
      </c>
      <c r="BN246" s="27" t="n">
        <f aca="false">MIN(AR245*(1+K$8),MAX(BD246,$B$12-SUM(BE246:BM246)))</f>
        <v>0</v>
      </c>
    </row>
    <row r="247" customFormat="false" ht="15" hidden="false" customHeight="false" outlineLevel="0" collapsed="false">
      <c r="A247" s="0" t="n">
        <v>233</v>
      </c>
      <c r="B247" s="27" t="n">
        <f aca="false">ROUND(MAX(0,B246*(1+B$8)-X247),2)</f>
        <v>0</v>
      </c>
      <c r="C247" s="27" t="n">
        <f aca="false">ROUND(MAX(0,C246*(1+C$8)-Y247),2)</f>
        <v>0</v>
      </c>
      <c r="D247" s="27" t="n">
        <f aca="false">ROUND(MAX(0,D246*(1+D$8)-Z247),2)</f>
        <v>0</v>
      </c>
      <c r="E247" s="27" t="n">
        <f aca="false">ROUND(MAX(0,E246*(1+E$8)-AA247),2)</f>
        <v>0</v>
      </c>
      <c r="F247" s="27" t="n">
        <f aca="false">ROUND(MAX(0,F246*(1+F$8)-AB247),2)</f>
        <v>0</v>
      </c>
      <c r="G247" s="27" t="n">
        <f aca="false">ROUND(MAX(0,G246*(1+G$8)-AC247),2)</f>
        <v>0</v>
      </c>
      <c r="H247" s="27" t="n">
        <f aca="false">ROUND(MAX(0,H246*(1+H$8)-AD247),2)</f>
        <v>0</v>
      </c>
      <c r="I247" s="27" t="n">
        <f aca="false">ROUND(MAX(0,I246*(1+I$8)-AE247),2)</f>
        <v>0</v>
      </c>
      <c r="J247" s="27" t="n">
        <f aca="false">ROUND(MAX(0,J246*(1+J$8)-AF247),2)</f>
        <v>0</v>
      </c>
      <c r="K247" s="27" t="n">
        <f aca="false">ROUND(MAX(0,K246*(1+K$8)-AG247),2)</f>
        <v>0</v>
      </c>
      <c r="L247" s="30" t="n">
        <f aca="false">SUM(B247:K247)</f>
        <v>0</v>
      </c>
      <c r="M247" s="27" t="n">
        <f aca="false">SUMPRODUCT(B246:K246,$B$8:$K$8)</f>
        <v>0</v>
      </c>
      <c r="N247" s="27" t="n">
        <f aca="false">MIN(B246*(1+B$8),B$9)</f>
        <v>0</v>
      </c>
      <c r="O247" s="27" t="n">
        <f aca="false">MIN(C246*(1+C$8),C$9)</f>
        <v>0</v>
      </c>
      <c r="P247" s="27" t="n">
        <f aca="false">MIN(D246*(1+D$8),D$9)</f>
        <v>0</v>
      </c>
      <c r="Q247" s="27" t="n">
        <f aca="false">MIN(E246*(1+E$8),E$9)</f>
        <v>0</v>
      </c>
      <c r="R247" s="27" t="n">
        <f aca="false">MIN(F246*(1+F$8),F$9)</f>
        <v>0</v>
      </c>
      <c r="S247" s="27" t="n">
        <f aca="false">MIN(G246*(1+G$8),G$9)</f>
        <v>0</v>
      </c>
      <c r="T247" s="27" t="n">
        <f aca="false">MIN(H246*(1+H$8),H$9)</f>
        <v>0</v>
      </c>
      <c r="U247" s="27" t="n">
        <f aca="false">MIN(I246*(1+I$8),I$9)</f>
        <v>0</v>
      </c>
      <c r="V247" s="27" t="n">
        <f aca="false">MIN(J246*(1+J$8),J$9)</f>
        <v>0</v>
      </c>
      <c r="W247" s="27" t="n">
        <f aca="false">MIN(K246*(1+K$8),K$9)</f>
        <v>0</v>
      </c>
      <c r="X247" s="27" t="n">
        <f aca="false">MIN(B246*(1+B$8),MAX(N247,$B$11-SUM(O247:W247)))</f>
        <v>0</v>
      </c>
      <c r="Y247" s="27" t="n">
        <f aca="false">MIN(C246*(1+C$8),MAX(O247,$B$11-SUM(X247:X247)-SUM(P247:W247)))</f>
        <v>0</v>
      </c>
      <c r="Z247" s="27" t="n">
        <f aca="false">MIN(D246*(1+D$8),MAX(P247,$B$11-SUM(X247:Y247)-SUM(Q247:W247)))</f>
        <v>0</v>
      </c>
      <c r="AA247" s="27" t="n">
        <f aca="false">MIN(E246*(1+E$8),MAX(Q247,$B$11-SUM(X247:Z247)-SUM(R247:W247)))</f>
        <v>0</v>
      </c>
      <c r="AB247" s="27" t="n">
        <f aca="false">MIN(F246*(1+F$8),MAX(R247,$B$11-SUM(X247:AA247)-SUM(S247:W247)))</f>
        <v>0</v>
      </c>
      <c r="AC247" s="27" t="n">
        <f aca="false">MIN(G246*(1+G$8),MAX(S247,$B$11-SUM(X247:AB247)-SUM(T247:W247)))</f>
        <v>0</v>
      </c>
      <c r="AD247" s="27" t="n">
        <f aca="false">MIN(H246*(1+H$8),MAX(T247,$B$11-SUM(X247:AC247)-SUM(U247:W247)))</f>
        <v>0</v>
      </c>
      <c r="AE247" s="27" t="n">
        <f aca="false">MIN(I246*(1+I$8),MAX(U247,$B$11-SUM(X247:AD247)-SUM(V247:W247)))</f>
        <v>0</v>
      </c>
      <c r="AF247" s="27" t="n">
        <f aca="false">MIN(J246*(1+J$8),MAX(V247,$B$11-SUM(X247:AE247)-SUM(W247:W247)))</f>
        <v>0</v>
      </c>
      <c r="AG247" s="27" t="n">
        <f aca="false">MIN(K246*(1+K$8),MAX(W247,$B$11-SUM(X247:AF247)))</f>
        <v>0</v>
      </c>
      <c r="AI247" s="27" t="n">
        <f aca="false">ROUND(MAX(0,AI246*(1+B$8)-BE247),2)</f>
        <v>0</v>
      </c>
      <c r="AJ247" s="27" t="n">
        <f aca="false">ROUND(MAX(0,AJ246*(1+C$8)-BF247),2)</f>
        <v>0</v>
      </c>
      <c r="AK247" s="27" t="n">
        <f aca="false">ROUND(MAX(0,AK246*(1+D$8)-BG247),2)</f>
        <v>0</v>
      </c>
      <c r="AL247" s="27" t="n">
        <f aca="false">ROUND(MAX(0,AL246*(1+E$8)-BH247),2)</f>
        <v>0</v>
      </c>
      <c r="AM247" s="27" t="n">
        <f aca="false">ROUND(MAX(0,AM246*(1+F$8)-BI247),2)</f>
        <v>0</v>
      </c>
      <c r="AN247" s="27" t="n">
        <f aca="false">ROUND(MAX(0,AN246*(1+G$8)-BJ247),2)</f>
        <v>0</v>
      </c>
      <c r="AO247" s="27" t="n">
        <f aca="false">ROUND(MAX(0,AO246*(1+H$8)-BK247),2)</f>
        <v>0</v>
      </c>
      <c r="AP247" s="27" t="n">
        <f aca="false">ROUND(MAX(0,AP246*(1+I$8)-BL247),2)</f>
        <v>0</v>
      </c>
      <c r="AQ247" s="27" t="n">
        <f aca="false">ROUND(MAX(0,AQ246*(1+J$8)-BM247),2)</f>
        <v>0</v>
      </c>
      <c r="AR247" s="27" t="n">
        <f aca="false">ROUND(MAX(0,AR246*(1+K$8)-BN247),2)</f>
        <v>0</v>
      </c>
      <c r="AS247" s="27" t="n">
        <f aca="false">SUM(AI247:AR247)</f>
        <v>0</v>
      </c>
      <c r="AT247" s="27" t="n">
        <f aca="false">SUMPRODUCT(AI246:AR246,$B$8:$K$8)</f>
        <v>0</v>
      </c>
      <c r="AU247" s="27" t="n">
        <f aca="false">MIN(AI246*(1+B$8),B$9)</f>
        <v>0</v>
      </c>
      <c r="AV247" s="27" t="n">
        <f aca="false">MIN(AJ246*(1+C$8),C$9)</f>
        <v>0</v>
      </c>
      <c r="AW247" s="27" t="n">
        <f aca="false">MIN(AK246*(1+D$8),D$9)</f>
        <v>0</v>
      </c>
      <c r="AX247" s="27" t="n">
        <f aca="false">MIN(AL246*(1+E$8),E$9)</f>
        <v>0</v>
      </c>
      <c r="AY247" s="27" t="n">
        <f aca="false">MIN(AM246*(1+F$8),F$9)</f>
        <v>0</v>
      </c>
      <c r="AZ247" s="27" t="n">
        <f aca="false">MIN(AN246*(1+G$8),G$9)</f>
        <v>0</v>
      </c>
      <c r="BA247" s="27" t="n">
        <f aca="false">MIN(AO246*(1+H$8),H$9)</f>
        <v>0</v>
      </c>
      <c r="BB247" s="27" t="n">
        <f aca="false">MIN(AP246*(1+I$8),I$9)</f>
        <v>0</v>
      </c>
      <c r="BC247" s="27" t="n">
        <f aca="false">MIN(AQ246*(1+J$8),J$9)</f>
        <v>0</v>
      </c>
      <c r="BD247" s="27" t="n">
        <f aca="false">MIN(AR246*(1+K$8),K$9)</f>
        <v>0</v>
      </c>
      <c r="BE247" s="27" t="n">
        <f aca="false">MIN(AI246*(1+B$8),MAX(AU247,$B$12-SUM(AV247:BD247)))</f>
        <v>0</v>
      </c>
      <c r="BF247" s="27" t="n">
        <f aca="false">MIN(AJ246*(1+C$8),MAX(AV247,$B$12-SUM(BE247:BE247)-SUM(AW247:BD247)))</f>
        <v>0</v>
      </c>
      <c r="BG247" s="27" t="n">
        <f aca="false">MIN(AK246*(1+D$8),MAX(AW247,$B$12-SUM(BE247:BF247)-SUM(AX247:BD247)))</f>
        <v>0</v>
      </c>
      <c r="BH247" s="27" t="n">
        <f aca="false">MIN(AL246*(1+E$8),MAX(AX247,$B$12-SUM(BE247:BG247)-SUM(AY247:BD247)))</f>
        <v>0</v>
      </c>
      <c r="BI247" s="27" t="n">
        <f aca="false">MIN(AM246*(1+F$8),MAX(AY247,$B$12-SUM(BE247:BH247)-SUM(AZ247:BD247)))</f>
        <v>0</v>
      </c>
      <c r="BJ247" s="27" t="n">
        <f aca="false">MIN(AN246*(1+G$8),MAX(AZ247,$B$12-SUM(BE247:BI247)-SUM(BA247:BD247)))</f>
        <v>0</v>
      </c>
      <c r="BK247" s="27" t="n">
        <f aca="false">MIN(AO246*(1+H$8),MAX(BA247,$B$12-SUM(BE247:BJ247)-SUM(BB247:BD247)))</f>
        <v>0</v>
      </c>
      <c r="BL247" s="27" t="n">
        <f aca="false">MIN(AP246*(1+I$8),MAX(BB247,$B$12-SUM(BE247:BK247)-SUM(BC247:BD247)))</f>
        <v>0</v>
      </c>
      <c r="BM247" s="27" t="n">
        <f aca="false">MIN(AQ246*(1+J$8),MAX(BC247,$B$12-SUM(BE247:BL247)-SUM(BD247:BD247)))</f>
        <v>0</v>
      </c>
      <c r="BN247" s="27" t="n">
        <f aca="false">MIN(AR246*(1+K$8),MAX(BD247,$B$12-SUM(BE247:BM247)))</f>
        <v>0</v>
      </c>
    </row>
    <row r="248" customFormat="false" ht="15" hidden="false" customHeight="false" outlineLevel="0" collapsed="false">
      <c r="A248" s="0" t="n">
        <v>234</v>
      </c>
      <c r="B248" s="27" t="n">
        <f aca="false">ROUND(MAX(0,B247*(1+B$8)-X248),2)</f>
        <v>0</v>
      </c>
      <c r="C248" s="27" t="n">
        <f aca="false">ROUND(MAX(0,C247*(1+C$8)-Y248),2)</f>
        <v>0</v>
      </c>
      <c r="D248" s="27" t="n">
        <f aca="false">ROUND(MAX(0,D247*(1+D$8)-Z248),2)</f>
        <v>0</v>
      </c>
      <c r="E248" s="27" t="n">
        <f aca="false">ROUND(MAX(0,E247*(1+E$8)-AA248),2)</f>
        <v>0</v>
      </c>
      <c r="F248" s="27" t="n">
        <f aca="false">ROUND(MAX(0,F247*(1+F$8)-AB248),2)</f>
        <v>0</v>
      </c>
      <c r="G248" s="27" t="n">
        <f aca="false">ROUND(MAX(0,G247*(1+G$8)-AC248),2)</f>
        <v>0</v>
      </c>
      <c r="H248" s="27" t="n">
        <f aca="false">ROUND(MAX(0,H247*(1+H$8)-AD248),2)</f>
        <v>0</v>
      </c>
      <c r="I248" s="27" t="n">
        <f aca="false">ROUND(MAX(0,I247*(1+I$8)-AE248),2)</f>
        <v>0</v>
      </c>
      <c r="J248" s="27" t="n">
        <f aca="false">ROUND(MAX(0,J247*(1+J$8)-AF248),2)</f>
        <v>0</v>
      </c>
      <c r="K248" s="27" t="n">
        <f aca="false">ROUND(MAX(0,K247*(1+K$8)-AG248),2)</f>
        <v>0</v>
      </c>
      <c r="L248" s="30" t="n">
        <f aca="false">SUM(B248:K248)</f>
        <v>0</v>
      </c>
      <c r="M248" s="27" t="n">
        <f aca="false">SUMPRODUCT(B247:K247,$B$8:$K$8)</f>
        <v>0</v>
      </c>
      <c r="N248" s="27" t="n">
        <f aca="false">MIN(B247*(1+B$8),B$9)</f>
        <v>0</v>
      </c>
      <c r="O248" s="27" t="n">
        <f aca="false">MIN(C247*(1+C$8),C$9)</f>
        <v>0</v>
      </c>
      <c r="P248" s="27" t="n">
        <f aca="false">MIN(D247*(1+D$8),D$9)</f>
        <v>0</v>
      </c>
      <c r="Q248" s="27" t="n">
        <f aca="false">MIN(E247*(1+E$8),E$9)</f>
        <v>0</v>
      </c>
      <c r="R248" s="27" t="n">
        <f aca="false">MIN(F247*(1+F$8),F$9)</f>
        <v>0</v>
      </c>
      <c r="S248" s="27" t="n">
        <f aca="false">MIN(G247*(1+G$8),G$9)</f>
        <v>0</v>
      </c>
      <c r="T248" s="27" t="n">
        <f aca="false">MIN(H247*(1+H$8),H$9)</f>
        <v>0</v>
      </c>
      <c r="U248" s="27" t="n">
        <f aca="false">MIN(I247*(1+I$8),I$9)</f>
        <v>0</v>
      </c>
      <c r="V248" s="27" t="n">
        <f aca="false">MIN(J247*(1+J$8),J$9)</f>
        <v>0</v>
      </c>
      <c r="W248" s="27" t="n">
        <f aca="false">MIN(K247*(1+K$8),K$9)</f>
        <v>0</v>
      </c>
      <c r="X248" s="27" t="n">
        <f aca="false">MIN(B247*(1+B$8),MAX(N248,$B$11-SUM(O248:W248)))</f>
        <v>0</v>
      </c>
      <c r="Y248" s="27" t="n">
        <f aca="false">MIN(C247*(1+C$8),MAX(O248,$B$11-SUM(X248:X248)-SUM(P248:W248)))</f>
        <v>0</v>
      </c>
      <c r="Z248" s="27" t="n">
        <f aca="false">MIN(D247*(1+D$8),MAX(P248,$B$11-SUM(X248:Y248)-SUM(Q248:W248)))</f>
        <v>0</v>
      </c>
      <c r="AA248" s="27" t="n">
        <f aca="false">MIN(E247*(1+E$8),MAX(Q248,$B$11-SUM(X248:Z248)-SUM(R248:W248)))</f>
        <v>0</v>
      </c>
      <c r="AB248" s="27" t="n">
        <f aca="false">MIN(F247*(1+F$8),MAX(R248,$B$11-SUM(X248:AA248)-SUM(S248:W248)))</f>
        <v>0</v>
      </c>
      <c r="AC248" s="27" t="n">
        <f aca="false">MIN(G247*(1+G$8),MAX(S248,$B$11-SUM(X248:AB248)-SUM(T248:W248)))</f>
        <v>0</v>
      </c>
      <c r="AD248" s="27" t="n">
        <f aca="false">MIN(H247*(1+H$8),MAX(T248,$B$11-SUM(X248:AC248)-SUM(U248:W248)))</f>
        <v>0</v>
      </c>
      <c r="AE248" s="27" t="n">
        <f aca="false">MIN(I247*(1+I$8),MAX(U248,$B$11-SUM(X248:AD248)-SUM(V248:W248)))</f>
        <v>0</v>
      </c>
      <c r="AF248" s="27" t="n">
        <f aca="false">MIN(J247*(1+J$8),MAX(V248,$B$11-SUM(X248:AE248)-SUM(W248:W248)))</f>
        <v>0</v>
      </c>
      <c r="AG248" s="27" t="n">
        <f aca="false">MIN(K247*(1+K$8),MAX(W248,$B$11-SUM(X248:AF248)))</f>
        <v>0</v>
      </c>
      <c r="AI248" s="27" t="n">
        <f aca="false">ROUND(MAX(0,AI247*(1+B$8)-BE248),2)</f>
        <v>0</v>
      </c>
      <c r="AJ248" s="27" t="n">
        <f aca="false">ROUND(MAX(0,AJ247*(1+C$8)-BF248),2)</f>
        <v>0</v>
      </c>
      <c r="AK248" s="27" t="n">
        <f aca="false">ROUND(MAX(0,AK247*(1+D$8)-BG248),2)</f>
        <v>0</v>
      </c>
      <c r="AL248" s="27" t="n">
        <f aca="false">ROUND(MAX(0,AL247*(1+E$8)-BH248),2)</f>
        <v>0</v>
      </c>
      <c r="AM248" s="27" t="n">
        <f aca="false">ROUND(MAX(0,AM247*(1+F$8)-BI248),2)</f>
        <v>0</v>
      </c>
      <c r="AN248" s="27" t="n">
        <f aca="false">ROUND(MAX(0,AN247*(1+G$8)-BJ248),2)</f>
        <v>0</v>
      </c>
      <c r="AO248" s="27" t="n">
        <f aca="false">ROUND(MAX(0,AO247*(1+H$8)-BK248),2)</f>
        <v>0</v>
      </c>
      <c r="AP248" s="27" t="n">
        <f aca="false">ROUND(MAX(0,AP247*(1+I$8)-BL248),2)</f>
        <v>0</v>
      </c>
      <c r="AQ248" s="27" t="n">
        <f aca="false">ROUND(MAX(0,AQ247*(1+J$8)-BM248),2)</f>
        <v>0</v>
      </c>
      <c r="AR248" s="27" t="n">
        <f aca="false">ROUND(MAX(0,AR247*(1+K$8)-BN248),2)</f>
        <v>0</v>
      </c>
      <c r="AS248" s="27" t="n">
        <f aca="false">SUM(AI248:AR248)</f>
        <v>0</v>
      </c>
      <c r="AT248" s="27" t="n">
        <f aca="false">SUMPRODUCT(AI247:AR247,$B$8:$K$8)</f>
        <v>0</v>
      </c>
      <c r="AU248" s="27" t="n">
        <f aca="false">MIN(AI247*(1+B$8),B$9)</f>
        <v>0</v>
      </c>
      <c r="AV248" s="27" t="n">
        <f aca="false">MIN(AJ247*(1+C$8),C$9)</f>
        <v>0</v>
      </c>
      <c r="AW248" s="27" t="n">
        <f aca="false">MIN(AK247*(1+D$8),D$9)</f>
        <v>0</v>
      </c>
      <c r="AX248" s="27" t="n">
        <f aca="false">MIN(AL247*(1+E$8),E$9)</f>
        <v>0</v>
      </c>
      <c r="AY248" s="27" t="n">
        <f aca="false">MIN(AM247*(1+F$8),F$9)</f>
        <v>0</v>
      </c>
      <c r="AZ248" s="27" t="n">
        <f aca="false">MIN(AN247*(1+G$8),G$9)</f>
        <v>0</v>
      </c>
      <c r="BA248" s="27" t="n">
        <f aca="false">MIN(AO247*(1+H$8),H$9)</f>
        <v>0</v>
      </c>
      <c r="BB248" s="27" t="n">
        <f aca="false">MIN(AP247*(1+I$8),I$9)</f>
        <v>0</v>
      </c>
      <c r="BC248" s="27" t="n">
        <f aca="false">MIN(AQ247*(1+J$8),J$9)</f>
        <v>0</v>
      </c>
      <c r="BD248" s="27" t="n">
        <f aca="false">MIN(AR247*(1+K$8),K$9)</f>
        <v>0</v>
      </c>
      <c r="BE248" s="27" t="n">
        <f aca="false">MIN(AI247*(1+B$8),MAX(AU248,$B$12-SUM(AV248:BD248)))</f>
        <v>0</v>
      </c>
      <c r="BF248" s="27" t="n">
        <f aca="false">MIN(AJ247*(1+C$8),MAX(AV248,$B$12-SUM(BE248:BE248)-SUM(AW248:BD248)))</f>
        <v>0</v>
      </c>
      <c r="BG248" s="27" t="n">
        <f aca="false">MIN(AK247*(1+D$8),MAX(AW248,$B$12-SUM(BE248:BF248)-SUM(AX248:BD248)))</f>
        <v>0</v>
      </c>
      <c r="BH248" s="27" t="n">
        <f aca="false">MIN(AL247*(1+E$8),MAX(AX248,$B$12-SUM(BE248:BG248)-SUM(AY248:BD248)))</f>
        <v>0</v>
      </c>
      <c r="BI248" s="27" t="n">
        <f aca="false">MIN(AM247*(1+F$8),MAX(AY248,$B$12-SUM(BE248:BH248)-SUM(AZ248:BD248)))</f>
        <v>0</v>
      </c>
      <c r="BJ248" s="27" t="n">
        <f aca="false">MIN(AN247*(1+G$8),MAX(AZ248,$B$12-SUM(BE248:BI248)-SUM(BA248:BD248)))</f>
        <v>0</v>
      </c>
      <c r="BK248" s="27" t="n">
        <f aca="false">MIN(AO247*(1+H$8),MAX(BA248,$B$12-SUM(BE248:BJ248)-SUM(BB248:BD248)))</f>
        <v>0</v>
      </c>
      <c r="BL248" s="27" t="n">
        <f aca="false">MIN(AP247*(1+I$8),MAX(BB248,$B$12-SUM(BE248:BK248)-SUM(BC248:BD248)))</f>
        <v>0</v>
      </c>
      <c r="BM248" s="27" t="n">
        <f aca="false">MIN(AQ247*(1+J$8),MAX(BC248,$B$12-SUM(BE248:BL248)-SUM(BD248:BD248)))</f>
        <v>0</v>
      </c>
      <c r="BN248" s="27" t="n">
        <f aca="false">MIN(AR247*(1+K$8),MAX(BD248,$B$12-SUM(BE248:BM248)))</f>
        <v>0</v>
      </c>
    </row>
    <row r="249" customFormat="false" ht="15" hidden="false" customHeight="false" outlineLevel="0" collapsed="false">
      <c r="A249" s="0" t="n">
        <v>235</v>
      </c>
      <c r="B249" s="27" t="n">
        <f aca="false">ROUND(MAX(0,B248*(1+B$8)-X249),2)</f>
        <v>0</v>
      </c>
      <c r="C249" s="27" t="n">
        <f aca="false">ROUND(MAX(0,C248*(1+C$8)-Y249),2)</f>
        <v>0</v>
      </c>
      <c r="D249" s="27" t="n">
        <f aca="false">ROUND(MAX(0,D248*(1+D$8)-Z249),2)</f>
        <v>0</v>
      </c>
      <c r="E249" s="27" t="n">
        <f aca="false">ROUND(MAX(0,E248*(1+E$8)-AA249),2)</f>
        <v>0</v>
      </c>
      <c r="F249" s="27" t="n">
        <f aca="false">ROUND(MAX(0,F248*(1+F$8)-AB249),2)</f>
        <v>0</v>
      </c>
      <c r="G249" s="27" t="n">
        <f aca="false">ROUND(MAX(0,G248*(1+G$8)-AC249),2)</f>
        <v>0</v>
      </c>
      <c r="H249" s="27" t="n">
        <f aca="false">ROUND(MAX(0,H248*(1+H$8)-AD249),2)</f>
        <v>0</v>
      </c>
      <c r="I249" s="27" t="n">
        <f aca="false">ROUND(MAX(0,I248*(1+I$8)-AE249),2)</f>
        <v>0</v>
      </c>
      <c r="J249" s="27" t="n">
        <f aca="false">ROUND(MAX(0,J248*(1+J$8)-AF249),2)</f>
        <v>0</v>
      </c>
      <c r="K249" s="27" t="n">
        <f aca="false">ROUND(MAX(0,K248*(1+K$8)-AG249),2)</f>
        <v>0</v>
      </c>
      <c r="L249" s="30" t="n">
        <f aca="false">SUM(B249:K249)</f>
        <v>0</v>
      </c>
      <c r="M249" s="27" t="n">
        <f aca="false">SUMPRODUCT(B248:K248,$B$8:$K$8)</f>
        <v>0</v>
      </c>
      <c r="N249" s="27" t="n">
        <f aca="false">MIN(B248*(1+B$8),B$9)</f>
        <v>0</v>
      </c>
      <c r="O249" s="27" t="n">
        <f aca="false">MIN(C248*(1+C$8),C$9)</f>
        <v>0</v>
      </c>
      <c r="P249" s="27" t="n">
        <f aca="false">MIN(D248*(1+D$8),D$9)</f>
        <v>0</v>
      </c>
      <c r="Q249" s="27" t="n">
        <f aca="false">MIN(E248*(1+E$8),E$9)</f>
        <v>0</v>
      </c>
      <c r="R249" s="27" t="n">
        <f aca="false">MIN(F248*(1+F$8),F$9)</f>
        <v>0</v>
      </c>
      <c r="S249" s="27" t="n">
        <f aca="false">MIN(G248*(1+G$8),G$9)</f>
        <v>0</v>
      </c>
      <c r="T249" s="27" t="n">
        <f aca="false">MIN(H248*(1+H$8),H$9)</f>
        <v>0</v>
      </c>
      <c r="U249" s="27" t="n">
        <f aca="false">MIN(I248*(1+I$8),I$9)</f>
        <v>0</v>
      </c>
      <c r="V249" s="27" t="n">
        <f aca="false">MIN(J248*(1+J$8),J$9)</f>
        <v>0</v>
      </c>
      <c r="W249" s="27" t="n">
        <f aca="false">MIN(K248*(1+K$8),K$9)</f>
        <v>0</v>
      </c>
      <c r="X249" s="27" t="n">
        <f aca="false">MIN(B248*(1+B$8),MAX(N249,$B$11-SUM(O249:W249)))</f>
        <v>0</v>
      </c>
      <c r="Y249" s="27" t="n">
        <f aca="false">MIN(C248*(1+C$8),MAX(O249,$B$11-SUM(X249:X249)-SUM(P249:W249)))</f>
        <v>0</v>
      </c>
      <c r="Z249" s="27" t="n">
        <f aca="false">MIN(D248*(1+D$8),MAX(P249,$B$11-SUM(X249:Y249)-SUM(Q249:W249)))</f>
        <v>0</v>
      </c>
      <c r="AA249" s="27" t="n">
        <f aca="false">MIN(E248*(1+E$8),MAX(Q249,$B$11-SUM(X249:Z249)-SUM(R249:W249)))</f>
        <v>0</v>
      </c>
      <c r="AB249" s="27" t="n">
        <f aca="false">MIN(F248*(1+F$8),MAX(R249,$B$11-SUM(X249:AA249)-SUM(S249:W249)))</f>
        <v>0</v>
      </c>
      <c r="AC249" s="27" t="n">
        <f aca="false">MIN(G248*(1+G$8),MAX(S249,$B$11-SUM(X249:AB249)-SUM(T249:W249)))</f>
        <v>0</v>
      </c>
      <c r="AD249" s="27" t="n">
        <f aca="false">MIN(H248*(1+H$8),MAX(T249,$B$11-SUM(X249:AC249)-SUM(U249:W249)))</f>
        <v>0</v>
      </c>
      <c r="AE249" s="27" t="n">
        <f aca="false">MIN(I248*(1+I$8),MAX(U249,$B$11-SUM(X249:AD249)-SUM(V249:W249)))</f>
        <v>0</v>
      </c>
      <c r="AF249" s="27" t="n">
        <f aca="false">MIN(J248*(1+J$8),MAX(V249,$B$11-SUM(X249:AE249)-SUM(W249:W249)))</f>
        <v>0</v>
      </c>
      <c r="AG249" s="27" t="n">
        <f aca="false">MIN(K248*(1+K$8),MAX(W249,$B$11-SUM(X249:AF249)))</f>
        <v>0</v>
      </c>
      <c r="AI249" s="27" t="n">
        <f aca="false">ROUND(MAX(0,AI248*(1+B$8)-BE249),2)</f>
        <v>0</v>
      </c>
      <c r="AJ249" s="27" t="n">
        <f aca="false">ROUND(MAX(0,AJ248*(1+C$8)-BF249),2)</f>
        <v>0</v>
      </c>
      <c r="AK249" s="27" t="n">
        <f aca="false">ROUND(MAX(0,AK248*(1+D$8)-BG249),2)</f>
        <v>0</v>
      </c>
      <c r="AL249" s="27" t="n">
        <f aca="false">ROUND(MAX(0,AL248*(1+E$8)-BH249),2)</f>
        <v>0</v>
      </c>
      <c r="AM249" s="27" t="n">
        <f aca="false">ROUND(MAX(0,AM248*(1+F$8)-BI249),2)</f>
        <v>0</v>
      </c>
      <c r="AN249" s="27" t="n">
        <f aca="false">ROUND(MAX(0,AN248*(1+G$8)-BJ249),2)</f>
        <v>0</v>
      </c>
      <c r="AO249" s="27" t="n">
        <f aca="false">ROUND(MAX(0,AO248*(1+H$8)-BK249),2)</f>
        <v>0</v>
      </c>
      <c r="AP249" s="27" t="n">
        <f aca="false">ROUND(MAX(0,AP248*(1+I$8)-BL249),2)</f>
        <v>0</v>
      </c>
      <c r="AQ249" s="27" t="n">
        <f aca="false">ROUND(MAX(0,AQ248*(1+J$8)-BM249),2)</f>
        <v>0</v>
      </c>
      <c r="AR249" s="27" t="n">
        <f aca="false">ROUND(MAX(0,AR248*(1+K$8)-BN249),2)</f>
        <v>0</v>
      </c>
      <c r="AS249" s="27" t="n">
        <f aca="false">SUM(AI249:AR249)</f>
        <v>0</v>
      </c>
      <c r="AT249" s="27" t="n">
        <f aca="false">SUMPRODUCT(AI248:AR248,$B$8:$K$8)</f>
        <v>0</v>
      </c>
      <c r="AU249" s="27" t="n">
        <f aca="false">MIN(AI248*(1+B$8),B$9)</f>
        <v>0</v>
      </c>
      <c r="AV249" s="27" t="n">
        <f aca="false">MIN(AJ248*(1+C$8),C$9)</f>
        <v>0</v>
      </c>
      <c r="AW249" s="27" t="n">
        <f aca="false">MIN(AK248*(1+D$8),D$9)</f>
        <v>0</v>
      </c>
      <c r="AX249" s="27" t="n">
        <f aca="false">MIN(AL248*(1+E$8),E$9)</f>
        <v>0</v>
      </c>
      <c r="AY249" s="27" t="n">
        <f aca="false">MIN(AM248*(1+F$8),F$9)</f>
        <v>0</v>
      </c>
      <c r="AZ249" s="27" t="n">
        <f aca="false">MIN(AN248*(1+G$8),G$9)</f>
        <v>0</v>
      </c>
      <c r="BA249" s="27" t="n">
        <f aca="false">MIN(AO248*(1+H$8),H$9)</f>
        <v>0</v>
      </c>
      <c r="BB249" s="27" t="n">
        <f aca="false">MIN(AP248*(1+I$8),I$9)</f>
        <v>0</v>
      </c>
      <c r="BC249" s="27" t="n">
        <f aca="false">MIN(AQ248*(1+J$8),J$9)</f>
        <v>0</v>
      </c>
      <c r="BD249" s="27" t="n">
        <f aca="false">MIN(AR248*(1+K$8),K$9)</f>
        <v>0</v>
      </c>
      <c r="BE249" s="27" t="n">
        <f aca="false">MIN(AI248*(1+B$8),MAX(AU249,$B$12-SUM(AV249:BD249)))</f>
        <v>0</v>
      </c>
      <c r="BF249" s="27" t="n">
        <f aca="false">MIN(AJ248*(1+C$8),MAX(AV249,$B$12-SUM(BE249:BE249)-SUM(AW249:BD249)))</f>
        <v>0</v>
      </c>
      <c r="BG249" s="27" t="n">
        <f aca="false">MIN(AK248*(1+D$8),MAX(AW249,$B$12-SUM(BE249:BF249)-SUM(AX249:BD249)))</f>
        <v>0</v>
      </c>
      <c r="BH249" s="27" t="n">
        <f aca="false">MIN(AL248*(1+E$8),MAX(AX249,$B$12-SUM(BE249:BG249)-SUM(AY249:BD249)))</f>
        <v>0</v>
      </c>
      <c r="BI249" s="27" t="n">
        <f aca="false">MIN(AM248*(1+F$8),MAX(AY249,$B$12-SUM(BE249:BH249)-SUM(AZ249:BD249)))</f>
        <v>0</v>
      </c>
      <c r="BJ249" s="27" t="n">
        <f aca="false">MIN(AN248*(1+G$8),MAX(AZ249,$B$12-SUM(BE249:BI249)-SUM(BA249:BD249)))</f>
        <v>0</v>
      </c>
      <c r="BK249" s="27" t="n">
        <f aca="false">MIN(AO248*(1+H$8),MAX(BA249,$B$12-SUM(BE249:BJ249)-SUM(BB249:BD249)))</f>
        <v>0</v>
      </c>
      <c r="BL249" s="27" t="n">
        <f aca="false">MIN(AP248*(1+I$8),MAX(BB249,$B$12-SUM(BE249:BK249)-SUM(BC249:BD249)))</f>
        <v>0</v>
      </c>
      <c r="BM249" s="27" t="n">
        <f aca="false">MIN(AQ248*(1+J$8),MAX(BC249,$B$12-SUM(BE249:BL249)-SUM(BD249:BD249)))</f>
        <v>0</v>
      </c>
      <c r="BN249" s="27" t="n">
        <f aca="false">MIN(AR248*(1+K$8),MAX(BD249,$B$12-SUM(BE249:BM249)))</f>
        <v>0</v>
      </c>
    </row>
    <row r="250" customFormat="false" ht="15" hidden="false" customHeight="false" outlineLevel="0" collapsed="false">
      <c r="A250" s="0" t="n">
        <v>236</v>
      </c>
      <c r="B250" s="27" t="n">
        <f aca="false">ROUND(MAX(0,B249*(1+B$8)-X250),2)</f>
        <v>0</v>
      </c>
      <c r="C250" s="27" t="n">
        <f aca="false">ROUND(MAX(0,C249*(1+C$8)-Y250),2)</f>
        <v>0</v>
      </c>
      <c r="D250" s="27" t="n">
        <f aca="false">ROUND(MAX(0,D249*(1+D$8)-Z250),2)</f>
        <v>0</v>
      </c>
      <c r="E250" s="27" t="n">
        <f aca="false">ROUND(MAX(0,E249*(1+E$8)-AA250),2)</f>
        <v>0</v>
      </c>
      <c r="F250" s="27" t="n">
        <f aca="false">ROUND(MAX(0,F249*(1+F$8)-AB250),2)</f>
        <v>0</v>
      </c>
      <c r="G250" s="27" t="n">
        <f aca="false">ROUND(MAX(0,G249*(1+G$8)-AC250),2)</f>
        <v>0</v>
      </c>
      <c r="H250" s="27" t="n">
        <f aca="false">ROUND(MAX(0,H249*(1+H$8)-AD250),2)</f>
        <v>0</v>
      </c>
      <c r="I250" s="27" t="n">
        <f aca="false">ROUND(MAX(0,I249*(1+I$8)-AE250),2)</f>
        <v>0</v>
      </c>
      <c r="J250" s="27" t="n">
        <f aca="false">ROUND(MAX(0,J249*(1+J$8)-AF250),2)</f>
        <v>0</v>
      </c>
      <c r="K250" s="27" t="n">
        <f aca="false">ROUND(MAX(0,K249*(1+K$8)-AG250),2)</f>
        <v>0</v>
      </c>
      <c r="L250" s="30" t="n">
        <f aca="false">SUM(B250:K250)</f>
        <v>0</v>
      </c>
      <c r="M250" s="27" t="n">
        <f aca="false">SUMPRODUCT(B249:K249,$B$8:$K$8)</f>
        <v>0</v>
      </c>
      <c r="N250" s="27" t="n">
        <f aca="false">MIN(B249*(1+B$8),B$9)</f>
        <v>0</v>
      </c>
      <c r="O250" s="27" t="n">
        <f aca="false">MIN(C249*(1+C$8),C$9)</f>
        <v>0</v>
      </c>
      <c r="P250" s="27" t="n">
        <f aca="false">MIN(D249*(1+D$8),D$9)</f>
        <v>0</v>
      </c>
      <c r="Q250" s="27" t="n">
        <f aca="false">MIN(E249*(1+E$8),E$9)</f>
        <v>0</v>
      </c>
      <c r="R250" s="27" t="n">
        <f aca="false">MIN(F249*(1+F$8),F$9)</f>
        <v>0</v>
      </c>
      <c r="S250" s="27" t="n">
        <f aca="false">MIN(G249*(1+G$8),G$9)</f>
        <v>0</v>
      </c>
      <c r="T250" s="27" t="n">
        <f aca="false">MIN(H249*(1+H$8),H$9)</f>
        <v>0</v>
      </c>
      <c r="U250" s="27" t="n">
        <f aca="false">MIN(I249*(1+I$8),I$9)</f>
        <v>0</v>
      </c>
      <c r="V250" s="27" t="n">
        <f aca="false">MIN(J249*(1+J$8),J$9)</f>
        <v>0</v>
      </c>
      <c r="W250" s="27" t="n">
        <f aca="false">MIN(K249*(1+K$8),K$9)</f>
        <v>0</v>
      </c>
      <c r="X250" s="27" t="n">
        <f aca="false">MIN(B249*(1+B$8),MAX(N250,$B$11-SUM(O250:W250)))</f>
        <v>0</v>
      </c>
      <c r="Y250" s="27" t="n">
        <f aca="false">MIN(C249*(1+C$8),MAX(O250,$B$11-SUM(X250:X250)-SUM(P250:W250)))</f>
        <v>0</v>
      </c>
      <c r="Z250" s="27" t="n">
        <f aca="false">MIN(D249*(1+D$8),MAX(P250,$B$11-SUM(X250:Y250)-SUM(Q250:W250)))</f>
        <v>0</v>
      </c>
      <c r="AA250" s="27" t="n">
        <f aca="false">MIN(E249*(1+E$8),MAX(Q250,$B$11-SUM(X250:Z250)-SUM(R250:W250)))</f>
        <v>0</v>
      </c>
      <c r="AB250" s="27" t="n">
        <f aca="false">MIN(F249*(1+F$8),MAX(R250,$B$11-SUM(X250:AA250)-SUM(S250:W250)))</f>
        <v>0</v>
      </c>
      <c r="AC250" s="27" t="n">
        <f aca="false">MIN(G249*(1+G$8),MAX(S250,$B$11-SUM(X250:AB250)-SUM(T250:W250)))</f>
        <v>0</v>
      </c>
      <c r="AD250" s="27" t="n">
        <f aca="false">MIN(H249*(1+H$8),MAX(T250,$B$11-SUM(X250:AC250)-SUM(U250:W250)))</f>
        <v>0</v>
      </c>
      <c r="AE250" s="27" t="n">
        <f aca="false">MIN(I249*(1+I$8),MAX(U250,$B$11-SUM(X250:AD250)-SUM(V250:W250)))</f>
        <v>0</v>
      </c>
      <c r="AF250" s="27" t="n">
        <f aca="false">MIN(J249*(1+J$8),MAX(V250,$B$11-SUM(X250:AE250)-SUM(W250:W250)))</f>
        <v>0</v>
      </c>
      <c r="AG250" s="27" t="n">
        <f aca="false">MIN(K249*(1+K$8),MAX(W250,$B$11-SUM(X250:AF250)))</f>
        <v>0</v>
      </c>
      <c r="AI250" s="27" t="n">
        <f aca="false">ROUND(MAX(0,AI249*(1+B$8)-BE250),2)</f>
        <v>0</v>
      </c>
      <c r="AJ250" s="27" t="n">
        <f aca="false">ROUND(MAX(0,AJ249*(1+C$8)-BF250),2)</f>
        <v>0</v>
      </c>
      <c r="AK250" s="27" t="n">
        <f aca="false">ROUND(MAX(0,AK249*(1+D$8)-BG250),2)</f>
        <v>0</v>
      </c>
      <c r="AL250" s="27" t="n">
        <f aca="false">ROUND(MAX(0,AL249*(1+E$8)-BH250),2)</f>
        <v>0</v>
      </c>
      <c r="AM250" s="27" t="n">
        <f aca="false">ROUND(MAX(0,AM249*(1+F$8)-BI250),2)</f>
        <v>0</v>
      </c>
      <c r="AN250" s="27" t="n">
        <f aca="false">ROUND(MAX(0,AN249*(1+G$8)-BJ250),2)</f>
        <v>0</v>
      </c>
      <c r="AO250" s="27" t="n">
        <f aca="false">ROUND(MAX(0,AO249*(1+H$8)-BK250),2)</f>
        <v>0</v>
      </c>
      <c r="AP250" s="27" t="n">
        <f aca="false">ROUND(MAX(0,AP249*(1+I$8)-BL250),2)</f>
        <v>0</v>
      </c>
      <c r="AQ250" s="27" t="n">
        <f aca="false">ROUND(MAX(0,AQ249*(1+J$8)-BM250),2)</f>
        <v>0</v>
      </c>
      <c r="AR250" s="27" t="n">
        <f aca="false">ROUND(MAX(0,AR249*(1+K$8)-BN250),2)</f>
        <v>0</v>
      </c>
      <c r="AS250" s="27" t="n">
        <f aca="false">SUM(AI250:AR250)</f>
        <v>0</v>
      </c>
      <c r="AT250" s="27" t="n">
        <f aca="false">SUMPRODUCT(AI249:AR249,$B$8:$K$8)</f>
        <v>0</v>
      </c>
      <c r="AU250" s="27" t="n">
        <f aca="false">MIN(AI249*(1+B$8),B$9)</f>
        <v>0</v>
      </c>
      <c r="AV250" s="27" t="n">
        <f aca="false">MIN(AJ249*(1+C$8),C$9)</f>
        <v>0</v>
      </c>
      <c r="AW250" s="27" t="n">
        <f aca="false">MIN(AK249*(1+D$8),D$9)</f>
        <v>0</v>
      </c>
      <c r="AX250" s="27" t="n">
        <f aca="false">MIN(AL249*(1+E$8),E$9)</f>
        <v>0</v>
      </c>
      <c r="AY250" s="27" t="n">
        <f aca="false">MIN(AM249*(1+F$8),F$9)</f>
        <v>0</v>
      </c>
      <c r="AZ250" s="27" t="n">
        <f aca="false">MIN(AN249*(1+G$8),G$9)</f>
        <v>0</v>
      </c>
      <c r="BA250" s="27" t="n">
        <f aca="false">MIN(AO249*(1+H$8),H$9)</f>
        <v>0</v>
      </c>
      <c r="BB250" s="27" t="n">
        <f aca="false">MIN(AP249*(1+I$8),I$9)</f>
        <v>0</v>
      </c>
      <c r="BC250" s="27" t="n">
        <f aca="false">MIN(AQ249*(1+J$8),J$9)</f>
        <v>0</v>
      </c>
      <c r="BD250" s="27" t="n">
        <f aca="false">MIN(AR249*(1+K$8),K$9)</f>
        <v>0</v>
      </c>
      <c r="BE250" s="27" t="n">
        <f aca="false">MIN(AI249*(1+B$8),MAX(AU250,$B$12-SUM(AV250:BD250)))</f>
        <v>0</v>
      </c>
      <c r="BF250" s="27" t="n">
        <f aca="false">MIN(AJ249*(1+C$8),MAX(AV250,$B$12-SUM(BE250:BE250)-SUM(AW250:BD250)))</f>
        <v>0</v>
      </c>
      <c r="BG250" s="27" t="n">
        <f aca="false">MIN(AK249*(1+D$8),MAX(AW250,$B$12-SUM(BE250:BF250)-SUM(AX250:BD250)))</f>
        <v>0</v>
      </c>
      <c r="BH250" s="27" t="n">
        <f aca="false">MIN(AL249*(1+E$8),MAX(AX250,$B$12-SUM(BE250:BG250)-SUM(AY250:BD250)))</f>
        <v>0</v>
      </c>
      <c r="BI250" s="27" t="n">
        <f aca="false">MIN(AM249*(1+F$8),MAX(AY250,$B$12-SUM(BE250:BH250)-SUM(AZ250:BD250)))</f>
        <v>0</v>
      </c>
      <c r="BJ250" s="27" t="n">
        <f aca="false">MIN(AN249*(1+G$8),MAX(AZ250,$B$12-SUM(BE250:BI250)-SUM(BA250:BD250)))</f>
        <v>0</v>
      </c>
      <c r="BK250" s="27" t="n">
        <f aca="false">MIN(AO249*(1+H$8),MAX(BA250,$B$12-SUM(BE250:BJ250)-SUM(BB250:BD250)))</f>
        <v>0</v>
      </c>
      <c r="BL250" s="27" t="n">
        <f aca="false">MIN(AP249*(1+I$8),MAX(BB250,$B$12-SUM(BE250:BK250)-SUM(BC250:BD250)))</f>
        <v>0</v>
      </c>
      <c r="BM250" s="27" t="n">
        <f aca="false">MIN(AQ249*(1+J$8),MAX(BC250,$B$12-SUM(BE250:BL250)-SUM(BD250:BD250)))</f>
        <v>0</v>
      </c>
      <c r="BN250" s="27" t="n">
        <f aca="false">MIN(AR249*(1+K$8),MAX(BD250,$B$12-SUM(BE250:BM250)))</f>
        <v>0</v>
      </c>
    </row>
    <row r="251" customFormat="false" ht="15" hidden="false" customHeight="false" outlineLevel="0" collapsed="false">
      <c r="A251" s="0" t="n">
        <v>237</v>
      </c>
      <c r="B251" s="27" t="n">
        <f aca="false">ROUND(MAX(0,B250*(1+B$8)-X251),2)</f>
        <v>0</v>
      </c>
      <c r="C251" s="27" t="n">
        <f aca="false">ROUND(MAX(0,C250*(1+C$8)-Y251),2)</f>
        <v>0</v>
      </c>
      <c r="D251" s="27" t="n">
        <f aca="false">ROUND(MAX(0,D250*(1+D$8)-Z251),2)</f>
        <v>0</v>
      </c>
      <c r="E251" s="27" t="n">
        <f aca="false">ROUND(MAX(0,E250*(1+E$8)-AA251),2)</f>
        <v>0</v>
      </c>
      <c r="F251" s="27" t="n">
        <f aca="false">ROUND(MAX(0,F250*(1+F$8)-AB251),2)</f>
        <v>0</v>
      </c>
      <c r="G251" s="27" t="n">
        <f aca="false">ROUND(MAX(0,G250*(1+G$8)-AC251),2)</f>
        <v>0</v>
      </c>
      <c r="H251" s="27" t="n">
        <f aca="false">ROUND(MAX(0,H250*(1+H$8)-AD251),2)</f>
        <v>0</v>
      </c>
      <c r="I251" s="27" t="n">
        <f aca="false">ROUND(MAX(0,I250*(1+I$8)-AE251),2)</f>
        <v>0</v>
      </c>
      <c r="J251" s="27" t="n">
        <f aca="false">ROUND(MAX(0,J250*(1+J$8)-AF251),2)</f>
        <v>0</v>
      </c>
      <c r="K251" s="27" t="n">
        <f aca="false">ROUND(MAX(0,K250*(1+K$8)-AG251),2)</f>
        <v>0</v>
      </c>
      <c r="L251" s="30" t="n">
        <f aca="false">SUM(B251:K251)</f>
        <v>0</v>
      </c>
      <c r="M251" s="27" t="n">
        <f aca="false">SUMPRODUCT(B250:K250,$B$8:$K$8)</f>
        <v>0</v>
      </c>
      <c r="N251" s="27" t="n">
        <f aca="false">MIN(B250*(1+B$8),B$9)</f>
        <v>0</v>
      </c>
      <c r="O251" s="27" t="n">
        <f aca="false">MIN(C250*(1+C$8),C$9)</f>
        <v>0</v>
      </c>
      <c r="P251" s="27" t="n">
        <f aca="false">MIN(D250*(1+D$8),D$9)</f>
        <v>0</v>
      </c>
      <c r="Q251" s="27" t="n">
        <f aca="false">MIN(E250*(1+E$8),E$9)</f>
        <v>0</v>
      </c>
      <c r="R251" s="27" t="n">
        <f aca="false">MIN(F250*(1+F$8),F$9)</f>
        <v>0</v>
      </c>
      <c r="S251" s="27" t="n">
        <f aca="false">MIN(G250*(1+G$8),G$9)</f>
        <v>0</v>
      </c>
      <c r="T251" s="27" t="n">
        <f aca="false">MIN(H250*(1+H$8),H$9)</f>
        <v>0</v>
      </c>
      <c r="U251" s="27" t="n">
        <f aca="false">MIN(I250*(1+I$8),I$9)</f>
        <v>0</v>
      </c>
      <c r="V251" s="27" t="n">
        <f aca="false">MIN(J250*(1+J$8),J$9)</f>
        <v>0</v>
      </c>
      <c r="W251" s="27" t="n">
        <f aca="false">MIN(K250*(1+K$8),K$9)</f>
        <v>0</v>
      </c>
      <c r="X251" s="27" t="n">
        <f aca="false">MIN(B250*(1+B$8),MAX(N251,$B$11-SUM(O251:W251)))</f>
        <v>0</v>
      </c>
      <c r="Y251" s="27" t="n">
        <f aca="false">MIN(C250*(1+C$8),MAX(O251,$B$11-SUM(X251:X251)-SUM(P251:W251)))</f>
        <v>0</v>
      </c>
      <c r="Z251" s="27" t="n">
        <f aca="false">MIN(D250*(1+D$8),MAX(P251,$B$11-SUM(X251:Y251)-SUM(Q251:W251)))</f>
        <v>0</v>
      </c>
      <c r="AA251" s="27" t="n">
        <f aca="false">MIN(E250*(1+E$8),MAX(Q251,$B$11-SUM(X251:Z251)-SUM(R251:W251)))</f>
        <v>0</v>
      </c>
      <c r="AB251" s="27" t="n">
        <f aca="false">MIN(F250*(1+F$8),MAX(R251,$B$11-SUM(X251:AA251)-SUM(S251:W251)))</f>
        <v>0</v>
      </c>
      <c r="AC251" s="27" t="n">
        <f aca="false">MIN(G250*(1+G$8),MAX(S251,$B$11-SUM(X251:AB251)-SUM(T251:W251)))</f>
        <v>0</v>
      </c>
      <c r="AD251" s="27" t="n">
        <f aca="false">MIN(H250*(1+H$8),MAX(T251,$B$11-SUM(X251:AC251)-SUM(U251:W251)))</f>
        <v>0</v>
      </c>
      <c r="AE251" s="27" t="n">
        <f aca="false">MIN(I250*(1+I$8),MAX(U251,$B$11-SUM(X251:AD251)-SUM(V251:W251)))</f>
        <v>0</v>
      </c>
      <c r="AF251" s="27" t="n">
        <f aca="false">MIN(J250*(1+J$8),MAX(V251,$B$11-SUM(X251:AE251)-SUM(W251:W251)))</f>
        <v>0</v>
      </c>
      <c r="AG251" s="27" t="n">
        <f aca="false">MIN(K250*(1+K$8),MAX(W251,$B$11-SUM(X251:AF251)))</f>
        <v>0</v>
      </c>
      <c r="AI251" s="27" t="n">
        <f aca="false">ROUND(MAX(0,AI250*(1+B$8)-BE251),2)</f>
        <v>0</v>
      </c>
      <c r="AJ251" s="27" t="n">
        <f aca="false">ROUND(MAX(0,AJ250*(1+C$8)-BF251),2)</f>
        <v>0</v>
      </c>
      <c r="AK251" s="27" t="n">
        <f aca="false">ROUND(MAX(0,AK250*(1+D$8)-BG251),2)</f>
        <v>0</v>
      </c>
      <c r="AL251" s="27" t="n">
        <f aca="false">ROUND(MAX(0,AL250*(1+E$8)-BH251),2)</f>
        <v>0</v>
      </c>
      <c r="AM251" s="27" t="n">
        <f aca="false">ROUND(MAX(0,AM250*(1+F$8)-BI251),2)</f>
        <v>0</v>
      </c>
      <c r="AN251" s="27" t="n">
        <f aca="false">ROUND(MAX(0,AN250*(1+G$8)-BJ251),2)</f>
        <v>0</v>
      </c>
      <c r="AO251" s="27" t="n">
        <f aca="false">ROUND(MAX(0,AO250*(1+H$8)-BK251),2)</f>
        <v>0</v>
      </c>
      <c r="AP251" s="27" t="n">
        <f aca="false">ROUND(MAX(0,AP250*(1+I$8)-BL251),2)</f>
        <v>0</v>
      </c>
      <c r="AQ251" s="27" t="n">
        <f aca="false">ROUND(MAX(0,AQ250*(1+J$8)-BM251),2)</f>
        <v>0</v>
      </c>
      <c r="AR251" s="27" t="n">
        <f aca="false">ROUND(MAX(0,AR250*(1+K$8)-BN251),2)</f>
        <v>0</v>
      </c>
      <c r="AS251" s="27" t="n">
        <f aca="false">SUM(AI251:AR251)</f>
        <v>0</v>
      </c>
      <c r="AT251" s="27" t="n">
        <f aca="false">SUMPRODUCT(AI250:AR250,$B$8:$K$8)</f>
        <v>0</v>
      </c>
      <c r="AU251" s="27" t="n">
        <f aca="false">MIN(AI250*(1+B$8),B$9)</f>
        <v>0</v>
      </c>
      <c r="AV251" s="27" t="n">
        <f aca="false">MIN(AJ250*(1+C$8),C$9)</f>
        <v>0</v>
      </c>
      <c r="AW251" s="27" t="n">
        <f aca="false">MIN(AK250*(1+D$8),D$9)</f>
        <v>0</v>
      </c>
      <c r="AX251" s="27" t="n">
        <f aca="false">MIN(AL250*(1+E$8),E$9)</f>
        <v>0</v>
      </c>
      <c r="AY251" s="27" t="n">
        <f aca="false">MIN(AM250*(1+F$8),F$9)</f>
        <v>0</v>
      </c>
      <c r="AZ251" s="27" t="n">
        <f aca="false">MIN(AN250*(1+G$8),G$9)</f>
        <v>0</v>
      </c>
      <c r="BA251" s="27" t="n">
        <f aca="false">MIN(AO250*(1+H$8),H$9)</f>
        <v>0</v>
      </c>
      <c r="BB251" s="27" t="n">
        <f aca="false">MIN(AP250*(1+I$8),I$9)</f>
        <v>0</v>
      </c>
      <c r="BC251" s="27" t="n">
        <f aca="false">MIN(AQ250*(1+J$8),J$9)</f>
        <v>0</v>
      </c>
      <c r="BD251" s="27" t="n">
        <f aca="false">MIN(AR250*(1+K$8),K$9)</f>
        <v>0</v>
      </c>
      <c r="BE251" s="27" t="n">
        <f aca="false">MIN(AI250*(1+B$8),MAX(AU251,$B$12-SUM(AV251:BD251)))</f>
        <v>0</v>
      </c>
      <c r="BF251" s="27" t="n">
        <f aca="false">MIN(AJ250*(1+C$8),MAX(AV251,$B$12-SUM(BE251:BE251)-SUM(AW251:BD251)))</f>
        <v>0</v>
      </c>
      <c r="BG251" s="27" t="n">
        <f aca="false">MIN(AK250*(1+D$8),MAX(AW251,$B$12-SUM(BE251:BF251)-SUM(AX251:BD251)))</f>
        <v>0</v>
      </c>
      <c r="BH251" s="27" t="n">
        <f aca="false">MIN(AL250*(1+E$8),MAX(AX251,$B$12-SUM(BE251:BG251)-SUM(AY251:BD251)))</f>
        <v>0</v>
      </c>
      <c r="BI251" s="27" t="n">
        <f aca="false">MIN(AM250*(1+F$8),MAX(AY251,$B$12-SUM(BE251:BH251)-SUM(AZ251:BD251)))</f>
        <v>0</v>
      </c>
      <c r="BJ251" s="27" t="n">
        <f aca="false">MIN(AN250*(1+G$8),MAX(AZ251,$B$12-SUM(BE251:BI251)-SUM(BA251:BD251)))</f>
        <v>0</v>
      </c>
      <c r="BK251" s="27" t="n">
        <f aca="false">MIN(AO250*(1+H$8),MAX(BA251,$B$12-SUM(BE251:BJ251)-SUM(BB251:BD251)))</f>
        <v>0</v>
      </c>
      <c r="BL251" s="27" t="n">
        <f aca="false">MIN(AP250*(1+I$8),MAX(BB251,$B$12-SUM(BE251:BK251)-SUM(BC251:BD251)))</f>
        <v>0</v>
      </c>
      <c r="BM251" s="27" t="n">
        <f aca="false">MIN(AQ250*(1+J$8),MAX(BC251,$B$12-SUM(BE251:BL251)-SUM(BD251:BD251)))</f>
        <v>0</v>
      </c>
      <c r="BN251" s="27" t="n">
        <f aca="false">MIN(AR250*(1+K$8),MAX(BD251,$B$12-SUM(BE251:BM251)))</f>
        <v>0</v>
      </c>
    </row>
    <row r="252" customFormat="false" ht="15" hidden="false" customHeight="false" outlineLevel="0" collapsed="false">
      <c r="A252" s="0" t="n">
        <v>238</v>
      </c>
      <c r="B252" s="27" t="n">
        <f aca="false">ROUND(MAX(0,B251*(1+B$8)-X252),2)</f>
        <v>0</v>
      </c>
      <c r="C252" s="27" t="n">
        <f aca="false">ROUND(MAX(0,C251*(1+C$8)-Y252),2)</f>
        <v>0</v>
      </c>
      <c r="D252" s="27" t="n">
        <f aca="false">ROUND(MAX(0,D251*(1+D$8)-Z252),2)</f>
        <v>0</v>
      </c>
      <c r="E252" s="27" t="n">
        <f aca="false">ROUND(MAX(0,E251*(1+E$8)-AA252),2)</f>
        <v>0</v>
      </c>
      <c r="F252" s="27" t="n">
        <f aca="false">ROUND(MAX(0,F251*(1+F$8)-AB252),2)</f>
        <v>0</v>
      </c>
      <c r="G252" s="27" t="n">
        <f aca="false">ROUND(MAX(0,G251*(1+G$8)-AC252),2)</f>
        <v>0</v>
      </c>
      <c r="H252" s="27" t="n">
        <f aca="false">ROUND(MAX(0,H251*(1+H$8)-AD252),2)</f>
        <v>0</v>
      </c>
      <c r="I252" s="27" t="n">
        <f aca="false">ROUND(MAX(0,I251*(1+I$8)-AE252),2)</f>
        <v>0</v>
      </c>
      <c r="J252" s="27" t="n">
        <f aca="false">ROUND(MAX(0,J251*(1+J$8)-AF252),2)</f>
        <v>0</v>
      </c>
      <c r="K252" s="27" t="n">
        <f aca="false">ROUND(MAX(0,K251*(1+K$8)-AG252),2)</f>
        <v>0</v>
      </c>
      <c r="L252" s="30" t="n">
        <f aca="false">SUM(B252:K252)</f>
        <v>0</v>
      </c>
      <c r="M252" s="27" t="n">
        <f aca="false">SUMPRODUCT(B251:K251,$B$8:$K$8)</f>
        <v>0</v>
      </c>
      <c r="N252" s="27" t="n">
        <f aca="false">MIN(B251*(1+B$8),B$9)</f>
        <v>0</v>
      </c>
      <c r="O252" s="27" t="n">
        <f aca="false">MIN(C251*(1+C$8),C$9)</f>
        <v>0</v>
      </c>
      <c r="P252" s="27" t="n">
        <f aca="false">MIN(D251*(1+D$8),D$9)</f>
        <v>0</v>
      </c>
      <c r="Q252" s="27" t="n">
        <f aca="false">MIN(E251*(1+E$8),E$9)</f>
        <v>0</v>
      </c>
      <c r="R252" s="27" t="n">
        <f aca="false">MIN(F251*(1+F$8),F$9)</f>
        <v>0</v>
      </c>
      <c r="S252" s="27" t="n">
        <f aca="false">MIN(G251*(1+G$8),G$9)</f>
        <v>0</v>
      </c>
      <c r="T252" s="27" t="n">
        <f aca="false">MIN(H251*(1+H$8),H$9)</f>
        <v>0</v>
      </c>
      <c r="U252" s="27" t="n">
        <f aca="false">MIN(I251*(1+I$8),I$9)</f>
        <v>0</v>
      </c>
      <c r="V252" s="27" t="n">
        <f aca="false">MIN(J251*(1+J$8),J$9)</f>
        <v>0</v>
      </c>
      <c r="W252" s="27" t="n">
        <f aca="false">MIN(K251*(1+K$8),K$9)</f>
        <v>0</v>
      </c>
      <c r="X252" s="27" t="n">
        <f aca="false">MIN(B251*(1+B$8),MAX(N252,$B$11-SUM(O252:W252)))</f>
        <v>0</v>
      </c>
      <c r="Y252" s="27" t="n">
        <f aca="false">MIN(C251*(1+C$8),MAX(O252,$B$11-SUM(X252:X252)-SUM(P252:W252)))</f>
        <v>0</v>
      </c>
      <c r="Z252" s="27" t="n">
        <f aca="false">MIN(D251*(1+D$8),MAX(P252,$B$11-SUM(X252:Y252)-SUM(Q252:W252)))</f>
        <v>0</v>
      </c>
      <c r="AA252" s="27" t="n">
        <f aca="false">MIN(E251*(1+E$8),MAX(Q252,$B$11-SUM(X252:Z252)-SUM(R252:W252)))</f>
        <v>0</v>
      </c>
      <c r="AB252" s="27" t="n">
        <f aca="false">MIN(F251*(1+F$8),MAX(R252,$B$11-SUM(X252:AA252)-SUM(S252:W252)))</f>
        <v>0</v>
      </c>
      <c r="AC252" s="27" t="n">
        <f aca="false">MIN(G251*(1+G$8),MAX(S252,$B$11-SUM(X252:AB252)-SUM(T252:W252)))</f>
        <v>0</v>
      </c>
      <c r="AD252" s="27" t="n">
        <f aca="false">MIN(H251*(1+H$8),MAX(T252,$B$11-SUM(X252:AC252)-SUM(U252:W252)))</f>
        <v>0</v>
      </c>
      <c r="AE252" s="27" t="n">
        <f aca="false">MIN(I251*(1+I$8),MAX(U252,$B$11-SUM(X252:AD252)-SUM(V252:W252)))</f>
        <v>0</v>
      </c>
      <c r="AF252" s="27" t="n">
        <f aca="false">MIN(J251*(1+J$8),MAX(V252,$B$11-SUM(X252:AE252)-SUM(W252:W252)))</f>
        <v>0</v>
      </c>
      <c r="AG252" s="27" t="n">
        <f aca="false">MIN(K251*(1+K$8),MAX(W252,$B$11-SUM(X252:AF252)))</f>
        <v>0</v>
      </c>
      <c r="AI252" s="27" t="n">
        <f aca="false">ROUND(MAX(0,AI251*(1+B$8)-BE252),2)</f>
        <v>0</v>
      </c>
      <c r="AJ252" s="27" t="n">
        <f aca="false">ROUND(MAX(0,AJ251*(1+C$8)-BF252),2)</f>
        <v>0</v>
      </c>
      <c r="AK252" s="27" t="n">
        <f aca="false">ROUND(MAX(0,AK251*(1+D$8)-BG252),2)</f>
        <v>0</v>
      </c>
      <c r="AL252" s="27" t="n">
        <f aca="false">ROUND(MAX(0,AL251*(1+E$8)-BH252),2)</f>
        <v>0</v>
      </c>
      <c r="AM252" s="27" t="n">
        <f aca="false">ROUND(MAX(0,AM251*(1+F$8)-BI252),2)</f>
        <v>0</v>
      </c>
      <c r="AN252" s="27" t="n">
        <f aca="false">ROUND(MAX(0,AN251*(1+G$8)-BJ252),2)</f>
        <v>0</v>
      </c>
      <c r="AO252" s="27" t="n">
        <f aca="false">ROUND(MAX(0,AO251*(1+H$8)-BK252),2)</f>
        <v>0</v>
      </c>
      <c r="AP252" s="27" t="n">
        <f aca="false">ROUND(MAX(0,AP251*(1+I$8)-BL252),2)</f>
        <v>0</v>
      </c>
      <c r="AQ252" s="27" t="n">
        <f aca="false">ROUND(MAX(0,AQ251*(1+J$8)-BM252),2)</f>
        <v>0</v>
      </c>
      <c r="AR252" s="27" t="n">
        <f aca="false">ROUND(MAX(0,AR251*(1+K$8)-BN252),2)</f>
        <v>0</v>
      </c>
      <c r="AS252" s="27" t="n">
        <f aca="false">SUM(AI252:AR252)</f>
        <v>0</v>
      </c>
      <c r="AT252" s="27" t="n">
        <f aca="false">SUMPRODUCT(AI251:AR251,$B$8:$K$8)</f>
        <v>0</v>
      </c>
      <c r="AU252" s="27" t="n">
        <f aca="false">MIN(AI251*(1+B$8),B$9)</f>
        <v>0</v>
      </c>
      <c r="AV252" s="27" t="n">
        <f aca="false">MIN(AJ251*(1+C$8),C$9)</f>
        <v>0</v>
      </c>
      <c r="AW252" s="27" t="n">
        <f aca="false">MIN(AK251*(1+D$8),D$9)</f>
        <v>0</v>
      </c>
      <c r="AX252" s="27" t="n">
        <f aca="false">MIN(AL251*(1+E$8),E$9)</f>
        <v>0</v>
      </c>
      <c r="AY252" s="27" t="n">
        <f aca="false">MIN(AM251*(1+F$8),F$9)</f>
        <v>0</v>
      </c>
      <c r="AZ252" s="27" t="n">
        <f aca="false">MIN(AN251*(1+G$8),G$9)</f>
        <v>0</v>
      </c>
      <c r="BA252" s="27" t="n">
        <f aca="false">MIN(AO251*(1+H$8),H$9)</f>
        <v>0</v>
      </c>
      <c r="BB252" s="27" t="n">
        <f aca="false">MIN(AP251*(1+I$8),I$9)</f>
        <v>0</v>
      </c>
      <c r="BC252" s="27" t="n">
        <f aca="false">MIN(AQ251*(1+J$8),J$9)</f>
        <v>0</v>
      </c>
      <c r="BD252" s="27" t="n">
        <f aca="false">MIN(AR251*(1+K$8),K$9)</f>
        <v>0</v>
      </c>
      <c r="BE252" s="27" t="n">
        <f aca="false">MIN(AI251*(1+B$8),MAX(AU252,$B$12-SUM(AV252:BD252)))</f>
        <v>0</v>
      </c>
      <c r="BF252" s="27" t="n">
        <f aca="false">MIN(AJ251*(1+C$8),MAX(AV252,$B$12-SUM(BE252:BE252)-SUM(AW252:BD252)))</f>
        <v>0</v>
      </c>
      <c r="BG252" s="27" t="n">
        <f aca="false">MIN(AK251*(1+D$8),MAX(AW252,$B$12-SUM(BE252:BF252)-SUM(AX252:BD252)))</f>
        <v>0</v>
      </c>
      <c r="BH252" s="27" t="n">
        <f aca="false">MIN(AL251*(1+E$8),MAX(AX252,$B$12-SUM(BE252:BG252)-SUM(AY252:BD252)))</f>
        <v>0</v>
      </c>
      <c r="BI252" s="27" t="n">
        <f aca="false">MIN(AM251*(1+F$8),MAX(AY252,$B$12-SUM(BE252:BH252)-SUM(AZ252:BD252)))</f>
        <v>0</v>
      </c>
      <c r="BJ252" s="27" t="n">
        <f aca="false">MIN(AN251*(1+G$8),MAX(AZ252,$B$12-SUM(BE252:BI252)-SUM(BA252:BD252)))</f>
        <v>0</v>
      </c>
      <c r="BK252" s="27" t="n">
        <f aca="false">MIN(AO251*(1+H$8),MAX(BA252,$B$12-SUM(BE252:BJ252)-SUM(BB252:BD252)))</f>
        <v>0</v>
      </c>
      <c r="BL252" s="27" t="n">
        <f aca="false">MIN(AP251*(1+I$8),MAX(BB252,$B$12-SUM(BE252:BK252)-SUM(BC252:BD252)))</f>
        <v>0</v>
      </c>
      <c r="BM252" s="27" t="n">
        <f aca="false">MIN(AQ251*(1+J$8),MAX(BC252,$B$12-SUM(BE252:BL252)-SUM(BD252:BD252)))</f>
        <v>0</v>
      </c>
      <c r="BN252" s="27" t="n">
        <f aca="false">MIN(AR251*(1+K$8),MAX(BD252,$B$12-SUM(BE252:BM252)))</f>
        <v>0</v>
      </c>
    </row>
    <row r="253" customFormat="false" ht="15" hidden="false" customHeight="false" outlineLevel="0" collapsed="false">
      <c r="A253" s="0" t="n">
        <v>239</v>
      </c>
      <c r="B253" s="27" t="n">
        <f aca="false">ROUND(MAX(0,B252*(1+B$8)-X253),2)</f>
        <v>0</v>
      </c>
      <c r="C253" s="27" t="n">
        <f aca="false">ROUND(MAX(0,C252*(1+C$8)-Y253),2)</f>
        <v>0</v>
      </c>
      <c r="D253" s="27" t="n">
        <f aca="false">ROUND(MAX(0,D252*(1+D$8)-Z253),2)</f>
        <v>0</v>
      </c>
      <c r="E253" s="27" t="n">
        <f aca="false">ROUND(MAX(0,E252*(1+E$8)-AA253),2)</f>
        <v>0</v>
      </c>
      <c r="F253" s="27" t="n">
        <f aca="false">ROUND(MAX(0,F252*(1+F$8)-AB253),2)</f>
        <v>0</v>
      </c>
      <c r="G253" s="27" t="n">
        <f aca="false">ROUND(MAX(0,G252*(1+G$8)-AC253),2)</f>
        <v>0</v>
      </c>
      <c r="H253" s="27" t="n">
        <f aca="false">ROUND(MAX(0,H252*(1+H$8)-AD253),2)</f>
        <v>0</v>
      </c>
      <c r="I253" s="27" t="n">
        <f aca="false">ROUND(MAX(0,I252*(1+I$8)-AE253),2)</f>
        <v>0</v>
      </c>
      <c r="J253" s="27" t="n">
        <f aca="false">ROUND(MAX(0,J252*(1+J$8)-AF253),2)</f>
        <v>0</v>
      </c>
      <c r="K253" s="27" t="n">
        <f aca="false">ROUND(MAX(0,K252*(1+K$8)-AG253),2)</f>
        <v>0</v>
      </c>
      <c r="L253" s="30" t="n">
        <f aca="false">SUM(B253:K253)</f>
        <v>0</v>
      </c>
      <c r="M253" s="27" t="n">
        <f aca="false">SUMPRODUCT(B252:K252,$B$8:$K$8)</f>
        <v>0</v>
      </c>
      <c r="N253" s="27" t="n">
        <f aca="false">MIN(B252*(1+B$8),B$9)</f>
        <v>0</v>
      </c>
      <c r="O253" s="27" t="n">
        <f aca="false">MIN(C252*(1+C$8),C$9)</f>
        <v>0</v>
      </c>
      <c r="P253" s="27" t="n">
        <f aca="false">MIN(D252*(1+D$8),D$9)</f>
        <v>0</v>
      </c>
      <c r="Q253" s="27" t="n">
        <f aca="false">MIN(E252*(1+E$8),E$9)</f>
        <v>0</v>
      </c>
      <c r="R253" s="27" t="n">
        <f aca="false">MIN(F252*(1+F$8),F$9)</f>
        <v>0</v>
      </c>
      <c r="S253" s="27" t="n">
        <f aca="false">MIN(G252*(1+G$8),G$9)</f>
        <v>0</v>
      </c>
      <c r="T253" s="27" t="n">
        <f aca="false">MIN(H252*(1+H$8),H$9)</f>
        <v>0</v>
      </c>
      <c r="U253" s="27" t="n">
        <f aca="false">MIN(I252*(1+I$8),I$9)</f>
        <v>0</v>
      </c>
      <c r="V253" s="27" t="n">
        <f aca="false">MIN(J252*(1+J$8),J$9)</f>
        <v>0</v>
      </c>
      <c r="W253" s="27" t="n">
        <f aca="false">MIN(K252*(1+K$8),K$9)</f>
        <v>0</v>
      </c>
      <c r="X253" s="27" t="n">
        <f aca="false">MIN(B252*(1+B$8),MAX(N253,$B$11-SUM(O253:W253)))</f>
        <v>0</v>
      </c>
      <c r="Y253" s="27" t="n">
        <f aca="false">MIN(C252*(1+C$8),MAX(O253,$B$11-SUM(X253:X253)-SUM(P253:W253)))</f>
        <v>0</v>
      </c>
      <c r="Z253" s="27" t="n">
        <f aca="false">MIN(D252*(1+D$8),MAX(P253,$B$11-SUM(X253:Y253)-SUM(Q253:W253)))</f>
        <v>0</v>
      </c>
      <c r="AA253" s="27" t="n">
        <f aca="false">MIN(E252*(1+E$8),MAX(Q253,$B$11-SUM(X253:Z253)-SUM(R253:W253)))</f>
        <v>0</v>
      </c>
      <c r="AB253" s="27" t="n">
        <f aca="false">MIN(F252*(1+F$8),MAX(R253,$B$11-SUM(X253:AA253)-SUM(S253:W253)))</f>
        <v>0</v>
      </c>
      <c r="AC253" s="27" t="n">
        <f aca="false">MIN(G252*(1+G$8),MAX(S253,$B$11-SUM(X253:AB253)-SUM(T253:W253)))</f>
        <v>0</v>
      </c>
      <c r="AD253" s="27" t="n">
        <f aca="false">MIN(H252*(1+H$8),MAX(T253,$B$11-SUM(X253:AC253)-SUM(U253:W253)))</f>
        <v>0</v>
      </c>
      <c r="AE253" s="27" t="n">
        <f aca="false">MIN(I252*(1+I$8),MAX(U253,$B$11-SUM(X253:AD253)-SUM(V253:W253)))</f>
        <v>0</v>
      </c>
      <c r="AF253" s="27" t="n">
        <f aca="false">MIN(J252*(1+J$8),MAX(V253,$B$11-SUM(X253:AE253)-SUM(W253:W253)))</f>
        <v>0</v>
      </c>
      <c r="AG253" s="27" t="n">
        <f aca="false">MIN(K252*(1+K$8),MAX(W253,$B$11-SUM(X253:AF253)))</f>
        <v>0</v>
      </c>
      <c r="AI253" s="27" t="n">
        <f aca="false">ROUND(MAX(0,AI252*(1+B$8)-BE253),2)</f>
        <v>0</v>
      </c>
      <c r="AJ253" s="27" t="n">
        <f aca="false">ROUND(MAX(0,AJ252*(1+C$8)-BF253),2)</f>
        <v>0</v>
      </c>
      <c r="AK253" s="27" t="n">
        <f aca="false">ROUND(MAX(0,AK252*(1+D$8)-BG253),2)</f>
        <v>0</v>
      </c>
      <c r="AL253" s="27" t="n">
        <f aca="false">ROUND(MAX(0,AL252*(1+E$8)-BH253),2)</f>
        <v>0</v>
      </c>
      <c r="AM253" s="27" t="n">
        <f aca="false">ROUND(MAX(0,AM252*(1+F$8)-BI253),2)</f>
        <v>0</v>
      </c>
      <c r="AN253" s="27" t="n">
        <f aca="false">ROUND(MAX(0,AN252*(1+G$8)-BJ253),2)</f>
        <v>0</v>
      </c>
      <c r="AO253" s="27" t="n">
        <f aca="false">ROUND(MAX(0,AO252*(1+H$8)-BK253),2)</f>
        <v>0</v>
      </c>
      <c r="AP253" s="27" t="n">
        <f aca="false">ROUND(MAX(0,AP252*(1+I$8)-BL253),2)</f>
        <v>0</v>
      </c>
      <c r="AQ253" s="27" t="n">
        <f aca="false">ROUND(MAX(0,AQ252*(1+J$8)-BM253),2)</f>
        <v>0</v>
      </c>
      <c r="AR253" s="27" t="n">
        <f aca="false">ROUND(MAX(0,AR252*(1+K$8)-BN253),2)</f>
        <v>0</v>
      </c>
      <c r="AS253" s="27" t="n">
        <f aca="false">SUM(AI253:AR253)</f>
        <v>0</v>
      </c>
      <c r="AT253" s="27" t="n">
        <f aca="false">SUMPRODUCT(AI252:AR252,$B$8:$K$8)</f>
        <v>0</v>
      </c>
      <c r="AU253" s="27" t="n">
        <f aca="false">MIN(AI252*(1+B$8),B$9)</f>
        <v>0</v>
      </c>
      <c r="AV253" s="27" t="n">
        <f aca="false">MIN(AJ252*(1+C$8),C$9)</f>
        <v>0</v>
      </c>
      <c r="AW253" s="27" t="n">
        <f aca="false">MIN(AK252*(1+D$8),D$9)</f>
        <v>0</v>
      </c>
      <c r="AX253" s="27" t="n">
        <f aca="false">MIN(AL252*(1+E$8),E$9)</f>
        <v>0</v>
      </c>
      <c r="AY253" s="27" t="n">
        <f aca="false">MIN(AM252*(1+F$8),F$9)</f>
        <v>0</v>
      </c>
      <c r="AZ253" s="27" t="n">
        <f aca="false">MIN(AN252*(1+G$8),G$9)</f>
        <v>0</v>
      </c>
      <c r="BA253" s="27" t="n">
        <f aca="false">MIN(AO252*(1+H$8),H$9)</f>
        <v>0</v>
      </c>
      <c r="BB253" s="27" t="n">
        <f aca="false">MIN(AP252*(1+I$8),I$9)</f>
        <v>0</v>
      </c>
      <c r="BC253" s="27" t="n">
        <f aca="false">MIN(AQ252*(1+J$8),J$9)</f>
        <v>0</v>
      </c>
      <c r="BD253" s="27" t="n">
        <f aca="false">MIN(AR252*(1+K$8),K$9)</f>
        <v>0</v>
      </c>
      <c r="BE253" s="27" t="n">
        <f aca="false">MIN(AI252*(1+B$8),MAX(AU253,$B$12-SUM(AV253:BD253)))</f>
        <v>0</v>
      </c>
      <c r="BF253" s="27" t="n">
        <f aca="false">MIN(AJ252*(1+C$8),MAX(AV253,$B$12-SUM(BE253:BE253)-SUM(AW253:BD253)))</f>
        <v>0</v>
      </c>
      <c r="BG253" s="27" t="n">
        <f aca="false">MIN(AK252*(1+D$8),MAX(AW253,$B$12-SUM(BE253:BF253)-SUM(AX253:BD253)))</f>
        <v>0</v>
      </c>
      <c r="BH253" s="27" t="n">
        <f aca="false">MIN(AL252*(1+E$8),MAX(AX253,$B$12-SUM(BE253:BG253)-SUM(AY253:BD253)))</f>
        <v>0</v>
      </c>
      <c r="BI253" s="27" t="n">
        <f aca="false">MIN(AM252*(1+F$8),MAX(AY253,$B$12-SUM(BE253:BH253)-SUM(AZ253:BD253)))</f>
        <v>0</v>
      </c>
      <c r="BJ253" s="27" t="n">
        <f aca="false">MIN(AN252*(1+G$8),MAX(AZ253,$B$12-SUM(BE253:BI253)-SUM(BA253:BD253)))</f>
        <v>0</v>
      </c>
      <c r="BK253" s="27" t="n">
        <f aca="false">MIN(AO252*(1+H$8),MAX(BA253,$B$12-SUM(BE253:BJ253)-SUM(BB253:BD253)))</f>
        <v>0</v>
      </c>
      <c r="BL253" s="27" t="n">
        <f aca="false">MIN(AP252*(1+I$8),MAX(BB253,$B$12-SUM(BE253:BK253)-SUM(BC253:BD253)))</f>
        <v>0</v>
      </c>
      <c r="BM253" s="27" t="n">
        <f aca="false">MIN(AQ252*(1+J$8),MAX(BC253,$B$12-SUM(BE253:BL253)-SUM(BD253:BD253)))</f>
        <v>0</v>
      </c>
      <c r="BN253" s="27" t="n">
        <f aca="false">MIN(AR252*(1+K$8),MAX(BD253,$B$12-SUM(BE253:BM253)))</f>
        <v>0</v>
      </c>
    </row>
    <row r="254" customFormat="false" ht="15" hidden="false" customHeight="false" outlineLevel="0" collapsed="false">
      <c r="A254" s="0" t="n">
        <v>240</v>
      </c>
      <c r="B254" s="27" t="n">
        <f aca="false">ROUND(MAX(0,B253*(1+B$8)-X254),2)</f>
        <v>0</v>
      </c>
      <c r="C254" s="27" t="n">
        <f aca="false">ROUND(MAX(0,C253*(1+C$8)-Y254),2)</f>
        <v>0</v>
      </c>
      <c r="D254" s="27" t="n">
        <f aca="false">ROUND(MAX(0,D253*(1+D$8)-Z254),2)</f>
        <v>0</v>
      </c>
      <c r="E254" s="27" t="n">
        <f aca="false">ROUND(MAX(0,E253*(1+E$8)-AA254),2)</f>
        <v>0</v>
      </c>
      <c r="F254" s="27" t="n">
        <f aca="false">ROUND(MAX(0,F253*(1+F$8)-AB254),2)</f>
        <v>0</v>
      </c>
      <c r="G254" s="27" t="n">
        <f aca="false">ROUND(MAX(0,G253*(1+G$8)-AC254),2)</f>
        <v>0</v>
      </c>
      <c r="H254" s="27" t="n">
        <f aca="false">ROUND(MAX(0,H253*(1+H$8)-AD254),2)</f>
        <v>0</v>
      </c>
      <c r="I254" s="27" t="n">
        <f aca="false">ROUND(MAX(0,I253*(1+I$8)-AE254),2)</f>
        <v>0</v>
      </c>
      <c r="J254" s="27" t="n">
        <f aca="false">ROUND(MAX(0,J253*(1+J$8)-AF254),2)</f>
        <v>0</v>
      </c>
      <c r="K254" s="27" t="n">
        <f aca="false">ROUND(MAX(0,K253*(1+K$8)-AG254),2)</f>
        <v>0</v>
      </c>
      <c r="L254" s="30" t="n">
        <f aca="false">SUM(B254:K254)</f>
        <v>0</v>
      </c>
      <c r="M254" s="27" t="n">
        <f aca="false">SUMPRODUCT(B253:K253,$B$8:$K$8)</f>
        <v>0</v>
      </c>
      <c r="N254" s="27" t="n">
        <f aca="false">MIN(B253*(1+B$8),B$9)</f>
        <v>0</v>
      </c>
      <c r="O254" s="27" t="n">
        <f aca="false">MIN(C253*(1+C$8),C$9)</f>
        <v>0</v>
      </c>
      <c r="P254" s="27" t="n">
        <f aca="false">MIN(D253*(1+D$8),D$9)</f>
        <v>0</v>
      </c>
      <c r="Q254" s="27" t="n">
        <f aca="false">MIN(E253*(1+E$8),E$9)</f>
        <v>0</v>
      </c>
      <c r="R254" s="27" t="n">
        <f aca="false">MIN(F253*(1+F$8),F$9)</f>
        <v>0</v>
      </c>
      <c r="S254" s="27" t="n">
        <f aca="false">MIN(G253*(1+G$8),G$9)</f>
        <v>0</v>
      </c>
      <c r="T254" s="27" t="n">
        <f aca="false">MIN(H253*(1+H$8),H$9)</f>
        <v>0</v>
      </c>
      <c r="U254" s="27" t="n">
        <f aca="false">MIN(I253*(1+I$8),I$9)</f>
        <v>0</v>
      </c>
      <c r="V254" s="27" t="n">
        <f aca="false">MIN(J253*(1+J$8),J$9)</f>
        <v>0</v>
      </c>
      <c r="W254" s="27" t="n">
        <f aca="false">MIN(K253*(1+K$8),K$9)</f>
        <v>0</v>
      </c>
      <c r="X254" s="27" t="n">
        <f aca="false">MIN(B253*(1+B$8),MAX(N254,$B$11-SUM(O254:W254)))</f>
        <v>0</v>
      </c>
      <c r="Y254" s="27" t="n">
        <f aca="false">MIN(C253*(1+C$8),MAX(O254,$B$11-SUM(X254:X254)-SUM(P254:W254)))</f>
        <v>0</v>
      </c>
      <c r="Z254" s="27" t="n">
        <f aca="false">MIN(D253*(1+D$8),MAX(P254,$B$11-SUM(X254:Y254)-SUM(Q254:W254)))</f>
        <v>0</v>
      </c>
      <c r="AA254" s="27" t="n">
        <f aca="false">MIN(E253*(1+E$8),MAX(Q254,$B$11-SUM(X254:Z254)-SUM(R254:W254)))</f>
        <v>0</v>
      </c>
      <c r="AB254" s="27" t="n">
        <f aca="false">MIN(F253*(1+F$8),MAX(R254,$B$11-SUM(X254:AA254)-SUM(S254:W254)))</f>
        <v>0</v>
      </c>
      <c r="AC254" s="27" t="n">
        <f aca="false">MIN(G253*(1+G$8),MAX(S254,$B$11-SUM(X254:AB254)-SUM(T254:W254)))</f>
        <v>0</v>
      </c>
      <c r="AD254" s="27" t="n">
        <f aca="false">MIN(H253*(1+H$8),MAX(T254,$B$11-SUM(X254:AC254)-SUM(U254:W254)))</f>
        <v>0</v>
      </c>
      <c r="AE254" s="27" t="n">
        <f aca="false">MIN(I253*(1+I$8),MAX(U254,$B$11-SUM(X254:AD254)-SUM(V254:W254)))</f>
        <v>0</v>
      </c>
      <c r="AF254" s="27" t="n">
        <f aca="false">MIN(J253*(1+J$8),MAX(V254,$B$11-SUM(X254:AE254)-SUM(W254:W254)))</f>
        <v>0</v>
      </c>
      <c r="AG254" s="27" t="n">
        <f aca="false">MIN(K253*(1+K$8),MAX(W254,$B$11-SUM(X254:AF254)))</f>
        <v>0</v>
      </c>
      <c r="AI254" s="27" t="n">
        <f aca="false">ROUND(MAX(0,AI253*(1+B$8)-BE254),2)</f>
        <v>0</v>
      </c>
      <c r="AJ254" s="27" t="n">
        <f aca="false">ROUND(MAX(0,AJ253*(1+C$8)-BF254),2)</f>
        <v>0</v>
      </c>
      <c r="AK254" s="27" t="n">
        <f aca="false">ROUND(MAX(0,AK253*(1+D$8)-BG254),2)</f>
        <v>0</v>
      </c>
      <c r="AL254" s="27" t="n">
        <f aca="false">ROUND(MAX(0,AL253*(1+E$8)-BH254),2)</f>
        <v>0</v>
      </c>
      <c r="AM254" s="27" t="n">
        <f aca="false">ROUND(MAX(0,AM253*(1+F$8)-BI254),2)</f>
        <v>0</v>
      </c>
      <c r="AN254" s="27" t="n">
        <f aca="false">ROUND(MAX(0,AN253*(1+G$8)-BJ254),2)</f>
        <v>0</v>
      </c>
      <c r="AO254" s="27" t="n">
        <f aca="false">ROUND(MAX(0,AO253*(1+H$8)-BK254),2)</f>
        <v>0</v>
      </c>
      <c r="AP254" s="27" t="n">
        <f aca="false">ROUND(MAX(0,AP253*(1+I$8)-BL254),2)</f>
        <v>0</v>
      </c>
      <c r="AQ254" s="27" t="n">
        <f aca="false">ROUND(MAX(0,AQ253*(1+J$8)-BM254),2)</f>
        <v>0</v>
      </c>
      <c r="AR254" s="27" t="n">
        <f aca="false">ROUND(MAX(0,AR253*(1+K$8)-BN254),2)</f>
        <v>0</v>
      </c>
      <c r="AS254" s="27" t="n">
        <f aca="false">SUM(AI254:AR254)</f>
        <v>0</v>
      </c>
      <c r="AT254" s="27" t="n">
        <f aca="false">SUMPRODUCT(AI253:AR253,$B$8:$K$8)</f>
        <v>0</v>
      </c>
      <c r="AU254" s="27" t="n">
        <f aca="false">MIN(AI253*(1+B$8),B$9)</f>
        <v>0</v>
      </c>
      <c r="AV254" s="27" t="n">
        <f aca="false">MIN(AJ253*(1+C$8),C$9)</f>
        <v>0</v>
      </c>
      <c r="AW254" s="27" t="n">
        <f aca="false">MIN(AK253*(1+D$8),D$9)</f>
        <v>0</v>
      </c>
      <c r="AX254" s="27" t="n">
        <f aca="false">MIN(AL253*(1+E$8),E$9)</f>
        <v>0</v>
      </c>
      <c r="AY254" s="27" t="n">
        <f aca="false">MIN(AM253*(1+F$8),F$9)</f>
        <v>0</v>
      </c>
      <c r="AZ254" s="27" t="n">
        <f aca="false">MIN(AN253*(1+G$8),G$9)</f>
        <v>0</v>
      </c>
      <c r="BA254" s="27" t="n">
        <f aca="false">MIN(AO253*(1+H$8),H$9)</f>
        <v>0</v>
      </c>
      <c r="BB254" s="27" t="n">
        <f aca="false">MIN(AP253*(1+I$8),I$9)</f>
        <v>0</v>
      </c>
      <c r="BC254" s="27" t="n">
        <f aca="false">MIN(AQ253*(1+J$8),J$9)</f>
        <v>0</v>
      </c>
      <c r="BD254" s="27" t="n">
        <f aca="false">MIN(AR253*(1+K$8),K$9)</f>
        <v>0</v>
      </c>
      <c r="BE254" s="27" t="n">
        <f aca="false">MIN(AI253*(1+B$8),MAX(AU254,$B$12-SUM(AV254:BD254)))</f>
        <v>0</v>
      </c>
      <c r="BF254" s="27" t="n">
        <f aca="false">MIN(AJ253*(1+C$8),MAX(AV254,$B$12-SUM(BE254:BE254)-SUM(AW254:BD254)))</f>
        <v>0</v>
      </c>
      <c r="BG254" s="27" t="n">
        <f aca="false">MIN(AK253*(1+D$8),MAX(AW254,$B$12-SUM(BE254:BF254)-SUM(AX254:BD254)))</f>
        <v>0</v>
      </c>
      <c r="BH254" s="27" t="n">
        <f aca="false">MIN(AL253*(1+E$8),MAX(AX254,$B$12-SUM(BE254:BG254)-SUM(AY254:BD254)))</f>
        <v>0</v>
      </c>
      <c r="BI254" s="27" t="n">
        <f aca="false">MIN(AM253*(1+F$8),MAX(AY254,$B$12-SUM(BE254:BH254)-SUM(AZ254:BD254)))</f>
        <v>0</v>
      </c>
      <c r="BJ254" s="27" t="n">
        <f aca="false">MIN(AN253*(1+G$8),MAX(AZ254,$B$12-SUM(BE254:BI254)-SUM(BA254:BD254)))</f>
        <v>0</v>
      </c>
      <c r="BK254" s="27" t="n">
        <f aca="false">MIN(AO253*(1+H$8),MAX(BA254,$B$12-SUM(BE254:BJ254)-SUM(BB254:BD254)))</f>
        <v>0</v>
      </c>
      <c r="BL254" s="27" t="n">
        <f aca="false">MIN(AP253*(1+I$8),MAX(BB254,$B$12-SUM(BE254:BK254)-SUM(BC254:BD254)))</f>
        <v>0</v>
      </c>
      <c r="BM254" s="27" t="n">
        <f aca="false">MIN(AQ253*(1+J$8),MAX(BC254,$B$12-SUM(BE254:BL254)-SUM(BD254:BD254)))</f>
        <v>0</v>
      </c>
      <c r="BN254" s="27" t="n">
        <f aca="false">MIN(AR253*(1+K$8),MAX(BD254,$B$12-SUM(BE254:BM254)))</f>
        <v>0</v>
      </c>
    </row>
    <row r="255" customFormat="false" ht="15" hidden="false" customHeight="false" outlineLevel="0" collapsed="false">
      <c r="A255" s="0" t="n">
        <v>241</v>
      </c>
      <c r="B255" s="27" t="n">
        <f aca="false">ROUND(MAX(0,B254*(1+B$8)-X255),2)</f>
        <v>0</v>
      </c>
      <c r="C255" s="27" t="n">
        <f aca="false">ROUND(MAX(0,C254*(1+C$8)-Y255),2)</f>
        <v>0</v>
      </c>
      <c r="D255" s="27" t="n">
        <f aca="false">ROUND(MAX(0,D254*(1+D$8)-Z255),2)</f>
        <v>0</v>
      </c>
      <c r="E255" s="27" t="n">
        <f aca="false">ROUND(MAX(0,E254*(1+E$8)-AA255),2)</f>
        <v>0</v>
      </c>
      <c r="F255" s="27" t="n">
        <f aca="false">ROUND(MAX(0,F254*(1+F$8)-AB255),2)</f>
        <v>0</v>
      </c>
      <c r="G255" s="27" t="n">
        <f aca="false">ROUND(MAX(0,G254*(1+G$8)-AC255),2)</f>
        <v>0</v>
      </c>
      <c r="H255" s="27" t="n">
        <f aca="false">ROUND(MAX(0,H254*(1+H$8)-AD255),2)</f>
        <v>0</v>
      </c>
      <c r="I255" s="27" t="n">
        <f aca="false">ROUND(MAX(0,I254*(1+I$8)-AE255),2)</f>
        <v>0</v>
      </c>
      <c r="J255" s="27" t="n">
        <f aca="false">ROUND(MAX(0,J254*(1+J$8)-AF255),2)</f>
        <v>0</v>
      </c>
      <c r="K255" s="27" t="n">
        <f aca="false">ROUND(MAX(0,K254*(1+K$8)-AG255),2)</f>
        <v>0</v>
      </c>
      <c r="L255" s="30" t="n">
        <f aca="false">SUM(B255:K255)</f>
        <v>0</v>
      </c>
      <c r="M255" s="27" t="n">
        <f aca="false">SUMPRODUCT(B254:K254,$B$8:$K$8)</f>
        <v>0</v>
      </c>
      <c r="N255" s="27" t="n">
        <f aca="false">MIN(B254*(1+B$8),B$9)</f>
        <v>0</v>
      </c>
      <c r="O255" s="27" t="n">
        <f aca="false">MIN(C254*(1+C$8),C$9)</f>
        <v>0</v>
      </c>
      <c r="P255" s="27" t="n">
        <f aca="false">MIN(D254*(1+D$8),D$9)</f>
        <v>0</v>
      </c>
      <c r="Q255" s="27" t="n">
        <f aca="false">MIN(E254*(1+E$8),E$9)</f>
        <v>0</v>
      </c>
      <c r="R255" s="27" t="n">
        <f aca="false">MIN(F254*(1+F$8),F$9)</f>
        <v>0</v>
      </c>
      <c r="S255" s="27" t="n">
        <f aca="false">MIN(G254*(1+G$8),G$9)</f>
        <v>0</v>
      </c>
      <c r="T255" s="27" t="n">
        <f aca="false">MIN(H254*(1+H$8),H$9)</f>
        <v>0</v>
      </c>
      <c r="U255" s="27" t="n">
        <f aca="false">MIN(I254*(1+I$8),I$9)</f>
        <v>0</v>
      </c>
      <c r="V255" s="27" t="n">
        <f aca="false">MIN(J254*(1+J$8),J$9)</f>
        <v>0</v>
      </c>
      <c r="W255" s="27" t="n">
        <f aca="false">MIN(K254*(1+K$8),K$9)</f>
        <v>0</v>
      </c>
      <c r="X255" s="27" t="n">
        <f aca="false">MIN(B254*(1+B$8),MAX(N255,$B$11-SUM(O255:W255)))</f>
        <v>0</v>
      </c>
      <c r="Y255" s="27" t="n">
        <f aca="false">MIN(C254*(1+C$8),MAX(O255,$B$11-SUM(X255:X255)-SUM(P255:W255)))</f>
        <v>0</v>
      </c>
      <c r="Z255" s="27" t="n">
        <f aca="false">MIN(D254*(1+D$8),MAX(P255,$B$11-SUM(X255:Y255)-SUM(Q255:W255)))</f>
        <v>0</v>
      </c>
      <c r="AA255" s="27" t="n">
        <f aca="false">MIN(E254*(1+E$8),MAX(Q255,$B$11-SUM(X255:Z255)-SUM(R255:W255)))</f>
        <v>0</v>
      </c>
      <c r="AB255" s="27" t="n">
        <f aca="false">MIN(F254*(1+F$8),MAX(R255,$B$11-SUM(X255:AA255)-SUM(S255:W255)))</f>
        <v>0</v>
      </c>
      <c r="AC255" s="27" t="n">
        <f aca="false">MIN(G254*(1+G$8),MAX(S255,$B$11-SUM(X255:AB255)-SUM(T255:W255)))</f>
        <v>0</v>
      </c>
      <c r="AD255" s="27" t="n">
        <f aca="false">MIN(H254*(1+H$8),MAX(T255,$B$11-SUM(X255:AC255)-SUM(U255:W255)))</f>
        <v>0</v>
      </c>
      <c r="AE255" s="27" t="n">
        <f aca="false">MIN(I254*(1+I$8),MAX(U255,$B$11-SUM(X255:AD255)-SUM(V255:W255)))</f>
        <v>0</v>
      </c>
      <c r="AF255" s="27" t="n">
        <f aca="false">MIN(J254*(1+J$8),MAX(V255,$B$11-SUM(X255:AE255)-SUM(W255:W255)))</f>
        <v>0</v>
      </c>
      <c r="AG255" s="27" t="n">
        <f aca="false">MIN(K254*(1+K$8),MAX(W255,$B$11-SUM(X255:AF255)))</f>
        <v>0</v>
      </c>
      <c r="AI255" s="27" t="n">
        <f aca="false">ROUND(MAX(0,AI254*(1+B$8)-BE255),2)</f>
        <v>0</v>
      </c>
      <c r="AJ255" s="27" t="n">
        <f aca="false">ROUND(MAX(0,AJ254*(1+C$8)-BF255),2)</f>
        <v>0</v>
      </c>
      <c r="AK255" s="27" t="n">
        <f aca="false">ROUND(MAX(0,AK254*(1+D$8)-BG255),2)</f>
        <v>0</v>
      </c>
      <c r="AL255" s="27" t="n">
        <f aca="false">ROUND(MAX(0,AL254*(1+E$8)-BH255),2)</f>
        <v>0</v>
      </c>
      <c r="AM255" s="27" t="n">
        <f aca="false">ROUND(MAX(0,AM254*(1+F$8)-BI255),2)</f>
        <v>0</v>
      </c>
      <c r="AN255" s="27" t="n">
        <f aca="false">ROUND(MAX(0,AN254*(1+G$8)-BJ255),2)</f>
        <v>0</v>
      </c>
      <c r="AO255" s="27" t="n">
        <f aca="false">ROUND(MAX(0,AO254*(1+H$8)-BK255),2)</f>
        <v>0</v>
      </c>
      <c r="AP255" s="27" t="n">
        <f aca="false">ROUND(MAX(0,AP254*(1+I$8)-BL255),2)</f>
        <v>0</v>
      </c>
      <c r="AQ255" s="27" t="n">
        <f aca="false">ROUND(MAX(0,AQ254*(1+J$8)-BM255),2)</f>
        <v>0</v>
      </c>
      <c r="AR255" s="27" t="n">
        <f aca="false">ROUND(MAX(0,AR254*(1+K$8)-BN255),2)</f>
        <v>0</v>
      </c>
      <c r="AS255" s="27" t="n">
        <f aca="false">SUM(AI255:AR255)</f>
        <v>0</v>
      </c>
      <c r="AT255" s="27" t="n">
        <f aca="false">SUMPRODUCT(AI254:AR254,$B$8:$K$8)</f>
        <v>0</v>
      </c>
      <c r="AU255" s="27" t="n">
        <f aca="false">MIN(AI254*(1+B$8),B$9)</f>
        <v>0</v>
      </c>
      <c r="AV255" s="27" t="n">
        <f aca="false">MIN(AJ254*(1+C$8),C$9)</f>
        <v>0</v>
      </c>
      <c r="AW255" s="27" t="n">
        <f aca="false">MIN(AK254*(1+D$8),D$9)</f>
        <v>0</v>
      </c>
      <c r="AX255" s="27" t="n">
        <f aca="false">MIN(AL254*(1+E$8),E$9)</f>
        <v>0</v>
      </c>
      <c r="AY255" s="27" t="n">
        <f aca="false">MIN(AM254*(1+F$8),F$9)</f>
        <v>0</v>
      </c>
      <c r="AZ255" s="27" t="n">
        <f aca="false">MIN(AN254*(1+G$8),G$9)</f>
        <v>0</v>
      </c>
      <c r="BA255" s="27" t="n">
        <f aca="false">MIN(AO254*(1+H$8),H$9)</f>
        <v>0</v>
      </c>
      <c r="BB255" s="27" t="n">
        <f aca="false">MIN(AP254*(1+I$8),I$9)</f>
        <v>0</v>
      </c>
      <c r="BC255" s="27" t="n">
        <f aca="false">MIN(AQ254*(1+J$8),J$9)</f>
        <v>0</v>
      </c>
      <c r="BD255" s="27" t="n">
        <f aca="false">MIN(AR254*(1+K$8),K$9)</f>
        <v>0</v>
      </c>
      <c r="BE255" s="27" t="n">
        <f aca="false">MIN(AI254*(1+B$8),MAX(AU255,$B$12-SUM(AV255:BD255)))</f>
        <v>0</v>
      </c>
      <c r="BF255" s="27" t="n">
        <f aca="false">MIN(AJ254*(1+C$8),MAX(AV255,$B$12-SUM(BE255:BE255)-SUM(AW255:BD255)))</f>
        <v>0</v>
      </c>
      <c r="BG255" s="27" t="n">
        <f aca="false">MIN(AK254*(1+D$8),MAX(AW255,$B$12-SUM(BE255:BF255)-SUM(AX255:BD255)))</f>
        <v>0</v>
      </c>
      <c r="BH255" s="27" t="n">
        <f aca="false">MIN(AL254*(1+E$8),MAX(AX255,$B$12-SUM(BE255:BG255)-SUM(AY255:BD255)))</f>
        <v>0</v>
      </c>
      <c r="BI255" s="27" t="n">
        <f aca="false">MIN(AM254*(1+F$8),MAX(AY255,$B$12-SUM(BE255:BH255)-SUM(AZ255:BD255)))</f>
        <v>0</v>
      </c>
      <c r="BJ255" s="27" t="n">
        <f aca="false">MIN(AN254*(1+G$8),MAX(AZ255,$B$12-SUM(BE255:BI255)-SUM(BA255:BD255)))</f>
        <v>0</v>
      </c>
      <c r="BK255" s="27" t="n">
        <f aca="false">MIN(AO254*(1+H$8),MAX(BA255,$B$12-SUM(BE255:BJ255)-SUM(BB255:BD255)))</f>
        <v>0</v>
      </c>
      <c r="BL255" s="27" t="n">
        <f aca="false">MIN(AP254*(1+I$8),MAX(BB255,$B$12-SUM(BE255:BK255)-SUM(BC255:BD255)))</f>
        <v>0</v>
      </c>
      <c r="BM255" s="27" t="n">
        <f aca="false">MIN(AQ254*(1+J$8),MAX(BC255,$B$12-SUM(BE255:BL255)-SUM(BD255:BD255)))</f>
        <v>0</v>
      </c>
      <c r="BN255" s="27" t="n">
        <f aca="false">MIN(AR254*(1+K$8),MAX(BD255,$B$12-SUM(BE255:BM255)))</f>
        <v>0</v>
      </c>
    </row>
    <row r="256" customFormat="false" ht="15" hidden="false" customHeight="false" outlineLevel="0" collapsed="false">
      <c r="A256" s="0" t="n">
        <v>242</v>
      </c>
      <c r="B256" s="27" t="n">
        <f aca="false">ROUND(MAX(0,B255*(1+B$8)-X256),2)</f>
        <v>0</v>
      </c>
      <c r="C256" s="27" t="n">
        <f aca="false">ROUND(MAX(0,C255*(1+C$8)-Y256),2)</f>
        <v>0</v>
      </c>
      <c r="D256" s="27" t="n">
        <f aca="false">ROUND(MAX(0,D255*(1+D$8)-Z256),2)</f>
        <v>0</v>
      </c>
      <c r="E256" s="27" t="n">
        <f aca="false">ROUND(MAX(0,E255*(1+E$8)-AA256),2)</f>
        <v>0</v>
      </c>
      <c r="F256" s="27" t="n">
        <f aca="false">ROUND(MAX(0,F255*(1+F$8)-AB256),2)</f>
        <v>0</v>
      </c>
      <c r="G256" s="27" t="n">
        <f aca="false">ROUND(MAX(0,G255*(1+G$8)-AC256),2)</f>
        <v>0</v>
      </c>
      <c r="H256" s="27" t="n">
        <f aca="false">ROUND(MAX(0,H255*(1+H$8)-AD256),2)</f>
        <v>0</v>
      </c>
      <c r="I256" s="27" t="n">
        <f aca="false">ROUND(MAX(0,I255*(1+I$8)-AE256),2)</f>
        <v>0</v>
      </c>
      <c r="J256" s="27" t="n">
        <f aca="false">ROUND(MAX(0,J255*(1+J$8)-AF256),2)</f>
        <v>0</v>
      </c>
      <c r="K256" s="27" t="n">
        <f aca="false">ROUND(MAX(0,K255*(1+K$8)-AG256),2)</f>
        <v>0</v>
      </c>
      <c r="L256" s="30" t="n">
        <f aca="false">SUM(B256:K256)</f>
        <v>0</v>
      </c>
      <c r="M256" s="27" t="n">
        <f aca="false">SUMPRODUCT(B255:K255,$B$8:$K$8)</f>
        <v>0</v>
      </c>
      <c r="N256" s="27" t="n">
        <f aca="false">MIN(B255*(1+B$8),B$9)</f>
        <v>0</v>
      </c>
      <c r="O256" s="27" t="n">
        <f aca="false">MIN(C255*(1+C$8),C$9)</f>
        <v>0</v>
      </c>
      <c r="P256" s="27" t="n">
        <f aca="false">MIN(D255*(1+D$8),D$9)</f>
        <v>0</v>
      </c>
      <c r="Q256" s="27" t="n">
        <f aca="false">MIN(E255*(1+E$8),E$9)</f>
        <v>0</v>
      </c>
      <c r="R256" s="27" t="n">
        <f aca="false">MIN(F255*(1+F$8),F$9)</f>
        <v>0</v>
      </c>
      <c r="S256" s="27" t="n">
        <f aca="false">MIN(G255*(1+G$8),G$9)</f>
        <v>0</v>
      </c>
      <c r="T256" s="27" t="n">
        <f aca="false">MIN(H255*(1+H$8),H$9)</f>
        <v>0</v>
      </c>
      <c r="U256" s="27" t="n">
        <f aca="false">MIN(I255*(1+I$8),I$9)</f>
        <v>0</v>
      </c>
      <c r="V256" s="27" t="n">
        <f aca="false">MIN(J255*(1+J$8),J$9)</f>
        <v>0</v>
      </c>
      <c r="W256" s="27" t="n">
        <f aca="false">MIN(K255*(1+K$8),K$9)</f>
        <v>0</v>
      </c>
      <c r="X256" s="27" t="n">
        <f aca="false">MIN(B255*(1+B$8),MAX(N256,$B$11-SUM(O256:W256)))</f>
        <v>0</v>
      </c>
      <c r="Y256" s="27" t="n">
        <f aca="false">MIN(C255*(1+C$8),MAX(O256,$B$11-SUM(X256:X256)-SUM(P256:W256)))</f>
        <v>0</v>
      </c>
      <c r="Z256" s="27" t="n">
        <f aca="false">MIN(D255*(1+D$8),MAX(P256,$B$11-SUM(X256:Y256)-SUM(Q256:W256)))</f>
        <v>0</v>
      </c>
      <c r="AA256" s="27" t="n">
        <f aca="false">MIN(E255*(1+E$8),MAX(Q256,$B$11-SUM(X256:Z256)-SUM(R256:W256)))</f>
        <v>0</v>
      </c>
      <c r="AB256" s="27" t="n">
        <f aca="false">MIN(F255*(1+F$8),MAX(R256,$B$11-SUM(X256:AA256)-SUM(S256:W256)))</f>
        <v>0</v>
      </c>
      <c r="AC256" s="27" t="n">
        <f aca="false">MIN(G255*(1+G$8),MAX(S256,$B$11-SUM(X256:AB256)-SUM(T256:W256)))</f>
        <v>0</v>
      </c>
      <c r="AD256" s="27" t="n">
        <f aca="false">MIN(H255*(1+H$8),MAX(T256,$B$11-SUM(X256:AC256)-SUM(U256:W256)))</f>
        <v>0</v>
      </c>
      <c r="AE256" s="27" t="n">
        <f aca="false">MIN(I255*(1+I$8),MAX(U256,$B$11-SUM(X256:AD256)-SUM(V256:W256)))</f>
        <v>0</v>
      </c>
      <c r="AF256" s="27" t="n">
        <f aca="false">MIN(J255*(1+J$8),MAX(V256,$B$11-SUM(X256:AE256)-SUM(W256:W256)))</f>
        <v>0</v>
      </c>
      <c r="AG256" s="27" t="n">
        <f aca="false">MIN(K255*(1+K$8),MAX(W256,$B$11-SUM(X256:AF256)))</f>
        <v>0</v>
      </c>
      <c r="AI256" s="27" t="n">
        <f aca="false">ROUND(MAX(0,AI255*(1+B$8)-BE256),2)</f>
        <v>0</v>
      </c>
      <c r="AJ256" s="27" t="n">
        <f aca="false">ROUND(MAX(0,AJ255*(1+C$8)-BF256),2)</f>
        <v>0</v>
      </c>
      <c r="AK256" s="27" t="n">
        <f aca="false">ROUND(MAX(0,AK255*(1+D$8)-BG256),2)</f>
        <v>0</v>
      </c>
      <c r="AL256" s="27" t="n">
        <f aca="false">ROUND(MAX(0,AL255*(1+E$8)-BH256),2)</f>
        <v>0</v>
      </c>
      <c r="AM256" s="27" t="n">
        <f aca="false">ROUND(MAX(0,AM255*(1+F$8)-BI256),2)</f>
        <v>0</v>
      </c>
      <c r="AN256" s="27" t="n">
        <f aca="false">ROUND(MAX(0,AN255*(1+G$8)-BJ256),2)</f>
        <v>0</v>
      </c>
      <c r="AO256" s="27" t="n">
        <f aca="false">ROUND(MAX(0,AO255*(1+H$8)-BK256),2)</f>
        <v>0</v>
      </c>
      <c r="AP256" s="27" t="n">
        <f aca="false">ROUND(MAX(0,AP255*(1+I$8)-BL256),2)</f>
        <v>0</v>
      </c>
      <c r="AQ256" s="27" t="n">
        <f aca="false">ROUND(MAX(0,AQ255*(1+J$8)-BM256),2)</f>
        <v>0</v>
      </c>
      <c r="AR256" s="27" t="n">
        <f aca="false">ROUND(MAX(0,AR255*(1+K$8)-BN256),2)</f>
        <v>0</v>
      </c>
      <c r="AS256" s="27" t="n">
        <f aca="false">SUM(AI256:AR256)</f>
        <v>0</v>
      </c>
      <c r="AT256" s="27" t="n">
        <f aca="false">SUMPRODUCT(AI255:AR255,$B$8:$K$8)</f>
        <v>0</v>
      </c>
      <c r="AU256" s="27" t="n">
        <f aca="false">MIN(AI255*(1+B$8),B$9)</f>
        <v>0</v>
      </c>
      <c r="AV256" s="27" t="n">
        <f aca="false">MIN(AJ255*(1+C$8),C$9)</f>
        <v>0</v>
      </c>
      <c r="AW256" s="27" t="n">
        <f aca="false">MIN(AK255*(1+D$8),D$9)</f>
        <v>0</v>
      </c>
      <c r="AX256" s="27" t="n">
        <f aca="false">MIN(AL255*(1+E$8),E$9)</f>
        <v>0</v>
      </c>
      <c r="AY256" s="27" t="n">
        <f aca="false">MIN(AM255*(1+F$8),F$9)</f>
        <v>0</v>
      </c>
      <c r="AZ256" s="27" t="n">
        <f aca="false">MIN(AN255*(1+G$8),G$9)</f>
        <v>0</v>
      </c>
      <c r="BA256" s="27" t="n">
        <f aca="false">MIN(AO255*(1+H$8),H$9)</f>
        <v>0</v>
      </c>
      <c r="BB256" s="27" t="n">
        <f aca="false">MIN(AP255*(1+I$8),I$9)</f>
        <v>0</v>
      </c>
      <c r="BC256" s="27" t="n">
        <f aca="false">MIN(AQ255*(1+J$8),J$9)</f>
        <v>0</v>
      </c>
      <c r="BD256" s="27" t="n">
        <f aca="false">MIN(AR255*(1+K$8),K$9)</f>
        <v>0</v>
      </c>
      <c r="BE256" s="27" t="n">
        <f aca="false">MIN(AI255*(1+B$8),MAX(AU256,$B$12-SUM(AV256:BD256)))</f>
        <v>0</v>
      </c>
      <c r="BF256" s="27" t="n">
        <f aca="false">MIN(AJ255*(1+C$8),MAX(AV256,$B$12-SUM(BE256:BE256)-SUM(AW256:BD256)))</f>
        <v>0</v>
      </c>
      <c r="BG256" s="27" t="n">
        <f aca="false">MIN(AK255*(1+D$8),MAX(AW256,$B$12-SUM(BE256:BF256)-SUM(AX256:BD256)))</f>
        <v>0</v>
      </c>
      <c r="BH256" s="27" t="n">
        <f aca="false">MIN(AL255*(1+E$8),MAX(AX256,$B$12-SUM(BE256:BG256)-SUM(AY256:BD256)))</f>
        <v>0</v>
      </c>
      <c r="BI256" s="27" t="n">
        <f aca="false">MIN(AM255*(1+F$8),MAX(AY256,$B$12-SUM(BE256:BH256)-SUM(AZ256:BD256)))</f>
        <v>0</v>
      </c>
      <c r="BJ256" s="27" t="n">
        <f aca="false">MIN(AN255*(1+G$8),MAX(AZ256,$B$12-SUM(BE256:BI256)-SUM(BA256:BD256)))</f>
        <v>0</v>
      </c>
      <c r="BK256" s="27" t="n">
        <f aca="false">MIN(AO255*(1+H$8),MAX(BA256,$B$12-SUM(BE256:BJ256)-SUM(BB256:BD256)))</f>
        <v>0</v>
      </c>
      <c r="BL256" s="27" t="n">
        <f aca="false">MIN(AP255*(1+I$8),MAX(BB256,$B$12-SUM(BE256:BK256)-SUM(BC256:BD256)))</f>
        <v>0</v>
      </c>
      <c r="BM256" s="27" t="n">
        <f aca="false">MIN(AQ255*(1+J$8),MAX(BC256,$B$12-SUM(BE256:BL256)-SUM(BD256:BD256)))</f>
        <v>0</v>
      </c>
      <c r="BN256" s="27" t="n">
        <f aca="false">MIN(AR255*(1+K$8),MAX(BD256,$B$12-SUM(BE256:BM256)))</f>
        <v>0</v>
      </c>
    </row>
    <row r="257" customFormat="false" ht="15" hidden="false" customHeight="false" outlineLevel="0" collapsed="false">
      <c r="A257" s="0" t="n">
        <v>243</v>
      </c>
      <c r="B257" s="27" t="n">
        <f aca="false">ROUND(MAX(0,B256*(1+B$8)-X257),2)</f>
        <v>0</v>
      </c>
      <c r="C257" s="27" t="n">
        <f aca="false">ROUND(MAX(0,C256*(1+C$8)-Y257),2)</f>
        <v>0</v>
      </c>
      <c r="D257" s="27" t="n">
        <f aca="false">ROUND(MAX(0,D256*(1+D$8)-Z257),2)</f>
        <v>0</v>
      </c>
      <c r="E257" s="27" t="n">
        <f aca="false">ROUND(MAX(0,E256*(1+E$8)-AA257),2)</f>
        <v>0</v>
      </c>
      <c r="F257" s="27" t="n">
        <f aca="false">ROUND(MAX(0,F256*(1+F$8)-AB257),2)</f>
        <v>0</v>
      </c>
      <c r="G257" s="27" t="n">
        <f aca="false">ROUND(MAX(0,G256*(1+G$8)-AC257),2)</f>
        <v>0</v>
      </c>
      <c r="H257" s="27" t="n">
        <f aca="false">ROUND(MAX(0,H256*(1+H$8)-AD257),2)</f>
        <v>0</v>
      </c>
      <c r="I257" s="27" t="n">
        <f aca="false">ROUND(MAX(0,I256*(1+I$8)-AE257),2)</f>
        <v>0</v>
      </c>
      <c r="J257" s="27" t="n">
        <f aca="false">ROUND(MAX(0,J256*(1+J$8)-AF257),2)</f>
        <v>0</v>
      </c>
      <c r="K257" s="27" t="n">
        <f aca="false">ROUND(MAX(0,K256*(1+K$8)-AG257),2)</f>
        <v>0</v>
      </c>
      <c r="L257" s="30" t="n">
        <f aca="false">SUM(B257:K257)</f>
        <v>0</v>
      </c>
      <c r="M257" s="27" t="n">
        <f aca="false">SUMPRODUCT(B256:K256,$B$8:$K$8)</f>
        <v>0</v>
      </c>
      <c r="N257" s="27" t="n">
        <f aca="false">MIN(B256*(1+B$8),B$9)</f>
        <v>0</v>
      </c>
      <c r="O257" s="27" t="n">
        <f aca="false">MIN(C256*(1+C$8),C$9)</f>
        <v>0</v>
      </c>
      <c r="P257" s="27" t="n">
        <f aca="false">MIN(D256*(1+D$8),D$9)</f>
        <v>0</v>
      </c>
      <c r="Q257" s="27" t="n">
        <f aca="false">MIN(E256*(1+E$8),E$9)</f>
        <v>0</v>
      </c>
      <c r="R257" s="27" t="n">
        <f aca="false">MIN(F256*(1+F$8),F$9)</f>
        <v>0</v>
      </c>
      <c r="S257" s="27" t="n">
        <f aca="false">MIN(G256*(1+G$8),G$9)</f>
        <v>0</v>
      </c>
      <c r="T257" s="27" t="n">
        <f aca="false">MIN(H256*(1+H$8),H$9)</f>
        <v>0</v>
      </c>
      <c r="U257" s="27" t="n">
        <f aca="false">MIN(I256*(1+I$8),I$9)</f>
        <v>0</v>
      </c>
      <c r="V257" s="27" t="n">
        <f aca="false">MIN(J256*(1+J$8),J$9)</f>
        <v>0</v>
      </c>
      <c r="W257" s="27" t="n">
        <f aca="false">MIN(K256*(1+K$8),K$9)</f>
        <v>0</v>
      </c>
      <c r="X257" s="27" t="n">
        <f aca="false">MIN(B256*(1+B$8),MAX(N257,$B$11-SUM(O257:W257)))</f>
        <v>0</v>
      </c>
      <c r="Y257" s="27" t="n">
        <f aca="false">MIN(C256*(1+C$8),MAX(O257,$B$11-SUM(X257:X257)-SUM(P257:W257)))</f>
        <v>0</v>
      </c>
      <c r="Z257" s="27" t="n">
        <f aca="false">MIN(D256*(1+D$8),MAX(P257,$B$11-SUM(X257:Y257)-SUM(Q257:W257)))</f>
        <v>0</v>
      </c>
      <c r="AA257" s="27" t="n">
        <f aca="false">MIN(E256*(1+E$8),MAX(Q257,$B$11-SUM(X257:Z257)-SUM(R257:W257)))</f>
        <v>0</v>
      </c>
      <c r="AB257" s="27" t="n">
        <f aca="false">MIN(F256*(1+F$8),MAX(R257,$B$11-SUM(X257:AA257)-SUM(S257:W257)))</f>
        <v>0</v>
      </c>
      <c r="AC257" s="27" t="n">
        <f aca="false">MIN(G256*(1+G$8),MAX(S257,$B$11-SUM(X257:AB257)-SUM(T257:W257)))</f>
        <v>0</v>
      </c>
      <c r="AD257" s="27" t="n">
        <f aca="false">MIN(H256*(1+H$8),MAX(T257,$B$11-SUM(X257:AC257)-SUM(U257:W257)))</f>
        <v>0</v>
      </c>
      <c r="AE257" s="27" t="n">
        <f aca="false">MIN(I256*(1+I$8),MAX(U257,$B$11-SUM(X257:AD257)-SUM(V257:W257)))</f>
        <v>0</v>
      </c>
      <c r="AF257" s="27" t="n">
        <f aca="false">MIN(J256*(1+J$8),MAX(V257,$B$11-SUM(X257:AE257)-SUM(W257:W257)))</f>
        <v>0</v>
      </c>
      <c r="AG257" s="27" t="n">
        <f aca="false">MIN(K256*(1+K$8),MAX(W257,$B$11-SUM(X257:AF257)))</f>
        <v>0</v>
      </c>
      <c r="AI257" s="27" t="n">
        <f aca="false">ROUND(MAX(0,AI256*(1+B$8)-BE257),2)</f>
        <v>0</v>
      </c>
      <c r="AJ257" s="27" t="n">
        <f aca="false">ROUND(MAX(0,AJ256*(1+C$8)-BF257),2)</f>
        <v>0</v>
      </c>
      <c r="AK257" s="27" t="n">
        <f aca="false">ROUND(MAX(0,AK256*(1+D$8)-BG257),2)</f>
        <v>0</v>
      </c>
      <c r="AL257" s="27" t="n">
        <f aca="false">ROUND(MAX(0,AL256*(1+E$8)-BH257),2)</f>
        <v>0</v>
      </c>
      <c r="AM257" s="27" t="n">
        <f aca="false">ROUND(MAX(0,AM256*(1+F$8)-BI257),2)</f>
        <v>0</v>
      </c>
      <c r="AN257" s="27" t="n">
        <f aca="false">ROUND(MAX(0,AN256*(1+G$8)-BJ257),2)</f>
        <v>0</v>
      </c>
      <c r="AO257" s="27" t="n">
        <f aca="false">ROUND(MAX(0,AO256*(1+H$8)-BK257),2)</f>
        <v>0</v>
      </c>
      <c r="AP257" s="27" t="n">
        <f aca="false">ROUND(MAX(0,AP256*(1+I$8)-BL257),2)</f>
        <v>0</v>
      </c>
      <c r="AQ257" s="27" t="n">
        <f aca="false">ROUND(MAX(0,AQ256*(1+J$8)-BM257),2)</f>
        <v>0</v>
      </c>
      <c r="AR257" s="27" t="n">
        <f aca="false">ROUND(MAX(0,AR256*(1+K$8)-BN257),2)</f>
        <v>0</v>
      </c>
      <c r="AS257" s="27" t="n">
        <f aca="false">SUM(AI257:AR257)</f>
        <v>0</v>
      </c>
      <c r="AT257" s="27" t="n">
        <f aca="false">SUMPRODUCT(AI256:AR256,$B$8:$K$8)</f>
        <v>0</v>
      </c>
      <c r="AU257" s="27" t="n">
        <f aca="false">MIN(AI256*(1+B$8),B$9)</f>
        <v>0</v>
      </c>
      <c r="AV257" s="27" t="n">
        <f aca="false">MIN(AJ256*(1+C$8),C$9)</f>
        <v>0</v>
      </c>
      <c r="AW257" s="27" t="n">
        <f aca="false">MIN(AK256*(1+D$8),D$9)</f>
        <v>0</v>
      </c>
      <c r="AX257" s="27" t="n">
        <f aca="false">MIN(AL256*(1+E$8),E$9)</f>
        <v>0</v>
      </c>
      <c r="AY257" s="27" t="n">
        <f aca="false">MIN(AM256*(1+F$8),F$9)</f>
        <v>0</v>
      </c>
      <c r="AZ257" s="27" t="n">
        <f aca="false">MIN(AN256*(1+G$8),G$9)</f>
        <v>0</v>
      </c>
      <c r="BA257" s="27" t="n">
        <f aca="false">MIN(AO256*(1+H$8),H$9)</f>
        <v>0</v>
      </c>
      <c r="BB257" s="27" t="n">
        <f aca="false">MIN(AP256*(1+I$8),I$9)</f>
        <v>0</v>
      </c>
      <c r="BC257" s="27" t="n">
        <f aca="false">MIN(AQ256*(1+J$8),J$9)</f>
        <v>0</v>
      </c>
      <c r="BD257" s="27" t="n">
        <f aca="false">MIN(AR256*(1+K$8),K$9)</f>
        <v>0</v>
      </c>
      <c r="BE257" s="27" t="n">
        <f aca="false">MIN(AI256*(1+B$8),MAX(AU257,$B$12-SUM(AV257:BD257)))</f>
        <v>0</v>
      </c>
      <c r="BF257" s="27" t="n">
        <f aca="false">MIN(AJ256*(1+C$8),MAX(AV257,$B$12-SUM(BE257:BE257)-SUM(AW257:BD257)))</f>
        <v>0</v>
      </c>
      <c r="BG257" s="27" t="n">
        <f aca="false">MIN(AK256*(1+D$8),MAX(AW257,$B$12-SUM(BE257:BF257)-SUM(AX257:BD257)))</f>
        <v>0</v>
      </c>
      <c r="BH257" s="27" t="n">
        <f aca="false">MIN(AL256*(1+E$8),MAX(AX257,$B$12-SUM(BE257:BG257)-SUM(AY257:BD257)))</f>
        <v>0</v>
      </c>
      <c r="BI257" s="27" t="n">
        <f aca="false">MIN(AM256*(1+F$8),MAX(AY257,$B$12-SUM(BE257:BH257)-SUM(AZ257:BD257)))</f>
        <v>0</v>
      </c>
      <c r="BJ257" s="27" t="n">
        <f aca="false">MIN(AN256*(1+G$8),MAX(AZ257,$B$12-SUM(BE257:BI257)-SUM(BA257:BD257)))</f>
        <v>0</v>
      </c>
      <c r="BK257" s="27" t="n">
        <f aca="false">MIN(AO256*(1+H$8),MAX(BA257,$B$12-SUM(BE257:BJ257)-SUM(BB257:BD257)))</f>
        <v>0</v>
      </c>
      <c r="BL257" s="27" t="n">
        <f aca="false">MIN(AP256*(1+I$8),MAX(BB257,$B$12-SUM(BE257:BK257)-SUM(BC257:BD257)))</f>
        <v>0</v>
      </c>
      <c r="BM257" s="27" t="n">
        <f aca="false">MIN(AQ256*(1+J$8),MAX(BC257,$B$12-SUM(BE257:BL257)-SUM(BD257:BD257)))</f>
        <v>0</v>
      </c>
      <c r="BN257" s="27" t="n">
        <f aca="false">MIN(AR256*(1+K$8),MAX(BD257,$B$12-SUM(BE257:BM257)))</f>
        <v>0</v>
      </c>
    </row>
    <row r="258" customFormat="false" ht="15" hidden="false" customHeight="false" outlineLevel="0" collapsed="false">
      <c r="A258" s="0" t="n">
        <v>244</v>
      </c>
      <c r="B258" s="27" t="n">
        <f aca="false">ROUND(MAX(0,B257*(1+B$8)-X258),2)</f>
        <v>0</v>
      </c>
      <c r="C258" s="27" t="n">
        <f aca="false">ROUND(MAX(0,C257*(1+C$8)-Y258),2)</f>
        <v>0</v>
      </c>
      <c r="D258" s="27" t="n">
        <f aca="false">ROUND(MAX(0,D257*(1+D$8)-Z258),2)</f>
        <v>0</v>
      </c>
      <c r="E258" s="27" t="n">
        <f aca="false">ROUND(MAX(0,E257*(1+E$8)-AA258),2)</f>
        <v>0</v>
      </c>
      <c r="F258" s="27" t="n">
        <f aca="false">ROUND(MAX(0,F257*(1+F$8)-AB258),2)</f>
        <v>0</v>
      </c>
      <c r="G258" s="27" t="n">
        <f aca="false">ROUND(MAX(0,G257*(1+G$8)-AC258),2)</f>
        <v>0</v>
      </c>
      <c r="H258" s="27" t="n">
        <f aca="false">ROUND(MAX(0,H257*(1+H$8)-AD258),2)</f>
        <v>0</v>
      </c>
      <c r="I258" s="27" t="n">
        <f aca="false">ROUND(MAX(0,I257*(1+I$8)-AE258),2)</f>
        <v>0</v>
      </c>
      <c r="J258" s="27" t="n">
        <f aca="false">ROUND(MAX(0,J257*(1+J$8)-AF258),2)</f>
        <v>0</v>
      </c>
      <c r="K258" s="27" t="n">
        <f aca="false">ROUND(MAX(0,K257*(1+K$8)-AG258),2)</f>
        <v>0</v>
      </c>
      <c r="L258" s="30" t="n">
        <f aca="false">SUM(B258:K258)</f>
        <v>0</v>
      </c>
      <c r="M258" s="27" t="n">
        <f aca="false">SUMPRODUCT(B257:K257,$B$8:$K$8)</f>
        <v>0</v>
      </c>
      <c r="N258" s="27" t="n">
        <f aca="false">MIN(B257*(1+B$8),B$9)</f>
        <v>0</v>
      </c>
      <c r="O258" s="27" t="n">
        <f aca="false">MIN(C257*(1+C$8),C$9)</f>
        <v>0</v>
      </c>
      <c r="P258" s="27" t="n">
        <f aca="false">MIN(D257*(1+D$8),D$9)</f>
        <v>0</v>
      </c>
      <c r="Q258" s="27" t="n">
        <f aca="false">MIN(E257*(1+E$8),E$9)</f>
        <v>0</v>
      </c>
      <c r="R258" s="27" t="n">
        <f aca="false">MIN(F257*(1+F$8),F$9)</f>
        <v>0</v>
      </c>
      <c r="S258" s="27" t="n">
        <f aca="false">MIN(G257*(1+G$8),G$9)</f>
        <v>0</v>
      </c>
      <c r="T258" s="27" t="n">
        <f aca="false">MIN(H257*(1+H$8),H$9)</f>
        <v>0</v>
      </c>
      <c r="U258" s="27" t="n">
        <f aca="false">MIN(I257*(1+I$8),I$9)</f>
        <v>0</v>
      </c>
      <c r="V258" s="27" t="n">
        <f aca="false">MIN(J257*(1+J$8),J$9)</f>
        <v>0</v>
      </c>
      <c r="W258" s="27" t="n">
        <f aca="false">MIN(K257*(1+K$8),K$9)</f>
        <v>0</v>
      </c>
      <c r="X258" s="27" t="n">
        <f aca="false">MIN(B257*(1+B$8),MAX(N258,$B$11-SUM(O258:W258)))</f>
        <v>0</v>
      </c>
      <c r="Y258" s="27" t="n">
        <f aca="false">MIN(C257*(1+C$8),MAX(O258,$B$11-SUM(X258:X258)-SUM(P258:W258)))</f>
        <v>0</v>
      </c>
      <c r="Z258" s="27" t="n">
        <f aca="false">MIN(D257*(1+D$8),MAX(P258,$B$11-SUM(X258:Y258)-SUM(Q258:W258)))</f>
        <v>0</v>
      </c>
      <c r="AA258" s="27" t="n">
        <f aca="false">MIN(E257*(1+E$8),MAX(Q258,$B$11-SUM(X258:Z258)-SUM(R258:W258)))</f>
        <v>0</v>
      </c>
      <c r="AB258" s="27" t="n">
        <f aca="false">MIN(F257*(1+F$8),MAX(R258,$B$11-SUM(X258:AA258)-SUM(S258:W258)))</f>
        <v>0</v>
      </c>
      <c r="AC258" s="27" t="n">
        <f aca="false">MIN(G257*(1+G$8),MAX(S258,$B$11-SUM(X258:AB258)-SUM(T258:W258)))</f>
        <v>0</v>
      </c>
      <c r="AD258" s="27" t="n">
        <f aca="false">MIN(H257*(1+H$8),MAX(T258,$B$11-SUM(X258:AC258)-SUM(U258:W258)))</f>
        <v>0</v>
      </c>
      <c r="AE258" s="27" t="n">
        <f aca="false">MIN(I257*(1+I$8),MAX(U258,$B$11-SUM(X258:AD258)-SUM(V258:W258)))</f>
        <v>0</v>
      </c>
      <c r="AF258" s="27" t="n">
        <f aca="false">MIN(J257*(1+J$8),MAX(V258,$B$11-SUM(X258:AE258)-SUM(W258:W258)))</f>
        <v>0</v>
      </c>
      <c r="AG258" s="27" t="n">
        <f aca="false">MIN(K257*(1+K$8),MAX(W258,$B$11-SUM(X258:AF258)))</f>
        <v>0</v>
      </c>
      <c r="AI258" s="27" t="n">
        <f aca="false">ROUND(MAX(0,AI257*(1+B$8)-BE258),2)</f>
        <v>0</v>
      </c>
      <c r="AJ258" s="27" t="n">
        <f aca="false">ROUND(MAX(0,AJ257*(1+C$8)-BF258),2)</f>
        <v>0</v>
      </c>
      <c r="AK258" s="27" t="n">
        <f aca="false">ROUND(MAX(0,AK257*(1+D$8)-BG258),2)</f>
        <v>0</v>
      </c>
      <c r="AL258" s="27" t="n">
        <f aca="false">ROUND(MAX(0,AL257*(1+E$8)-BH258),2)</f>
        <v>0</v>
      </c>
      <c r="AM258" s="27" t="n">
        <f aca="false">ROUND(MAX(0,AM257*(1+F$8)-BI258),2)</f>
        <v>0</v>
      </c>
      <c r="AN258" s="27" t="n">
        <f aca="false">ROUND(MAX(0,AN257*(1+G$8)-BJ258),2)</f>
        <v>0</v>
      </c>
      <c r="AO258" s="27" t="n">
        <f aca="false">ROUND(MAX(0,AO257*(1+H$8)-BK258),2)</f>
        <v>0</v>
      </c>
      <c r="AP258" s="27" t="n">
        <f aca="false">ROUND(MAX(0,AP257*(1+I$8)-BL258),2)</f>
        <v>0</v>
      </c>
      <c r="AQ258" s="27" t="n">
        <f aca="false">ROUND(MAX(0,AQ257*(1+J$8)-BM258),2)</f>
        <v>0</v>
      </c>
      <c r="AR258" s="27" t="n">
        <f aca="false">ROUND(MAX(0,AR257*(1+K$8)-BN258),2)</f>
        <v>0</v>
      </c>
      <c r="AS258" s="27" t="n">
        <f aca="false">SUM(AI258:AR258)</f>
        <v>0</v>
      </c>
      <c r="AT258" s="27" t="n">
        <f aca="false">SUMPRODUCT(AI257:AR257,$B$8:$K$8)</f>
        <v>0</v>
      </c>
      <c r="AU258" s="27" t="n">
        <f aca="false">MIN(AI257*(1+B$8),B$9)</f>
        <v>0</v>
      </c>
      <c r="AV258" s="27" t="n">
        <f aca="false">MIN(AJ257*(1+C$8),C$9)</f>
        <v>0</v>
      </c>
      <c r="AW258" s="27" t="n">
        <f aca="false">MIN(AK257*(1+D$8),D$9)</f>
        <v>0</v>
      </c>
      <c r="AX258" s="27" t="n">
        <f aca="false">MIN(AL257*(1+E$8),E$9)</f>
        <v>0</v>
      </c>
      <c r="AY258" s="27" t="n">
        <f aca="false">MIN(AM257*(1+F$8),F$9)</f>
        <v>0</v>
      </c>
      <c r="AZ258" s="27" t="n">
        <f aca="false">MIN(AN257*(1+G$8),G$9)</f>
        <v>0</v>
      </c>
      <c r="BA258" s="27" t="n">
        <f aca="false">MIN(AO257*(1+H$8),H$9)</f>
        <v>0</v>
      </c>
      <c r="BB258" s="27" t="n">
        <f aca="false">MIN(AP257*(1+I$8),I$9)</f>
        <v>0</v>
      </c>
      <c r="BC258" s="27" t="n">
        <f aca="false">MIN(AQ257*(1+J$8),J$9)</f>
        <v>0</v>
      </c>
      <c r="BD258" s="27" t="n">
        <f aca="false">MIN(AR257*(1+K$8),K$9)</f>
        <v>0</v>
      </c>
      <c r="BE258" s="27" t="n">
        <f aca="false">MIN(AI257*(1+B$8),MAX(AU258,$B$12-SUM(AV258:BD258)))</f>
        <v>0</v>
      </c>
      <c r="BF258" s="27" t="n">
        <f aca="false">MIN(AJ257*(1+C$8),MAX(AV258,$B$12-SUM(BE258:BE258)-SUM(AW258:BD258)))</f>
        <v>0</v>
      </c>
      <c r="BG258" s="27" t="n">
        <f aca="false">MIN(AK257*(1+D$8),MAX(AW258,$B$12-SUM(BE258:BF258)-SUM(AX258:BD258)))</f>
        <v>0</v>
      </c>
      <c r="BH258" s="27" t="n">
        <f aca="false">MIN(AL257*(1+E$8),MAX(AX258,$B$12-SUM(BE258:BG258)-SUM(AY258:BD258)))</f>
        <v>0</v>
      </c>
      <c r="BI258" s="27" t="n">
        <f aca="false">MIN(AM257*(1+F$8),MAX(AY258,$B$12-SUM(BE258:BH258)-SUM(AZ258:BD258)))</f>
        <v>0</v>
      </c>
      <c r="BJ258" s="27" t="n">
        <f aca="false">MIN(AN257*(1+G$8),MAX(AZ258,$B$12-SUM(BE258:BI258)-SUM(BA258:BD258)))</f>
        <v>0</v>
      </c>
      <c r="BK258" s="27" t="n">
        <f aca="false">MIN(AO257*(1+H$8),MAX(BA258,$B$12-SUM(BE258:BJ258)-SUM(BB258:BD258)))</f>
        <v>0</v>
      </c>
      <c r="BL258" s="27" t="n">
        <f aca="false">MIN(AP257*(1+I$8),MAX(BB258,$B$12-SUM(BE258:BK258)-SUM(BC258:BD258)))</f>
        <v>0</v>
      </c>
      <c r="BM258" s="27" t="n">
        <f aca="false">MIN(AQ257*(1+J$8),MAX(BC258,$B$12-SUM(BE258:BL258)-SUM(BD258:BD258)))</f>
        <v>0</v>
      </c>
      <c r="BN258" s="27" t="n">
        <f aca="false">MIN(AR257*(1+K$8),MAX(BD258,$B$12-SUM(BE258:BM258)))</f>
        <v>0</v>
      </c>
    </row>
    <row r="259" customFormat="false" ht="15" hidden="false" customHeight="false" outlineLevel="0" collapsed="false">
      <c r="A259" s="0" t="n">
        <v>245</v>
      </c>
      <c r="B259" s="27" t="n">
        <f aca="false">ROUND(MAX(0,B258*(1+B$8)-X259),2)</f>
        <v>0</v>
      </c>
      <c r="C259" s="27" t="n">
        <f aca="false">ROUND(MAX(0,C258*(1+C$8)-Y259),2)</f>
        <v>0</v>
      </c>
      <c r="D259" s="27" t="n">
        <f aca="false">ROUND(MAX(0,D258*(1+D$8)-Z259),2)</f>
        <v>0</v>
      </c>
      <c r="E259" s="27" t="n">
        <f aca="false">ROUND(MAX(0,E258*(1+E$8)-AA259),2)</f>
        <v>0</v>
      </c>
      <c r="F259" s="27" t="n">
        <f aca="false">ROUND(MAX(0,F258*(1+F$8)-AB259),2)</f>
        <v>0</v>
      </c>
      <c r="G259" s="27" t="n">
        <f aca="false">ROUND(MAX(0,G258*(1+G$8)-AC259),2)</f>
        <v>0</v>
      </c>
      <c r="H259" s="27" t="n">
        <f aca="false">ROUND(MAX(0,H258*(1+H$8)-AD259),2)</f>
        <v>0</v>
      </c>
      <c r="I259" s="27" t="n">
        <f aca="false">ROUND(MAX(0,I258*(1+I$8)-AE259),2)</f>
        <v>0</v>
      </c>
      <c r="J259" s="27" t="n">
        <f aca="false">ROUND(MAX(0,J258*(1+J$8)-AF259),2)</f>
        <v>0</v>
      </c>
      <c r="K259" s="27" t="n">
        <f aca="false">ROUND(MAX(0,K258*(1+K$8)-AG259),2)</f>
        <v>0</v>
      </c>
      <c r="L259" s="30" t="n">
        <f aca="false">SUM(B259:K259)</f>
        <v>0</v>
      </c>
      <c r="M259" s="27" t="n">
        <f aca="false">SUMPRODUCT(B258:K258,$B$8:$K$8)</f>
        <v>0</v>
      </c>
      <c r="N259" s="27" t="n">
        <f aca="false">MIN(B258*(1+B$8),B$9)</f>
        <v>0</v>
      </c>
      <c r="O259" s="27" t="n">
        <f aca="false">MIN(C258*(1+C$8),C$9)</f>
        <v>0</v>
      </c>
      <c r="P259" s="27" t="n">
        <f aca="false">MIN(D258*(1+D$8),D$9)</f>
        <v>0</v>
      </c>
      <c r="Q259" s="27" t="n">
        <f aca="false">MIN(E258*(1+E$8),E$9)</f>
        <v>0</v>
      </c>
      <c r="R259" s="27" t="n">
        <f aca="false">MIN(F258*(1+F$8),F$9)</f>
        <v>0</v>
      </c>
      <c r="S259" s="27" t="n">
        <f aca="false">MIN(G258*(1+G$8),G$9)</f>
        <v>0</v>
      </c>
      <c r="T259" s="27" t="n">
        <f aca="false">MIN(H258*(1+H$8),H$9)</f>
        <v>0</v>
      </c>
      <c r="U259" s="27" t="n">
        <f aca="false">MIN(I258*(1+I$8),I$9)</f>
        <v>0</v>
      </c>
      <c r="V259" s="27" t="n">
        <f aca="false">MIN(J258*(1+J$8),J$9)</f>
        <v>0</v>
      </c>
      <c r="W259" s="27" t="n">
        <f aca="false">MIN(K258*(1+K$8),K$9)</f>
        <v>0</v>
      </c>
      <c r="X259" s="27" t="n">
        <f aca="false">MIN(B258*(1+B$8),MAX(N259,$B$11-SUM(O259:W259)))</f>
        <v>0</v>
      </c>
      <c r="Y259" s="27" t="n">
        <f aca="false">MIN(C258*(1+C$8),MAX(O259,$B$11-SUM(X259:X259)-SUM(P259:W259)))</f>
        <v>0</v>
      </c>
      <c r="Z259" s="27" t="n">
        <f aca="false">MIN(D258*(1+D$8),MAX(P259,$B$11-SUM(X259:Y259)-SUM(Q259:W259)))</f>
        <v>0</v>
      </c>
      <c r="AA259" s="27" t="n">
        <f aca="false">MIN(E258*(1+E$8),MAX(Q259,$B$11-SUM(X259:Z259)-SUM(R259:W259)))</f>
        <v>0</v>
      </c>
      <c r="AB259" s="27" t="n">
        <f aca="false">MIN(F258*(1+F$8),MAX(R259,$B$11-SUM(X259:AA259)-SUM(S259:W259)))</f>
        <v>0</v>
      </c>
      <c r="AC259" s="27" t="n">
        <f aca="false">MIN(G258*(1+G$8),MAX(S259,$B$11-SUM(X259:AB259)-SUM(T259:W259)))</f>
        <v>0</v>
      </c>
      <c r="AD259" s="27" t="n">
        <f aca="false">MIN(H258*(1+H$8),MAX(T259,$B$11-SUM(X259:AC259)-SUM(U259:W259)))</f>
        <v>0</v>
      </c>
      <c r="AE259" s="27" t="n">
        <f aca="false">MIN(I258*(1+I$8),MAX(U259,$B$11-SUM(X259:AD259)-SUM(V259:W259)))</f>
        <v>0</v>
      </c>
      <c r="AF259" s="27" t="n">
        <f aca="false">MIN(J258*(1+J$8),MAX(V259,$B$11-SUM(X259:AE259)-SUM(W259:W259)))</f>
        <v>0</v>
      </c>
      <c r="AG259" s="27" t="n">
        <f aca="false">MIN(K258*(1+K$8),MAX(W259,$B$11-SUM(X259:AF259)))</f>
        <v>0</v>
      </c>
      <c r="AI259" s="27" t="n">
        <f aca="false">ROUND(MAX(0,AI258*(1+B$8)-BE259),2)</f>
        <v>0</v>
      </c>
      <c r="AJ259" s="27" t="n">
        <f aca="false">ROUND(MAX(0,AJ258*(1+C$8)-BF259),2)</f>
        <v>0</v>
      </c>
      <c r="AK259" s="27" t="n">
        <f aca="false">ROUND(MAX(0,AK258*(1+D$8)-BG259),2)</f>
        <v>0</v>
      </c>
      <c r="AL259" s="27" t="n">
        <f aca="false">ROUND(MAX(0,AL258*(1+E$8)-BH259),2)</f>
        <v>0</v>
      </c>
      <c r="AM259" s="27" t="n">
        <f aca="false">ROUND(MAX(0,AM258*(1+F$8)-BI259),2)</f>
        <v>0</v>
      </c>
      <c r="AN259" s="27" t="n">
        <f aca="false">ROUND(MAX(0,AN258*(1+G$8)-BJ259),2)</f>
        <v>0</v>
      </c>
      <c r="AO259" s="27" t="n">
        <f aca="false">ROUND(MAX(0,AO258*(1+H$8)-BK259),2)</f>
        <v>0</v>
      </c>
      <c r="AP259" s="27" t="n">
        <f aca="false">ROUND(MAX(0,AP258*(1+I$8)-BL259),2)</f>
        <v>0</v>
      </c>
      <c r="AQ259" s="27" t="n">
        <f aca="false">ROUND(MAX(0,AQ258*(1+J$8)-BM259),2)</f>
        <v>0</v>
      </c>
      <c r="AR259" s="27" t="n">
        <f aca="false">ROUND(MAX(0,AR258*(1+K$8)-BN259),2)</f>
        <v>0</v>
      </c>
      <c r="AS259" s="27" t="n">
        <f aca="false">SUM(AI259:AR259)</f>
        <v>0</v>
      </c>
      <c r="AT259" s="27" t="n">
        <f aca="false">SUMPRODUCT(AI258:AR258,$B$8:$K$8)</f>
        <v>0</v>
      </c>
      <c r="AU259" s="27" t="n">
        <f aca="false">MIN(AI258*(1+B$8),B$9)</f>
        <v>0</v>
      </c>
      <c r="AV259" s="27" t="n">
        <f aca="false">MIN(AJ258*(1+C$8),C$9)</f>
        <v>0</v>
      </c>
      <c r="AW259" s="27" t="n">
        <f aca="false">MIN(AK258*(1+D$8),D$9)</f>
        <v>0</v>
      </c>
      <c r="AX259" s="27" t="n">
        <f aca="false">MIN(AL258*(1+E$8),E$9)</f>
        <v>0</v>
      </c>
      <c r="AY259" s="27" t="n">
        <f aca="false">MIN(AM258*(1+F$8),F$9)</f>
        <v>0</v>
      </c>
      <c r="AZ259" s="27" t="n">
        <f aca="false">MIN(AN258*(1+G$8),G$9)</f>
        <v>0</v>
      </c>
      <c r="BA259" s="27" t="n">
        <f aca="false">MIN(AO258*(1+H$8),H$9)</f>
        <v>0</v>
      </c>
      <c r="BB259" s="27" t="n">
        <f aca="false">MIN(AP258*(1+I$8),I$9)</f>
        <v>0</v>
      </c>
      <c r="BC259" s="27" t="n">
        <f aca="false">MIN(AQ258*(1+J$8),J$9)</f>
        <v>0</v>
      </c>
      <c r="BD259" s="27" t="n">
        <f aca="false">MIN(AR258*(1+K$8),K$9)</f>
        <v>0</v>
      </c>
      <c r="BE259" s="27" t="n">
        <f aca="false">MIN(AI258*(1+B$8),MAX(AU259,$B$12-SUM(AV259:BD259)))</f>
        <v>0</v>
      </c>
      <c r="BF259" s="27" t="n">
        <f aca="false">MIN(AJ258*(1+C$8),MAX(AV259,$B$12-SUM(BE259:BE259)-SUM(AW259:BD259)))</f>
        <v>0</v>
      </c>
      <c r="BG259" s="27" t="n">
        <f aca="false">MIN(AK258*(1+D$8),MAX(AW259,$B$12-SUM(BE259:BF259)-SUM(AX259:BD259)))</f>
        <v>0</v>
      </c>
      <c r="BH259" s="27" t="n">
        <f aca="false">MIN(AL258*(1+E$8),MAX(AX259,$B$12-SUM(BE259:BG259)-SUM(AY259:BD259)))</f>
        <v>0</v>
      </c>
      <c r="BI259" s="27" t="n">
        <f aca="false">MIN(AM258*(1+F$8),MAX(AY259,$B$12-SUM(BE259:BH259)-SUM(AZ259:BD259)))</f>
        <v>0</v>
      </c>
      <c r="BJ259" s="27" t="n">
        <f aca="false">MIN(AN258*(1+G$8),MAX(AZ259,$B$12-SUM(BE259:BI259)-SUM(BA259:BD259)))</f>
        <v>0</v>
      </c>
      <c r="BK259" s="27" t="n">
        <f aca="false">MIN(AO258*(1+H$8),MAX(BA259,$B$12-SUM(BE259:BJ259)-SUM(BB259:BD259)))</f>
        <v>0</v>
      </c>
      <c r="BL259" s="27" t="n">
        <f aca="false">MIN(AP258*(1+I$8),MAX(BB259,$B$12-SUM(BE259:BK259)-SUM(BC259:BD259)))</f>
        <v>0</v>
      </c>
      <c r="BM259" s="27" t="n">
        <f aca="false">MIN(AQ258*(1+J$8),MAX(BC259,$B$12-SUM(BE259:BL259)-SUM(BD259:BD259)))</f>
        <v>0</v>
      </c>
      <c r="BN259" s="27" t="n">
        <f aca="false">MIN(AR258*(1+K$8),MAX(BD259,$B$12-SUM(BE259:BM259)))</f>
        <v>0</v>
      </c>
    </row>
    <row r="260" customFormat="false" ht="15" hidden="false" customHeight="false" outlineLevel="0" collapsed="false">
      <c r="A260" s="0" t="n">
        <v>246</v>
      </c>
      <c r="B260" s="27" t="n">
        <f aca="false">ROUND(MAX(0,B259*(1+B$8)-X260),2)</f>
        <v>0</v>
      </c>
      <c r="C260" s="27" t="n">
        <f aca="false">ROUND(MAX(0,C259*(1+C$8)-Y260),2)</f>
        <v>0</v>
      </c>
      <c r="D260" s="27" t="n">
        <f aca="false">ROUND(MAX(0,D259*(1+D$8)-Z260),2)</f>
        <v>0</v>
      </c>
      <c r="E260" s="27" t="n">
        <f aca="false">ROUND(MAX(0,E259*(1+E$8)-AA260),2)</f>
        <v>0</v>
      </c>
      <c r="F260" s="27" t="n">
        <f aca="false">ROUND(MAX(0,F259*(1+F$8)-AB260),2)</f>
        <v>0</v>
      </c>
      <c r="G260" s="27" t="n">
        <f aca="false">ROUND(MAX(0,G259*(1+G$8)-AC260),2)</f>
        <v>0</v>
      </c>
      <c r="H260" s="27" t="n">
        <f aca="false">ROUND(MAX(0,H259*(1+H$8)-AD260),2)</f>
        <v>0</v>
      </c>
      <c r="I260" s="27" t="n">
        <f aca="false">ROUND(MAX(0,I259*(1+I$8)-AE260),2)</f>
        <v>0</v>
      </c>
      <c r="J260" s="27" t="n">
        <f aca="false">ROUND(MAX(0,J259*(1+J$8)-AF260),2)</f>
        <v>0</v>
      </c>
      <c r="K260" s="27" t="n">
        <f aca="false">ROUND(MAX(0,K259*(1+K$8)-AG260),2)</f>
        <v>0</v>
      </c>
      <c r="L260" s="30" t="n">
        <f aca="false">SUM(B260:K260)</f>
        <v>0</v>
      </c>
      <c r="M260" s="27" t="n">
        <f aca="false">SUMPRODUCT(B259:K259,$B$8:$K$8)</f>
        <v>0</v>
      </c>
      <c r="N260" s="27" t="n">
        <f aca="false">MIN(B259*(1+B$8),B$9)</f>
        <v>0</v>
      </c>
      <c r="O260" s="27" t="n">
        <f aca="false">MIN(C259*(1+C$8),C$9)</f>
        <v>0</v>
      </c>
      <c r="P260" s="27" t="n">
        <f aca="false">MIN(D259*(1+D$8),D$9)</f>
        <v>0</v>
      </c>
      <c r="Q260" s="27" t="n">
        <f aca="false">MIN(E259*(1+E$8),E$9)</f>
        <v>0</v>
      </c>
      <c r="R260" s="27" t="n">
        <f aca="false">MIN(F259*(1+F$8),F$9)</f>
        <v>0</v>
      </c>
      <c r="S260" s="27" t="n">
        <f aca="false">MIN(G259*(1+G$8),G$9)</f>
        <v>0</v>
      </c>
      <c r="T260" s="27" t="n">
        <f aca="false">MIN(H259*(1+H$8),H$9)</f>
        <v>0</v>
      </c>
      <c r="U260" s="27" t="n">
        <f aca="false">MIN(I259*(1+I$8),I$9)</f>
        <v>0</v>
      </c>
      <c r="V260" s="27" t="n">
        <f aca="false">MIN(J259*(1+J$8),J$9)</f>
        <v>0</v>
      </c>
      <c r="W260" s="27" t="n">
        <f aca="false">MIN(K259*(1+K$8),K$9)</f>
        <v>0</v>
      </c>
      <c r="X260" s="27" t="n">
        <f aca="false">MIN(B259*(1+B$8),MAX(N260,$B$11-SUM(O260:W260)))</f>
        <v>0</v>
      </c>
      <c r="Y260" s="27" t="n">
        <f aca="false">MIN(C259*(1+C$8),MAX(O260,$B$11-SUM(X260:X260)-SUM(P260:W260)))</f>
        <v>0</v>
      </c>
      <c r="Z260" s="27" t="n">
        <f aca="false">MIN(D259*(1+D$8),MAX(P260,$B$11-SUM(X260:Y260)-SUM(Q260:W260)))</f>
        <v>0</v>
      </c>
      <c r="AA260" s="27" t="n">
        <f aca="false">MIN(E259*(1+E$8),MAX(Q260,$B$11-SUM(X260:Z260)-SUM(R260:W260)))</f>
        <v>0</v>
      </c>
      <c r="AB260" s="27" t="n">
        <f aca="false">MIN(F259*(1+F$8),MAX(R260,$B$11-SUM(X260:AA260)-SUM(S260:W260)))</f>
        <v>0</v>
      </c>
      <c r="AC260" s="27" t="n">
        <f aca="false">MIN(G259*(1+G$8),MAX(S260,$B$11-SUM(X260:AB260)-SUM(T260:W260)))</f>
        <v>0</v>
      </c>
      <c r="AD260" s="27" t="n">
        <f aca="false">MIN(H259*(1+H$8),MAX(T260,$B$11-SUM(X260:AC260)-SUM(U260:W260)))</f>
        <v>0</v>
      </c>
      <c r="AE260" s="27" t="n">
        <f aca="false">MIN(I259*(1+I$8),MAX(U260,$B$11-SUM(X260:AD260)-SUM(V260:W260)))</f>
        <v>0</v>
      </c>
      <c r="AF260" s="27" t="n">
        <f aca="false">MIN(J259*(1+J$8),MAX(V260,$B$11-SUM(X260:AE260)-SUM(W260:W260)))</f>
        <v>0</v>
      </c>
      <c r="AG260" s="27" t="n">
        <f aca="false">MIN(K259*(1+K$8),MAX(W260,$B$11-SUM(X260:AF260)))</f>
        <v>0</v>
      </c>
      <c r="AI260" s="27" t="n">
        <f aca="false">ROUND(MAX(0,AI259*(1+B$8)-BE260),2)</f>
        <v>0</v>
      </c>
      <c r="AJ260" s="27" t="n">
        <f aca="false">ROUND(MAX(0,AJ259*(1+C$8)-BF260),2)</f>
        <v>0</v>
      </c>
      <c r="AK260" s="27" t="n">
        <f aca="false">ROUND(MAX(0,AK259*(1+D$8)-BG260),2)</f>
        <v>0</v>
      </c>
      <c r="AL260" s="27" t="n">
        <f aca="false">ROUND(MAX(0,AL259*(1+E$8)-BH260),2)</f>
        <v>0</v>
      </c>
      <c r="AM260" s="27" t="n">
        <f aca="false">ROUND(MAX(0,AM259*(1+F$8)-BI260),2)</f>
        <v>0</v>
      </c>
      <c r="AN260" s="27" t="n">
        <f aca="false">ROUND(MAX(0,AN259*(1+G$8)-BJ260),2)</f>
        <v>0</v>
      </c>
      <c r="AO260" s="27" t="n">
        <f aca="false">ROUND(MAX(0,AO259*(1+H$8)-BK260),2)</f>
        <v>0</v>
      </c>
      <c r="AP260" s="27" t="n">
        <f aca="false">ROUND(MAX(0,AP259*(1+I$8)-BL260),2)</f>
        <v>0</v>
      </c>
      <c r="AQ260" s="27" t="n">
        <f aca="false">ROUND(MAX(0,AQ259*(1+J$8)-BM260),2)</f>
        <v>0</v>
      </c>
      <c r="AR260" s="27" t="n">
        <f aca="false">ROUND(MAX(0,AR259*(1+K$8)-BN260),2)</f>
        <v>0</v>
      </c>
      <c r="AS260" s="27" t="n">
        <f aca="false">SUM(AI260:AR260)</f>
        <v>0</v>
      </c>
      <c r="AT260" s="27" t="n">
        <f aca="false">SUMPRODUCT(AI259:AR259,$B$8:$K$8)</f>
        <v>0</v>
      </c>
      <c r="AU260" s="27" t="n">
        <f aca="false">MIN(AI259*(1+B$8),B$9)</f>
        <v>0</v>
      </c>
      <c r="AV260" s="27" t="n">
        <f aca="false">MIN(AJ259*(1+C$8),C$9)</f>
        <v>0</v>
      </c>
      <c r="AW260" s="27" t="n">
        <f aca="false">MIN(AK259*(1+D$8),D$9)</f>
        <v>0</v>
      </c>
      <c r="AX260" s="27" t="n">
        <f aca="false">MIN(AL259*(1+E$8),E$9)</f>
        <v>0</v>
      </c>
      <c r="AY260" s="27" t="n">
        <f aca="false">MIN(AM259*(1+F$8),F$9)</f>
        <v>0</v>
      </c>
      <c r="AZ260" s="27" t="n">
        <f aca="false">MIN(AN259*(1+G$8),G$9)</f>
        <v>0</v>
      </c>
      <c r="BA260" s="27" t="n">
        <f aca="false">MIN(AO259*(1+H$8),H$9)</f>
        <v>0</v>
      </c>
      <c r="BB260" s="27" t="n">
        <f aca="false">MIN(AP259*(1+I$8),I$9)</f>
        <v>0</v>
      </c>
      <c r="BC260" s="27" t="n">
        <f aca="false">MIN(AQ259*(1+J$8),J$9)</f>
        <v>0</v>
      </c>
      <c r="BD260" s="27" t="n">
        <f aca="false">MIN(AR259*(1+K$8),K$9)</f>
        <v>0</v>
      </c>
      <c r="BE260" s="27" t="n">
        <f aca="false">MIN(AI259*(1+B$8),MAX(AU260,$B$12-SUM(AV260:BD260)))</f>
        <v>0</v>
      </c>
      <c r="BF260" s="27" t="n">
        <f aca="false">MIN(AJ259*(1+C$8),MAX(AV260,$B$12-SUM(BE260:BE260)-SUM(AW260:BD260)))</f>
        <v>0</v>
      </c>
      <c r="BG260" s="27" t="n">
        <f aca="false">MIN(AK259*(1+D$8),MAX(AW260,$B$12-SUM(BE260:BF260)-SUM(AX260:BD260)))</f>
        <v>0</v>
      </c>
      <c r="BH260" s="27" t="n">
        <f aca="false">MIN(AL259*(1+E$8),MAX(AX260,$B$12-SUM(BE260:BG260)-SUM(AY260:BD260)))</f>
        <v>0</v>
      </c>
      <c r="BI260" s="27" t="n">
        <f aca="false">MIN(AM259*(1+F$8),MAX(AY260,$B$12-SUM(BE260:BH260)-SUM(AZ260:BD260)))</f>
        <v>0</v>
      </c>
      <c r="BJ260" s="27" t="n">
        <f aca="false">MIN(AN259*(1+G$8),MAX(AZ260,$B$12-SUM(BE260:BI260)-SUM(BA260:BD260)))</f>
        <v>0</v>
      </c>
      <c r="BK260" s="27" t="n">
        <f aca="false">MIN(AO259*(1+H$8),MAX(BA260,$B$12-SUM(BE260:BJ260)-SUM(BB260:BD260)))</f>
        <v>0</v>
      </c>
      <c r="BL260" s="27" t="n">
        <f aca="false">MIN(AP259*(1+I$8),MAX(BB260,$B$12-SUM(BE260:BK260)-SUM(BC260:BD260)))</f>
        <v>0</v>
      </c>
      <c r="BM260" s="27" t="n">
        <f aca="false">MIN(AQ259*(1+J$8),MAX(BC260,$B$12-SUM(BE260:BL260)-SUM(BD260:BD260)))</f>
        <v>0</v>
      </c>
      <c r="BN260" s="27" t="n">
        <f aca="false">MIN(AR259*(1+K$8),MAX(BD260,$B$12-SUM(BE260:BM260)))</f>
        <v>0</v>
      </c>
    </row>
    <row r="261" customFormat="false" ht="15" hidden="false" customHeight="false" outlineLevel="0" collapsed="false">
      <c r="A261" s="0" t="n">
        <v>247</v>
      </c>
      <c r="B261" s="27" t="n">
        <f aca="false">ROUND(MAX(0,B260*(1+B$8)-X261),2)</f>
        <v>0</v>
      </c>
      <c r="C261" s="27" t="n">
        <f aca="false">ROUND(MAX(0,C260*(1+C$8)-Y261),2)</f>
        <v>0</v>
      </c>
      <c r="D261" s="27" t="n">
        <f aca="false">ROUND(MAX(0,D260*(1+D$8)-Z261),2)</f>
        <v>0</v>
      </c>
      <c r="E261" s="27" t="n">
        <f aca="false">ROUND(MAX(0,E260*(1+E$8)-AA261),2)</f>
        <v>0</v>
      </c>
      <c r="F261" s="27" t="n">
        <f aca="false">ROUND(MAX(0,F260*(1+F$8)-AB261),2)</f>
        <v>0</v>
      </c>
      <c r="G261" s="27" t="n">
        <f aca="false">ROUND(MAX(0,G260*(1+G$8)-AC261),2)</f>
        <v>0</v>
      </c>
      <c r="H261" s="27" t="n">
        <f aca="false">ROUND(MAX(0,H260*(1+H$8)-AD261),2)</f>
        <v>0</v>
      </c>
      <c r="I261" s="27" t="n">
        <f aca="false">ROUND(MAX(0,I260*(1+I$8)-AE261),2)</f>
        <v>0</v>
      </c>
      <c r="J261" s="27" t="n">
        <f aca="false">ROUND(MAX(0,J260*(1+J$8)-AF261),2)</f>
        <v>0</v>
      </c>
      <c r="K261" s="27" t="n">
        <f aca="false">ROUND(MAX(0,K260*(1+K$8)-AG261),2)</f>
        <v>0</v>
      </c>
      <c r="L261" s="30" t="n">
        <f aca="false">SUM(B261:K261)</f>
        <v>0</v>
      </c>
      <c r="M261" s="27" t="n">
        <f aca="false">SUMPRODUCT(B260:K260,$B$8:$K$8)</f>
        <v>0</v>
      </c>
      <c r="N261" s="27" t="n">
        <f aca="false">MIN(B260*(1+B$8),B$9)</f>
        <v>0</v>
      </c>
      <c r="O261" s="27" t="n">
        <f aca="false">MIN(C260*(1+C$8),C$9)</f>
        <v>0</v>
      </c>
      <c r="P261" s="27" t="n">
        <f aca="false">MIN(D260*(1+D$8),D$9)</f>
        <v>0</v>
      </c>
      <c r="Q261" s="27" t="n">
        <f aca="false">MIN(E260*(1+E$8),E$9)</f>
        <v>0</v>
      </c>
      <c r="R261" s="27" t="n">
        <f aca="false">MIN(F260*(1+F$8),F$9)</f>
        <v>0</v>
      </c>
      <c r="S261" s="27" t="n">
        <f aca="false">MIN(G260*(1+G$8),G$9)</f>
        <v>0</v>
      </c>
      <c r="T261" s="27" t="n">
        <f aca="false">MIN(H260*(1+H$8),H$9)</f>
        <v>0</v>
      </c>
      <c r="U261" s="27" t="n">
        <f aca="false">MIN(I260*(1+I$8),I$9)</f>
        <v>0</v>
      </c>
      <c r="V261" s="27" t="n">
        <f aca="false">MIN(J260*(1+J$8),J$9)</f>
        <v>0</v>
      </c>
      <c r="W261" s="27" t="n">
        <f aca="false">MIN(K260*(1+K$8),K$9)</f>
        <v>0</v>
      </c>
      <c r="X261" s="27" t="n">
        <f aca="false">MIN(B260*(1+B$8),MAX(N261,$B$11-SUM(O261:W261)))</f>
        <v>0</v>
      </c>
      <c r="Y261" s="27" t="n">
        <f aca="false">MIN(C260*(1+C$8),MAX(O261,$B$11-SUM(X261:X261)-SUM(P261:W261)))</f>
        <v>0</v>
      </c>
      <c r="Z261" s="27" t="n">
        <f aca="false">MIN(D260*(1+D$8),MAX(P261,$B$11-SUM(X261:Y261)-SUM(Q261:W261)))</f>
        <v>0</v>
      </c>
      <c r="AA261" s="27" t="n">
        <f aca="false">MIN(E260*(1+E$8),MAX(Q261,$B$11-SUM(X261:Z261)-SUM(R261:W261)))</f>
        <v>0</v>
      </c>
      <c r="AB261" s="27" t="n">
        <f aca="false">MIN(F260*(1+F$8),MAX(R261,$B$11-SUM(X261:AA261)-SUM(S261:W261)))</f>
        <v>0</v>
      </c>
      <c r="AC261" s="27" t="n">
        <f aca="false">MIN(G260*(1+G$8),MAX(S261,$B$11-SUM(X261:AB261)-SUM(T261:W261)))</f>
        <v>0</v>
      </c>
      <c r="AD261" s="27" t="n">
        <f aca="false">MIN(H260*(1+H$8),MAX(T261,$B$11-SUM(X261:AC261)-SUM(U261:W261)))</f>
        <v>0</v>
      </c>
      <c r="AE261" s="27" t="n">
        <f aca="false">MIN(I260*(1+I$8),MAX(U261,$B$11-SUM(X261:AD261)-SUM(V261:W261)))</f>
        <v>0</v>
      </c>
      <c r="AF261" s="27" t="n">
        <f aca="false">MIN(J260*(1+J$8),MAX(V261,$B$11-SUM(X261:AE261)-SUM(W261:W261)))</f>
        <v>0</v>
      </c>
      <c r="AG261" s="27" t="n">
        <f aca="false">MIN(K260*(1+K$8),MAX(W261,$B$11-SUM(X261:AF261)))</f>
        <v>0</v>
      </c>
      <c r="AI261" s="27" t="n">
        <f aca="false">ROUND(MAX(0,AI260*(1+B$8)-BE261),2)</f>
        <v>0</v>
      </c>
      <c r="AJ261" s="27" t="n">
        <f aca="false">ROUND(MAX(0,AJ260*(1+C$8)-BF261),2)</f>
        <v>0</v>
      </c>
      <c r="AK261" s="27" t="n">
        <f aca="false">ROUND(MAX(0,AK260*(1+D$8)-BG261),2)</f>
        <v>0</v>
      </c>
      <c r="AL261" s="27" t="n">
        <f aca="false">ROUND(MAX(0,AL260*(1+E$8)-BH261),2)</f>
        <v>0</v>
      </c>
      <c r="AM261" s="27" t="n">
        <f aca="false">ROUND(MAX(0,AM260*(1+F$8)-BI261),2)</f>
        <v>0</v>
      </c>
      <c r="AN261" s="27" t="n">
        <f aca="false">ROUND(MAX(0,AN260*(1+G$8)-BJ261),2)</f>
        <v>0</v>
      </c>
      <c r="AO261" s="27" t="n">
        <f aca="false">ROUND(MAX(0,AO260*(1+H$8)-BK261),2)</f>
        <v>0</v>
      </c>
      <c r="AP261" s="27" t="n">
        <f aca="false">ROUND(MAX(0,AP260*(1+I$8)-BL261),2)</f>
        <v>0</v>
      </c>
      <c r="AQ261" s="27" t="n">
        <f aca="false">ROUND(MAX(0,AQ260*(1+J$8)-BM261),2)</f>
        <v>0</v>
      </c>
      <c r="AR261" s="27" t="n">
        <f aca="false">ROUND(MAX(0,AR260*(1+K$8)-BN261),2)</f>
        <v>0</v>
      </c>
      <c r="AS261" s="27" t="n">
        <f aca="false">SUM(AI261:AR261)</f>
        <v>0</v>
      </c>
      <c r="AT261" s="27" t="n">
        <f aca="false">SUMPRODUCT(AI260:AR260,$B$8:$K$8)</f>
        <v>0</v>
      </c>
      <c r="AU261" s="27" t="n">
        <f aca="false">MIN(AI260*(1+B$8),B$9)</f>
        <v>0</v>
      </c>
      <c r="AV261" s="27" t="n">
        <f aca="false">MIN(AJ260*(1+C$8),C$9)</f>
        <v>0</v>
      </c>
      <c r="AW261" s="27" t="n">
        <f aca="false">MIN(AK260*(1+D$8),D$9)</f>
        <v>0</v>
      </c>
      <c r="AX261" s="27" t="n">
        <f aca="false">MIN(AL260*(1+E$8),E$9)</f>
        <v>0</v>
      </c>
      <c r="AY261" s="27" t="n">
        <f aca="false">MIN(AM260*(1+F$8),F$9)</f>
        <v>0</v>
      </c>
      <c r="AZ261" s="27" t="n">
        <f aca="false">MIN(AN260*(1+G$8),G$9)</f>
        <v>0</v>
      </c>
      <c r="BA261" s="27" t="n">
        <f aca="false">MIN(AO260*(1+H$8),H$9)</f>
        <v>0</v>
      </c>
      <c r="BB261" s="27" t="n">
        <f aca="false">MIN(AP260*(1+I$8),I$9)</f>
        <v>0</v>
      </c>
      <c r="BC261" s="27" t="n">
        <f aca="false">MIN(AQ260*(1+J$8),J$9)</f>
        <v>0</v>
      </c>
      <c r="BD261" s="27" t="n">
        <f aca="false">MIN(AR260*(1+K$8),K$9)</f>
        <v>0</v>
      </c>
      <c r="BE261" s="27" t="n">
        <f aca="false">MIN(AI260*(1+B$8),MAX(AU261,$B$12-SUM(AV261:BD261)))</f>
        <v>0</v>
      </c>
      <c r="BF261" s="27" t="n">
        <f aca="false">MIN(AJ260*(1+C$8),MAX(AV261,$B$12-SUM(BE261:BE261)-SUM(AW261:BD261)))</f>
        <v>0</v>
      </c>
      <c r="BG261" s="27" t="n">
        <f aca="false">MIN(AK260*(1+D$8),MAX(AW261,$B$12-SUM(BE261:BF261)-SUM(AX261:BD261)))</f>
        <v>0</v>
      </c>
      <c r="BH261" s="27" t="n">
        <f aca="false">MIN(AL260*(1+E$8),MAX(AX261,$B$12-SUM(BE261:BG261)-SUM(AY261:BD261)))</f>
        <v>0</v>
      </c>
      <c r="BI261" s="27" t="n">
        <f aca="false">MIN(AM260*(1+F$8),MAX(AY261,$B$12-SUM(BE261:BH261)-SUM(AZ261:BD261)))</f>
        <v>0</v>
      </c>
      <c r="BJ261" s="27" t="n">
        <f aca="false">MIN(AN260*(1+G$8),MAX(AZ261,$B$12-SUM(BE261:BI261)-SUM(BA261:BD261)))</f>
        <v>0</v>
      </c>
      <c r="BK261" s="27" t="n">
        <f aca="false">MIN(AO260*(1+H$8),MAX(BA261,$B$12-SUM(BE261:BJ261)-SUM(BB261:BD261)))</f>
        <v>0</v>
      </c>
      <c r="BL261" s="27" t="n">
        <f aca="false">MIN(AP260*(1+I$8),MAX(BB261,$B$12-SUM(BE261:BK261)-SUM(BC261:BD261)))</f>
        <v>0</v>
      </c>
      <c r="BM261" s="27" t="n">
        <f aca="false">MIN(AQ260*(1+J$8),MAX(BC261,$B$12-SUM(BE261:BL261)-SUM(BD261:BD261)))</f>
        <v>0</v>
      </c>
      <c r="BN261" s="27" t="n">
        <f aca="false">MIN(AR260*(1+K$8),MAX(BD261,$B$12-SUM(BE261:BM261)))</f>
        <v>0</v>
      </c>
    </row>
    <row r="262" customFormat="false" ht="15" hidden="false" customHeight="false" outlineLevel="0" collapsed="false">
      <c r="A262" s="0" t="n">
        <v>248</v>
      </c>
      <c r="B262" s="27" t="n">
        <f aca="false">ROUND(MAX(0,B261*(1+B$8)-X262),2)</f>
        <v>0</v>
      </c>
      <c r="C262" s="27" t="n">
        <f aca="false">ROUND(MAX(0,C261*(1+C$8)-Y262),2)</f>
        <v>0</v>
      </c>
      <c r="D262" s="27" t="n">
        <f aca="false">ROUND(MAX(0,D261*(1+D$8)-Z262),2)</f>
        <v>0</v>
      </c>
      <c r="E262" s="27" t="n">
        <f aca="false">ROUND(MAX(0,E261*(1+E$8)-AA262),2)</f>
        <v>0</v>
      </c>
      <c r="F262" s="27" t="n">
        <f aca="false">ROUND(MAX(0,F261*(1+F$8)-AB262),2)</f>
        <v>0</v>
      </c>
      <c r="G262" s="27" t="n">
        <f aca="false">ROUND(MAX(0,G261*(1+G$8)-AC262),2)</f>
        <v>0</v>
      </c>
      <c r="H262" s="27" t="n">
        <f aca="false">ROUND(MAX(0,H261*(1+H$8)-AD262),2)</f>
        <v>0</v>
      </c>
      <c r="I262" s="27" t="n">
        <f aca="false">ROUND(MAX(0,I261*(1+I$8)-AE262),2)</f>
        <v>0</v>
      </c>
      <c r="J262" s="27" t="n">
        <f aca="false">ROUND(MAX(0,J261*(1+J$8)-AF262),2)</f>
        <v>0</v>
      </c>
      <c r="K262" s="27" t="n">
        <f aca="false">ROUND(MAX(0,K261*(1+K$8)-AG262),2)</f>
        <v>0</v>
      </c>
      <c r="L262" s="30" t="n">
        <f aca="false">SUM(B262:K262)</f>
        <v>0</v>
      </c>
      <c r="M262" s="27" t="n">
        <f aca="false">SUMPRODUCT(B261:K261,$B$8:$K$8)</f>
        <v>0</v>
      </c>
      <c r="N262" s="27" t="n">
        <f aca="false">MIN(B261*(1+B$8),B$9)</f>
        <v>0</v>
      </c>
      <c r="O262" s="27" t="n">
        <f aca="false">MIN(C261*(1+C$8),C$9)</f>
        <v>0</v>
      </c>
      <c r="P262" s="27" t="n">
        <f aca="false">MIN(D261*(1+D$8),D$9)</f>
        <v>0</v>
      </c>
      <c r="Q262" s="27" t="n">
        <f aca="false">MIN(E261*(1+E$8),E$9)</f>
        <v>0</v>
      </c>
      <c r="R262" s="27" t="n">
        <f aca="false">MIN(F261*(1+F$8),F$9)</f>
        <v>0</v>
      </c>
      <c r="S262" s="27" t="n">
        <f aca="false">MIN(G261*(1+G$8),G$9)</f>
        <v>0</v>
      </c>
      <c r="T262" s="27" t="n">
        <f aca="false">MIN(H261*(1+H$8),H$9)</f>
        <v>0</v>
      </c>
      <c r="U262" s="27" t="n">
        <f aca="false">MIN(I261*(1+I$8),I$9)</f>
        <v>0</v>
      </c>
      <c r="V262" s="27" t="n">
        <f aca="false">MIN(J261*(1+J$8),J$9)</f>
        <v>0</v>
      </c>
      <c r="W262" s="27" t="n">
        <f aca="false">MIN(K261*(1+K$8),K$9)</f>
        <v>0</v>
      </c>
      <c r="X262" s="27" t="n">
        <f aca="false">MIN(B261*(1+B$8),MAX(N262,$B$11-SUM(O262:W262)))</f>
        <v>0</v>
      </c>
      <c r="Y262" s="27" t="n">
        <f aca="false">MIN(C261*(1+C$8),MAX(O262,$B$11-SUM(X262:X262)-SUM(P262:W262)))</f>
        <v>0</v>
      </c>
      <c r="Z262" s="27" t="n">
        <f aca="false">MIN(D261*(1+D$8),MAX(P262,$B$11-SUM(X262:Y262)-SUM(Q262:W262)))</f>
        <v>0</v>
      </c>
      <c r="AA262" s="27" t="n">
        <f aca="false">MIN(E261*(1+E$8),MAX(Q262,$B$11-SUM(X262:Z262)-SUM(R262:W262)))</f>
        <v>0</v>
      </c>
      <c r="AB262" s="27" t="n">
        <f aca="false">MIN(F261*(1+F$8),MAX(R262,$B$11-SUM(X262:AA262)-SUM(S262:W262)))</f>
        <v>0</v>
      </c>
      <c r="AC262" s="27" t="n">
        <f aca="false">MIN(G261*(1+G$8),MAX(S262,$B$11-SUM(X262:AB262)-SUM(T262:W262)))</f>
        <v>0</v>
      </c>
      <c r="AD262" s="27" t="n">
        <f aca="false">MIN(H261*(1+H$8),MAX(T262,$B$11-SUM(X262:AC262)-SUM(U262:W262)))</f>
        <v>0</v>
      </c>
      <c r="AE262" s="27" t="n">
        <f aca="false">MIN(I261*(1+I$8),MAX(U262,$B$11-SUM(X262:AD262)-SUM(V262:W262)))</f>
        <v>0</v>
      </c>
      <c r="AF262" s="27" t="n">
        <f aca="false">MIN(J261*(1+J$8),MAX(V262,$B$11-SUM(X262:AE262)-SUM(W262:W262)))</f>
        <v>0</v>
      </c>
      <c r="AG262" s="27" t="n">
        <f aca="false">MIN(K261*(1+K$8),MAX(W262,$B$11-SUM(X262:AF262)))</f>
        <v>0</v>
      </c>
      <c r="AI262" s="27" t="n">
        <f aca="false">ROUND(MAX(0,AI261*(1+B$8)-BE262),2)</f>
        <v>0</v>
      </c>
      <c r="AJ262" s="27" t="n">
        <f aca="false">ROUND(MAX(0,AJ261*(1+C$8)-BF262),2)</f>
        <v>0</v>
      </c>
      <c r="AK262" s="27" t="n">
        <f aca="false">ROUND(MAX(0,AK261*(1+D$8)-BG262),2)</f>
        <v>0</v>
      </c>
      <c r="AL262" s="27" t="n">
        <f aca="false">ROUND(MAX(0,AL261*(1+E$8)-BH262),2)</f>
        <v>0</v>
      </c>
      <c r="AM262" s="27" t="n">
        <f aca="false">ROUND(MAX(0,AM261*(1+F$8)-BI262),2)</f>
        <v>0</v>
      </c>
      <c r="AN262" s="27" t="n">
        <f aca="false">ROUND(MAX(0,AN261*(1+G$8)-BJ262),2)</f>
        <v>0</v>
      </c>
      <c r="AO262" s="27" t="n">
        <f aca="false">ROUND(MAX(0,AO261*(1+H$8)-BK262),2)</f>
        <v>0</v>
      </c>
      <c r="AP262" s="27" t="n">
        <f aca="false">ROUND(MAX(0,AP261*(1+I$8)-BL262),2)</f>
        <v>0</v>
      </c>
      <c r="AQ262" s="27" t="n">
        <f aca="false">ROUND(MAX(0,AQ261*(1+J$8)-BM262),2)</f>
        <v>0</v>
      </c>
      <c r="AR262" s="27" t="n">
        <f aca="false">ROUND(MAX(0,AR261*(1+K$8)-BN262),2)</f>
        <v>0</v>
      </c>
      <c r="AS262" s="27" t="n">
        <f aca="false">SUM(AI262:AR262)</f>
        <v>0</v>
      </c>
      <c r="AT262" s="27" t="n">
        <f aca="false">SUMPRODUCT(AI261:AR261,$B$8:$K$8)</f>
        <v>0</v>
      </c>
      <c r="AU262" s="27" t="n">
        <f aca="false">MIN(AI261*(1+B$8),B$9)</f>
        <v>0</v>
      </c>
      <c r="AV262" s="27" t="n">
        <f aca="false">MIN(AJ261*(1+C$8),C$9)</f>
        <v>0</v>
      </c>
      <c r="AW262" s="27" t="n">
        <f aca="false">MIN(AK261*(1+D$8),D$9)</f>
        <v>0</v>
      </c>
      <c r="AX262" s="27" t="n">
        <f aca="false">MIN(AL261*(1+E$8),E$9)</f>
        <v>0</v>
      </c>
      <c r="AY262" s="27" t="n">
        <f aca="false">MIN(AM261*(1+F$8),F$9)</f>
        <v>0</v>
      </c>
      <c r="AZ262" s="27" t="n">
        <f aca="false">MIN(AN261*(1+G$8),G$9)</f>
        <v>0</v>
      </c>
      <c r="BA262" s="27" t="n">
        <f aca="false">MIN(AO261*(1+H$8),H$9)</f>
        <v>0</v>
      </c>
      <c r="BB262" s="27" t="n">
        <f aca="false">MIN(AP261*(1+I$8),I$9)</f>
        <v>0</v>
      </c>
      <c r="BC262" s="27" t="n">
        <f aca="false">MIN(AQ261*(1+J$8),J$9)</f>
        <v>0</v>
      </c>
      <c r="BD262" s="27" t="n">
        <f aca="false">MIN(AR261*(1+K$8),K$9)</f>
        <v>0</v>
      </c>
      <c r="BE262" s="27" t="n">
        <f aca="false">MIN(AI261*(1+B$8),MAX(AU262,$B$12-SUM(AV262:BD262)))</f>
        <v>0</v>
      </c>
      <c r="BF262" s="27" t="n">
        <f aca="false">MIN(AJ261*(1+C$8),MAX(AV262,$B$12-SUM(BE262:BE262)-SUM(AW262:BD262)))</f>
        <v>0</v>
      </c>
      <c r="BG262" s="27" t="n">
        <f aca="false">MIN(AK261*(1+D$8),MAX(AW262,$B$12-SUM(BE262:BF262)-SUM(AX262:BD262)))</f>
        <v>0</v>
      </c>
      <c r="BH262" s="27" t="n">
        <f aca="false">MIN(AL261*(1+E$8),MAX(AX262,$B$12-SUM(BE262:BG262)-SUM(AY262:BD262)))</f>
        <v>0</v>
      </c>
      <c r="BI262" s="27" t="n">
        <f aca="false">MIN(AM261*(1+F$8),MAX(AY262,$B$12-SUM(BE262:BH262)-SUM(AZ262:BD262)))</f>
        <v>0</v>
      </c>
      <c r="BJ262" s="27" t="n">
        <f aca="false">MIN(AN261*(1+G$8),MAX(AZ262,$B$12-SUM(BE262:BI262)-SUM(BA262:BD262)))</f>
        <v>0</v>
      </c>
      <c r="BK262" s="27" t="n">
        <f aca="false">MIN(AO261*(1+H$8),MAX(BA262,$B$12-SUM(BE262:BJ262)-SUM(BB262:BD262)))</f>
        <v>0</v>
      </c>
      <c r="BL262" s="27" t="n">
        <f aca="false">MIN(AP261*(1+I$8),MAX(BB262,$B$12-SUM(BE262:BK262)-SUM(BC262:BD262)))</f>
        <v>0</v>
      </c>
      <c r="BM262" s="27" t="n">
        <f aca="false">MIN(AQ261*(1+J$8),MAX(BC262,$B$12-SUM(BE262:BL262)-SUM(BD262:BD262)))</f>
        <v>0</v>
      </c>
      <c r="BN262" s="27" t="n">
        <f aca="false">MIN(AR261*(1+K$8),MAX(BD262,$B$12-SUM(BE262:BM262)))</f>
        <v>0</v>
      </c>
    </row>
    <row r="263" customFormat="false" ht="15" hidden="false" customHeight="false" outlineLevel="0" collapsed="false">
      <c r="A263" s="0" t="n">
        <v>249</v>
      </c>
      <c r="B263" s="27" t="n">
        <f aca="false">ROUND(MAX(0,B262*(1+B$8)-X263),2)</f>
        <v>0</v>
      </c>
      <c r="C263" s="27" t="n">
        <f aca="false">ROUND(MAX(0,C262*(1+C$8)-Y263),2)</f>
        <v>0</v>
      </c>
      <c r="D263" s="27" t="n">
        <f aca="false">ROUND(MAX(0,D262*(1+D$8)-Z263),2)</f>
        <v>0</v>
      </c>
      <c r="E263" s="27" t="n">
        <f aca="false">ROUND(MAX(0,E262*(1+E$8)-AA263),2)</f>
        <v>0</v>
      </c>
      <c r="F263" s="27" t="n">
        <f aca="false">ROUND(MAX(0,F262*(1+F$8)-AB263),2)</f>
        <v>0</v>
      </c>
      <c r="G263" s="27" t="n">
        <f aca="false">ROUND(MAX(0,G262*(1+G$8)-AC263),2)</f>
        <v>0</v>
      </c>
      <c r="H263" s="27" t="n">
        <f aca="false">ROUND(MAX(0,H262*(1+H$8)-AD263),2)</f>
        <v>0</v>
      </c>
      <c r="I263" s="27" t="n">
        <f aca="false">ROUND(MAX(0,I262*(1+I$8)-AE263),2)</f>
        <v>0</v>
      </c>
      <c r="J263" s="27" t="n">
        <f aca="false">ROUND(MAX(0,J262*(1+J$8)-AF263),2)</f>
        <v>0</v>
      </c>
      <c r="K263" s="27" t="n">
        <f aca="false">ROUND(MAX(0,K262*(1+K$8)-AG263),2)</f>
        <v>0</v>
      </c>
      <c r="L263" s="30" t="n">
        <f aca="false">SUM(B263:K263)</f>
        <v>0</v>
      </c>
      <c r="M263" s="27" t="n">
        <f aca="false">SUMPRODUCT(B262:K262,$B$8:$K$8)</f>
        <v>0</v>
      </c>
      <c r="N263" s="27" t="n">
        <f aca="false">MIN(B262*(1+B$8),B$9)</f>
        <v>0</v>
      </c>
      <c r="O263" s="27" t="n">
        <f aca="false">MIN(C262*(1+C$8),C$9)</f>
        <v>0</v>
      </c>
      <c r="P263" s="27" t="n">
        <f aca="false">MIN(D262*(1+D$8),D$9)</f>
        <v>0</v>
      </c>
      <c r="Q263" s="27" t="n">
        <f aca="false">MIN(E262*(1+E$8),E$9)</f>
        <v>0</v>
      </c>
      <c r="R263" s="27" t="n">
        <f aca="false">MIN(F262*(1+F$8),F$9)</f>
        <v>0</v>
      </c>
      <c r="S263" s="27" t="n">
        <f aca="false">MIN(G262*(1+G$8),G$9)</f>
        <v>0</v>
      </c>
      <c r="T263" s="27" t="n">
        <f aca="false">MIN(H262*(1+H$8),H$9)</f>
        <v>0</v>
      </c>
      <c r="U263" s="27" t="n">
        <f aca="false">MIN(I262*(1+I$8),I$9)</f>
        <v>0</v>
      </c>
      <c r="V263" s="27" t="n">
        <f aca="false">MIN(J262*(1+J$8),J$9)</f>
        <v>0</v>
      </c>
      <c r="W263" s="27" t="n">
        <f aca="false">MIN(K262*(1+K$8),K$9)</f>
        <v>0</v>
      </c>
      <c r="X263" s="27" t="n">
        <f aca="false">MIN(B262*(1+B$8),MAX(N263,$B$11-SUM(O263:W263)))</f>
        <v>0</v>
      </c>
      <c r="Y263" s="27" t="n">
        <f aca="false">MIN(C262*(1+C$8),MAX(O263,$B$11-SUM(X263:X263)-SUM(P263:W263)))</f>
        <v>0</v>
      </c>
      <c r="Z263" s="27" t="n">
        <f aca="false">MIN(D262*(1+D$8),MAX(P263,$B$11-SUM(X263:Y263)-SUM(Q263:W263)))</f>
        <v>0</v>
      </c>
      <c r="AA263" s="27" t="n">
        <f aca="false">MIN(E262*(1+E$8),MAX(Q263,$B$11-SUM(X263:Z263)-SUM(R263:W263)))</f>
        <v>0</v>
      </c>
      <c r="AB263" s="27" t="n">
        <f aca="false">MIN(F262*(1+F$8),MAX(R263,$B$11-SUM(X263:AA263)-SUM(S263:W263)))</f>
        <v>0</v>
      </c>
      <c r="AC263" s="27" t="n">
        <f aca="false">MIN(G262*(1+G$8),MAX(S263,$B$11-SUM(X263:AB263)-SUM(T263:W263)))</f>
        <v>0</v>
      </c>
      <c r="AD263" s="27" t="n">
        <f aca="false">MIN(H262*(1+H$8),MAX(T263,$B$11-SUM(X263:AC263)-SUM(U263:W263)))</f>
        <v>0</v>
      </c>
      <c r="AE263" s="27" t="n">
        <f aca="false">MIN(I262*(1+I$8),MAX(U263,$B$11-SUM(X263:AD263)-SUM(V263:W263)))</f>
        <v>0</v>
      </c>
      <c r="AF263" s="27" t="n">
        <f aca="false">MIN(J262*(1+J$8),MAX(V263,$B$11-SUM(X263:AE263)-SUM(W263:W263)))</f>
        <v>0</v>
      </c>
      <c r="AG263" s="27" t="n">
        <f aca="false">MIN(K262*(1+K$8),MAX(W263,$B$11-SUM(X263:AF263)))</f>
        <v>0</v>
      </c>
      <c r="AI263" s="27" t="n">
        <f aca="false">ROUND(MAX(0,AI262*(1+B$8)-BE263),2)</f>
        <v>0</v>
      </c>
      <c r="AJ263" s="27" t="n">
        <f aca="false">ROUND(MAX(0,AJ262*(1+C$8)-BF263),2)</f>
        <v>0</v>
      </c>
      <c r="AK263" s="27" t="n">
        <f aca="false">ROUND(MAX(0,AK262*(1+D$8)-BG263),2)</f>
        <v>0</v>
      </c>
      <c r="AL263" s="27" t="n">
        <f aca="false">ROUND(MAX(0,AL262*(1+E$8)-BH263),2)</f>
        <v>0</v>
      </c>
      <c r="AM263" s="27" t="n">
        <f aca="false">ROUND(MAX(0,AM262*(1+F$8)-BI263),2)</f>
        <v>0</v>
      </c>
      <c r="AN263" s="27" t="n">
        <f aca="false">ROUND(MAX(0,AN262*(1+G$8)-BJ263),2)</f>
        <v>0</v>
      </c>
      <c r="AO263" s="27" t="n">
        <f aca="false">ROUND(MAX(0,AO262*(1+H$8)-BK263),2)</f>
        <v>0</v>
      </c>
      <c r="AP263" s="27" t="n">
        <f aca="false">ROUND(MAX(0,AP262*(1+I$8)-BL263),2)</f>
        <v>0</v>
      </c>
      <c r="AQ263" s="27" t="n">
        <f aca="false">ROUND(MAX(0,AQ262*(1+J$8)-BM263),2)</f>
        <v>0</v>
      </c>
      <c r="AR263" s="27" t="n">
        <f aca="false">ROUND(MAX(0,AR262*(1+K$8)-BN263),2)</f>
        <v>0</v>
      </c>
      <c r="AS263" s="27" t="n">
        <f aca="false">SUM(AI263:AR263)</f>
        <v>0</v>
      </c>
      <c r="AT263" s="27" t="n">
        <f aca="false">SUMPRODUCT(AI262:AR262,$B$8:$K$8)</f>
        <v>0</v>
      </c>
      <c r="AU263" s="27" t="n">
        <f aca="false">MIN(AI262*(1+B$8),B$9)</f>
        <v>0</v>
      </c>
      <c r="AV263" s="27" t="n">
        <f aca="false">MIN(AJ262*(1+C$8),C$9)</f>
        <v>0</v>
      </c>
      <c r="AW263" s="27" t="n">
        <f aca="false">MIN(AK262*(1+D$8),D$9)</f>
        <v>0</v>
      </c>
      <c r="AX263" s="27" t="n">
        <f aca="false">MIN(AL262*(1+E$8),E$9)</f>
        <v>0</v>
      </c>
      <c r="AY263" s="27" t="n">
        <f aca="false">MIN(AM262*(1+F$8),F$9)</f>
        <v>0</v>
      </c>
      <c r="AZ263" s="27" t="n">
        <f aca="false">MIN(AN262*(1+G$8),G$9)</f>
        <v>0</v>
      </c>
      <c r="BA263" s="27" t="n">
        <f aca="false">MIN(AO262*(1+H$8),H$9)</f>
        <v>0</v>
      </c>
      <c r="BB263" s="27" t="n">
        <f aca="false">MIN(AP262*(1+I$8),I$9)</f>
        <v>0</v>
      </c>
      <c r="BC263" s="27" t="n">
        <f aca="false">MIN(AQ262*(1+J$8),J$9)</f>
        <v>0</v>
      </c>
      <c r="BD263" s="27" t="n">
        <f aca="false">MIN(AR262*(1+K$8),K$9)</f>
        <v>0</v>
      </c>
      <c r="BE263" s="27" t="n">
        <f aca="false">MIN(AI262*(1+B$8),MAX(AU263,$B$12-SUM(AV263:BD263)))</f>
        <v>0</v>
      </c>
      <c r="BF263" s="27" t="n">
        <f aca="false">MIN(AJ262*(1+C$8),MAX(AV263,$B$12-SUM(BE263:BE263)-SUM(AW263:BD263)))</f>
        <v>0</v>
      </c>
      <c r="BG263" s="27" t="n">
        <f aca="false">MIN(AK262*(1+D$8),MAX(AW263,$B$12-SUM(BE263:BF263)-SUM(AX263:BD263)))</f>
        <v>0</v>
      </c>
      <c r="BH263" s="27" t="n">
        <f aca="false">MIN(AL262*(1+E$8),MAX(AX263,$B$12-SUM(BE263:BG263)-SUM(AY263:BD263)))</f>
        <v>0</v>
      </c>
      <c r="BI263" s="27" t="n">
        <f aca="false">MIN(AM262*(1+F$8),MAX(AY263,$B$12-SUM(BE263:BH263)-SUM(AZ263:BD263)))</f>
        <v>0</v>
      </c>
      <c r="BJ263" s="27" t="n">
        <f aca="false">MIN(AN262*(1+G$8),MAX(AZ263,$B$12-SUM(BE263:BI263)-SUM(BA263:BD263)))</f>
        <v>0</v>
      </c>
      <c r="BK263" s="27" t="n">
        <f aca="false">MIN(AO262*(1+H$8),MAX(BA263,$B$12-SUM(BE263:BJ263)-SUM(BB263:BD263)))</f>
        <v>0</v>
      </c>
      <c r="BL263" s="27" t="n">
        <f aca="false">MIN(AP262*(1+I$8),MAX(BB263,$B$12-SUM(BE263:BK263)-SUM(BC263:BD263)))</f>
        <v>0</v>
      </c>
      <c r="BM263" s="27" t="n">
        <f aca="false">MIN(AQ262*(1+J$8),MAX(BC263,$B$12-SUM(BE263:BL263)-SUM(BD263:BD263)))</f>
        <v>0</v>
      </c>
      <c r="BN263" s="27" t="n">
        <f aca="false">MIN(AR262*(1+K$8),MAX(BD263,$B$12-SUM(BE263:BM263)))</f>
        <v>0</v>
      </c>
    </row>
    <row r="264" customFormat="false" ht="15" hidden="false" customHeight="false" outlineLevel="0" collapsed="false">
      <c r="A264" s="0" t="n">
        <v>250</v>
      </c>
      <c r="B264" s="27" t="n">
        <f aca="false">ROUND(MAX(0,B263*(1+B$8)-X264),2)</f>
        <v>0</v>
      </c>
      <c r="C264" s="27" t="n">
        <f aca="false">ROUND(MAX(0,C263*(1+C$8)-Y264),2)</f>
        <v>0</v>
      </c>
      <c r="D264" s="27" t="n">
        <f aca="false">ROUND(MAX(0,D263*(1+D$8)-Z264),2)</f>
        <v>0</v>
      </c>
      <c r="E264" s="27" t="n">
        <f aca="false">ROUND(MAX(0,E263*(1+E$8)-AA264),2)</f>
        <v>0</v>
      </c>
      <c r="F264" s="27" t="n">
        <f aca="false">ROUND(MAX(0,F263*(1+F$8)-AB264),2)</f>
        <v>0</v>
      </c>
      <c r="G264" s="27" t="n">
        <f aca="false">ROUND(MAX(0,G263*(1+G$8)-AC264),2)</f>
        <v>0</v>
      </c>
      <c r="H264" s="27" t="n">
        <f aca="false">ROUND(MAX(0,H263*(1+H$8)-AD264),2)</f>
        <v>0</v>
      </c>
      <c r="I264" s="27" t="n">
        <f aca="false">ROUND(MAX(0,I263*(1+I$8)-AE264),2)</f>
        <v>0</v>
      </c>
      <c r="J264" s="27" t="n">
        <f aca="false">ROUND(MAX(0,J263*(1+J$8)-AF264),2)</f>
        <v>0</v>
      </c>
      <c r="K264" s="27" t="n">
        <f aca="false">ROUND(MAX(0,K263*(1+K$8)-AG264),2)</f>
        <v>0</v>
      </c>
      <c r="L264" s="30" t="n">
        <f aca="false">SUM(B264:K264)</f>
        <v>0</v>
      </c>
      <c r="M264" s="27" t="n">
        <f aca="false">SUMPRODUCT(B263:K263,$B$8:$K$8)</f>
        <v>0</v>
      </c>
      <c r="N264" s="27" t="n">
        <f aca="false">MIN(B263*(1+B$8),B$9)</f>
        <v>0</v>
      </c>
      <c r="O264" s="27" t="n">
        <f aca="false">MIN(C263*(1+C$8),C$9)</f>
        <v>0</v>
      </c>
      <c r="P264" s="27" t="n">
        <f aca="false">MIN(D263*(1+D$8),D$9)</f>
        <v>0</v>
      </c>
      <c r="Q264" s="27" t="n">
        <f aca="false">MIN(E263*(1+E$8),E$9)</f>
        <v>0</v>
      </c>
      <c r="R264" s="27" t="n">
        <f aca="false">MIN(F263*(1+F$8),F$9)</f>
        <v>0</v>
      </c>
      <c r="S264" s="27" t="n">
        <f aca="false">MIN(G263*(1+G$8),G$9)</f>
        <v>0</v>
      </c>
      <c r="T264" s="27" t="n">
        <f aca="false">MIN(H263*(1+H$8),H$9)</f>
        <v>0</v>
      </c>
      <c r="U264" s="27" t="n">
        <f aca="false">MIN(I263*(1+I$8),I$9)</f>
        <v>0</v>
      </c>
      <c r="V264" s="27" t="n">
        <f aca="false">MIN(J263*(1+J$8),J$9)</f>
        <v>0</v>
      </c>
      <c r="W264" s="27" t="n">
        <f aca="false">MIN(K263*(1+K$8),K$9)</f>
        <v>0</v>
      </c>
      <c r="X264" s="27" t="n">
        <f aca="false">MIN(B263*(1+B$8),MAX(N264,$B$11-SUM(O264:W264)))</f>
        <v>0</v>
      </c>
      <c r="Y264" s="27" t="n">
        <f aca="false">MIN(C263*(1+C$8),MAX(O264,$B$11-SUM(X264:X264)-SUM(P264:W264)))</f>
        <v>0</v>
      </c>
      <c r="Z264" s="27" t="n">
        <f aca="false">MIN(D263*(1+D$8),MAX(P264,$B$11-SUM(X264:Y264)-SUM(Q264:W264)))</f>
        <v>0</v>
      </c>
      <c r="AA264" s="27" t="n">
        <f aca="false">MIN(E263*(1+E$8),MAX(Q264,$B$11-SUM(X264:Z264)-SUM(R264:W264)))</f>
        <v>0</v>
      </c>
      <c r="AB264" s="27" t="n">
        <f aca="false">MIN(F263*(1+F$8),MAX(R264,$B$11-SUM(X264:AA264)-SUM(S264:W264)))</f>
        <v>0</v>
      </c>
      <c r="AC264" s="27" t="n">
        <f aca="false">MIN(G263*(1+G$8),MAX(S264,$B$11-SUM(X264:AB264)-SUM(T264:W264)))</f>
        <v>0</v>
      </c>
      <c r="AD264" s="27" t="n">
        <f aca="false">MIN(H263*(1+H$8),MAX(T264,$B$11-SUM(X264:AC264)-SUM(U264:W264)))</f>
        <v>0</v>
      </c>
      <c r="AE264" s="27" t="n">
        <f aca="false">MIN(I263*(1+I$8),MAX(U264,$B$11-SUM(X264:AD264)-SUM(V264:W264)))</f>
        <v>0</v>
      </c>
      <c r="AF264" s="27" t="n">
        <f aca="false">MIN(J263*(1+J$8),MAX(V264,$B$11-SUM(X264:AE264)-SUM(W264:W264)))</f>
        <v>0</v>
      </c>
      <c r="AG264" s="27" t="n">
        <f aca="false">MIN(K263*(1+K$8),MAX(W264,$B$11-SUM(X264:AF264)))</f>
        <v>0</v>
      </c>
      <c r="AI264" s="27" t="n">
        <f aca="false">ROUND(MAX(0,AI263*(1+B$8)-BE264),2)</f>
        <v>0</v>
      </c>
      <c r="AJ264" s="27" t="n">
        <f aca="false">ROUND(MAX(0,AJ263*(1+C$8)-BF264),2)</f>
        <v>0</v>
      </c>
      <c r="AK264" s="27" t="n">
        <f aca="false">ROUND(MAX(0,AK263*(1+D$8)-BG264),2)</f>
        <v>0</v>
      </c>
      <c r="AL264" s="27" t="n">
        <f aca="false">ROUND(MAX(0,AL263*(1+E$8)-BH264),2)</f>
        <v>0</v>
      </c>
      <c r="AM264" s="27" t="n">
        <f aca="false">ROUND(MAX(0,AM263*(1+F$8)-BI264),2)</f>
        <v>0</v>
      </c>
      <c r="AN264" s="27" t="n">
        <f aca="false">ROUND(MAX(0,AN263*(1+G$8)-BJ264),2)</f>
        <v>0</v>
      </c>
      <c r="AO264" s="27" t="n">
        <f aca="false">ROUND(MAX(0,AO263*(1+H$8)-BK264),2)</f>
        <v>0</v>
      </c>
      <c r="AP264" s="27" t="n">
        <f aca="false">ROUND(MAX(0,AP263*(1+I$8)-BL264),2)</f>
        <v>0</v>
      </c>
      <c r="AQ264" s="27" t="n">
        <f aca="false">ROUND(MAX(0,AQ263*(1+J$8)-BM264),2)</f>
        <v>0</v>
      </c>
      <c r="AR264" s="27" t="n">
        <f aca="false">ROUND(MAX(0,AR263*(1+K$8)-BN264),2)</f>
        <v>0</v>
      </c>
      <c r="AS264" s="27" t="n">
        <f aca="false">SUM(AI264:AR264)</f>
        <v>0</v>
      </c>
      <c r="AT264" s="27" t="n">
        <f aca="false">SUMPRODUCT(AI263:AR263,$B$8:$K$8)</f>
        <v>0</v>
      </c>
      <c r="AU264" s="27" t="n">
        <f aca="false">MIN(AI263*(1+B$8),B$9)</f>
        <v>0</v>
      </c>
      <c r="AV264" s="27" t="n">
        <f aca="false">MIN(AJ263*(1+C$8),C$9)</f>
        <v>0</v>
      </c>
      <c r="AW264" s="27" t="n">
        <f aca="false">MIN(AK263*(1+D$8),D$9)</f>
        <v>0</v>
      </c>
      <c r="AX264" s="27" t="n">
        <f aca="false">MIN(AL263*(1+E$8),E$9)</f>
        <v>0</v>
      </c>
      <c r="AY264" s="27" t="n">
        <f aca="false">MIN(AM263*(1+F$8),F$9)</f>
        <v>0</v>
      </c>
      <c r="AZ264" s="27" t="n">
        <f aca="false">MIN(AN263*(1+G$8),G$9)</f>
        <v>0</v>
      </c>
      <c r="BA264" s="27" t="n">
        <f aca="false">MIN(AO263*(1+H$8),H$9)</f>
        <v>0</v>
      </c>
      <c r="BB264" s="27" t="n">
        <f aca="false">MIN(AP263*(1+I$8),I$9)</f>
        <v>0</v>
      </c>
      <c r="BC264" s="27" t="n">
        <f aca="false">MIN(AQ263*(1+J$8),J$9)</f>
        <v>0</v>
      </c>
      <c r="BD264" s="27" t="n">
        <f aca="false">MIN(AR263*(1+K$8),K$9)</f>
        <v>0</v>
      </c>
      <c r="BE264" s="27" t="n">
        <f aca="false">MIN(AI263*(1+B$8),MAX(AU264,$B$12-SUM(AV264:BD264)))</f>
        <v>0</v>
      </c>
      <c r="BF264" s="27" t="n">
        <f aca="false">MIN(AJ263*(1+C$8),MAX(AV264,$B$12-SUM(BE264:BE264)-SUM(AW264:BD264)))</f>
        <v>0</v>
      </c>
      <c r="BG264" s="27" t="n">
        <f aca="false">MIN(AK263*(1+D$8),MAX(AW264,$B$12-SUM(BE264:BF264)-SUM(AX264:BD264)))</f>
        <v>0</v>
      </c>
      <c r="BH264" s="27" t="n">
        <f aca="false">MIN(AL263*(1+E$8),MAX(AX264,$B$12-SUM(BE264:BG264)-SUM(AY264:BD264)))</f>
        <v>0</v>
      </c>
      <c r="BI264" s="27" t="n">
        <f aca="false">MIN(AM263*(1+F$8),MAX(AY264,$B$12-SUM(BE264:BH264)-SUM(AZ264:BD264)))</f>
        <v>0</v>
      </c>
      <c r="BJ264" s="27" t="n">
        <f aca="false">MIN(AN263*(1+G$8),MAX(AZ264,$B$12-SUM(BE264:BI264)-SUM(BA264:BD264)))</f>
        <v>0</v>
      </c>
      <c r="BK264" s="27" t="n">
        <f aca="false">MIN(AO263*(1+H$8),MAX(BA264,$B$12-SUM(BE264:BJ264)-SUM(BB264:BD264)))</f>
        <v>0</v>
      </c>
      <c r="BL264" s="27" t="n">
        <f aca="false">MIN(AP263*(1+I$8),MAX(BB264,$B$12-SUM(BE264:BK264)-SUM(BC264:BD264)))</f>
        <v>0</v>
      </c>
      <c r="BM264" s="27" t="n">
        <f aca="false">MIN(AQ263*(1+J$8),MAX(BC264,$B$12-SUM(BE264:BL264)-SUM(BD264:BD264)))</f>
        <v>0</v>
      </c>
      <c r="BN264" s="27" t="n">
        <f aca="false">MIN(AR263*(1+K$8),MAX(BD264,$B$12-SUM(BE264:BM264)))</f>
        <v>0</v>
      </c>
    </row>
    <row r="265" customFormat="false" ht="15" hidden="false" customHeight="false" outlineLevel="0" collapsed="false">
      <c r="A265" s="0" t="n">
        <v>251</v>
      </c>
      <c r="B265" s="27" t="n">
        <f aca="false">ROUND(MAX(0,B264*(1+B$8)-X265),2)</f>
        <v>0</v>
      </c>
      <c r="C265" s="27" t="n">
        <f aca="false">ROUND(MAX(0,C264*(1+C$8)-Y265),2)</f>
        <v>0</v>
      </c>
      <c r="D265" s="27" t="n">
        <f aca="false">ROUND(MAX(0,D264*(1+D$8)-Z265),2)</f>
        <v>0</v>
      </c>
      <c r="E265" s="27" t="n">
        <f aca="false">ROUND(MAX(0,E264*(1+E$8)-AA265),2)</f>
        <v>0</v>
      </c>
      <c r="F265" s="27" t="n">
        <f aca="false">ROUND(MAX(0,F264*(1+F$8)-AB265),2)</f>
        <v>0</v>
      </c>
      <c r="G265" s="27" t="n">
        <f aca="false">ROUND(MAX(0,G264*(1+G$8)-AC265),2)</f>
        <v>0</v>
      </c>
      <c r="H265" s="27" t="n">
        <f aca="false">ROUND(MAX(0,H264*(1+H$8)-AD265),2)</f>
        <v>0</v>
      </c>
      <c r="I265" s="27" t="n">
        <f aca="false">ROUND(MAX(0,I264*(1+I$8)-AE265),2)</f>
        <v>0</v>
      </c>
      <c r="J265" s="27" t="n">
        <f aca="false">ROUND(MAX(0,J264*(1+J$8)-AF265),2)</f>
        <v>0</v>
      </c>
      <c r="K265" s="27" t="n">
        <f aca="false">ROUND(MAX(0,K264*(1+K$8)-AG265),2)</f>
        <v>0</v>
      </c>
      <c r="L265" s="30" t="n">
        <f aca="false">SUM(B265:K265)</f>
        <v>0</v>
      </c>
      <c r="M265" s="27" t="n">
        <f aca="false">SUMPRODUCT(B264:K264,$B$8:$K$8)</f>
        <v>0</v>
      </c>
      <c r="N265" s="27" t="n">
        <f aca="false">MIN(B264*(1+B$8),B$9)</f>
        <v>0</v>
      </c>
      <c r="O265" s="27" t="n">
        <f aca="false">MIN(C264*(1+C$8),C$9)</f>
        <v>0</v>
      </c>
      <c r="P265" s="27" t="n">
        <f aca="false">MIN(D264*(1+D$8),D$9)</f>
        <v>0</v>
      </c>
      <c r="Q265" s="27" t="n">
        <f aca="false">MIN(E264*(1+E$8),E$9)</f>
        <v>0</v>
      </c>
      <c r="R265" s="27" t="n">
        <f aca="false">MIN(F264*(1+F$8),F$9)</f>
        <v>0</v>
      </c>
      <c r="S265" s="27" t="n">
        <f aca="false">MIN(G264*(1+G$8),G$9)</f>
        <v>0</v>
      </c>
      <c r="T265" s="27" t="n">
        <f aca="false">MIN(H264*(1+H$8),H$9)</f>
        <v>0</v>
      </c>
      <c r="U265" s="27" t="n">
        <f aca="false">MIN(I264*(1+I$8),I$9)</f>
        <v>0</v>
      </c>
      <c r="V265" s="27" t="n">
        <f aca="false">MIN(J264*(1+J$8),J$9)</f>
        <v>0</v>
      </c>
      <c r="W265" s="27" t="n">
        <f aca="false">MIN(K264*(1+K$8),K$9)</f>
        <v>0</v>
      </c>
      <c r="X265" s="27" t="n">
        <f aca="false">MIN(B264*(1+B$8),MAX(N265,$B$11-SUM(O265:W265)))</f>
        <v>0</v>
      </c>
      <c r="Y265" s="27" t="n">
        <f aca="false">MIN(C264*(1+C$8),MAX(O265,$B$11-SUM(X265:X265)-SUM(P265:W265)))</f>
        <v>0</v>
      </c>
      <c r="Z265" s="27" t="n">
        <f aca="false">MIN(D264*(1+D$8),MAX(P265,$B$11-SUM(X265:Y265)-SUM(Q265:W265)))</f>
        <v>0</v>
      </c>
      <c r="AA265" s="27" t="n">
        <f aca="false">MIN(E264*(1+E$8),MAX(Q265,$B$11-SUM(X265:Z265)-SUM(R265:W265)))</f>
        <v>0</v>
      </c>
      <c r="AB265" s="27" t="n">
        <f aca="false">MIN(F264*(1+F$8),MAX(R265,$B$11-SUM(X265:AA265)-SUM(S265:W265)))</f>
        <v>0</v>
      </c>
      <c r="AC265" s="27" t="n">
        <f aca="false">MIN(G264*(1+G$8),MAX(S265,$B$11-SUM(X265:AB265)-SUM(T265:W265)))</f>
        <v>0</v>
      </c>
      <c r="AD265" s="27" t="n">
        <f aca="false">MIN(H264*(1+H$8),MAX(T265,$B$11-SUM(X265:AC265)-SUM(U265:W265)))</f>
        <v>0</v>
      </c>
      <c r="AE265" s="27" t="n">
        <f aca="false">MIN(I264*(1+I$8),MAX(U265,$B$11-SUM(X265:AD265)-SUM(V265:W265)))</f>
        <v>0</v>
      </c>
      <c r="AF265" s="27" t="n">
        <f aca="false">MIN(J264*(1+J$8),MAX(V265,$B$11-SUM(X265:AE265)-SUM(W265:W265)))</f>
        <v>0</v>
      </c>
      <c r="AG265" s="27" t="n">
        <f aca="false">MIN(K264*(1+K$8),MAX(W265,$B$11-SUM(X265:AF265)))</f>
        <v>0</v>
      </c>
      <c r="AI265" s="27" t="n">
        <f aca="false">ROUND(MAX(0,AI264*(1+B$8)-BE265),2)</f>
        <v>0</v>
      </c>
      <c r="AJ265" s="27" t="n">
        <f aca="false">ROUND(MAX(0,AJ264*(1+C$8)-BF265),2)</f>
        <v>0</v>
      </c>
      <c r="AK265" s="27" t="n">
        <f aca="false">ROUND(MAX(0,AK264*(1+D$8)-BG265),2)</f>
        <v>0</v>
      </c>
      <c r="AL265" s="27" t="n">
        <f aca="false">ROUND(MAX(0,AL264*(1+E$8)-BH265),2)</f>
        <v>0</v>
      </c>
      <c r="AM265" s="27" t="n">
        <f aca="false">ROUND(MAX(0,AM264*(1+F$8)-BI265),2)</f>
        <v>0</v>
      </c>
      <c r="AN265" s="27" t="n">
        <f aca="false">ROUND(MAX(0,AN264*(1+G$8)-BJ265),2)</f>
        <v>0</v>
      </c>
      <c r="AO265" s="27" t="n">
        <f aca="false">ROUND(MAX(0,AO264*(1+H$8)-BK265),2)</f>
        <v>0</v>
      </c>
      <c r="AP265" s="27" t="n">
        <f aca="false">ROUND(MAX(0,AP264*(1+I$8)-BL265),2)</f>
        <v>0</v>
      </c>
      <c r="AQ265" s="27" t="n">
        <f aca="false">ROUND(MAX(0,AQ264*(1+J$8)-BM265),2)</f>
        <v>0</v>
      </c>
      <c r="AR265" s="27" t="n">
        <f aca="false">ROUND(MAX(0,AR264*(1+K$8)-BN265),2)</f>
        <v>0</v>
      </c>
      <c r="AS265" s="27" t="n">
        <f aca="false">SUM(AI265:AR265)</f>
        <v>0</v>
      </c>
      <c r="AT265" s="27" t="n">
        <f aca="false">SUMPRODUCT(AI264:AR264,$B$8:$K$8)</f>
        <v>0</v>
      </c>
      <c r="AU265" s="27" t="n">
        <f aca="false">MIN(AI264*(1+B$8),B$9)</f>
        <v>0</v>
      </c>
      <c r="AV265" s="27" t="n">
        <f aca="false">MIN(AJ264*(1+C$8),C$9)</f>
        <v>0</v>
      </c>
      <c r="AW265" s="27" t="n">
        <f aca="false">MIN(AK264*(1+D$8),D$9)</f>
        <v>0</v>
      </c>
      <c r="AX265" s="27" t="n">
        <f aca="false">MIN(AL264*(1+E$8),E$9)</f>
        <v>0</v>
      </c>
      <c r="AY265" s="27" t="n">
        <f aca="false">MIN(AM264*(1+F$8),F$9)</f>
        <v>0</v>
      </c>
      <c r="AZ265" s="27" t="n">
        <f aca="false">MIN(AN264*(1+G$8),G$9)</f>
        <v>0</v>
      </c>
      <c r="BA265" s="27" t="n">
        <f aca="false">MIN(AO264*(1+H$8),H$9)</f>
        <v>0</v>
      </c>
      <c r="BB265" s="27" t="n">
        <f aca="false">MIN(AP264*(1+I$8),I$9)</f>
        <v>0</v>
      </c>
      <c r="BC265" s="27" t="n">
        <f aca="false">MIN(AQ264*(1+J$8),J$9)</f>
        <v>0</v>
      </c>
      <c r="BD265" s="27" t="n">
        <f aca="false">MIN(AR264*(1+K$8),K$9)</f>
        <v>0</v>
      </c>
      <c r="BE265" s="27" t="n">
        <f aca="false">MIN(AI264*(1+B$8),MAX(AU265,$B$12-SUM(AV265:BD265)))</f>
        <v>0</v>
      </c>
      <c r="BF265" s="27" t="n">
        <f aca="false">MIN(AJ264*(1+C$8),MAX(AV265,$B$12-SUM(BE265:BE265)-SUM(AW265:BD265)))</f>
        <v>0</v>
      </c>
      <c r="BG265" s="27" t="n">
        <f aca="false">MIN(AK264*(1+D$8),MAX(AW265,$B$12-SUM(BE265:BF265)-SUM(AX265:BD265)))</f>
        <v>0</v>
      </c>
      <c r="BH265" s="27" t="n">
        <f aca="false">MIN(AL264*(1+E$8),MAX(AX265,$B$12-SUM(BE265:BG265)-SUM(AY265:BD265)))</f>
        <v>0</v>
      </c>
      <c r="BI265" s="27" t="n">
        <f aca="false">MIN(AM264*(1+F$8),MAX(AY265,$B$12-SUM(BE265:BH265)-SUM(AZ265:BD265)))</f>
        <v>0</v>
      </c>
      <c r="BJ265" s="27" t="n">
        <f aca="false">MIN(AN264*(1+G$8),MAX(AZ265,$B$12-SUM(BE265:BI265)-SUM(BA265:BD265)))</f>
        <v>0</v>
      </c>
      <c r="BK265" s="27" t="n">
        <f aca="false">MIN(AO264*(1+H$8),MAX(BA265,$B$12-SUM(BE265:BJ265)-SUM(BB265:BD265)))</f>
        <v>0</v>
      </c>
      <c r="BL265" s="27" t="n">
        <f aca="false">MIN(AP264*(1+I$8),MAX(BB265,$B$12-SUM(BE265:BK265)-SUM(BC265:BD265)))</f>
        <v>0</v>
      </c>
      <c r="BM265" s="27" t="n">
        <f aca="false">MIN(AQ264*(1+J$8),MAX(BC265,$B$12-SUM(BE265:BL265)-SUM(BD265:BD265)))</f>
        <v>0</v>
      </c>
      <c r="BN265" s="27" t="n">
        <f aca="false">MIN(AR264*(1+K$8),MAX(BD265,$B$12-SUM(BE265:BM265)))</f>
        <v>0</v>
      </c>
    </row>
    <row r="266" customFormat="false" ht="15" hidden="false" customHeight="false" outlineLevel="0" collapsed="false">
      <c r="A266" s="0" t="n">
        <v>252</v>
      </c>
      <c r="B266" s="27" t="n">
        <f aca="false">ROUND(MAX(0,B265*(1+B$8)-X266),2)</f>
        <v>0</v>
      </c>
      <c r="C266" s="27" t="n">
        <f aca="false">ROUND(MAX(0,C265*(1+C$8)-Y266),2)</f>
        <v>0</v>
      </c>
      <c r="D266" s="27" t="n">
        <f aca="false">ROUND(MAX(0,D265*(1+D$8)-Z266),2)</f>
        <v>0</v>
      </c>
      <c r="E266" s="27" t="n">
        <f aca="false">ROUND(MAX(0,E265*(1+E$8)-AA266),2)</f>
        <v>0</v>
      </c>
      <c r="F266" s="27" t="n">
        <f aca="false">ROUND(MAX(0,F265*(1+F$8)-AB266),2)</f>
        <v>0</v>
      </c>
      <c r="G266" s="27" t="n">
        <f aca="false">ROUND(MAX(0,G265*(1+G$8)-AC266),2)</f>
        <v>0</v>
      </c>
      <c r="H266" s="27" t="n">
        <f aca="false">ROUND(MAX(0,H265*(1+H$8)-AD266),2)</f>
        <v>0</v>
      </c>
      <c r="I266" s="27" t="n">
        <f aca="false">ROUND(MAX(0,I265*(1+I$8)-AE266),2)</f>
        <v>0</v>
      </c>
      <c r="J266" s="27" t="n">
        <f aca="false">ROUND(MAX(0,J265*(1+J$8)-AF266),2)</f>
        <v>0</v>
      </c>
      <c r="K266" s="27" t="n">
        <f aca="false">ROUND(MAX(0,K265*(1+K$8)-AG266),2)</f>
        <v>0</v>
      </c>
      <c r="L266" s="30" t="n">
        <f aca="false">SUM(B266:K266)</f>
        <v>0</v>
      </c>
      <c r="M266" s="27" t="n">
        <f aca="false">SUMPRODUCT(B265:K265,$B$8:$K$8)</f>
        <v>0</v>
      </c>
      <c r="N266" s="27" t="n">
        <f aca="false">MIN(B265*(1+B$8),B$9)</f>
        <v>0</v>
      </c>
      <c r="O266" s="27" t="n">
        <f aca="false">MIN(C265*(1+C$8),C$9)</f>
        <v>0</v>
      </c>
      <c r="P266" s="27" t="n">
        <f aca="false">MIN(D265*(1+D$8),D$9)</f>
        <v>0</v>
      </c>
      <c r="Q266" s="27" t="n">
        <f aca="false">MIN(E265*(1+E$8),E$9)</f>
        <v>0</v>
      </c>
      <c r="R266" s="27" t="n">
        <f aca="false">MIN(F265*(1+F$8),F$9)</f>
        <v>0</v>
      </c>
      <c r="S266" s="27" t="n">
        <f aca="false">MIN(G265*(1+G$8),G$9)</f>
        <v>0</v>
      </c>
      <c r="T266" s="27" t="n">
        <f aca="false">MIN(H265*(1+H$8),H$9)</f>
        <v>0</v>
      </c>
      <c r="U266" s="27" t="n">
        <f aca="false">MIN(I265*(1+I$8),I$9)</f>
        <v>0</v>
      </c>
      <c r="V266" s="27" t="n">
        <f aca="false">MIN(J265*(1+J$8),J$9)</f>
        <v>0</v>
      </c>
      <c r="W266" s="27" t="n">
        <f aca="false">MIN(K265*(1+K$8),K$9)</f>
        <v>0</v>
      </c>
      <c r="X266" s="27" t="n">
        <f aca="false">MIN(B265*(1+B$8),MAX(N266,$B$11-SUM(O266:W266)))</f>
        <v>0</v>
      </c>
      <c r="Y266" s="27" t="n">
        <f aca="false">MIN(C265*(1+C$8),MAX(O266,$B$11-SUM(X266:X266)-SUM(P266:W266)))</f>
        <v>0</v>
      </c>
      <c r="Z266" s="27" t="n">
        <f aca="false">MIN(D265*(1+D$8),MAX(P266,$B$11-SUM(X266:Y266)-SUM(Q266:W266)))</f>
        <v>0</v>
      </c>
      <c r="AA266" s="27" t="n">
        <f aca="false">MIN(E265*(1+E$8),MAX(Q266,$B$11-SUM(X266:Z266)-SUM(R266:W266)))</f>
        <v>0</v>
      </c>
      <c r="AB266" s="27" t="n">
        <f aca="false">MIN(F265*(1+F$8),MAX(R266,$B$11-SUM(X266:AA266)-SUM(S266:W266)))</f>
        <v>0</v>
      </c>
      <c r="AC266" s="27" t="n">
        <f aca="false">MIN(G265*(1+G$8),MAX(S266,$B$11-SUM(X266:AB266)-SUM(T266:W266)))</f>
        <v>0</v>
      </c>
      <c r="AD266" s="27" t="n">
        <f aca="false">MIN(H265*(1+H$8),MAX(T266,$B$11-SUM(X266:AC266)-SUM(U266:W266)))</f>
        <v>0</v>
      </c>
      <c r="AE266" s="27" t="n">
        <f aca="false">MIN(I265*(1+I$8),MAX(U266,$B$11-SUM(X266:AD266)-SUM(V266:W266)))</f>
        <v>0</v>
      </c>
      <c r="AF266" s="27" t="n">
        <f aca="false">MIN(J265*(1+J$8),MAX(V266,$B$11-SUM(X266:AE266)-SUM(W266:W266)))</f>
        <v>0</v>
      </c>
      <c r="AG266" s="27" t="n">
        <f aca="false">MIN(K265*(1+K$8),MAX(W266,$B$11-SUM(X266:AF266)))</f>
        <v>0</v>
      </c>
      <c r="AI266" s="27" t="n">
        <f aca="false">ROUND(MAX(0,AI265*(1+B$8)-BE266),2)</f>
        <v>0</v>
      </c>
      <c r="AJ266" s="27" t="n">
        <f aca="false">ROUND(MAX(0,AJ265*(1+C$8)-BF266),2)</f>
        <v>0</v>
      </c>
      <c r="AK266" s="27" t="n">
        <f aca="false">ROUND(MAX(0,AK265*(1+D$8)-BG266),2)</f>
        <v>0</v>
      </c>
      <c r="AL266" s="27" t="n">
        <f aca="false">ROUND(MAX(0,AL265*(1+E$8)-BH266),2)</f>
        <v>0</v>
      </c>
      <c r="AM266" s="27" t="n">
        <f aca="false">ROUND(MAX(0,AM265*(1+F$8)-BI266),2)</f>
        <v>0</v>
      </c>
      <c r="AN266" s="27" t="n">
        <f aca="false">ROUND(MAX(0,AN265*(1+G$8)-BJ266),2)</f>
        <v>0</v>
      </c>
      <c r="AO266" s="27" t="n">
        <f aca="false">ROUND(MAX(0,AO265*(1+H$8)-BK266),2)</f>
        <v>0</v>
      </c>
      <c r="AP266" s="27" t="n">
        <f aca="false">ROUND(MAX(0,AP265*(1+I$8)-BL266),2)</f>
        <v>0</v>
      </c>
      <c r="AQ266" s="27" t="n">
        <f aca="false">ROUND(MAX(0,AQ265*(1+J$8)-BM266),2)</f>
        <v>0</v>
      </c>
      <c r="AR266" s="27" t="n">
        <f aca="false">ROUND(MAX(0,AR265*(1+K$8)-BN266),2)</f>
        <v>0</v>
      </c>
      <c r="AS266" s="27" t="n">
        <f aca="false">SUM(AI266:AR266)</f>
        <v>0</v>
      </c>
      <c r="AT266" s="27" t="n">
        <f aca="false">SUMPRODUCT(AI265:AR265,$B$8:$K$8)</f>
        <v>0</v>
      </c>
      <c r="AU266" s="27" t="n">
        <f aca="false">MIN(AI265*(1+B$8),B$9)</f>
        <v>0</v>
      </c>
      <c r="AV266" s="27" t="n">
        <f aca="false">MIN(AJ265*(1+C$8),C$9)</f>
        <v>0</v>
      </c>
      <c r="AW266" s="27" t="n">
        <f aca="false">MIN(AK265*(1+D$8),D$9)</f>
        <v>0</v>
      </c>
      <c r="AX266" s="27" t="n">
        <f aca="false">MIN(AL265*(1+E$8),E$9)</f>
        <v>0</v>
      </c>
      <c r="AY266" s="27" t="n">
        <f aca="false">MIN(AM265*(1+F$8),F$9)</f>
        <v>0</v>
      </c>
      <c r="AZ266" s="27" t="n">
        <f aca="false">MIN(AN265*(1+G$8),G$9)</f>
        <v>0</v>
      </c>
      <c r="BA266" s="27" t="n">
        <f aca="false">MIN(AO265*(1+H$8),H$9)</f>
        <v>0</v>
      </c>
      <c r="BB266" s="27" t="n">
        <f aca="false">MIN(AP265*(1+I$8),I$9)</f>
        <v>0</v>
      </c>
      <c r="BC266" s="27" t="n">
        <f aca="false">MIN(AQ265*(1+J$8),J$9)</f>
        <v>0</v>
      </c>
      <c r="BD266" s="27" t="n">
        <f aca="false">MIN(AR265*(1+K$8),K$9)</f>
        <v>0</v>
      </c>
      <c r="BE266" s="27" t="n">
        <f aca="false">MIN(AI265*(1+B$8),MAX(AU266,$B$12-SUM(AV266:BD266)))</f>
        <v>0</v>
      </c>
      <c r="BF266" s="27" t="n">
        <f aca="false">MIN(AJ265*(1+C$8),MAX(AV266,$B$12-SUM(BE266:BE266)-SUM(AW266:BD266)))</f>
        <v>0</v>
      </c>
      <c r="BG266" s="27" t="n">
        <f aca="false">MIN(AK265*(1+D$8),MAX(AW266,$B$12-SUM(BE266:BF266)-SUM(AX266:BD266)))</f>
        <v>0</v>
      </c>
      <c r="BH266" s="27" t="n">
        <f aca="false">MIN(AL265*(1+E$8),MAX(AX266,$B$12-SUM(BE266:BG266)-SUM(AY266:BD266)))</f>
        <v>0</v>
      </c>
      <c r="BI266" s="27" t="n">
        <f aca="false">MIN(AM265*(1+F$8),MAX(AY266,$B$12-SUM(BE266:BH266)-SUM(AZ266:BD266)))</f>
        <v>0</v>
      </c>
      <c r="BJ266" s="27" t="n">
        <f aca="false">MIN(AN265*(1+G$8),MAX(AZ266,$B$12-SUM(BE266:BI266)-SUM(BA266:BD266)))</f>
        <v>0</v>
      </c>
      <c r="BK266" s="27" t="n">
        <f aca="false">MIN(AO265*(1+H$8),MAX(BA266,$B$12-SUM(BE266:BJ266)-SUM(BB266:BD266)))</f>
        <v>0</v>
      </c>
      <c r="BL266" s="27" t="n">
        <f aca="false">MIN(AP265*(1+I$8),MAX(BB266,$B$12-SUM(BE266:BK266)-SUM(BC266:BD266)))</f>
        <v>0</v>
      </c>
      <c r="BM266" s="27" t="n">
        <f aca="false">MIN(AQ265*(1+J$8),MAX(BC266,$B$12-SUM(BE266:BL266)-SUM(BD266:BD266)))</f>
        <v>0</v>
      </c>
      <c r="BN266" s="27" t="n">
        <f aca="false">MIN(AR265*(1+K$8),MAX(BD266,$B$12-SUM(BE266:BM266)))</f>
        <v>0</v>
      </c>
    </row>
    <row r="267" customFormat="false" ht="15" hidden="false" customHeight="false" outlineLevel="0" collapsed="false">
      <c r="A267" s="0" t="n">
        <v>253</v>
      </c>
      <c r="B267" s="27" t="n">
        <f aca="false">ROUND(MAX(0,B266*(1+B$8)-X267),2)</f>
        <v>0</v>
      </c>
      <c r="C267" s="27" t="n">
        <f aca="false">ROUND(MAX(0,C266*(1+C$8)-Y267),2)</f>
        <v>0</v>
      </c>
      <c r="D267" s="27" t="n">
        <f aca="false">ROUND(MAX(0,D266*(1+D$8)-Z267),2)</f>
        <v>0</v>
      </c>
      <c r="E267" s="27" t="n">
        <f aca="false">ROUND(MAX(0,E266*(1+E$8)-AA267),2)</f>
        <v>0</v>
      </c>
      <c r="F267" s="27" t="n">
        <f aca="false">ROUND(MAX(0,F266*(1+F$8)-AB267),2)</f>
        <v>0</v>
      </c>
      <c r="G267" s="27" t="n">
        <f aca="false">ROUND(MAX(0,G266*(1+G$8)-AC267),2)</f>
        <v>0</v>
      </c>
      <c r="H267" s="27" t="n">
        <f aca="false">ROUND(MAX(0,H266*(1+H$8)-AD267),2)</f>
        <v>0</v>
      </c>
      <c r="I267" s="27" t="n">
        <f aca="false">ROUND(MAX(0,I266*(1+I$8)-AE267),2)</f>
        <v>0</v>
      </c>
      <c r="J267" s="27" t="n">
        <f aca="false">ROUND(MAX(0,J266*(1+J$8)-AF267),2)</f>
        <v>0</v>
      </c>
      <c r="K267" s="27" t="n">
        <f aca="false">ROUND(MAX(0,K266*(1+K$8)-AG267),2)</f>
        <v>0</v>
      </c>
      <c r="L267" s="30" t="n">
        <f aca="false">SUM(B267:K267)</f>
        <v>0</v>
      </c>
      <c r="M267" s="27" t="n">
        <f aca="false">SUMPRODUCT(B266:K266,$B$8:$K$8)</f>
        <v>0</v>
      </c>
      <c r="N267" s="27" t="n">
        <f aca="false">MIN(B266*(1+B$8),B$9)</f>
        <v>0</v>
      </c>
      <c r="O267" s="27" t="n">
        <f aca="false">MIN(C266*(1+C$8),C$9)</f>
        <v>0</v>
      </c>
      <c r="P267" s="27" t="n">
        <f aca="false">MIN(D266*(1+D$8),D$9)</f>
        <v>0</v>
      </c>
      <c r="Q267" s="27" t="n">
        <f aca="false">MIN(E266*(1+E$8),E$9)</f>
        <v>0</v>
      </c>
      <c r="R267" s="27" t="n">
        <f aca="false">MIN(F266*(1+F$8),F$9)</f>
        <v>0</v>
      </c>
      <c r="S267" s="27" t="n">
        <f aca="false">MIN(G266*(1+G$8),G$9)</f>
        <v>0</v>
      </c>
      <c r="T267" s="27" t="n">
        <f aca="false">MIN(H266*(1+H$8),H$9)</f>
        <v>0</v>
      </c>
      <c r="U267" s="27" t="n">
        <f aca="false">MIN(I266*(1+I$8),I$9)</f>
        <v>0</v>
      </c>
      <c r="V267" s="27" t="n">
        <f aca="false">MIN(J266*(1+J$8),J$9)</f>
        <v>0</v>
      </c>
      <c r="W267" s="27" t="n">
        <f aca="false">MIN(K266*(1+K$8),K$9)</f>
        <v>0</v>
      </c>
      <c r="X267" s="27" t="n">
        <f aca="false">MIN(B266*(1+B$8),MAX(N267,$B$11-SUM(O267:W267)))</f>
        <v>0</v>
      </c>
      <c r="Y267" s="27" t="n">
        <f aca="false">MIN(C266*(1+C$8),MAX(O267,$B$11-SUM(X267:X267)-SUM(P267:W267)))</f>
        <v>0</v>
      </c>
      <c r="Z267" s="27" t="n">
        <f aca="false">MIN(D266*(1+D$8),MAX(P267,$B$11-SUM(X267:Y267)-SUM(Q267:W267)))</f>
        <v>0</v>
      </c>
      <c r="AA267" s="27" t="n">
        <f aca="false">MIN(E266*(1+E$8),MAX(Q267,$B$11-SUM(X267:Z267)-SUM(R267:W267)))</f>
        <v>0</v>
      </c>
      <c r="AB267" s="27" t="n">
        <f aca="false">MIN(F266*(1+F$8),MAX(R267,$B$11-SUM(X267:AA267)-SUM(S267:W267)))</f>
        <v>0</v>
      </c>
      <c r="AC267" s="27" t="n">
        <f aca="false">MIN(G266*(1+G$8),MAX(S267,$B$11-SUM(X267:AB267)-SUM(T267:W267)))</f>
        <v>0</v>
      </c>
      <c r="AD267" s="27" t="n">
        <f aca="false">MIN(H266*(1+H$8),MAX(T267,$B$11-SUM(X267:AC267)-SUM(U267:W267)))</f>
        <v>0</v>
      </c>
      <c r="AE267" s="27" t="n">
        <f aca="false">MIN(I266*(1+I$8),MAX(U267,$B$11-SUM(X267:AD267)-SUM(V267:W267)))</f>
        <v>0</v>
      </c>
      <c r="AF267" s="27" t="n">
        <f aca="false">MIN(J266*(1+J$8),MAX(V267,$B$11-SUM(X267:AE267)-SUM(W267:W267)))</f>
        <v>0</v>
      </c>
      <c r="AG267" s="27" t="n">
        <f aca="false">MIN(K266*(1+K$8),MAX(W267,$B$11-SUM(X267:AF267)))</f>
        <v>0</v>
      </c>
      <c r="AI267" s="27" t="n">
        <f aca="false">ROUND(MAX(0,AI266*(1+B$8)-BE267),2)</f>
        <v>0</v>
      </c>
      <c r="AJ267" s="27" t="n">
        <f aca="false">ROUND(MAX(0,AJ266*(1+C$8)-BF267),2)</f>
        <v>0</v>
      </c>
      <c r="AK267" s="27" t="n">
        <f aca="false">ROUND(MAX(0,AK266*(1+D$8)-BG267),2)</f>
        <v>0</v>
      </c>
      <c r="AL267" s="27" t="n">
        <f aca="false">ROUND(MAX(0,AL266*(1+E$8)-BH267),2)</f>
        <v>0</v>
      </c>
      <c r="AM267" s="27" t="n">
        <f aca="false">ROUND(MAX(0,AM266*(1+F$8)-BI267),2)</f>
        <v>0</v>
      </c>
      <c r="AN267" s="27" t="n">
        <f aca="false">ROUND(MAX(0,AN266*(1+G$8)-BJ267),2)</f>
        <v>0</v>
      </c>
      <c r="AO267" s="27" t="n">
        <f aca="false">ROUND(MAX(0,AO266*(1+H$8)-BK267),2)</f>
        <v>0</v>
      </c>
      <c r="AP267" s="27" t="n">
        <f aca="false">ROUND(MAX(0,AP266*(1+I$8)-BL267),2)</f>
        <v>0</v>
      </c>
      <c r="AQ267" s="27" t="n">
        <f aca="false">ROUND(MAX(0,AQ266*(1+J$8)-BM267),2)</f>
        <v>0</v>
      </c>
      <c r="AR267" s="27" t="n">
        <f aca="false">ROUND(MAX(0,AR266*(1+K$8)-BN267),2)</f>
        <v>0</v>
      </c>
      <c r="AS267" s="27" t="n">
        <f aca="false">SUM(AI267:AR267)</f>
        <v>0</v>
      </c>
      <c r="AT267" s="27" t="n">
        <f aca="false">SUMPRODUCT(AI266:AR266,$B$8:$K$8)</f>
        <v>0</v>
      </c>
      <c r="AU267" s="27" t="n">
        <f aca="false">MIN(AI266*(1+B$8),B$9)</f>
        <v>0</v>
      </c>
      <c r="AV267" s="27" t="n">
        <f aca="false">MIN(AJ266*(1+C$8),C$9)</f>
        <v>0</v>
      </c>
      <c r="AW267" s="27" t="n">
        <f aca="false">MIN(AK266*(1+D$8),D$9)</f>
        <v>0</v>
      </c>
      <c r="AX267" s="27" t="n">
        <f aca="false">MIN(AL266*(1+E$8),E$9)</f>
        <v>0</v>
      </c>
      <c r="AY267" s="27" t="n">
        <f aca="false">MIN(AM266*(1+F$8),F$9)</f>
        <v>0</v>
      </c>
      <c r="AZ267" s="27" t="n">
        <f aca="false">MIN(AN266*(1+G$8),G$9)</f>
        <v>0</v>
      </c>
      <c r="BA267" s="27" t="n">
        <f aca="false">MIN(AO266*(1+H$8),H$9)</f>
        <v>0</v>
      </c>
      <c r="BB267" s="27" t="n">
        <f aca="false">MIN(AP266*(1+I$8),I$9)</f>
        <v>0</v>
      </c>
      <c r="BC267" s="27" t="n">
        <f aca="false">MIN(AQ266*(1+J$8),J$9)</f>
        <v>0</v>
      </c>
      <c r="BD267" s="27" t="n">
        <f aca="false">MIN(AR266*(1+K$8),K$9)</f>
        <v>0</v>
      </c>
      <c r="BE267" s="27" t="n">
        <f aca="false">MIN(AI266*(1+B$8),MAX(AU267,$B$12-SUM(AV267:BD267)))</f>
        <v>0</v>
      </c>
      <c r="BF267" s="27" t="n">
        <f aca="false">MIN(AJ266*(1+C$8),MAX(AV267,$B$12-SUM(BE267:BE267)-SUM(AW267:BD267)))</f>
        <v>0</v>
      </c>
      <c r="BG267" s="27" t="n">
        <f aca="false">MIN(AK266*(1+D$8),MAX(AW267,$B$12-SUM(BE267:BF267)-SUM(AX267:BD267)))</f>
        <v>0</v>
      </c>
      <c r="BH267" s="27" t="n">
        <f aca="false">MIN(AL266*(1+E$8),MAX(AX267,$B$12-SUM(BE267:BG267)-SUM(AY267:BD267)))</f>
        <v>0</v>
      </c>
      <c r="BI267" s="27" t="n">
        <f aca="false">MIN(AM266*(1+F$8),MAX(AY267,$B$12-SUM(BE267:BH267)-SUM(AZ267:BD267)))</f>
        <v>0</v>
      </c>
      <c r="BJ267" s="27" t="n">
        <f aca="false">MIN(AN266*(1+G$8),MAX(AZ267,$B$12-SUM(BE267:BI267)-SUM(BA267:BD267)))</f>
        <v>0</v>
      </c>
      <c r="BK267" s="27" t="n">
        <f aca="false">MIN(AO266*(1+H$8),MAX(BA267,$B$12-SUM(BE267:BJ267)-SUM(BB267:BD267)))</f>
        <v>0</v>
      </c>
      <c r="BL267" s="27" t="n">
        <f aca="false">MIN(AP266*(1+I$8),MAX(BB267,$B$12-SUM(BE267:BK267)-SUM(BC267:BD267)))</f>
        <v>0</v>
      </c>
      <c r="BM267" s="27" t="n">
        <f aca="false">MIN(AQ266*(1+J$8),MAX(BC267,$B$12-SUM(BE267:BL267)-SUM(BD267:BD267)))</f>
        <v>0</v>
      </c>
      <c r="BN267" s="27" t="n">
        <f aca="false">MIN(AR266*(1+K$8),MAX(BD267,$B$12-SUM(BE267:BM267)))</f>
        <v>0</v>
      </c>
    </row>
    <row r="268" customFormat="false" ht="15" hidden="false" customHeight="false" outlineLevel="0" collapsed="false">
      <c r="A268" s="0" t="n">
        <v>254</v>
      </c>
      <c r="B268" s="27" t="n">
        <f aca="false">ROUND(MAX(0,B267*(1+B$8)-X268),2)</f>
        <v>0</v>
      </c>
      <c r="C268" s="27" t="n">
        <f aca="false">ROUND(MAX(0,C267*(1+C$8)-Y268),2)</f>
        <v>0</v>
      </c>
      <c r="D268" s="27" t="n">
        <f aca="false">ROUND(MAX(0,D267*(1+D$8)-Z268),2)</f>
        <v>0</v>
      </c>
      <c r="E268" s="27" t="n">
        <f aca="false">ROUND(MAX(0,E267*(1+E$8)-AA268),2)</f>
        <v>0</v>
      </c>
      <c r="F268" s="27" t="n">
        <f aca="false">ROUND(MAX(0,F267*(1+F$8)-AB268),2)</f>
        <v>0</v>
      </c>
      <c r="G268" s="27" t="n">
        <f aca="false">ROUND(MAX(0,G267*(1+G$8)-AC268),2)</f>
        <v>0</v>
      </c>
      <c r="H268" s="27" t="n">
        <f aca="false">ROUND(MAX(0,H267*(1+H$8)-AD268),2)</f>
        <v>0</v>
      </c>
      <c r="I268" s="27" t="n">
        <f aca="false">ROUND(MAX(0,I267*(1+I$8)-AE268),2)</f>
        <v>0</v>
      </c>
      <c r="J268" s="27" t="n">
        <f aca="false">ROUND(MAX(0,J267*(1+J$8)-AF268),2)</f>
        <v>0</v>
      </c>
      <c r="K268" s="27" t="n">
        <f aca="false">ROUND(MAX(0,K267*(1+K$8)-AG268),2)</f>
        <v>0</v>
      </c>
      <c r="L268" s="30" t="n">
        <f aca="false">SUM(B268:K268)</f>
        <v>0</v>
      </c>
      <c r="M268" s="27" t="n">
        <f aca="false">SUMPRODUCT(B267:K267,$B$8:$K$8)</f>
        <v>0</v>
      </c>
      <c r="N268" s="27" t="n">
        <f aca="false">MIN(B267*(1+B$8),B$9)</f>
        <v>0</v>
      </c>
      <c r="O268" s="27" t="n">
        <f aca="false">MIN(C267*(1+C$8),C$9)</f>
        <v>0</v>
      </c>
      <c r="P268" s="27" t="n">
        <f aca="false">MIN(D267*(1+D$8),D$9)</f>
        <v>0</v>
      </c>
      <c r="Q268" s="27" t="n">
        <f aca="false">MIN(E267*(1+E$8),E$9)</f>
        <v>0</v>
      </c>
      <c r="R268" s="27" t="n">
        <f aca="false">MIN(F267*(1+F$8),F$9)</f>
        <v>0</v>
      </c>
      <c r="S268" s="27" t="n">
        <f aca="false">MIN(G267*(1+G$8),G$9)</f>
        <v>0</v>
      </c>
      <c r="T268" s="27" t="n">
        <f aca="false">MIN(H267*(1+H$8),H$9)</f>
        <v>0</v>
      </c>
      <c r="U268" s="27" t="n">
        <f aca="false">MIN(I267*(1+I$8),I$9)</f>
        <v>0</v>
      </c>
      <c r="V268" s="27" t="n">
        <f aca="false">MIN(J267*(1+J$8),J$9)</f>
        <v>0</v>
      </c>
      <c r="W268" s="27" t="n">
        <f aca="false">MIN(K267*(1+K$8),K$9)</f>
        <v>0</v>
      </c>
      <c r="X268" s="27" t="n">
        <f aca="false">MIN(B267*(1+B$8),MAX(N268,$B$11-SUM(O268:W268)))</f>
        <v>0</v>
      </c>
      <c r="Y268" s="27" t="n">
        <f aca="false">MIN(C267*(1+C$8),MAX(O268,$B$11-SUM(X268:X268)-SUM(P268:W268)))</f>
        <v>0</v>
      </c>
      <c r="Z268" s="27" t="n">
        <f aca="false">MIN(D267*(1+D$8),MAX(P268,$B$11-SUM(X268:Y268)-SUM(Q268:W268)))</f>
        <v>0</v>
      </c>
      <c r="AA268" s="27" t="n">
        <f aca="false">MIN(E267*(1+E$8),MAX(Q268,$B$11-SUM(X268:Z268)-SUM(R268:W268)))</f>
        <v>0</v>
      </c>
      <c r="AB268" s="27" t="n">
        <f aca="false">MIN(F267*(1+F$8),MAX(R268,$B$11-SUM(X268:AA268)-SUM(S268:W268)))</f>
        <v>0</v>
      </c>
      <c r="AC268" s="27" t="n">
        <f aca="false">MIN(G267*(1+G$8),MAX(S268,$B$11-SUM(X268:AB268)-SUM(T268:W268)))</f>
        <v>0</v>
      </c>
      <c r="AD268" s="27" t="n">
        <f aca="false">MIN(H267*(1+H$8),MAX(T268,$B$11-SUM(X268:AC268)-SUM(U268:W268)))</f>
        <v>0</v>
      </c>
      <c r="AE268" s="27" t="n">
        <f aca="false">MIN(I267*(1+I$8),MAX(U268,$B$11-SUM(X268:AD268)-SUM(V268:W268)))</f>
        <v>0</v>
      </c>
      <c r="AF268" s="27" t="n">
        <f aca="false">MIN(J267*(1+J$8),MAX(V268,$B$11-SUM(X268:AE268)-SUM(W268:W268)))</f>
        <v>0</v>
      </c>
      <c r="AG268" s="27" t="n">
        <f aca="false">MIN(K267*(1+K$8),MAX(W268,$B$11-SUM(X268:AF268)))</f>
        <v>0</v>
      </c>
      <c r="AI268" s="27" t="n">
        <f aca="false">ROUND(MAX(0,AI267*(1+B$8)-BE268),2)</f>
        <v>0</v>
      </c>
      <c r="AJ268" s="27" t="n">
        <f aca="false">ROUND(MAX(0,AJ267*(1+C$8)-BF268),2)</f>
        <v>0</v>
      </c>
      <c r="AK268" s="27" t="n">
        <f aca="false">ROUND(MAX(0,AK267*(1+D$8)-BG268),2)</f>
        <v>0</v>
      </c>
      <c r="AL268" s="27" t="n">
        <f aca="false">ROUND(MAX(0,AL267*(1+E$8)-BH268),2)</f>
        <v>0</v>
      </c>
      <c r="AM268" s="27" t="n">
        <f aca="false">ROUND(MAX(0,AM267*(1+F$8)-BI268),2)</f>
        <v>0</v>
      </c>
      <c r="AN268" s="27" t="n">
        <f aca="false">ROUND(MAX(0,AN267*(1+G$8)-BJ268),2)</f>
        <v>0</v>
      </c>
      <c r="AO268" s="27" t="n">
        <f aca="false">ROUND(MAX(0,AO267*(1+H$8)-BK268),2)</f>
        <v>0</v>
      </c>
      <c r="AP268" s="27" t="n">
        <f aca="false">ROUND(MAX(0,AP267*(1+I$8)-BL268),2)</f>
        <v>0</v>
      </c>
      <c r="AQ268" s="27" t="n">
        <f aca="false">ROUND(MAX(0,AQ267*(1+J$8)-BM268),2)</f>
        <v>0</v>
      </c>
      <c r="AR268" s="27" t="n">
        <f aca="false">ROUND(MAX(0,AR267*(1+K$8)-BN268),2)</f>
        <v>0</v>
      </c>
      <c r="AS268" s="27" t="n">
        <f aca="false">SUM(AI268:AR268)</f>
        <v>0</v>
      </c>
      <c r="AT268" s="27" t="n">
        <f aca="false">SUMPRODUCT(AI267:AR267,$B$8:$K$8)</f>
        <v>0</v>
      </c>
      <c r="AU268" s="27" t="n">
        <f aca="false">MIN(AI267*(1+B$8),B$9)</f>
        <v>0</v>
      </c>
      <c r="AV268" s="27" t="n">
        <f aca="false">MIN(AJ267*(1+C$8),C$9)</f>
        <v>0</v>
      </c>
      <c r="AW268" s="27" t="n">
        <f aca="false">MIN(AK267*(1+D$8),D$9)</f>
        <v>0</v>
      </c>
      <c r="AX268" s="27" t="n">
        <f aca="false">MIN(AL267*(1+E$8),E$9)</f>
        <v>0</v>
      </c>
      <c r="AY268" s="27" t="n">
        <f aca="false">MIN(AM267*(1+F$8),F$9)</f>
        <v>0</v>
      </c>
      <c r="AZ268" s="27" t="n">
        <f aca="false">MIN(AN267*(1+G$8),G$9)</f>
        <v>0</v>
      </c>
      <c r="BA268" s="27" t="n">
        <f aca="false">MIN(AO267*(1+H$8),H$9)</f>
        <v>0</v>
      </c>
      <c r="BB268" s="27" t="n">
        <f aca="false">MIN(AP267*(1+I$8),I$9)</f>
        <v>0</v>
      </c>
      <c r="BC268" s="27" t="n">
        <f aca="false">MIN(AQ267*(1+J$8),J$9)</f>
        <v>0</v>
      </c>
      <c r="BD268" s="27" t="n">
        <f aca="false">MIN(AR267*(1+K$8),K$9)</f>
        <v>0</v>
      </c>
      <c r="BE268" s="27" t="n">
        <f aca="false">MIN(AI267*(1+B$8),MAX(AU268,$B$12-SUM(AV268:BD268)))</f>
        <v>0</v>
      </c>
      <c r="BF268" s="27" t="n">
        <f aca="false">MIN(AJ267*(1+C$8),MAX(AV268,$B$12-SUM(BE268:BE268)-SUM(AW268:BD268)))</f>
        <v>0</v>
      </c>
      <c r="BG268" s="27" t="n">
        <f aca="false">MIN(AK267*(1+D$8),MAX(AW268,$B$12-SUM(BE268:BF268)-SUM(AX268:BD268)))</f>
        <v>0</v>
      </c>
      <c r="BH268" s="27" t="n">
        <f aca="false">MIN(AL267*(1+E$8),MAX(AX268,$B$12-SUM(BE268:BG268)-SUM(AY268:BD268)))</f>
        <v>0</v>
      </c>
      <c r="BI268" s="27" t="n">
        <f aca="false">MIN(AM267*(1+F$8),MAX(AY268,$B$12-SUM(BE268:BH268)-SUM(AZ268:BD268)))</f>
        <v>0</v>
      </c>
      <c r="BJ268" s="27" t="n">
        <f aca="false">MIN(AN267*(1+G$8),MAX(AZ268,$B$12-SUM(BE268:BI268)-SUM(BA268:BD268)))</f>
        <v>0</v>
      </c>
      <c r="BK268" s="27" t="n">
        <f aca="false">MIN(AO267*(1+H$8),MAX(BA268,$B$12-SUM(BE268:BJ268)-SUM(BB268:BD268)))</f>
        <v>0</v>
      </c>
      <c r="BL268" s="27" t="n">
        <f aca="false">MIN(AP267*(1+I$8),MAX(BB268,$B$12-SUM(BE268:BK268)-SUM(BC268:BD268)))</f>
        <v>0</v>
      </c>
      <c r="BM268" s="27" t="n">
        <f aca="false">MIN(AQ267*(1+J$8),MAX(BC268,$B$12-SUM(BE268:BL268)-SUM(BD268:BD268)))</f>
        <v>0</v>
      </c>
      <c r="BN268" s="27" t="n">
        <f aca="false">MIN(AR267*(1+K$8),MAX(BD268,$B$12-SUM(BE268:BM268)))</f>
        <v>0</v>
      </c>
    </row>
    <row r="269" customFormat="false" ht="15" hidden="false" customHeight="false" outlineLevel="0" collapsed="false">
      <c r="A269" s="0" t="n">
        <v>255</v>
      </c>
      <c r="B269" s="27" t="n">
        <f aca="false">ROUND(MAX(0,B268*(1+B$8)-X269),2)</f>
        <v>0</v>
      </c>
      <c r="C269" s="27" t="n">
        <f aca="false">ROUND(MAX(0,C268*(1+C$8)-Y269),2)</f>
        <v>0</v>
      </c>
      <c r="D269" s="27" t="n">
        <f aca="false">ROUND(MAX(0,D268*(1+D$8)-Z269),2)</f>
        <v>0</v>
      </c>
      <c r="E269" s="27" t="n">
        <f aca="false">ROUND(MAX(0,E268*(1+E$8)-AA269),2)</f>
        <v>0</v>
      </c>
      <c r="F269" s="27" t="n">
        <f aca="false">ROUND(MAX(0,F268*(1+F$8)-AB269),2)</f>
        <v>0</v>
      </c>
      <c r="G269" s="27" t="n">
        <f aca="false">ROUND(MAX(0,G268*(1+G$8)-AC269),2)</f>
        <v>0</v>
      </c>
      <c r="H269" s="27" t="n">
        <f aca="false">ROUND(MAX(0,H268*(1+H$8)-AD269),2)</f>
        <v>0</v>
      </c>
      <c r="I269" s="27" t="n">
        <f aca="false">ROUND(MAX(0,I268*(1+I$8)-AE269),2)</f>
        <v>0</v>
      </c>
      <c r="J269" s="27" t="n">
        <f aca="false">ROUND(MAX(0,J268*(1+J$8)-AF269),2)</f>
        <v>0</v>
      </c>
      <c r="K269" s="27" t="n">
        <f aca="false">ROUND(MAX(0,K268*(1+K$8)-AG269),2)</f>
        <v>0</v>
      </c>
      <c r="L269" s="30" t="n">
        <f aca="false">SUM(B269:K269)</f>
        <v>0</v>
      </c>
      <c r="M269" s="27" t="n">
        <f aca="false">SUMPRODUCT(B268:K268,$B$8:$K$8)</f>
        <v>0</v>
      </c>
      <c r="N269" s="27" t="n">
        <f aca="false">MIN(B268*(1+B$8),B$9)</f>
        <v>0</v>
      </c>
      <c r="O269" s="27" t="n">
        <f aca="false">MIN(C268*(1+C$8),C$9)</f>
        <v>0</v>
      </c>
      <c r="P269" s="27" t="n">
        <f aca="false">MIN(D268*(1+D$8),D$9)</f>
        <v>0</v>
      </c>
      <c r="Q269" s="27" t="n">
        <f aca="false">MIN(E268*(1+E$8),E$9)</f>
        <v>0</v>
      </c>
      <c r="R269" s="27" t="n">
        <f aca="false">MIN(F268*(1+F$8),F$9)</f>
        <v>0</v>
      </c>
      <c r="S269" s="27" t="n">
        <f aca="false">MIN(G268*(1+G$8),G$9)</f>
        <v>0</v>
      </c>
      <c r="T269" s="27" t="n">
        <f aca="false">MIN(H268*(1+H$8),H$9)</f>
        <v>0</v>
      </c>
      <c r="U269" s="27" t="n">
        <f aca="false">MIN(I268*(1+I$8),I$9)</f>
        <v>0</v>
      </c>
      <c r="V269" s="27" t="n">
        <f aca="false">MIN(J268*(1+J$8),J$9)</f>
        <v>0</v>
      </c>
      <c r="W269" s="27" t="n">
        <f aca="false">MIN(K268*(1+K$8),K$9)</f>
        <v>0</v>
      </c>
      <c r="X269" s="27" t="n">
        <f aca="false">MIN(B268*(1+B$8),MAX(N269,$B$11-SUM(O269:W269)))</f>
        <v>0</v>
      </c>
      <c r="Y269" s="27" t="n">
        <f aca="false">MIN(C268*(1+C$8),MAX(O269,$B$11-SUM(X269:X269)-SUM(P269:W269)))</f>
        <v>0</v>
      </c>
      <c r="Z269" s="27" t="n">
        <f aca="false">MIN(D268*(1+D$8),MAX(P269,$B$11-SUM(X269:Y269)-SUM(Q269:W269)))</f>
        <v>0</v>
      </c>
      <c r="AA269" s="27" t="n">
        <f aca="false">MIN(E268*(1+E$8),MAX(Q269,$B$11-SUM(X269:Z269)-SUM(R269:W269)))</f>
        <v>0</v>
      </c>
      <c r="AB269" s="27" t="n">
        <f aca="false">MIN(F268*(1+F$8),MAX(R269,$B$11-SUM(X269:AA269)-SUM(S269:W269)))</f>
        <v>0</v>
      </c>
      <c r="AC269" s="27" t="n">
        <f aca="false">MIN(G268*(1+G$8),MAX(S269,$B$11-SUM(X269:AB269)-SUM(T269:W269)))</f>
        <v>0</v>
      </c>
      <c r="AD269" s="27" t="n">
        <f aca="false">MIN(H268*(1+H$8),MAX(T269,$B$11-SUM(X269:AC269)-SUM(U269:W269)))</f>
        <v>0</v>
      </c>
      <c r="AE269" s="27" t="n">
        <f aca="false">MIN(I268*(1+I$8),MAX(U269,$B$11-SUM(X269:AD269)-SUM(V269:W269)))</f>
        <v>0</v>
      </c>
      <c r="AF269" s="27" t="n">
        <f aca="false">MIN(J268*(1+J$8),MAX(V269,$B$11-SUM(X269:AE269)-SUM(W269:W269)))</f>
        <v>0</v>
      </c>
      <c r="AG269" s="27" t="n">
        <f aca="false">MIN(K268*(1+K$8),MAX(W269,$B$11-SUM(X269:AF269)))</f>
        <v>0</v>
      </c>
      <c r="AI269" s="27" t="n">
        <f aca="false">ROUND(MAX(0,AI268*(1+B$8)-BE269),2)</f>
        <v>0</v>
      </c>
      <c r="AJ269" s="27" t="n">
        <f aca="false">ROUND(MAX(0,AJ268*(1+C$8)-BF269),2)</f>
        <v>0</v>
      </c>
      <c r="AK269" s="27" t="n">
        <f aca="false">ROUND(MAX(0,AK268*(1+D$8)-BG269),2)</f>
        <v>0</v>
      </c>
      <c r="AL269" s="27" t="n">
        <f aca="false">ROUND(MAX(0,AL268*(1+E$8)-BH269),2)</f>
        <v>0</v>
      </c>
      <c r="AM269" s="27" t="n">
        <f aca="false">ROUND(MAX(0,AM268*(1+F$8)-BI269),2)</f>
        <v>0</v>
      </c>
      <c r="AN269" s="27" t="n">
        <f aca="false">ROUND(MAX(0,AN268*(1+G$8)-BJ269),2)</f>
        <v>0</v>
      </c>
      <c r="AO269" s="27" t="n">
        <f aca="false">ROUND(MAX(0,AO268*(1+H$8)-BK269),2)</f>
        <v>0</v>
      </c>
      <c r="AP269" s="27" t="n">
        <f aca="false">ROUND(MAX(0,AP268*(1+I$8)-BL269),2)</f>
        <v>0</v>
      </c>
      <c r="AQ269" s="27" t="n">
        <f aca="false">ROUND(MAX(0,AQ268*(1+J$8)-BM269),2)</f>
        <v>0</v>
      </c>
      <c r="AR269" s="27" t="n">
        <f aca="false">ROUND(MAX(0,AR268*(1+K$8)-BN269),2)</f>
        <v>0</v>
      </c>
      <c r="AS269" s="27" t="n">
        <f aca="false">SUM(AI269:AR269)</f>
        <v>0</v>
      </c>
      <c r="AT269" s="27" t="n">
        <f aca="false">SUMPRODUCT(AI268:AR268,$B$8:$K$8)</f>
        <v>0</v>
      </c>
      <c r="AU269" s="27" t="n">
        <f aca="false">MIN(AI268*(1+B$8),B$9)</f>
        <v>0</v>
      </c>
      <c r="AV269" s="27" t="n">
        <f aca="false">MIN(AJ268*(1+C$8),C$9)</f>
        <v>0</v>
      </c>
      <c r="AW269" s="27" t="n">
        <f aca="false">MIN(AK268*(1+D$8),D$9)</f>
        <v>0</v>
      </c>
      <c r="AX269" s="27" t="n">
        <f aca="false">MIN(AL268*(1+E$8),E$9)</f>
        <v>0</v>
      </c>
      <c r="AY269" s="27" t="n">
        <f aca="false">MIN(AM268*(1+F$8),F$9)</f>
        <v>0</v>
      </c>
      <c r="AZ269" s="27" t="n">
        <f aca="false">MIN(AN268*(1+G$8),G$9)</f>
        <v>0</v>
      </c>
      <c r="BA269" s="27" t="n">
        <f aca="false">MIN(AO268*(1+H$8),H$9)</f>
        <v>0</v>
      </c>
      <c r="BB269" s="27" t="n">
        <f aca="false">MIN(AP268*(1+I$8),I$9)</f>
        <v>0</v>
      </c>
      <c r="BC269" s="27" t="n">
        <f aca="false">MIN(AQ268*(1+J$8),J$9)</f>
        <v>0</v>
      </c>
      <c r="BD269" s="27" t="n">
        <f aca="false">MIN(AR268*(1+K$8),K$9)</f>
        <v>0</v>
      </c>
      <c r="BE269" s="27" t="n">
        <f aca="false">MIN(AI268*(1+B$8),MAX(AU269,$B$12-SUM(AV269:BD269)))</f>
        <v>0</v>
      </c>
      <c r="BF269" s="27" t="n">
        <f aca="false">MIN(AJ268*(1+C$8),MAX(AV269,$B$12-SUM(BE269:BE269)-SUM(AW269:BD269)))</f>
        <v>0</v>
      </c>
      <c r="BG269" s="27" t="n">
        <f aca="false">MIN(AK268*(1+D$8),MAX(AW269,$B$12-SUM(BE269:BF269)-SUM(AX269:BD269)))</f>
        <v>0</v>
      </c>
      <c r="BH269" s="27" t="n">
        <f aca="false">MIN(AL268*(1+E$8),MAX(AX269,$B$12-SUM(BE269:BG269)-SUM(AY269:BD269)))</f>
        <v>0</v>
      </c>
      <c r="BI269" s="27" t="n">
        <f aca="false">MIN(AM268*(1+F$8),MAX(AY269,$B$12-SUM(BE269:BH269)-SUM(AZ269:BD269)))</f>
        <v>0</v>
      </c>
      <c r="BJ269" s="27" t="n">
        <f aca="false">MIN(AN268*(1+G$8),MAX(AZ269,$B$12-SUM(BE269:BI269)-SUM(BA269:BD269)))</f>
        <v>0</v>
      </c>
      <c r="BK269" s="27" t="n">
        <f aca="false">MIN(AO268*(1+H$8),MAX(BA269,$B$12-SUM(BE269:BJ269)-SUM(BB269:BD269)))</f>
        <v>0</v>
      </c>
      <c r="BL269" s="27" t="n">
        <f aca="false">MIN(AP268*(1+I$8),MAX(BB269,$B$12-SUM(BE269:BK269)-SUM(BC269:BD269)))</f>
        <v>0</v>
      </c>
      <c r="BM269" s="27" t="n">
        <f aca="false">MIN(AQ268*(1+J$8),MAX(BC269,$B$12-SUM(BE269:BL269)-SUM(BD269:BD269)))</f>
        <v>0</v>
      </c>
      <c r="BN269" s="27" t="n">
        <f aca="false">MIN(AR268*(1+K$8),MAX(BD269,$B$12-SUM(BE269:BM269)))</f>
        <v>0</v>
      </c>
    </row>
    <row r="270" customFormat="false" ht="15" hidden="false" customHeight="false" outlineLevel="0" collapsed="false">
      <c r="A270" s="0" t="n">
        <v>256</v>
      </c>
      <c r="B270" s="27" t="n">
        <f aca="false">ROUND(MAX(0,B269*(1+B$8)-X270),2)</f>
        <v>0</v>
      </c>
      <c r="C270" s="27" t="n">
        <f aca="false">ROUND(MAX(0,C269*(1+C$8)-Y270),2)</f>
        <v>0</v>
      </c>
      <c r="D270" s="27" t="n">
        <f aca="false">ROUND(MAX(0,D269*(1+D$8)-Z270),2)</f>
        <v>0</v>
      </c>
      <c r="E270" s="27" t="n">
        <f aca="false">ROUND(MAX(0,E269*(1+E$8)-AA270),2)</f>
        <v>0</v>
      </c>
      <c r="F270" s="27" t="n">
        <f aca="false">ROUND(MAX(0,F269*(1+F$8)-AB270),2)</f>
        <v>0</v>
      </c>
      <c r="G270" s="27" t="n">
        <f aca="false">ROUND(MAX(0,G269*(1+G$8)-AC270),2)</f>
        <v>0</v>
      </c>
      <c r="H270" s="27" t="n">
        <f aca="false">ROUND(MAX(0,H269*(1+H$8)-AD270),2)</f>
        <v>0</v>
      </c>
      <c r="I270" s="27" t="n">
        <f aca="false">ROUND(MAX(0,I269*(1+I$8)-AE270),2)</f>
        <v>0</v>
      </c>
      <c r="J270" s="27" t="n">
        <f aca="false">ROUND(MAX(0,J269*(1+J$8)-AF270),2)</f>
        <v>0</v>
      </c>
      <c r="K270" s="27" t="n">
        <f aca="false">ROUND(MAX(0,K269*(1+K$8)-AG270),2)</f>
        <v>0</v>
      </c>
      <c r="L270" s="30" t="n">
        <f aca="false">SUM(B270:K270)</f>
        <v>0</v>
      </c>
      <c r="M270" s="27" t="n">
        <f aca="false">SUMPRODUCT(B269:K269,$B$8:$K$8)</f>
        <v>0</v>
      </c>
      <c r="N270" s="27" t="n">
        <f aca="false">MIN(B269*(1+B$8),B$9)</f>
        <v>0</v>
      </c>
      <c r="O270" s="27" t="n">
        <f aca="false">MIN(C269*(1+C$8),C$9)</f>
        <v>0</v>
      </c>
      <c r="P270" s="27" t="n">
        <f aca="false">MIN(D269*(1+D$8),D$9)</f>
        <v>0</v>
      </c>
      <c r="Q270" s="27" t="n">
        <f aca="false">MIN(E269*(1+E$8),E$9)</f>
        <v>0</v>
      </c>
      <c r="R270" s="27" t="n">
        <f aca="false">MIN(F269*(1+F$8),F$9)</f>
        <v>0</v>
      </c>
      <c r="S270" s="27" t="n">
        <f aca="false">MIN(G269*(1+G$8),G$9)</f>
        <v>0</v>
      </c>
      <c r="T270" s="27" t="n">
        <f aca="false">MIN(H269*(1+H$8),H$9)</f>
        <v>0</v>
      </c>
      <c r="U270" s="27" t="n">
        <f aca="false">MIN(I269*(1+I$8),I$9)</f>
        <v>0</v>
      </c>
      <c r="V270" s="27" t="n">
        <f aca="false">MIN(J269*(1+J$8),J$9)</f>
        <v>0</v>
      </c>
      <c r="W270" s="27" t="n">
        <f aca="false">MIN(K269*(1+K$8),K$9)</f>
        <v>0</v>
      </c>
      <c r="X270" s="27" t="n">
        <f aca="false">MIN(B269*(1+B$8),MAX(N270,$B$11-SUM(O270:W270)))</f>
        <v>0</v>
      </c>
      <c r="Y270" s="27" t="n">
        <f aca="false">MIN(C269*(1+C$8),MAX(O270,$B$11-SUM(X270:X270)-SUM(P270:W270)))</f>
        <v>0</v>
      </c>
      <c r="Z270" s="27" t="n">
        <f aca="false">MIN(D269*(1+D$8),MAX(P270,$B$11-SUM(X270:Y270)-SUM(Q270:W270)))</f>
        <v>0</v>
      </c>
      <c r="AA270" s="27" t="n">
        <f aca="false">MIN(E269*(1+E$8),MAX(Q270,$B$11-SUM(X270:Z270)-SUM(R270:W270)))</f>
        <v>0</v>
      </c>
      <c r="AB270" s="27" t="n">
        <f aca="false">MIN(F269*(1+F$8),MAX(R270,$B$11-SUM(X270:AA270)-SUM(S270:W270)))</f>
        <v>0</v>
      </c>
      <c r="AC270" s="27" t="n">
        <f aca="false">MIN(G269*(1+G$8),MAX(S270,$B$11-SUM(X270:AB270)-SUM(T270:W270)))</f>
        <v>0</v>
      </c>
      <c r="AD270" s="27" t="n">
        <f aca="false">MIN(H269*(1+H$8),MAX(T270,$B$11-SUM(X270:AC270)-SUM(U270:W270)))</f>
        <v>0</v>
      </c>
      <c r="AE270" s="27" t="n">
        <f aca="false">MIN(I269*(1+I$8),MAX(U270,$B$11-SUM(X270:AD270)-SUM(V270:W270)))</f>
        <v>0</v>
      </c>
      <c r="AF270" s="27" t="n">
        <f aca="false">MIN(J269*(1+J$8),MAX(V270,$B$11-SUM(X270:AE270)-SUM(W270:W270)))</f>
        <v>0</v>
      </c>
      <c r="AG270" s="27" t="n">
        <f aca="false">MIN(K269*(1+K$8),MAX(W270,$B$11-SUM(X270:AF270)))</f>
        <v>0</v>
      </c>
      <c r="AI270" s="27" t="n">
        <f aca="false">ROUND(MAX(0,AI269*(1+B$8)-BE270),2)</f>
        <v>0</v>
      </c>
      <c r="AJ270" s="27" t="n">
        <f aca="false">ROUND(MAX(0,AJ269*(1+C$8)-BF270),2)</f>
        <v>0</v>
      </c>
      <c r="AK270" s="27" t="n">
        <f aca="false">ROUND(MAX(0,AK269*(1+D$8)-BG270),2)</f>
        <v>0</v>
      </c>
      <c r="AL270" s="27" t="n">
        <f aca="false">ROUND(MAX(0,AL269*(1+E$8)-BH270),2)</f>
        <v>0</v>
      </c>
      <c r="AM270" s="27" t="n">
        <f aca="false">ROUND(MAX(0,AM269*(1+F$8)-BI270),2)</f>
        <v>0</v>
      </c>
      <c r="AN270" s="27" t="n">
        <f aca="false">ROUND(MAX(0,AN269*(1+G$8)-BJ270),2)</f>
        <v>0</v>
      </c>
      <c r="AO270" s="27" t="n">
        <f aca="false">ROUND(MAX(0,AO269*(1+H$8)-BK270),2)</f>
        <v>0</v>
      </c>
      <c r="AP270" s="27" t="n">
        <f aca="false">ROUND(MAX(0,AP269*(1+I$8)-BL270),2)</f>
        <v>0</v>
      </c>
      <c r="AQ270" s="27" t="n">
        <f aca="false">ROUND(MAX(0,AQ269*(1+J$8)-BM270),2)</f>
        <v>0</v>
      </c>
      <c r="AR270" s="27" t="n">
        <f aca="false">ROUND(MAX(0,AR269*(1+K$8)-BN270),2)</f>
        <v>0</v>
      </c>
      <c r="AS270" s="27" t="n">
        <f aca="false">SUM(AI270:AR270)</f>
        <v>0</v>
      </c>
      <c r="AT270" s="27" t="n">
        <f aca="false">SUMPRODUCT(AI269:AR269,$B$8:$K$8)</f>
        <v>0</v>
      </c>
      <c r="AU270" s="27" t="n">
        <f aca="false">MIN(AI269*(1+B$8),B$9)</f>
        <v>0</v>
      </c>
      <c r="AV270" s="27" t="n">
        <f aca="false">MIN(AJ269*(1+C$8),C$9)</f>
        <v>0</v>
      </c>
      <c r="AW270" s="27" t="n">
        <f aca="false">MIN(AK269*(1+D$8),D$9)</f>
        <v>0</v>
      </c>
      <c r="AX270" s="27" t="n">
        <f aca="false">MIN(AL269*(1+E$8),E$9)</f>
        <v>0</v>
      </c>
      <c r="AY270" s="27" t="n">
        <f aca="false">MIN(AM269*(1+F$8),F$9)</f>
        <v>0</v>
      </c>
      <c r="AZ270" s="27" t="n">
        <f aca="false">MIN(AN269*(1+G$8),G$9)</f>
        <v>0</v>
      </c>
      <c r="BA270" s="27" t="n">
        <f aca="false">MIN(AO269*(1+H$8),H$9)</f>
        <v>0</v>
      </c>
      <c r="BB270" s="27" t="n">
        <f aca="false">MIN(AP269*(1+I$8),I$9)</f>
        <v>0</v>
      </c>
      <c r="BC270" s="27" t="n">
        <f aca="false">MIN(AQ269*(1+J$8),J$9)</f>
        <v>0</v>
      </c>
      <c r="BD270" s="27" t="n">
        <f aca="false">MIN(AR269*(1+K$8),K$9)</f>
        <v>0</v>
      </c>
      <c r="BE270" s="27" t="n">
        <f aca="false">MIN(AI269*(1+B$8),MAX(AU270,$B$12-SUM(AV270:BD270)))</f>
        <v>0</v>
      </c>
      <c r="BF270" s="27" t="n">
        <f aca="false">MIN(AJ269*(1+C$8),MAX(AV270,$B$12-SUM(BE270:BE270)-SUM(AW270:BD270)))</f>
        <v>0</v>
      </c>
      <c r="BG270" s="27" t="n">
        <f aca="false">MIN(AK269*(1+D$8),MAX(AW270,$B$12-SUM(BE270:BF270)-SUM(AX270:BD270)))</f>
        <v>0</v>
      </c>
      <c r="BH270" s="27" t="n">
        <f aca="false">MIN(AL269*(1+E$8),MAX(AX270,$B$12-SUM(BE270:BG270)-SUM(AY270:BD270)))</f>
        <v>0</v>
      </c>
      <c r="BI270" s="27" t="n">
        <f aca="false">MIN(AM269*(1+F$8),MAX(AY270,$B$12-SUM(BE270:BH270)-SUM(AZ270:BD270)))</f>
        <v>0</v>
      </c>
      <c r="BJ270" s="27" t="n">
        <f aca="false">MIN(AN269*(1+G$8),MAX(AZ270,$B$12-SUM(BE270:BI270)-SUM(BA270:BD270)))</f>
        <v>0</v>
      </c>
      <c r="BK270" s="27" t="n">
        <f aca="false">MIN(AO269*(1+H$8),MAX(BA270,$B$12-SUM(BE270:BJ270)-SUM(BB270:BD270)))</f>
        <v>0</v>
      </c>
      <c r="BL270" s="27" t="n">
        <f aca="false">MIN(AP269*(1+I$8),MAX(BB270,$B$12-SUM(BE270:BK270)-SUM(BC270:BD270)))</f>
        <v>0</v>
      </c>
      <c r="BM270" s="27" t="n">
        <f aca="false">MIN(AQ269*(1+J$8),MAX(BC270,$B$12-SUM(BE270:BL270)-SUM(BD270:BD270)))</f>
        <v>0</v>
      </c>
      <c r="BN270" s="27" t="n">
        <f aca="false">MIN(AR269*(1+K$8),MAX(BD270,$B$12-SUM(BE270:BM270)))</f>
        <v>0</v>
      </c>
    </row>
    <row r="271" customFormat="false" ht="15" hidden="false" customHeight="false" outlineLevel="0" collapsed="false">
      <c r="A271" s="0" t="n">
        <v>257</v>
      </c>
      <c r="B271" s="27" t="n">
        <f aca="false">ROUND(MAX(0,B270*(1+B$8)-X271),2)</f>
        <v>0</v>
      </c>
      <c r="C271" s="27" t="n">
        <f aca="false">ROUND(MAX(0,C270*(1+C$8)-Y271),2)</f>
        <v>0</v>
      </c>
      <c r="D271" s="27" t="n">
        <f aca="false">ROUND(MAX(0,D270*(1+D$8)-Z271),2)</f>
        <v>0</v>
      </c>
      <c r="E271" s="27" t="n">
        <f aca="false">ROUND(MAX(0,E270*(1+E$8)-AA271),2)</f>
        <v>0</v>
      </c>
      <c r="F271" s="27" t="n">
        <f aca="false">ROUND(MAX(0,F270*(1+F$8)-AB271),2)</f>
        <v>0</v>
      </c>
      <c r="G271" s="27" t="n">
        <f aca="false">ROUND(MAX(0,G270*(1+G$8)-AC271),2)</f>
        <v>0</v>
      </c>
      <c r="H271" s="27" t="n">
        <f aca="false">ROUND(MAX(0,H270*(1+H$8)-AD271),2)</f>
        <v>0</v>
      </c>
      <c r="I271" s="27" t="n">
        <f aca="false">ROUND(MAX(0,I270*(1+I$8)-AE271),2)</f>
        <v>0</v>
      </c>
      <c r="J271" s="27" t="n">
        <f aca="false">ROUND(MAX(0,J270*(1+J$8)-AF271),2)</f>
        <v>0</v>
      </c>
      <c r="K271" s="27" t="n">
        <f aca="false">ROUND(MAX(0,K270*(1+K$8)-AG271),2)</f>
        <v>0</v>
      </c>
      <c r="L271" s="30" t="n">
        <f aca="false">SUM(B271:K271)</f>
        <v>0</v>
      </c>
      <c r="M271" s="27" t="n">
        <f aca="false">SUMPRODUCT(B270:K270,$B$8:$K$8)</f>
        <v>0</v>
      </c>
      <c r="N271" s="27" t="n">
        <f aca="false">MIN(B270*(1+B$8),B$9)</f>
        <v>0</v>
      </c>
      <c r="O271" s="27" t="n">
        <f aca="false">MIN(C270*(1+C$8),C$9)</f>
        <v>0</v>
      </c>
      <c r="P271" s="27" t="n">
        <f aca="false">MIN(D270*(1+D$8),D$9)</f>
        <v>0</v>
      </c>
      <c r="Q271" s="27" t="n">
        <f aca="false">MIN(E270*(1+E$8),E$9)</f>
        <v>0</v>
      </c>
      <c r="R271" s="27" t="n">
        <f aca="false">MIN(F270*(1+F$8),F$9)</f>
        <v>0</v>
      </c>
      <c r="S271" s="27" t="n">
        <f aca="false">MIN(G270*(1+G$8),G$9)</f>
        <v>0</v>
      </c>
      <c r="T271" s="27" t="n">
        <f aca="false">MIN(H270*(1+H$8),H$9)</f>
        <v>0</v>
      </c>
      <c r="U271" s="27" t="n">
        <f aca="false">MIN(I270*(1+I$8),I$9)</f>
        <v>0</v>
      </c>
      <c r="V271" s="27" t="n">
        <f aca="false">MIN(J270*(1+J$8),J$9)</f>
        <v>0</v>
      </c>
      <c r="W271" s="27" t="n">
        <f aca="false">MIN(K270*(1+K$8),K$9)</f>
        <v>0</v>
      </c>
      <c r="X271" s="27" t="n">
        <f aca="false">MIN(B270*(1+B$8),MAX(N271,$B$11-SUM(O271:W271)))</f>
        <v>0</v>
      </c>
      <c r="Y271" s="27" t="n">
        <f aca="false">MIN(C270*(1+C$8),MAX(O271,$B$11-SUM(X271:X271)-SUM(P271:W271)))</f>
        <v>0</v>
      </c>
      <c r="Z271" s="27" t="n">
        <f aca="false">MIN(D270*(1+D$8),MAX(P271,$B$11-SUM(X271:Y271)-SUM(Q271:W271)))</f>
        <v>0</v>
      </c>
      <c r="AA271" s="27" t="n">
        <f aca="false">MIN(E270*(1+E$8),MAX(Q271,$B$11-SUM(X271:Z271)-SUM(R271:W271)))</f>
        <v>0</v>
      </c>
      <c r="AB271" s="27" t="n">
        <f aca="false">MIN(F270*(1+F$8),MAX(R271,$B$11-SUM(X271:AA271)-SUM(S271:W271)))</f>
        <v>0</v>
      </c>
      <c r="AC271" s="27" t="n">
        <f aca="false">MIN(G270*(1+G$8),MAX(S271,$B$11-SUM(X271:AB271)-SUM(T271:W271)))</f>
        <v>0</v>
      </c>
      <c r="AD271" s="27" t="n">
        <f aca="false">MIN(H270*(1+H$8),MAX(T271,$B$11-SUM(X271:AC271)-SUM(U271:W271)))</f>
        <v>0</v>
      </c>
      <c r="AE271" s="27" t="n">
        <f aca="false">MIN(I270*(1+I$8),MAX(U271,$B$11-SUM(X271:AD271)-SUM(V271:W271)))</f>
        <v>0</v>
      </c>
      <c r="AF271" s="27" t="n">
        <f aca="false">MIN(J270*(1+J$8),MAX(V271,$B$11-SUM(X271:AE271)-SUM(W271:W271)))</f>
        <v>0</v>
      </c>
      <c r="AG271" s="27" t="n">
        <f aca="false">MIN(K270*(1+K$8),MAX(W271,$B$11-SUM(X271:AF271)))</f>
        <v>0</v>
      </c>
      <c r="AI271" s="27" t="n">
        <f aca="false">ROUND(MAX(0,AI270*(1+B$8)-BE271),2)</f>
        <v>0</v>
      </c>
      <c r="AJ271" s="27" t="n">
        <f aca="false">ROUND(MAX(0,AJ270*(1+C$8)-BF271),2)</f>
        <v>0</v>
      </c>
      <c r="AK271" s="27" t="n">
        <f aca="false">ROUND(MAX(0,AK270*(1+D$8)-BG271),2)</f>
        <v>0</v>
      </c>
      <c r="AL271" s="27" t="n">
        <f aca="false">ROUND(MAX(0,AL270*(1+E$8)-BH271),2)</f>
        <v>0</v>
      </c>
      <c r="AM271" s="27" t="n">
        <f aca="false">ROUND(MAX(0,AM270*(1+F$8)-BI271),2)</f>
        <v>0</v>
      </c>
      <c r="AN271" s="27" t="n">
        <f aca="false">ROUND(MAX(0,AN270*(1+G$8)-BJ271),2)</f>
        <v>0</v>
      </c>
      <c r="AO271" s="27" t="n">
        <f aca="false">ROUND(MAX(0,AO270*(1+H$8)-BK271),2)</f>
        <v>0</v>
      </c>
      <c r="AP271" s="27" t="n">
        <f aca="false">ROUND(MAX(0,AP270*(1+I$8)-BL271),2)</f>
        <v>0</v>
      </c>
      <c r="AQ271" s="27" t="n">
        <f aca="false">ROUND(MAX(0,AQ270*(1+J$8)-BM271),2)</f>
        <v>0</v>
      </c>
      <c r="AR271" s="27" t="n">
        <f aca="false">ROUND(MAX(0,AR270*(1+K$8)-BN271),2)</f>
        <v>0</v>
      </c>
      <c r="AS271" s="27" t="n">
        <f aca="false">SUM(AI271:AR271)</f>
        <v>0</v>
      </c>
      <c r="AT271" s="27" t="n">
        <f aca="false">SUMPRODUCT(AI270:AR270,$B$8:$K$8)</f>
        <v>0</v>
      </c>
      <c r="AU271" s="27" t="n">
        <f aca="false">MIN(AI270*(1+B$8),B$9)</f>
        <v>0</v>
      </c>
      <c r="AV271" s="27" t="n">
        <f aca="false">MIN(AJ270*(1+C$8),C$9)</f>
        <v>0</v>
      </c>
      <c r="AW271" s="27" t="n">
        <f aca="false">MIN(AK270*(1+D$8),D$9)</f>
        <v>0</v>
      </c>
      <c r="AX271" s="27" t="n">
        <f aca="false">MIN(AL270*(1+E$8),E$9)</f>
        <v>0</v>
      </c>
      <c r="AY271" s="27" t="n">
        <f aca="false">MIN(AM270*(1+F$8),F$9)</f>
        <v>0</v>
      </c>
      <c r="AZ271" s="27" t="n">
        <f aca="false">MIN(AN270*(1+G$8),G$9)</f>
        <v>0</v>
      </c>
      <c r="BA271" s="27" t="n">
        <f aca="false">MIN(AO270*(1+H$8),H$9)</f>
        <v>0</v>
      </c>
      <c r="BB271" s="27" t="n">
        <f aca="false">MIN(AP270*(1+I$8),I$9)</f>
        <v>0</v>
      </c>
      <c r="BC271" s="27" t="n">
        <f aca="false">MIN(AQ270*(1+J$8),J$9)</f>
        <v>0</v>
      </c>
      <c r="BD271" s="27" t="n">
        <f aca="false">MIN(AR270*(1+K$8),K$9)</f>
        <v>0</v>
      </c>
      <c r="BE271" s="27" t="n">
        <f aca="false">MIN(AI270*(1+B$8),MAX(AU271,$B$12-SUM(AV271:BD271)))</f>
        <v>0</v>
      </c>
      <c r="BF271" s="27" t="n">
        <f aca="false">MIN(AJ270*(1+C$8),MAX(AV271,$B$12-SUM(BE271:BE271)-SUM(AW271:BD271)))</f>
        <v>0</v>
      </c>
      <c r="BG271" s="27" t="n">
        <f aca="false">MIN(AK270*(1+D$8),MAX(AW271,$B$12-SUM(BE271:BF271)-SUM(AX271:BD271)))</f>
        <v>0</v>
      </c>
      <c r="BH271" s="27" t="n">
        <f aca="false">MIN(AL270*(1+E$8),MAX(AX271,$B$12-SUM(BE271:BG271)-SUM(AY271:BD271)))</f>
        <v>0</v>
      </c>
      <c r="BI271" s="27" t="n">
        <f aca="false">MIN(AM270*(1+F$8),MAX(AY271,$B$12-SUM(BE271:BH271)-SUM(AZ271:BD271)))</f>
        <v>0</v>
      </c>
      <c r="BJ271" s="27" t="n">
        <f aca="false">MIN(AN270*(1+G$8),MAX(AZ271,$B$12-SUM(BE271:BI271)-SUM(BA271:BD271)))</f>
        <v>0</v>
      </c>
      <c r="BK271" s="27" t="n">
        <f aca="false">MIN(AO270*(1+H$8),MAX(BA271,$B$12-SUM(BE271:BJ271)-SUM(BB271:BD271)))</f>
        <v>0</v>
      </c>
      <c r="BL271" s="27" t="n">
        <f aca="false">MIN(AP270*(1+I$8),MAX(BB271,$B$12-SUM(BE271:BK271)-SUM(BC271:BD271)))</f>
        <v>0</v>
      </c>
      <c r="BM271" s="27" t="n">
        <f aca="false">MIN(AQ270*(1+J$8),MAX(BC271,$B$12-SUM(BE271:BL271)-SUM(BD271:BD271)))</f>
        <v>0</v>
      </c>
      <c r="BN271" s="27" t="n">
        <f aca="false">MIN(AR270*(1+K$8),MAX(BD271,$B$12-SUM(BE271:BM271)))</f>
        <v>0</v>
      </c>
    </row>
    <row r="272" customFormat="false" ht="15" hidden="false" customHeight="false" outlineLevel="0" collapsed="false">
      <c r="A272" s="0" t="n">
        <v>258</v>
      </c>
      <c r="B272" s="27" t="n">
        <f aca="false">ROUND(MAX(0,B271*(1+B$8)-X272),2)</f>
        <v>0</v>
      </c>
      <c r="C272" s="27" t="n">
        <f aca="false">ROUND(MAX(0,C271*(1+C$8)-Y272),2)</f>
        <v>0</v>
      </c>
      <c r="D272" s="27" t="n">
        <f aca="false">ROUND(MAX(0,D271*(1+D$8)-Z272),2)</f>
        <v>0</v>
      </c>
      <c r="E272" s="27" t="n">
        <f aca="false">ROUND(MAX(0,E271*(1+E$8)-AA272),2)</f>
        <v>0</v>
      </c>
      <c r="F272" s="27" t="n">
        <f aca="false">ROUND(MAX(0,F271*(1+F$8)-AB272),2)</f>
        <v>0</v>
      </c>
      <c r="G272" s="27" t="n">
        <f aca="false">ROUND(MAX(0,G271*(1+G$8)-AC272),2)</f>
        <v>0</v>
      </c>
      <c r="H272" s="27" t="n">
        <f aca="false">ROUND(MAX(0,H271*(1+H$8)-AD272),2)</f>
        <v>0</v>
      </c>
      <c r="I272" s="27" t="n">
        <f aca="false">ROUND(MAX(0,I271*(1+I$8)-AE272),2)</f>
        <v>0</v>
      </c>
      <c r="J272" s="27" t="n">
        <f aca="false">ROUND(MAX(0,J271*(1+J$8)-AF272),2)</f>
        <v>0</v>
      </c>
      <c r="K272" s="27" t="n">
        <f aca="false">ROUND(MAX(0,K271*(1+K$8)-AG272),2)</f>
        <v>0</v>
      </c>
      <c r="L272" s="30" t="n">
        <f aca="false">SUM(B272:K272)</f>
        <v>0</v>
      </c>
      <c r="M272" s="27" t="n">
        <f aca="false">SUMPRODUCT(B271:K271,$B$8:$K$8)</f>
        <v>0</v>
      </c>
      <c r="N272" s="27" t="n">
        <f aca="false">MIN(B271*(1+B$8),B$9)</f>
        <v>0</v>
      </c>
      <c r="O272" s="27" t="n">
        <f aca="false">MIN(C271*(1+C$8),C$9)</f>
        <v>0</v>
      </c>
      <c r="P272" s="27" t="n">
        <f aca="false">MIN(D271*(1+D$8),D$9)</f>
        <v>0</v>
      </c>
      <c r="Q272" s="27" t="n">
        <f aca="false">MIN(E271*(1+E$8),E$9)</f>
        <v>0</v>
      </c>
      <c r="R272" s="27" t="n">
        <f aca="false">MIN(F271*(1+F$8),F$9)</f>
        <v>0</v>
      </c>
      <c r="S272" s="27" t="n">
        <f aca="false">MIN(G271*(1+G$8),G$9)</f>
        <v>0</v>
      </c>
      <c r="T272" s="27" t="n">
        <f aca="false">MIN(H271*(1+H$8),H$9)</f>
        <v>0</v>
      </c>
      <c r="U272" s="27" t="n">
        <f aca="false">MIN(I271*(1+I$8),I$9)</f>
        <v>0</v>
      </c>
      <c r="V272" s="27" t="n">
        <f aca="false">MIN(J271*(1+J$8),J$9)</f>
        <v>0</v>
      </c>
      <c r="W272" s="27" t="n">
        <f aca="false">MIN(K271*(1+K$8),K$9)</f>
        <v>0</v>
      </c>
      <c r="X272" s="27" t="n">
        <f aca="false">MIN(B271*(1+B$8),MAX(N272,$B$11-SUM(O272:W272)))</f>
        <v>0</v>
      </c>
      <c r="Y272" s="27" t="n">
        <f aca="false">MIN(C271*(1+C$8),MAX(O272,$B$11-SUM(X272:X272)-SUM(P272:W272)))</f>
        <v>0</v>
      </c>
      <c r="Z272" s="27" t="n">
        <f aca="false">MIN(D271*(1+D$8),MAX(P272,$B$11-SUM(X272:Y272)-SUM(Q272:W272)))</f>
        <v>0</v>
      </c>
      <c r="AA272" s="27" t="n">
        <f aca="false">MIN(E271*(1+E$8),MAX(Q272,$B$11-SUM(X272:Z272)-SUM(R272:W272)))</f>
        <v>0</v>
      </c>
      <c r="AB272" s="27" t="n">
        <f aca="false">MIN(F271*(1+F$8),MAX(R272,$B$11-SUM(X272:AA272)-SUM(S272:W272)))</f>
        <v>0</v>
      </c>
      <c r="AC272" s="27" t="n">
        <f aca="false">MIN(G271*(1+G$8),MAX(S272,$B$11-SUM(X272:AB272)-SUM(T272:W272)))</f>
        <v>0</v>
      </c>
      <c r="AD272" s="27" t="n">
        <f aca="false">MIN(H271*(1+H$8),MAX(T272,$B$11-SUM(X272:AC272)-SUM(U272:W272)))</f>
        <v>0</v>
      </c>
      <c r="AE272" s="27" t="n">
        <f aca="false">MIN(I271*(1+I$8),MAX(U272,$B$11-SUM(X272:AD272)-SUM(V272:W272)))</f>
        <v>0</v>
      </c>
      <c r="AF272" s="27" t="n">
        <f aca="false">MIN(J271*(1+J$8),MAX(V272,$B$11-SUM(X272:AE272)-SUM(W272:W272)))</f>
        <v>0</v>
      </c>
      <c r="AG272" s="27" t="n">
        <f aca="false">MIN(K271*(1+K$8),MAX(W272,$B$11-SUM(X272:AF272)))</f>
        <v>0</v>
      </c>
      <c r="AI272" s="27" t="n">
        <f aca="false">ROUND(MAX(0,AI271*(1+B$8)-BE272),2)</f>
        <v>0</v>
      </c>
      <c r="AJ272" s="27" t="n">
        <f aca="false">ROUND(MAX(0,AJ271*(1+C$8)-BF272),2)</f>
        <v>0</v>
      </c>
      <c r="AK272" s="27" t="n">
        <f aca="false">ROUND(MAX(0,AK271*(1+D$8)-BG272),2)</f>
        <v>0</v>
      </c>
      <c r="AL272" s="27" t="n">
        <f aca="false">ROUND(MAX(0,AL271*(1+E$8)-BH272),2)</f>
        <v>0</v>
      </c>
      <c r="AM272" s="27" t="n">
        <f aca="false">ROUND(MAX(0,AM271*(1+F$8)-BI272),2)</f>
        <v>0</v>
      </c>
      <c r="AN272" s="27" t="n">
        <f aca="false">ROUND(MAX(0,AN271*(1+G$8)-BJ272),2)</f>
        <v>0</v>
      </c>
      <c r="AO272" s="27" t="n">
        <f aca="false">ROUND(MAX(0,AO271*(1+H$8)-BK272),2)</f>
        <v>0</v>
      </c>
      <c r="AP272" s="27" t="n">
        <f aca="false">ROUND(MAX(0,AP271*(1+I$8)-BL272),2)</f>
        <v>0</v>
      </c>
      <c r="AQ272" s="27" t="n">
        <f aca="false">ROUND(MAX(0,AQ271*(1+J$8)-BM272),2)</f>
        <v>0</v>
      </c>
      <c r="AR272" s="27" t="n">
        <f aca="false">ROUND(MAX(0,AR271*(1+K$8)-BN272),2)</f>
        <v>0</v>
      </c>
      <c r="AS272" s="27" t="n">
        <f aca="false">SUM(AI272:AR272)</f>
        <v>0</v>
      </c>
      <c r="AT272" s="27" t="n">
        <f aca="false">SUMPRODUCT(AI271:AR271,$B$8:$K$8)</f>
        <v>0</v>
      </c>
      <c r="AU272" s="27" t="n">
        <f aca="false">MIN(AI271*(1+B$8),B$9)</f>
        <v>0</v>
      </c>
      <c r="AV272" s="27" t="n">
        <f aca="false">MIN(AJ271*(1+C$8),C$9)</f>
        <v>0</v>
      </c>
      <c r="AW272" s="27" t="n">
        <f aca="false">MIN(AK271*(1+D$8),D$9)</f>
        <v>0</v>
      </c>
      <c r="AX272" s="27" t="n">
        <f aca="false">MIN(AL271*(1+E$8),E$9)</f>
        <v>0</v>
      </c>
      <c r="AY272" s="27" t="n">
        <f aca="false">MIN(AM271*(1+F$8),F$9)</f>
        <v>0</v>
      </c>
      <c r="AZ272" s="27" t="n">
        <f aca="false">MIN(AN271*(1+G$8),G$9)</f>
        <v>0</v>
      </c>
      <c r="BA272" s="27" t="n">
        <f aca="false">MIN(AO271*(1+H$8),H$9)</f>
        <v>0</v>
      </c>
      <c r="BB272" s="27" t="n">
        <f aca="false">MIN(AP271*(1+I$8),I$9)</f>
        <v>0</v>
      </c>
      <c r="BC272" s="27" t="n">
        <f aca="false">MIN(AQ271*(1+J$8),J$9)</f>
        <v>0</v>
      </c>
      <c r="BD272" s="27" t="n">
        <f aca="false">MIN(AR271*(1+K$8),K$9)</f>
        <v>0</v>
      </c>
      <c r="BE272" s="27" t="n">
        <f aca="false">MIN(AI271*(1+B$8),MAX(AU272,$B$12-SUM(AV272:BD272)))</f>
        <v>0</v>
      </c>
      <c r="BF272" s="27" t="n">
        <f aca="false">MIN(AJ271*(1+C$8),MAX(AV272,$B$12-SUM(BE272:BE272)-SUM(AW272:BD272)))</f>
        <v>0</v>
      </c>
      <c r="BG272" s="27" t="n">
        <f aca="false">MIN(AK271*(1+D$8),MAX(AW272,$B$12-SUM(BE272:BF272)-SUM(AX272:BD272)))</f>
        <v>0</v>
      </c>
      <c r="BH272" s="27" t="n">
        <f aca="false">MIN(AL271*(1+E$8),MAX(AX272,$B$12-SUM(BE272:BG272)-SUM(AY272:BD272)))</f>
        <v>0</v>
      </c>
      <c r="BI272" s="27" t="n">
        <f aca="false">MIN(AM271*(1+F$8),MAX(AY272,$B$12-SUM(BE272:BH272)-SUM(AZ272:BD272)))</f>
        <v>0</v>
      </c>
      <c r="BJ272" s="27" t="n">
        <f aca="false">MIN(AN271*(1+G$8),MAX(AZ272,$B$12-SUM(BE272:BI272)-SUM(BA272:BD272)))</f>
        <v>0</v>
      </c>
      <c r="BK272" s="27" t="n">
        <f aca="false">MIN(AO271*(1+H$8),MAX(BA272,$B$12-SUM(BE272:BJ272)-SUM(BB272:BD272)))</f>
        <v>0</v>
      </c>
      <c r="BL272" s="27" t="n">
        <f aca="false">MIN(AP271*(1+I$8),MAX(BB272,$B$12-SUM(BE272:BK272)-SUM(BC272:BD272)))</f>
        <v>0</v>
      </c>
      <c r="BM272" s="27" t="n">
        <f aca="false">MIN(AQ271*(1+J$8),MAX(BC272,$B$12-SUM(BE272:BL272)-SUM(BD272:BD272)))</f>
        <v>0</v>
      </c>
      <c r="BN272" s="27" t="n">
        <f aca="false">MIN(AR271*(1+K$8),MAX(BD272,$B$12-SUM(BE272:BM272)))</f>
        <v>0</v>
      </c>
    </row>
    <row r="273" customFormat="false" ht="15" hidden="false" customHeight="false" outlineLevel="0" collapsed="false">
      <c r="A273" s="0" t="n">
        <v>259</v>
      </c>
      <c r="B273" s="27" t="n">
        <f aca="false">ROUND(MAX(0,B272*(1+B$8)-X273),2)</f>
        <v>0</v>
      </c>
      <c r="C273" s="27" t="n">
        <f aca="false">ROUND(MAX(0,C272*(1+C$8)-Y273),2)</f>
        <v>0</v>
      </c>
      <c r="D273" s="27" t="n">
        <f aca="false">ROUND(MAX(0,D272*(1+D$8)-Z273),2)</f>
        <v>0</v>
      </c>
      <c r="E273" s="27" t="n">
        <f aca="false">ROUND(MAX(0,E272*(1+E$8)-AA273),2)</f>
        <v>0</v>
      </c>
      <c r="F273" s="27" t="n">
        <f aca="false">ROUND(MAX(0,F272*(1+F$8)-AB273),2)</f>
        <v>0</v>
      </c>
      <c r="G273" s="27" t="n">
        <f aca="false">ROUND(MAX(0,G272*(1+G$8)-AC273),2)</f>
        <v>0</v>
      </c>
      <c r="H273" s="27" t="n">
        <f aca="false">ROUND(MAX(0,H272*(1+H$8)-AD273),2)</f>
        <v>0</v>
      </c>
      <c r="I273" s="27" t="n">
        <f aca="false">ROUND(MAX(0,I272*(1+I$8)-AE273),2)</f>
        <v>0</v>
      </c>
      <c r="J273" s="27" t="n">
        <f aca="false">ROUND(MAX(0,J272*(1+J$8)-AF273),2)</f>
        <v>0</v>
      </c>
      <c r="K273" s="27" t="n">
        <f aca="false">ROUND(MAX(0,K272*(1+K$8)-AG273),2)</f>
        <v>0</v>
      </c>
      <c r="L273" s="30" t="n">
        <f aca="false">SUM(B273:K273)</f>
        <v>0</v>
      </c>
      <c r="M273" s="27" t="n">
        <f aca="false">SUMPRODUCT(B272:K272,$B$8:$K$8)</f>
        <v>0</v>
      </c>
      <c r="N273" s="27" t="n">
        <f aca="false">MIN(B272*(1+B$8),B$9)</f>
        <v>0</v>
      </c>
      <c r="O273" s="27" t="n">
        <f aca="false">MIN(C272*(1+C$8),C$9)</f>
        <v>0</v>
      </c>
      <c r="P273" s="27" t="n">
        <f aca="false">MIN(D272*(1+D$8),D$9)</f>
        <v>0</v>
      </c>
      <c r="Q273" s="27" t="n">
        <f aca="false">MIN(E272*(1+E$8),E$9)</f>
        <v>0</v>
      </c>
      <c r="R273" s="27" t="n">
        <f aca="false">MIN(F272*(1+F$8),F$9)</f>
        <v>0</v>
      </c>
      <c r="S273" s="27" t="n">
        <f aca="false">MIN(G272*(1+G$8),G$9)</f>
        <v>0</v>
      </c>
      <c r="T273" s="27" t="n">
        <f aca="false">MIN(H272*(1+H$8),H$9)</f>
        <v>0</v>
      </c>
      <c r="U273" s="27" t="n">
        <f aca="false">MIN(I272*(1+I$8),I$9)</f>
        <v>0</v>
      </c>
      <c r="V273" s="27" t="n">
        <f aca="false">MIN(J272*(1+J$8),J$9)</f>
        <v>0</v>
      </c>
      <c r="W273" s="27" t="n">
        <f aca="false">MIN(K272*(1+K$8),K$9)</f>
        <v>0</v>
      </c>
      <c r="X273" s="27" t="n">
        <f aca="false">MIN(B272*(1+B$8),MAX(N273,$B$11-SUM(O273:W273)))</f>
        <v>0</v>
      </c>
      <c r="Y273" s="27" t="n">
        <f aca="false">MIN(C272*(1+C$8),MAX(O273,$B$11-SUM(X273:X273)-SUM(P273:W273)))</f>
        <v>0</v>
      </c>
      <c r="Z273" s="27" t="n">
        <f aca="false">MIN(D272*(1+D$8),MAX(P273,$B$11-SUM(X273:Y273)-SUM(Q273:W273)))</f>
        <v>0</v>
      </c>
      <c r="AA273" s="27" t="n">
        <f aca="false">MIN(E272*(1+E$8),MAX(Q273,$B$11-SUM(X273:Z273)-SUM(R273:W273)))</f>
        <v>0</v>
      </c>
      <c r="AB273" s="27" t="n">
        <f aca="false">MIN(F272*(1+F$8),MAX(R273,$B$11-SUM(X273:AA273)-SUM(S273:W273)))</f>
        <v>0</v>
      </c>
      <c r="AC273" s="27" t="n">
        <f aca="false">MIN(G272*(1+G$8),MAX(S273,$B$11-SUM(X273:AB273)-SUM(T273:W273)))</f>
        <v>0</v>
      </c>
      <c r="AD273" s="27" t="n">
        <f aca="false">MIN(H272*(1+H$8),MAX(T273,$B$11-SUM(X273:AC273)-SUM(U273:W273)))</f>
        <v>0</v>
      </c>
      <c r="AE273" s="27" t="n">
        <f aca="false">MIN(I272*(1+I$8),MAX(U273,$B$11-SUM(X273:AD273)-SUM(V273:W273)))</f>
        <v>0</v>
      </c>
      <c r="AF273" s="27" t="n">
        <f aca="false">MIN(J272*(1+J$8),MAX(V273,$B$11-SUM(X273:AE273)-SUM(W273:W273)))</f>
        <v>0</v>
      </c>
      <c r="AG273" s="27" t="n">
        <f aca="false">MIN(K272*(1+K$8),MAX(W273,$B$11-SUM(X273:AF273)))</f>
        <v>0</v>
      </c>
      <c r="AI273" s="27" t="n">
        <f aca="false">ROUND(MAX(0,AI272*(1+B$8)-BE273),2)</f>
        <v>0</v>
      </c>
      <c r="AJ273" s="27" t="n">
        <f aca="false">ROUND(MAX(0,AJ272*(1+C$8)-BF273),2)</f>
        <v>0</v>
      </c>
      <c r="AK273" s="27" t="n">
        <f aca="false">ROUND(MAX(0,AK272*(1+D$8)-BG273),2)</f>
        <v>0</v>
      </c>
      <c r="AL273" s="27" t="n">
        <f aca="false">ROUND(MAX(0,AL272*(1+E$8)-BH273),2)</f>
        <v>0</v>
      </c>
      <c r="AM273" s="27" t="n">
        <f aca="false">ROUND(MAX(0,AM272*(1+F$8)-BI273),2)</f>
        <v>0</v>
      </c>
      <c r="AN273" s="27" t="n">
        <f aca="false">ROUND(MAX(0,AN272*(1+G$8)-BJ273),2)</f>
        <v>0</v>
      </c>
      <c r="AO273" s="27" t="n">
        <f aca="false">ROUND(MAX(0,AO272*(1+H$8)-BK273),2)</f>
        <v>0</v>
      </c>
      <c r="AP273" s="27" t="n">
        <f aca="false">ROUND(MAX(0,AP272*(1+I$8)-BL273),2)</f>
        <v>0</v>
      </c>
      <c r="AQ273" s="27" t="n">
        <f aca="false">ROUND(MAX(0,AQ272*(1+J$8)-BM273),2)</f>
        <v>0</v>
      </c>
      <c r="AR273" s="27" t="n">
        <f aca="false">ROUND(MAX(0,AR272*(1+K$8)-BN273),2)</f>
        <v>0</v>
      </c>
      <c r="AS273" s="27" t="n">
        <f aca="false">SUM(AI273:AR273)</f>
        <v>0</v>
      </c>
      <c r="AT273" s="27" t="n">
        <f aca="false">SUMPRODUCT(AI272:AR272,$B$8:$K$8)</f>
        <v>0</v>
      </c>
      <c r="AU273" s="27" t="n">
        <f aca="false">MIN(AI272*(1+B$8),B$9)</f>
        <v>0</v>
      </c>
      <c r="AV273" s="27" t="n">
        <f aca="false">MIN(AJ272*(1+C$8),C$9)</f>
        <v>0</v>
      </c>
      <c r="AW273" s="27" t="n">
        <f aca="false">MIN(AK272*(1+D$8),D$9)</f>
        <v>0</v>
      </c>
      <c r="AX273" s="27" t="n">
        <f aca="false">MIN(AL272*(1+E$8),E$9)</f>
        <v>0</v>
      </c>
      <c r="AY273" s="27" t="n">
        <f aca="false">MIN(AM272*(1+F$8),F$9)</f>
        <v>0</v>
      </c>
      <c r="AZ273" s="27" t="n">
        <f aca="false">MIN(AN272*(1+G$8),G$9)</f>
        <v>0</v>
      </c>
      <c r="BA273" s="27" t="n">
        <f aca="false">MIN(AO272*(1+H$8),H$9)</f>
        <v>0</v>
      </c>
      <c r="BB273" s="27" t="n">
        <f aca="false">MIN(AP272*(1+I$8),I$9)</f>
        <v>0</v>
      </c>
      <c r="BC273" s="27" t="n">
        <f aca="false">MIN(AQ272*(1+J$8),J$9)</f>
        <v>0</v>
      </c>
      <c r="BD273" s="27" t="n">
        <f aca="false">MIN(AR272*(1+K$8),K$9)</f>
        <v>0</v>
      </c>
      <c r="BE273" s="27" t="n">
        <f aca="false">MIN(AI272*(1+B$8),MAX(AU273,$B$12-SUM(AV273:BD273)))</f>
        <v>0</v>
      </c>
      <c r="BF273" s="27" t="n">
        <f aca="false">MIN(AJ272*(1+C$8),MAX(AV273,$B$12-SUM(BE273:BE273)-SUM(AW273:BD273)))</f>
        <v>0</v>
      </c>
      <c r="BG273" s="27" t="n">
        <f aca="false">MIN(AK272*(1+D$8),MAX(AW273,$B$12-SUM(BE273:BF273)-SUM(AX273:BD273)))</f>
        <v>0</v>
      </c>
      <c r="BH273" s="27" t="n">
        <f aca="false">MIN(AL272*(1+E$8),MAX(AX273,$B$12-SUM(BE273:BG273)-SUM(AY273:BD273)))</f>
        <v>0</v>
      </c>
      <c r="BI273" s="27" t="n">
        <f aca="false">MIN(AM272*(1+F$8),MAX(AY273,$B$12-SUM(BE273:BH273)-SUM(AZ273:BD273)))</f>
        <v>0</v>
      </c>
      <c r="BJ273" s="27" t="n">
        <f aca="false">MIN(AN272*(1+G$8),MAX(AZ273,$B$12-SUM(BE273:BI273)-SUM(BA273:BD273)))</f>
        <v>0</v>
      </c>
      <c r="BK273" s="27" t="n">
        <f aca="false">MIN(AO272*(1+H$8),MAX(BA273,$B$12-SUM(BE273:BJ273)-SUM(BB273:BD273)))</f>
        <v>0</v>
      </c>
      <c r="BL273" s="27" t="n">
        <f aca="false">MIN(AP272*(1+I$8),MAX(BB273,$B$12-SUM(BE273:BK273)-SUM(BC273:BD273)))</f>
        <v>0</v>
      </c>
      <c r="BM273" s="27" t="n">
        <f aca="false">MIN(AQ272*(1+J$8),MAX(BC273,$B$12-SUM(BE273:BL273)-SUM(BD273:BD273)))</f>
        <v>0</v>
      </c>
      <c r="BN273" s="27" t="n">
        <f aca="false">MIN(AR272*(1+K$8),MAX(BD273,$B$12-SUM(BE273:BM273)))</f>
        <v>0</v>
      </c>
    </row>
    <row r="274" customFormat="false" ht="15" hidden="false" customHeight="false" outlineLevel="0" collapsed="false">
      <c r="A274" s="0" t="n">
        <v>260</v>
      </c>
      <c r="B274" s="27" t="n">
        <f aca="false">ROUND(MAX(0,B273*(1+B$8)-X274),2)</f>
        <v>0</v>
      </c>
      <c r="C274" s="27" t="n">
        <f aca="false">ROUND(MAX(0,C273*(1+C$8)-Y274),2)</f>
        <v>0</v>
      </c>
      <c r="D274" s="27" t="n">
        <f aca="false">ROUND(MAX(0,D273*(1+D$8)-Z274),2)</f>
        <v>0</v>
      </c>
      <c r="E274" s="27" t="n">
        <f aca="false">ROUND(MAX(0,E273*(1+E$8)-AA274),2)</f>
        <v>0</v>
      </c>
      <c r="F274" s="27" t="n">
        <f aca="false">ROUND(MAX(0,F273*(1+F$8)-AB274),2)</f>
        <v>0</v>
      </c>
      <c r="G274" s="27" t="n">
        <f aca="false">ROUND(MAX(0,G273*(1+G$8)-AC274),2)</f>
        <v>0</v>
      </c>
      <c r="H274" s="27" t="n">
        <f aca="false">ROUND(MAX(0,H273*(1+H$8)-AD274),2)</f>
        <v>0</v>
      </c>
      <c r="I274" s="27" t="n">
        <f aca="false">ROUND(MAX(0,I273*(1+I$8)-AE274),2)</f>
        <v>0</v>
      </c>
      <c r="J274" s="27" t="n">
        <f aca="false">ROUND(MAX(0,J273*(1+J$8)-AF274),2)</f>
        <v>0</v>
      </c>
      <c r="K274" s="27" t="n">
        <f aca="false">ROUND(MAX(0,K273*(1+K$8)-AG274),2)</f>
        <v>0</v>
      </c>
      <c r="L274" s="30" t="n">
        <f aca="false">SUM(B274:K274)</f>
        <v>0</v>
      </c>
      <c r="M274" s="27" t="n">
        <f aca="false">SUMPRODUCT(B273:K273,$B$8:$K$8)</f>
        <v>0</v>
      </c>
      <c r="N274" s="27" t="n">
        <f aca="false">MIN(B273*(1+B$8),B$9)</f>
        <v>0</v>
      </c>
      <c r="O274" s="27" t="n">
        <f aca="false">MIN(C273*(1+C$8),C$9)</f>
        <v>0</v>
      </c>
      <c r="P274" s="27" t="n">
        <f aca="false">MIN(D273*(1+D$8),D$9)</f>
        <v>0</v>
      </c>
      <c r="Q274" s="27" t="n">
        <f aca="false">MIN(E273*(1+E$8),E$9)</f>
        <v>0</v>
      </c>
      <c r="R274" s="27" t="n">
        <f aca="false">MIN(F273*(1+F$8),F$9)</f>
        <v>0</v>
      </c>
      <c r="S274" s="27" t="n">
        <f aca="false">MIN(G273*(1+G$8),G$9)</f>
        <v>0</v>
      </c>
      <c r="T274" s="27" t="n">
        <f aca="false">MIN(H273*(1+H$8),H$9)</f>
        <v>0</v>
      </c>
      <c r="U274" s="27" t="n">
        <f aca="false">MIN(I273*(1+I$8),I$9)</f>
        <v>0</v>
      </c>
      <c r="V274" s="27" t="n">
        <f aca="false">MIN(J273*(1+J$8),J$9)</f>
        <v>0</v>
      </c>
      <c r="W274" s="27" t="n">
        <f aca="false">MIN(K273*(1+K$8),K$9)</f>
        <v>0</v>
      </c>
      <c r="X274" s="27" t="n">
        <f aca="false">MIN(B273*(1+B$8),MAX(N274,$B$11-SUM(O274:W274)))</f>
        <v>0</v>
      </c>
      <c r="Y274" s="27" t="n">
        <f aca="false">MIN(C273*(1+C$8),MAX(O274,$B$11-SUM(X274:X274)-SUM(P274:W274)))</f>
        <v>0</v>
      </c>
      <c r="Z274" s="27" t="n">
        <f aca="false">MIN(D273*(1+D$8),MAX(P274,$B$11-SUM(X274:Y274)-SUM(Q274:W274)))</f>
        <v>0</v>
      </c>
      <c r="AA274" s="27" t="n">
        <f aca="false">MIN(E273*(1+E$8),MAX(Q274,$B$11-SUM(X274:Z274)-SUM(R274:W274)))</f>
        <v>0</v>
      </c>
      <c r="AB274" s="27" t="n">
        <f aca="false">MIN(F273*(1+F$8),MAX(R274,$B$11-SUM(X274:AA274)-SUM(S274:W274)))</f>
        <v>0</v>
      </c>
      <c r="AC274" s="27" t="n">
        <f aca="false">MIN(G273*(1+G$8),MAX(S274,$B$11-SUM(X274:AB274)-SUM(T274:W274)))</f>
        <v>0</v>
      </c>
      <c r="AD274" s="27" t="n">
        <f aca="false">MIN(H273*(1+H$8),MAX(T274,$B$11-SUM(X274:AC274)-SUM(U274:W274)))</f>
        <v>0</v>
      </c>
      <c r="AE274" s="27" t="n">
        <f aca="false">MIN(I273*(1+I$8),MAX(U274,$B$11-SUM(X274:AD274)-SUM(V274:W274)))</f>
        <v>0</v>
      </c>
      <c r="AF274" s="27" t="n">
        <f aca="false">MIN(J273*(1+J$8),MAX(V274,$B$11-SUM(X274:AE274)-SUM(W274:W274)))</f>
        <v>0</v>
      </c>
      <c r="AG274" s="27" t="n">
        <f aca="false">MIN(K273*(1+K$8),MAX(W274,$B$11-SUM(X274:AF274)))</f>
        <v>0</v>
      </c>
      <c r="AI274" s="27" t="n">
        <f aca="false">ROUND(MAX(0,AI273*(1+B$8)-BE274),2)</f>
        <v>0</v>
      </c>
      <c r="AJ274" s="27" t="n">
        <f aca="false">ROUND(MAX(0,AJ273*(1+C$8)-BF274),2)</f>
        <v>0</v>
      </c>
      <c r="AK274" s="27" t="n">
        <f aca="false">ROUND(MAX(0,AK273*(1+D$8)-BG274),2)</f>
        <v>0</v>
      </c>
      <c r="AL274" s="27" t="n">
        <f aca="false">ROUND(MAX(0,AL273*(1+E$8)-BH274),2)</f>
        <v>0</v>
      </c>
      <c r="AM274" s="27" t="n">
        <f aca="false">ROUND(MAX(0,AM273*(1+F$8)-BI274),2)</f>
        <v>0</v>
      </c>
      <c r="AN274" s="27" t="n">
        <f aca="false">ROUND(MAX(0,AN273*(1+G$8)-BJ274),2)</f>
        <v>0</v>
      </c>
      <c r="AO274" s="27" t="n">
        <f aca="false">ROUND(MAX(0,AO273*(1+H$8)-BK274),2)</f>
        <v>0</v>
      </c>
      <c r="AP274" s="27" t="n">
        <f aca="false">ROUND(MAX(0,AP273*(1+I$8)-BL274),2)</f>
        <v>0</v>
      </c>
      <c r="AQ274" s="27" t="n">
        <f aca="false">ROUND(MAX(0,AQ273*(1+J$8)-BM274),2)</f>
        <v>0</v>
      </c>
      <c r="AR274" s="27" t="n">
        <f aca="false">ROUND(MAX(0,AR273*(1+K$8)-BN274),2)</f>
        <v>0</v>
      </c>
      <c r="AS274" s="27" t="n">
        <f aca="false">SUM(AI274:AR274)</f>
        <v>0</v>
      </c>
      <c r="AT274" s="27" t="n">
        <f aca="false">SUMPRODUCT(AI273:AR273,$B$8:$K$8)</f>
        <v>0</v>
      </c>
      <c r="AU274" s="27" t="n">
        <f aca="false">MIN(AI273*(1+B$8),B$9)</f>
        <v>0</v>
      </c>
      <c r="AV274" s="27" t="n">
        <f aca="false">MIN(AJ273*(1+C$8),C$9)</f>
        <v>0</v>
      </c>
      <c r="AW274" s="27" t="n">
        <f aca="false">MIN(AK273*(1+D$8),D$9)</f>
        <v>0</v>
      </c>
      <c r="AX274" s="27" t="n">
        <f aca="false">MIN(AL273*(1+E$8),E$9)</f>
        <v>0</v>
      </c>
      <c r="AY274" s="27" t="n">
        <f aca="false">MIN(AM273*(1+F$8),F$9)</f>
        <v>0</v>
      </c>
      <c r="AZ274" s="27" t="n">
        <f aca="false">MIN(AN273*(1+G$8),G$9)</f>
        <v>0</v>
      </c>
      <c r="BA274" s="27" t="n">
        <f aca="false">MIN(AO273*(1+H$8),H$9)</f>
        <v>0</v>
      </c>
      <c r="BB274" s="27" t="n">
        <f aca="false">MIN(AP273*(1+I$8),I$9)</f>
        <v>0</v>
      </c>
      <c r="BC274" s="27" t="n">
        <f aca="false">MIN(AQ273*(1+J$8),J$9)</f>
        <v>0</v>
      </c>
      <c r="BD274" s="27" t="n">
        <f aca="false">MIN(AR273*(1+K$8),K$9)</f>
        <v>0</v>
      </c>
      <c r="BE274" s="27" t="n">
        <f aca="false">MIN(AI273*(1+B$8),MAX(AU274,$B$12-SUM(AV274:BD274)))</f>
        <v>0</v>
      </c>
      <c r="BF274" s="27" t="n">
        <f aca="false">MIN(AJ273*(1+C$8),MAX(AV274,$B$12-SUM(BE274:BE274)-SUM(AW274:BD274)))</f>
        <v>0</v>
      </c>
      <c r="BG274" s="27" t="n">
        <f aca="false">MIN(AK273*(1+D$8),MAX(AW274,$B$12-SUM(BE274:BF274)-SUM(AX274:BD274)))</f>
        <v>0</v>
      </c>
      <c r="BH274" s="27" t="n">
        <f aca="false">MIN(AL273*(1+E$8),MAX(AX274,$B$12-SUM(BE274:BG274)-SUM(AY274:BD274)))</f>
        <v>0</v>
      </c>
      <c r="BI274" s="27" t="n">
        <f aca="false">MIN(AM273*(1+F$8),MAX(AY274,$B$12-SUM(BE274:BH274)-SUM(AZ274:BD274)))</f>
        <v>0</v>
      </c>
      <c r="BJ274" s="27" t="n">
        <f aca="false">MIN(AN273*(1+G$8),MAX(AZ274,$B$12-SUM(BE274:BI274)-SUM(BA274:BD274)))</f>
        <v>0</v>
      </c>
      <c r="BK274" s="27" t="n">
        <f aca="false">MIN(AO273*(1+H$8),MAX(BA274,$B$12-SUM(BE274:BJ274)-SUM(BB274:BD274)))</f>
        <v>0</v>
      </c>
      <c r="BL274" s="27" t="n">
        <f aca="false">MIN(AP273*(1+I$8),MAX(BB274,$B$12-SUM(BE274:BK274)-SUM(BC274:BD274)))</f>
        <v>0</v>
      </c>
      <c r="BM274" s="27" t="n">
        <f aca="false">MIN(AQ273*(1+J$8),MAX(BC274,$B$12-SUM(BE274:BL274)-SUM(BD274:BD274)))</f>
        <v>0</v>
      </c>
      <c r="BN274" s="27" t="n">
        <f aca="false">MIN(AR273*(1+K$8),MAX(BD274,$B$12-SUM(BE274:BM274)))</f>
        <v>0</v>
      </c>
    </row>
    <row r="275" customFormat="false" ht="15" hidden="false" customHeight="false" outlineLevel="0" collapsed="false">
      <c r="A275" s="0" t="n">
        <v>261</v>
      </c>
      <c r="B275" s="27" t="n">
        <f aca="false">ROUND(MAX(0,B274*(1+B$8)-X275),2)</f>
        <v>0</v>
      </c>
      <c r="C275" s="27" t="n">
        <f aca="false">ROUND(MAX(0,C274*(1+C$8)-Y275),2)</f>
        <v>0</v>
      </c>
      <c r="D275" s="27" t="n">
        <f aca="false">ROUND(MAX(0,D274*(1+D$8)-Z275),2)</f>
        <v>0</v>
      </c>
      <c r="E275" s="27" t="n">
        <f aca="false">ROUND(MAX(0,E274*(1+E$8)-AA275),2)</f>
        <v>0</v>
      </c>
      <c r="F275" s="27" t="n">
        <f aca="false">ROUND(MAX(0,F274*(1+F$8)-AB275),2)</f>
        <v>0</v>
      </c>
      <c r="G275" s="27" t="n">
        <f aca="false">ROUND(MAX(0,G274*(1+G$8)-AC275),2)</f>
        <v>0</v>
      </c>
      <c r="H275" s="27" t="n">
        <f aca="false">ROUND(MAX(0,H274*(1+H$8)-AD275),2)</f>
        <v>0</v>
      </c>
      <c r="I275" s="27" t="n">
        <f aca="false">ROUND(MAX(0,I274*(1+I$8)-AE275),2)</f>
        <v>0</v>
      </c>
      <c r="J275" s="27" t="n">
        <f aca="false">ROUND(MAX(0,J274*(1+J$8)-AF275),2)</f>
        <v>0</v>
      </c>
      <c r="K275" s="27" t="n">
        <f aca="false">ROUND(MAX(0,K274*(1+K$8)-AG275),2)</f>
        <v>0</v>
      </c>
      <c r="L275" s="30" t="n">
        <f aca="false">SUM(B275:K275)</f>
        <v>0</v>
      </c>
      <c r="M275" s="27" t="n">
        <f aca="false">SUMPRODUCT(B274:K274,$B$8:$K$8)</f>
        <v>0</v>
      </c>
      <c r="N275" s="27" t="n">
        <f aca="false">MIN(B274*(1+B$8),B$9)</f>
        <v>0</v>
      </c>
      <c r="O275" s="27" t="n">
        <f aca="false">MIN(C274*(1+C$8),C$9)</f>
        <v>0</v>
      </c>
      <c r="P275" s="27" t="n">
        <f aca="false">MIN(D274*(1+D$8),D$9)</f>
        <v>0</v>
      </c>
      <c r="Q275" s="27" t="n">
        <f aca="false">MIN(E274*(1+E$8),E$9)</f>
        <v>0</v>
      </c>
      <c r="R275" s="27" t="n">
        <f aca="false">MIN(F274*(1+F$8),F$9)</f>
        <v>0</v>
      </c>
      <c r="S275" s="27" t="n">
        <f aca="false">MIN(G274*(1+G$8),G$9)</f>
        <v>0</v>
      </c>
      <c r="T275" s="27" t="n">
        <f aca="false">MIN(H274*(1+H$8),H$9)</f>
        <v>0</v>
      </c>
      <c r="U275" s="27" t="n">
        <f aca="false">MIN(I274*(1+I$8),I$9)</f>
        <v>0</v>
      </c>
      <c r="V275" s="27" t="n">
        <f aca="false">MIN(J274*(1+J$8),J$9)</f>
        <v>0</v>
      </c>
      <c r="W275" s="27" t="n">
        <f aca="false">MIN(K274*(1+K$8),K$9)</f>
        <v>0</v>
      </c>
      <c r="X275" s="27" t="n">
        <f aca="false">MIN(B274*(1+B$8),MAX(N275,$B$11-SUM(O275:W275)))</f>
        <v>0</v>
      </c>
      <c r="Y275" s="27" t="n">
        <f aca="false">MIN(C274*(1+C$8),MAX(O275,$B$11-SUM(X275:X275)-SUM(P275:W275)))</f>
        <v>0</v>
      </c>
      <c r="Z275" s="27" t="n">
        <f aca="false">MIN(D274*(1+D$8),MAX(P275,$B$11-SUM(X275:Y275)-SUM(Q275:W275)))</f>
        <v>0</v>
      </c>
      <c r="AA275" s="27" t="n">
        <f aca="false">MIN(E274*(1+E$8),MAX(Q275,$B$11-SUM(X275:Z275)-SUM(R275:W275)))</f>
        <v>0</v>
      </c>
      <c r="AB275" s="27" t="n">
        <f aca="false">MIN(F274*(1+F$8),MAX(R275,$B$11-SUM(X275:AA275)-SUM(S275:W275)))</f>
        <v>0</v>
      </c>
      <c r="AC275" s="27" t="n">
        <f aca="false">MIN(G274*(1+G$8),MAX(S275,$B$11-SUM(X275:AB275)-SUM(T275:W275)))</f>
        <v>0</v>
      </c>
      <c r="AD275" s="27" t="n">
        <f aca="false">MIN(H274*(1+H$8),MAX(T275,$B$11-SUM(X275:AC275)-SUM(U275:W275)))</f>
        <v>0</v>
      </c>
      <c r="AE275" s="27" t="n">
        <f aca="false">MIN(I274*(1+I$8),MAX(U275,$B$11-SUM(X275:AD275)-SUM(V275:W275)))</f>
        <v>0</v>
      </c>
      <c r="AF275" s="27" t="n">
        <f aca="false">MIN(J274*(1+J$8),MAX(V275,$B$11-SUM(X275:AE275)-SUM(W275:W275)))</f>
        <v>0</v>
      </c>
      <c r="AG275" s="27" t="n">
        <f aca="false">MIN(K274*(1+K$8),MAX(W275,$B$11-SUM(X275:AF275)))</f>
        <v>0</v>
      </c>
      <c r="AI275" s="27" t="n">
        <f aca="false">ROUND(MAX(0,AI274*(1+B$8)-BE275),2)</f>
        <v>0</v>
      </c>
      <c r="AJ275" s="27" t="n">
        <f aca="false">ROUND(MAX(0,AJ274*(1+C$8)-BF275),2)</f>
        <v>0</v>
      </c>
      <c r="AK275" s="27" t="n">
        <f aca="false">ROUND(MAX(0,AK274*(1+D$8)-BG275),2)</f>
        <v>0</v>
      </c>
      <c r="AL275" s="27" t="n">
        <f aca="false">ROUND(MAX(0,AL274*(1+E$8)-BH275),2)</f>
        <v>0</v>
      </c>
      <c r="AM275" s="27" t="n">
        <f aca="false">ROUND(MAX(0,AM274*(1+F$8)-BI275),2)</f>
        <v>0</v>
      </c>
      <c r="AN275" s="27" t="n">
        <f aca="false">ROUND(MAX(0,AN274*(1+G$8)-BJ275),2)</f>
        <v>0</v>
      </c>
      <c r="AO275" s="27" t="n">
        <f aca="false">ROUND(MAX(0,AO274*(1+H$8)-BK275),2)</f>
        <v>0</v>
      </c>
      <c r="AP275" s="27" t="n">
        <f aca="false">ROUND(MAX(0,AP274*(1+I$8)-BL275),2)</f>
        <v>0</v>
      </c>
      <c r="AQ275" s="27" t="n">
        <f aca="false">ROUND(MAX(0,AQ274*(1+J$8)-BM275),2)</f>
        <v>0</v>
      </c>
      <c r="AR275" s="27" t="n">
        <f aca="false">ROUND(MAX(0,AR274*(1+K$8)-BN275),2)</f>
        <v>0</v>
      </c>
      <c r="AS275" s="27" t="n">
        <f aca="false">SUM(AI275:AR275)</f>
        <v>0</v>
      </c>
      <c r="AT275" s="27" t="n">
        <f aca="false">SUMPRODUCT(AI274:AR274,$B$8:$K$8)</f>
        <v>0</v>
      </c>
      <c r="AU275" s="27" t="n">
        <f aca="false">MIN(AI274*(1+B$8),B$9)</f>
        <v>0</v>
      </c>
      <c r="AV275" s="27" t="n">
        <f aca="false">MIN(AJ274*(1+C$8),C$9)</f>
        <v>0</v>
      </c>
      <c r="AW275" s="27" t="n">
        <f aca="false">MIN(AK274*(1+D$8),D$9)</f>
        <v>0</v>
      </c>
      <c r="AX275" s="27" t="n">
        <f aca="false">MIN(AL274*(1+E$8),E$9)</f>
        <v>0</v>
      </c>
      <c r="AY275" s="27" t="n">
        <f aca="false">MIN(AM274*(1+F$8),F$9)</f>
        <v>0</v>
      </c>
      <c r="AZ275" s="27" t="n">
        <f aca="false">MIN(AN274*(1+G$8),G$9)</f>
        <v>0</v>
      </c>
      <c r="BA275" s="27" t="n">
        <f aca="false">MIN(AO274*(1+H$8),H$9)</f>
        <v>0</v>
      </c>
      <c r="BB275" s="27" t="n">
        <f aca="false">MIN(AP274*(1+I$8),I$9)</f>
        <v>0</v>
      </c>
      <c r="BC275" s="27" t="n">
        <f aca="false">MIN(AQ274*(1+J$8),J$9)</f>
        <v>0</v>
      </c>
      <c r="BD275" s="27" t="n">
        <f aca="false">MIN(AR274*(1+K$8),K$9)</f>
        <v>0</v>
      </c>
      <c r="BE275" s="27" t="n">
        <f aca="false">MIN(AI274*(1+B$8),MAX(AU275,$B$12-SUM(AV275:BD275)))</f>
        <v>0</v>
      </c>
      <c r="BF275" s="27" t="n">
        <f aca="false">MIN(AJ274*(1+C$8),MAX(AV275,$B$12-SUM(BE275:BE275)-SUM(AW275:BD275)))</f>
        <v>0</v>
      </c>
      <c r="BG275" s="27" t="n">
        <f aca="false">MIN(AK274*(1+D$8),MAX(AW275,$B$12-SUM(BE275:BF275)-SUM(AX275:BD275)))</f>
        <v>0</v>
      </c>
      <c r="BH275" s="27" t="n">
        <f aca="false">MIN(AL274*(1+E$8),MAX(AX275,$B$12-SUM(BE275:BG275)-SUM(AY275:BD275)))</f>
        <v>0</v>
      </c>
      <c r="BI275" s="27" t="n">
        <f aca="false">MIN(AM274*(1+F$8),MAX(AY275,$B$12-SUM(BE275:BH275)-SUM(AZ275:BD275)))</f>
        <v>0</v>
      </c>
      <c r="BJ275" s="27" t="n">
        <f aca="false">MIN(AN274*(1+G$8),MAX(AZ275,$B$12-SUM(BE275:BI275)-SUM(BA275:BD275)))</f>
        <v>0</v>
      </c>
      <c r="BK275" s="27" t="n">
        <f aca="false">MIN(AO274*(1+H$8),MAX(BA275,$B$12-SUM(BE275:BJ275)-SUM(BB275:BD275)))</f>
        <v>0</v>
      </c>
      <c r="BL275" s="27" t="n">
        <f aca="false">MIN(AP274*(1+I$8),MAX(BB275,$B$12-SUM(BE275:BK275)-SUM(BC275:BD275)))</f>
        <v>0</v>
      </c>
      <c r="BM275" s="27" t="n">
        <f aca="false">MIN(AQ274*(1+J$8),MAX(BC275,$B$12-SUM(BE275:BL275)-SUM(BD275:BD275)))</f>
        <v>0</v>
      </c>
      <c r="BN275" s="27" t="n">
        <f aca="false">MIN(AR274*(1+K$8),MAX(BD275,$B$12-SUM(BE275:BM275)))</f>
        <v>0</v>
      </c>
    </row>
    <row r="276" customFormat="false" ht="15" hidden="false" customHeight="false" outlineLevel="0" collapsed="false">
      <c r="A276" s="0" t="n">
        <v>262</v>
      </c>
      <c r="B276" s="27" t="n">
        <f aca="false">ROUND(MAX(0,B275*(1+B$8)-X276),2)</f>
        <v>0</v>
      </c>
      <c r="C276" s="27" t="n">
        <f aca="false">ROUND(MAX(0,C275*(1+C$8)-Y276),2)</f>
        <v>0</v>
      </c>
      <c r="D276" s="27" t="n">
        <f aca="false">ROUND(MAX(0,D275*(1+D$8)-Z276),2)</f>
        <v>0</v>
      </c>
      <c r="E276" s="27" t="n">
        <f aca="false">ROUND(MAX(0,E275*(1+E$8)-AA276),2)</f>
        <v>0</v>
      </c>
      <c r="F276" s="27" t="n">
        <f aca="false">ROUND(MAX(0,F275*(1+F$8)-AB276),2)</f>
        <v>0</v>
      </c>
      <c r="G276" s="27" t="n">
        <f aca="false">ROUND(MAX(0,G275*(1+G$8)-AC276),2)</f>
        <v>0</v>
      </c>
      <c r="H276" s="27" t="n">
        <f aca="false">ROUND(MAX(0,H275*(1+H$8)-AD276),2)</f>
        <v>0</v>
      </c>
      <c r="I276" s="27" t="n">
        <f aca="false">ROUND(MAX(0,I275*(1+I$8)-AE276),2)</f>
        <v>0</v>
      </c>
      <c r="J276" s="27" t="n">
        <f aca="false">ROUND(MAX(0,J275*(1+J$8)-AF276),2)</f>
        <v>0</v>
      </c>
      <c r="K276" s="27" t="n">
        <f aca="false">ROUND(MAX(0,K275*(1+K$8)-AG276),2)</f>
        <v>0</v>
      </c>
      <c r="L276" s="30" t="n">
        <f aca="false">SUM(B276:K276)</f>
        <v>0</v>
      </c>
      <c r="M276" s="27" t="n">
        <f aca="false">SUMPRODUCT(B275:K275,$B$8:$K$8)</f>
        <v>0</v>
      </c>
      <c r="N276" s="27" t="n">
        <f aca="false">MIN(B275*(1+B$8),B$9)</f>
        <v>0</v>
      </c>
      <c r="O276" s="27" t="n">
        <f aca="false">MIN(C275*(1+C$8),C$9)</f>
        <v>0</v>
      </c>
      <c r="P276" s="27" t="n">
        <f aca="false">MIN(D275*(1+D$8),D$9)</f>
        <v>0</v>
      </c>
      <c r="Q276" s="27" t="n">
        <f aca="false">MIN(E275*(1+E$8),E$9)</f>
        <v>0</v>
      </c>
      <c r="R276" s="27" t="n">
        <f aca="false">MIN(F275*(1+F$8),F$9)</f>
        <v>0</v>
      </c>
      <c r="S276" s="27" t="n">
        <f aca="false">MIN(G275*(1+G$8),G$9)</f>
        <v>0</v>
      </c>
      <c r="T276" s="27" t="n">
        <f aca="false">MIN(H275*(1+H$8),H$9)</f>
        <v>0</v>
      </c>
      <c r="U276" s="27" t="n">
        <f aca="false">MIN(I275*(1+I$8),I$9)</f>
        <v>0</v>
      </c>
      <c r="V276" s="27" t="n">
        <f aca="false">MIN(J275*(1+J$8),J$9)</f>
        <v>0</v>
      </c>
      <c r="W276" s="27" t="n">
        <f aca="false">MIN(K275*(1+K$8),K$9)</f>
        <v>0</v>
      </c>
      <c r="X276" s="27" t="n">
        <f aca="false">MIN(B275*(1+B$8),MAX(N276,$B$11-SUM(O276:W276)))</f>
        <v>0</v>
      </c>
      <c r="Y276" s="27" t="n">
        <f aca="false">MIN(C275*(1+C$8),MAX(O276,$B$11-SUM(X276:X276)-SUM(P276:W276)))</f>
        <v>0</v>
      </c>
      <c r="Z276" s="27" t="n">
        <f aca="false">MIN(D275*(1+D$8),MAX(P276,$B$11-SUM(X276:Y276)-SUM(Q276:W276)))</f>
        <v>0</v>
      </c>
      <c r="AA276" s="27" t="n">
        <f aca="false">MIN(E275*(1+E$8),MAX(Q276,$B$11-SUM(X276:Z276)-SUM(R276:W276)))</f>
        <v>0</v>
      </c>
      <c r="AB276" s="27" t="n">
        <f aca="false">MIN(F275*(1+F$8),MAX(R276,$B$11-SUM(X276:AA276)-SUM(S276:W276)))</f>
        <v>0</v>
      </c>
      <c r="AC276" s="27" t="n">
        <f aca="false">MIN(G275*(1+G$8),MAX(S276,$B$11-SUM(X276:AB276)-SUM(T276:W276)))</f>
        <v>0</v>
      </c>
      <c r="AD276" s="27" t="n">
        <f aca="false">MIN(H275*(1+H$8),MAX(T276,$B$11-SUM(X276:AC276)-SUM(U276:W276)))</f>
        <v>0</v>
      </c>
      <c r="AE276" s="27" t="n">
        <f aca="false">MIN(I275*(1+I$8),MAX(U276,$B$11-SUM(X276:AD276)-SUM(V276:W276)))</f>
        <v>0</v>
      </c>
      <c r="AF276" s="27" t="n">
        <f aca="false">MIN(J275*(1+J$8),MAX(V276,$B$11-SUM(X276:AE276)-SUM(W276:W276)))</f>
        <v>0</v>
      </c>
      <c r="AG276" s="27" t="n">
        <f aca="false">MIN(K275*(1+K$8),MAX(W276,$B$11-SUM(X276:AF276)))</f>
        <v>0</v>
      </c>
      <c r="AI276" s="27" t="n">
        <f aca="false">ROUND(MAX(0,AI275*(1+B$8)-BE276),2)</f>
        <v>0</v>
      </c>
      <c r="AJ276" s="27" t="n">
        <f aca="false">ROUND(MAX(0,AJ275*(1+C$8)-BF276),2)</f>
        <v>0</v>
      </c>
      <c r="AK276" s="27" t="n">
        <f aca="false">ROUND(MAX(0,AK275*(1+D$8)-BG276),2)</f>
        <v>0</v>
      </c>
      <c r="AL276" s="27" t="n">
        <f aca="false">ROUND(MAX(0,AL275*(1+E$8)-BH276),2)</f>
        <v>0</v>
      </c>
      <c r="AM276" s="27" t="n">
        <f aca="false">ROUND(MAX(0,AM275*(1+F$8)-BI276),2)</f>
        <v>0</v>
      </c>
      <c r="AN276" s="27" t="n">
        <f aca="false">ROUND(MAX(0,AN275*(1+G$8)-BJ276),2)</f>
        <v>0</v>
      </c>
      <c r="AO276" s="27" t="n">
        <f aca="false">ROUND(MAX(0,AO275*(1+H$8)-BK276),2)</f>
        <v>0</v>
      </c>
      <c r="AP276" s="27" t="n">
        <f aca="false">ROUND(MAX(0,AP275*(1+I$8)-BL276),2)</f>
        <v>0</v>
      </c>
      <c r="AQ276" s="27" t="n">
        <f aca="false">ROUND(MAX(0,AQ275*(1+J$8)-BM276),2)</f>
        <v>0</v>
      </c>
      <c r="AR276" s="27" t="n">
        <f aca="false">ROUND(MAX(0,AR275*(1+K$8)-BN276),2)</f>
        <v>0</v>
      </c>
      <c r="AS276" s="27" t="n">
        <f aca="false">SUM(AI276:AR276)</f>
        <v>0</v>
      </c>
      <c r="AT276" s="27" t="n">
        <f aca="false">SUMPRODUCT(AI275:AR275,$B$8:$K$8)</f>
        <v>0</v>
      </c>
      <c r="AU276" s="27" t="n">
        <f aca="false">MIN(AI275*(1+B$8),B$9)</f>
        <v>0</v>
      </c>
      <c r="AV276" s="27" t="n">
        <f aca="false">MIN(AJ275*(1+C$8),C$9)</f>
        <v>0</v>
      </c>
      <c r="AW276" s="27" t="n">
        <f aca="false">MIN(AK275*(1+D$8),D$9)</f>
        <v>0</v>
      </c>
      <c r="AX276" s="27" t="n">
        <f aca="false">MIN(AL275*(1+E$8),E$9)</f>
        <v>0</v>
      </c>
      <c r="AY276" s="27" t="n">
        <f aca="false">MIN(AM275*(1+F$8),F$9)</f>
        <v>0</v>
      </c>
      <c r="AZ276" s="27" t="n">
        <f aca="false">MIN(AN275*(1+G$8),G$9)</f>
        <v>0</v>
      </c>
      <c r="BA276" s="27" t="n">
        <f aca="false">MIN(AO275*(1+H$8),H$9)</f>
        <v>0</v>
      </c>
      <c r="BB276" s="27" t="n">
        <f aca="false">MIN(AP275*(1+I$8),I$9)</f>
        <v>0</v>
      </c>
      <c r="BC276" s="27" t="n">
        <f aca="false">MIN(AQ275*(1+J$8),J$9)</f>
        <v>0</v>
      </c>
      <c r="BD276" s="27" t="n">
        <f aca="false">MIN(AR275*(1+K$8),K$9)</f>
        <v>0</v>
      </c>
      <c r="BE276" s="27" t="n">
        <f aca="false">MIN(AI275*(1+B$8),MAX(AU276,$B$12-SUM(AV276:BD276)))</f>
        <v>0</v>
      </c>
      <c r="BF276" s="27" t="n">
        <f aca="false">MIN(AJ275*(1+C$8),MAX(AV276,$B$12-SUM(BE276:BE276)-SUM(AW276:BD276)))</f>
        <v>0</v>
      </c>
      <c r="BG276" s="27" t="n">
        <f aca="false">MIN(AK275*(1+D$8),MAX(AW276,$B$12-SUM(BE276:BF276)-SUM(AX276:BD276)))</f>
        <v>0</v>
      </c>
      <c r="BH276" s="27" t="n">
        <f aca="false">MIN(AL275*(1+E$8),MAX(AX276,$B$12-SUM(BE276:BG276)-SUM(AY276:BD276)))</f>
        <v>0</v>
      </c>
      <c r="BI276" s="27" t="n">
        <f aca="false">MIN(AM275*(1+F$8),MAX(AY276,$B$12-SUM(BE276:BH276)-SUM(AZ276:BD276)))</f>
        <v>0</v>
      </c>
      <c r="BJ276" s="27" t="n">
        <f aca="false">MIN(AN275*(1+G$8),MAX(AZ276,$B$12-SUM(BE276:BI276)-SUM(BA276:BD276)))</f>
        <v>0</v>
      </c>
      <c r="BK276" s="27" t="n">
        <f aca="false">MIN(AO275*(1+H$8),MAX(BA276,$B$12-SUM(BE276:BJ276)-SUM(BB276:BD276)))</f>
        <v>0</v>
      </c>
      <c r="BL276" s="27" t="n">
        <f aca="false">MIN(AP275*(1+I$8),MAX(BB276,$B$12-SUM(BE276:BK276)-SUM(BC276:BD276)))</f>
        <v>0</v>
      </c>
      <c r="BM276" s="27" t="n">
        <f aca="false">MIN(AQ275*(1+J$8),MAX(BC276,$B$12-SUM(BE276:BL276)-SUM(BD276:BD276)))</f>
        <v>0</v>
      </c>
      <c r="BN276" s="27" t="n">
        <f aca="false">MIN(AR275*(1+K$8),MAX(BD276,$B$12-SUM(BE276:BM276)))</f>
        <v>0</v>
      </c>
    </row>
    <row r="277" customFormat="false" ht="15" hidden="false" customHeight="false" outlineLevel="0" collapsed="false">
      <c r="A277" s="0" t="n">
        <v>263</v>
      </c>
      <c r="B277" s="27" t="n">
        <f aca="false">ROUND(MAX(0,B276*(1+B$8)-X277),2)</f>
        <v>0</v>
      </c>
      <c r="C277" s="27" t="n">
        <f aca="false">ROUND(MAX(0,C276*(1+C$8)-Y277),2)</f>
        <v>0</v>
      </c>
      <c r="D277" s="27" t="n">
        <f aca="false">ROUND(MAX(0,D276*(1+D$8)-Z277),2)</f>
        <v>0</v>
      </c>
      <c r="E277" s="27" t="n">
        <f aca="false">ROUND(MAX(0,E276*(1+E$8)-AA277),2)</f>
        <v>0</v>
      </c>
      <c r="F277" s="27" t="n">
        <f aca="false">ROUND(MAX(0,F276*(1+F$8)-AB277),2)</f>
        <v>0</v>
      </c>
      <c r="G277" s="27" t="n">
        <f aca="false">ROUND(MAX(0,G276*(1+G$8)-AC277),2)</f>
        <v>0</v>
      </c>
      <c r="H277" s="27" t="n">
        <f aca="false">ROUND(MAX(0,H276*(1+H$8)-AD277),2)</f>
        <v>0</v>
      </c>
      <c r="I277" s="27" t="n">
        <f aca="false">ROUND(MAX(0,I276*(1+I$8)-AE277),2)</f>
        <v>0</v>
      </c>
      <c r="J277" s="27" t="n">
        <f aca="false">ROUND(MAX(0,J276*(1+J$8)-AF277),2)</f>
        <v>0</v>
      </c>
      <c r="K277" s="27" t="n">
        <f aca="false">ROUND(MAX(0,K276*(1+K$8)-AG277),2)</f>
        <v>0</v>
      </c>
      <c r="L277" s="30" t="n">
        <f aca="false">SUM(B277:K277)</f>
        <v>0</v>
      </c>
      <c r="M277" s="27" t="n">
        <f aca="false">SUMPRODUCT(B276:K276,$B$8:$K$8)</f>
        <v>0</v>
      </c>
      <c r="N277" s="27" t="n">
        <f aca="false">MIN(B276*(1+B$8),B$9)</f>
        <v>0</v>
      </c>
      <c r="O277" s="27" t="n">
        <f aca="false">MIN(C276*(1+C$8),C$9)</f>
        <v>0</v>
      </c>
      <c r="P277" s="27" t="n">
        <f aca="false">MIN(D276*(1+D$8),D$9)</f>
        <v>0</v>
      </c>
      <c r="Q277" s="27" t="n">
        <f aca="false">MIN(E276*(1+E$8),E$9)</f>
        <v>0</v>
      </c>
      <c r="R277" s="27" t="n">
        <f aca="false">MIN(F276*(1+F$8),F$9)</f>
        <v>0</v>
      </c>
      <c r="S277" s="27" t="n">
        <f aca="false">MIN(G276*(1+G$8),G$9)</f>
        <v>0</v>
      </c>
      <c r="T277" s="27" t="n">
        <f aca="false">MIN(H276*(1+H$8),H$9)</f>
        <v>0</v>
      </c>
      <c r="U277" s="27" t="n">
        <f aca="false">MIN(I276*(1+I$8),I$9)</f>
        <v>0</v>
      </c>
      <c r="V277" s="27" t="n">
        <f aca="false">MIN(J276*(1+J$8),J$9)</f>
        <v>0</v>
      </c>
      <c r="W277" s="27" t="n">
        <f aca="false">MIN(K276*(1+K$8),K$9)</f>
        <v>0</v>
      </c>
      <c r="X277" s="27" t="n">
        <f aca="false">MIN(B276*(1+B$8),MAX(N277,$B$11-SUM(O277:W277)))</f>
        <v>0</v>
      </c>
      <c r="Y277" s="27" t="n">
        <f aca="false">MIN(C276*(1+C$8),MAX(O277,$B$11-SUM(X277:X277)-SUM(P277:W277)))</f>
        <v>0</v>
      </c>
      <c r="Z277" s="27" t="n">
        <f aca="false">MIN(D276*(1+D$8),MAX(P277,$B$11-SUM(X277:Y277)-SUM(Q277:W277)))</f>
        <v>0</v>
      </c>
      <c r="AA277" s="27" t="n">
        <f aca="false">MIN(E276*(1+E$8),MAX(Q277,$B$11-SUM(X277:Z277)-SUM(R277:W277)))</f>
        <v>0</v>
      </c>
      <c r="AB277" s="27" t="n">
        <f aca="false">MIN(F276*(1+F$8),MAX(R277,$B$11-SUM(X277:AA277)-SUM(S277:W277)))</f>
        <v>0</v>
      </c>
      <c r="AC277" s="27" t="n">
        <f aca="false">MIN(G276*(1+G$8),MAX(S277,$B$11-SUM(X277:AB277)-SUM(T277:W277)))</f>
        <v>0</v>
      </c>
      <c r="AD277" s="27" t="n">
        <f aca="false">MIN(H276*(1+H$8),MAX(T277,$B$11-SUM(X277:AC277)-SUM(U277:W277)))</f>
        <v>0</v>
      </c>
      <c r="AE277" s="27" t="n">
        <f aca="false">MIN(I276*(1+I$8),MAX(U277,$B$11-SUM(X277:AD277)-SUM(V277:W277)))</f>
        <v>0</v>
      </c>
      <c r="AF277" s="27" t="n">
        <f aca="false">MIN(J276*(1+J$8),MAX(V277,$B$11-SUM(X277:AE277)-SUM(W277:W277)))</f>
        <v>0</v>
      </c>
      <c r="AG277" s="27" t="n">
        <f aca="false">MIN(K276*(1+K$8),MAX(W277,$B$11-SUM(X277:AF277)))</f>
        <v>0</v>
      </c>
      <c r="AI277" s="27" t="n">
        <f aca="false">ROUND(MAX(0,AI276*(1+B$8)-BE277),2)</f>
        <v>0</v>
      </c>
      <c r="AJ277" s="27" t="n">
        <f aca="false">ROUND(MAX(0,AJ276*(1+C$8)-BF277),2)</f>
        <v>0</v>
      </c>
      <c r="AK277" s="27" t="n">
        <f aca="false">ROUND(MAX(0,AK276*(1+D$8)-BG277),2)</f>
        <v>0</v>
      </c>
      <c r="AL277" s="27" t="n">
        <f aca="false">ROUND(MAX(0,AL276*(1+E$8)-BH277),2)</f>
        <v>0</v>
      </c>
      <c r="AM277" s="27" t="n">
        <f aca="false">ROUND(MAX(0,AM276*(1+F$8)-BI277),2)</f>
        <v>0</v>
      </c>
      <c r="AN277" s="27" t="n">
        <f aca="false">ROUND(MAX(0,AN276*(1+G$8)-BJ277),2)</f>
        <v>0</v>
      </c>
      <c r="AO277" s="27" t="n">
        <f aca="false">ROUND(MAX(0,AO276*(1+H$8)-BK277),2)</f>
        <v>0</v>
      </c>
      <c r="AP277" s="27" t="n">
        <f aca="false">ROUND(MAX(0,AP276*(1+I$8)-BL277),2)</f>
        <v>0</v>
      </c>
      <c r="AQ277" s="27" t="n">
        <f aca="false">ROUND(MAX(0,AQ276*(1+J$8)-BM277),2)</f>
        <v>0</v>
      </c>
      <c r="AR277" s="27" t="n">
        <f aca="false">ROUND(MAX(0,AR276*(1+K$8)-BN277),2)</f>
        <v>0</v>
      </c>
      <c r="AS277" s="27" t="n">
        <f aca="false">SUM(AI277:AR277)</f>
        <v>0</v>
      </c>
      <c r="AT277" s="27" t="n">
        <f aca="false">SUMPRODUCT(AI276:AR276,$B$8:$K$8)</f>
        <v>0</v>
      </c>
      <c r="AU277" s="27" t="n">
        <f aca="false">MIN(AI276*(1+B$8),B$9)</f>
        <v>0</v>
      </c>
      <c r="AV277" s="27" t="n">
        <f aca="false">MIN(AJ276*(1+C$8),C$9)</f>
        <v>0</v>
      </c>
      <c r="AW277" s="27" t="n">
        <f aca="false">MIN(AK276*(1+D$8),D$9)</f>
        <v>0</v>
      </c>
      <c r="AX277" s="27" t="n">
        <f aca="false">MIN(AL276*(1+E$8),E$9)</f>
        <v>0</v>
      </c>
      <c r="AY277" s="27" t="n">
        <f aca="false">MIN(AM276*(1+F$8),F$9)</f>
        <v>0</v>
      </c>
      <c r="AZ277" s="27" t="n">
        <f aca="false">MIN(AN276*(1+G$8),G$9)</f>
        <v>0</v>
      </c>
      <c r="BA277" s="27" t="n">
        <f aca="false">MIN(AO276*(1+H$8),H$9)</f>
        <v>0</v>
      </c>
      <c r="BB277" s="27" t="n">
        <f aca="false">MIN(AP276*(1+I$8),I$9)</f>
        <v>0</v>
      </c>
      <c r="BC277" s="27" t="n">
        <f aca="false">MIN(AQ276*(1+J$8),J$9)</f>
        <v>0</v>
      </c>
      <c r="BD277" s="27" t="n">
        <f aca="false">MIN(AR276*(1+K$8),K$9)</f>
        <v>0</v>
      </c>
      <c r="BE277" s="27" t="n">
        <f aca="false">MIN(AI276*(1+B$8),MAX(AU277,$B$12-SUM(AV277:BD277)))</f>
        <v>0</v>
      </c>
      <c r="BF277" s="27" t="n">
        <f aca="false">MIN(AJ276*(1+C$8),MAX(AV277,$B$12-SUM(BE277:BE277)-SUM(AW277:BD277)))</f>
        <v>0</v>
      </c>
      <c r="BG277" s="27" t="n">
        <f aca="false">MIN(AK276*(1+D$8),MAX(AW277,$B$12-SUM(BE277:BF277)-SUM(AX277:BD277)))</f>
        <v>0</v>
      </c>
      <c r="BH277" s="27" t="n">
        <f aca="false">MIN(AL276*(1+E$8),MAX(AX277,$B$12-SUM(BE277:BG277)-SUM(AY277:BD277)))</f>
        <v>0</v>
      </c>
      <c r="BI277" s="27" t="n">
        <f aca="false">MIN(AM276*(1+F$8),MAX(AY277,$B$12-SUM(BE277:BH277)-SUM(AZ277:BD277)))</f>
        <v>0</v>
      </c>
      <c r="BJ277" s="27" t="n">
        <f aca="false">MIN(AN276*(1+G$8),MAX(AZ277,$B$12-SUM(BE277:BI277)-SUM(BA277:BD277)))</f>
        <v>0</v>
      </c>
      <c r="BK277" s="27" t="n">
        <f aca="false">MIN(AO276*(1+H$8),MAX(BA277,$B$12-SUM(BE277:BJ277)-SUM(BB277:BD277)))</f>
        <v>0</v>
      </c>
      <c r="BL277" s="27" t="n">
        <f aca="false">MIN(AP276*(1+I$8),MAX(BB277,$B$12-SUM(BE277:BK277)-SUM(BC277:BD277)))</f>
        <v>0</v>
      </c>
      <c r="BM277" s="27" t="n">
        <f aca="false">MIN(AQ276*(1+J$8),MAX(BC277,$B$12-SUM(BE277:BL277)-SUM(BD277:BD277)))</f>
        <v>0</v>
      </c>
      <c r="BN277" s="27" t="n">
        <f aca="false">MIN(AR276*(1+K$8),MAX(BD277,$B$12-SUM(BE277:BM277)))</f>
        <v>0</v>
      </c>
    </row>
    <row r="278" customFormat="false" ht="15" hidden="false" customHeight="false" outlineLevel="0" collapsed="false">
      <c r="A278" s="0" t="n">
        <v>264</v>
      </c>
      <c r="B278" s="27" t="n">
        <f aca="false">ROUND(MAX(0,B277*(1+B$8)-X278),2)</f>
        <v>0</v>
      </c>
      <c r="C278" s="27" t="n">
        <f aca="false">ROUND(MAX(0,C277*(1+C$8)-Y278),2)</f>
        <v>0</v>
      </c>
      <c r="D278" s="27" t="n">
        <f aca="false">ROUND(MAX(0,D277*(1+D$8)-Z278),2)</f>
        <v>0</v>
      </c>
      <c r="E278" s="27" t="n">
        <f aca="false">ROUND(MAX(0,E277*(1+E$8)-AA278),2)</f>
        <v>0</v>
      </c>
      <c r="F278" s="27" t="n">
        <f aca="false">ROUND(MAX(0,F277*(1+F$8)-AB278),2)</f>
        <v>0</v>
      </c>
      <c r="G278" s="27" t="n">
        <f aca="false">ROUND(MAX(0,G277*(1+G$8)-AC278),2)</f>
        <v>0</v>
      </c>
      <c r="H278" s="27" t="n">
        <f aca="false">ROUND(MAX(0,H277*(1+H$8)-AD278),2)</f>
        <v>0</v>
      </c>
      <c r="I278" s="27" t="n">
        <f aca="false">ROUND(MAX(0,I277*(1+I$8)-AE278),2)</f>
        <v>0</v>
      </c>
      <c r="J278" s="27" t="n">
        <f aca="false">ROUND(MAX(0,J277*(1+J$8)-AF278),2)</f>
        <v>0</v>
      </c>
      <c r="K278" s="27" t="n">
        <f aca="false">ROUND(MAX(0,K277*(1+K$8)-AG278),2)</f>
        <v>0</v>
      </c>
      <c r="L278" s="30" t="n">
        <f aca="false">SUM(B278:K278)</f>
        <v>0</v>
      </c>
      <c r="M278" s="27" t="n">
        <f aca="false">SUMPRODUCT(B277:K277,$B$8:$K$8)</f>
        <v>0</v>
      </c>
      <c r="N278" s="27" t="n">
        <f aca="false">MIN(B277*(1+B$8),B$9)</f>
        <v>0</v>
      </c>
      <c r="O278" s="27" t="n">
        <f aca="false">MIN(C277*(1+C$8),C$9)</f>
        <v>0</v>
      </c>
      <c r="P278" s="27" t="n">
        <f aca="false">MIN(D277*(1+D$8),D$9)</f>
        <v>0</v>
      </c>
      <c r="Q278" s="27" t="n">
        <f aca="false">MIN(E277*(1+E$8),E$9)</f>
        <v>0</v>
      </c>
      <c r="R278" s="27" t="n">
        <f aca="false">MIN(F277*(1+F$8),F$9)</f>
        <v>0</v>
      </c>
      <c r="S278" s="27" t="n">
        <f aca="false">MIN(G277*(1+G$8),G$9)</f>
        <v>0</v>
      </c>
      <c r="T278" s="27" t="n">
        <f aca="false">MIN(H277*(1+H$8),H$9)</f>
        <v>0</v>
      </c>
      <c r="U278" s="27" t="n">
        <f aca="false">MIN(I277*(1+I$8),I$9)</f>
        <v>0</v>
      </c>
      <c r="V278" s="27" t="n">
        <f aca="false">MIN(J277*(1+J$8),J$9)</f>
        <v>0</v>
      </c>
      <c r="W278" s="27" t="n">
        <f aca="false">MIN(K277*(1+K$8),K$9)</f>
        <v>0</v>
      </c>
      <c r="X278" s="27" t="n">
        <f aca="false">MIN(B277*(1+B$8),MAX(N278,$B$11-SUM(O278:W278)))</f>
        <v>0</v>
      </c>
      <c r="Y278" s="27" t="n">
        <f aca="false">MIN(C277*(1+C$8),MAX(O278,$B$11-SUM(X278:X278)-SUM(P278:W278)))</f>
        <v>0</v>
      </c>
      <c r="Z278" s="27" t="n">
        <f aca="false">MIN(D277*(1+D$8),MAX(P278,$B$11-SUM(X278:Y278)-SUM(Q278:W278)))</f>
        <v>0</v>
      </c>
      <c r="AA278" s="27" t="n">
        <f aca="false">MIN(E277*(1+E$8),MAX(Q278,$B$11-SUM(X278:Z278)-SUM(R278:W278)))</f>
        <v>0</v>
      </c>
      <c r="AB278" s="27" t="n">
        <f aca="false">MIN(F277*(1+F$8),MAX(R278,$B$11-SUM(X278:AA278)-SUM(S278:W278)))</f>
        <v>0</v>
      </c>
      <c r="AC278" s="27" t="n">
        <f aca="false">MIN(G277*(1+G$8),MAX(S278,$B$11-SUM(X278:AB278)-SUM(T278:W278)))</f>
        <v>0</v>
      </c>
      <c r="AD278" s="27" t="n">
        <f aca="false">MIN(H277*(1+H$8),MAX(T278,$B$11-SUM(X278:AC278)-SUM(U278:W278)))</f>
        <v>0</v>
      </c>
      <c r="AE278" s="27" t="n">
        <f aca="false">MIN(I277*(1+I$8),MAX(U278,$B$11-SUM(X278:AD278)-SUM(V278:W278)))</f>
        <v>0</v>
      </c>
      <c r="AF278" s="27" t="n">
        <f aca="false">MIN(J277*(1+J$8),MAX(V278,$B$11-SUM(X278:AE278)-SUM(W278:W278)))</f>
        <v>0</v>
      </c>
      <c r="AG278" s="27" t="n">
        <f aca="false">MIN(K277*(1+K$8),MAX(W278,$B$11-SUM(X278:AF278)))</f>
        <v>0</v>
      </c>
      <c r="AI278" s="27" t="n">
        <f aca="false">ROUND(MAX(0,AI277*(1+B$8)-BE278),2)</f>
        <v>0</v>
      </c>
      <c r="AJ278" s="27" t="n">
        <f aca="false">ROUND(MAX(0,AJ277*(1+C$8)-BF278),2)</f>
        <v>0</v>
      </c>
      <c r="AK278" s="27" t="n">
        <f aca="false">ROUND(MAX(0,AK277*(1+D$8)-BG278),2)</f>
        <v>0</v>
      </c>
      <c r="AL278" s="27" t="n">
        <f aca="false">ROUND(MAX(0,AL277*(1+E$8)-BH278),2)</f>
        <v>0</v>
      </c>
      <c r="AM278" s="27" t="n">
        <f aca="false">ROUND(MAX(0,AM277*(1+F$8)-BI278),2)</f>
        <v>0</v>
      </c>
      <c r="AN278" s="27" t="n">
        <f aca="false">ROUND(MAX(0,AN277*(1+G$8)-BJ278),2)</f>
        <v>0</v>
      </c>
      <c r="AO278" s="27" t="n">
        <f aca="false">ROUND(MAX(0,AO277*(1+H$8)-BK278),2)</f>
        <v>0</v>
      </c>
      <c r="AP278" s="27" t="n">
        <f aca="false">ROUND(MAX(0,AP277*(1+I$8)-BL278),2)</f>
        <v>0</v>
      </c>
      <c r="AQ278" s="27" t="n">
        <f aca="false">ROUND(MAX(0,AQ277*(1+J$8)-BM278),2)</f>
        <v>0</v>
      </c>
      <c r="AR278" s="27" t="n">
        <f aca="false">ROUND(MAX(0,AR277*(1+K$8)-BN278),2)</f>
        <v>0</v>
      </c>
      <c r="AS278" s="27" t="n">
        <f aca="false">SUM(AI278:AR278)</f>
        <v>0</v>
      </c>
      <c r="AT278" s="27" t="n">
        <f aca="false">SUMPRODUCT(AI277:AR277,$B$8:$K$8)</f>
        <v>0</v>
      </c>
      <c r="AU278" s="27" t="n">
        <f aca="false">MIN(AI277*(1+B$8),B$9)</f>
        <v>0</v>
      </c>
      <c r="AV278" s="27" t="n">
        <f aca="false">MIN(AJ277*(1+C$8),C$9)</f>
        <v>0</v>
      </c>
      <c r="AW278" s="27" t="n">
        <f aca="false">MIN(AK277*(1+D$8),D$9)</f>
        <v>0</v>
      </c>
      <c r="AX278" s="27" t="n">
        <f aca="false">MIN(AL277*(1+E$8),E$9)</f>
        <v>0</v>
      </c>
      <c r="AY278" s="27" t="n">
        <f aca="false">MIN(AM277*(1+F$8),F$9)</f>
        <v>0</v>
      </c>
      <c r="AZ278" s="27" t="n">
        <f aca="false">MIN(AN277*(1+G$8),G$9)</f>
        <v>0</v>
      </c>
      <c r="BA278" s="27" t="n">
        <f aca="false">MIN(AO277*(1+H$8),H$9)</f>
        <v>0</v>
      </c>
      <c r="BB278" s="27" t="n">
        <f aca="false">MIN(AP277*(1+I$8),I$9)</f>
        <v>0</v>
      </c>
      <c r="BC278" s="27" t="n">
        <f aca="false">MIN(AQ277*(1+J$8),J$9)</f>
        <v>0</v>
      </c>
      <c r="BD278" s="27" t="n">
        <f aca="false">MIN(AR277*(1+K$8),K$9)</f>
        <v>0</v>
      </c>
      <c r="BE278" s="27" t="n">
        <f aca="false">MIN(AI277*(1+B$8),MAX(AU278,$B$12-SUM(AV278:BD278)))</f>
        <v>0</v>
      </c>
      <c r="BF278" s="27" t="n">
        <f aca="false">MIN(AJ277*(1+C$8),MAX(AV278,$B$12-SUM(BE278:BE278)-SUM(AW278:BD278)))</f>
        <v>0</v>
      </c>
      <c r="BG278" s="27" t="n">
        <f aca="false">MIN(AK277*(1+D$8),MAX(AW278,$B$12-SUM(BE278:BF278)-SUM(AX278:BD278)))</f>
        <v>0</v>
      </c>
      <c r="BH278" s="27" t="n">
        <f aca="false">MIN(AL277*(1+E$8),MAX(AX278,$B$12-SUM(BE278:BG278)-SUM(AY278:BD278)))</f>
        <v>0</v>
      </c>
      <c r="BI278" s="27" t="n">
        <f aca="false">MIN(AM277*(1+F$8),MAX(AY278,$B$12-SUM(BE278:BH278)-SUM(AZ278:BD278)))</f>
        <v>0</v>
      </c>
      <c r="BJ278" s="27" t="n">
        <f aca="false">MIN(AN277*(1+G$8),MAX(AZ278,$B$12-SUM(BE278:BI278)-SUM(BA278:BD278)))</f>
        <v>0</v>
      </c>
      <c r="BK278" s="27" t="n">
        <f aca="false">MIN(AO277*(1+H$8),MAX(BA278,$B$12-SUM(BE278:BJ278)-SUM(BB278:BD278)))</f>
        <v>0</v>
      </c>
      <c r="BL278" s="27" t="n">
        <f aca="false">MIN(AP277*(1+I$8),MAX(BB278,$B$12-SUM(BE278:BK278)-SUM(BC278:BD278)))</f>
        <v>0</v>
      </c>
      <c r="BM278" s="27" t="n">
        <f aca="false">MIN(AQ277*(1+J$8),MAX(BC278,$B$12-SUM(BE278:BL278)-SUM(BD278:BD278)))</f>
        <v>0</v>
      </c>
      <c r="BN278" s="27" t="n">
        <f aca="false">MIN(AR277*(1+K$8),MAX(BD278,$B$12-SUM(BE278:BM278)))</f>
        <v>0</v>
      </c>
    </row>
    <row r="279" customFormat="false" ht="15" hidden="false" customHeight="false" outlineLevel="0" collapsed="false">
      <c r="A279" s="0" t="n">
        <v>265</v>
      </c>
      <c r="B279" s="27" t="n">
        <f aca="false">ROUND(MAX(0,B278*(1+B$8)-X279),2)</f>
        <v>0</v>
      </c>
      <c r="C279" s="27" t="n">
        <f aca="false">ROUND(MAX(0,C278*(1+C$8)-Y279),2)</f>
        <v>0</v>
      </c>
      <c r="D279" s="27" t="n">
        <f aca="false">ROUND(MAX(0,D278*(1+D$8)-Z279),2)</f>
        <v>0</v>
      </c>
      <c r="E279" s="27" t="n">
        <f aca="false">ROUND(MAX(0,E278*(1+E$8)-AA279),2)</f>
        <v>0</v>
      </c>
      <c r="F279" s="27" t="n">
        <f aca="false">ROUND(MAX(0,F278*(1+F$8)-AB279),2)</f>
        <v>0</v>
      </c>
      <c r="G279" s="27" t="n">
        <f aca="false">ROUND(MAX(0,G278*(1+G$8)-AC279),2)</f>
        <v>0</v>
      </c>
      <c r="H279" s="27" t="n">
        <f aca="false">ROUND(MAX(0,H278*(1+H$8)-AD279),2)</f>
        <v>0</v>
      </c>
      <c r="I279" s="27" t="n">
        <f aca="false">ROUND(MAX(0,I278*(1+I$8)-AE279),2)</f>
        <v>0</v>
      </c>
      <c r="J279" s="27" t="n">
        <f aca="false">ROUND(MAX(0,J278*(1+J$8)-AF279),2)</f>
        <v>0</v>
      </c>
      <c r="K279" s="27" t="n">
        <f aca="false">ROUND(MAX(0,K278*(1+K$8)-AG279),2)</f>
        <v>0</v>
      </c>
      <c r="L279" s="30" t="n">
        <f aca="false">SUM(B279:K279)</f>
        <v>0</v>
      </c>
      <c r="M279" s="27" t="n">
        <f aca="false">SUMPRODUCT(B278:K278,$B$8:$K$8)</f>
        <v>0</v>
      </c>
      <c r="N279" s="27" t="n">
        <f aca="false">MIN(B278*(1+B$8),B$9)</f>
        <v>0</v>
      </c>
      <c r="O279" s="27" t="n">
        <f aca="false">MIN(C278*(1+C$8),C$9)</f>
        <v>0</v>
      </c>
      <c r="P279" s="27" t="n">
        <f aca="false">MIN(D278*(1+D$8),D$9)</f>
        <v>0</v>
      </c>
      <c r="Q279" s="27" t="n">
        <f aca="false">MIN(E278*(1+E$8),E$9)</f>
        <v>0</v>
      </c>
      <c r="R279" s="27" t="n">
        <f aca="false">MIN(F278*(1+F$8),F$9)</f>
        <v>0</v>
      </c>
      <c r="S279" s="27" t="n">
        <f aca="false">MIN(G278*(1+G$8),G$9)</f>
        <v>0</v>
      </c>
      <c r="T279" s="27" t="n">
        <f aca="false">MIN(H278*(1+H$8),H$9)</f>
        <v>0</v>
      </c>
      <c r="U279" s="27" t="n">
        <f aca="false">MIN(I278*(1+I$8),I$9)</f>
        <v>0</v>
      </c>
      <c r="V279" s="27" t="n">
        <f aca="false">MIN(J278*(1+J$8),J$9)</f>
        <v>0</v>
      </c>
      <c r="W279" s="27" t="n">
        <f aca="false">MIN(K278*(1+K$8),K$9)</f>
        <v>0</v>
      </c>
      <c r="X279" s="27" t="n">
        <f aca="false">MIN(B278*(1+B$8),MAX(N279,$B$11-SUM(O279:W279)))</f>
        <v>0</v>
      </c>
      <c r="Y279" s="27" t="n">
        <f aca="false">MIN(C278*(1+C$8),MAX(O279,$B$11-SUM(X279:X279)-SUM(P279:W279)))</f>
        <v>0</v>
      </c>
      <c r="Z279" s="27" t="n">
        <f aca="false">MIN(D278*(1+D$8),MAX(P279,$B$11-SUM(X279:Y279)-SUM(Q279:W279)))</f>
        <v>0</v>
      </c>
      <c r="AA279" s="27" t="n">
        <f aca="false">MIN(E278*(1+E$8),MAX(Q279,$B$11-SUM(X279:Z279)-SUM(R279:W279)))</f>
        <v>0</v>
      </c>
      <c r="AB279" s="27" t="n">
        <f aca="false">MIN(F278*(1+F$8),MAX(R279,$B$11-SUM(X279:AA279)-SUM(S279:W279)))</f>
        <v>0</v>
      </c>
      <c r="AC279" s="27" t="n">
        <f aca="false">MIN(G278*(1+G$8),MAX(S279,$B$11-SUM(X279:AB279)-SUM(T279:W279)))</f>
        <v>0</v>
      </c>
      <c r="AD279" s="27" t="n">
        <f aca="false">MIN(H278*(1+H$8),MAX(T279,$B$11-SUM(X279:AC279)-SUM(U279:W279)))</f>
        <v>0</v>
      </c>
      <c r="AE279" s="27" t="n">
        <f aca="false">MIN(I278*(1+I$8),MAX(U279,$B$11-SUM(X279:AD279)-SUM(V279:W279)))</f>
        <v>0</v>
      </c>
      <c r="AF279" s="27" t="n">
        <f aca="false">MIN(J278*(1+J$8),MAX(V279,$B$11-SUM(X279:AE279)-SUM(W279:W279)))</f>
        <v>0</v>
      </c>
      <c r="AG279" s="27" t="n">
        <f aca="false">MIN(K278*(1+K$8),MAX(W279,$B$11-SUM(X279:AF279)))</f>
        <v>0</v>
      </c>
      <c r="AI279" s="27" t="n">
        <f aca="false">ROUND(MAX(0,AI278*(1+B$8)-BE279),2)</f>
        <v>0</v>
      </c>
      <c r="AJ279" s="27" t="n">
        <f aca="false">ROUND(MAX(0,AJ278*(1+C$8)-BF279),2)</f>
        <v>0</v>
      </c>
      <c r="AK279" s="27" t="n">
        <f aca="false">ROUND(MAX(0,AK278*(1+D$8)-BG279),2)</f>
        <v>0</v>
      </c>
      <c r="AL279" s="27" t="n">
        <f aca="false">ROUND(MAX(0,AL278*(1+E$8)-BH279),2)</f>
        <v>0</v>
      </c>
      <c r="AM279" s="27" t="n">
        <f aca="false">ROUND(MAX(0,AM278*(1+F$8)-BI279),2)</f>
        <v>0</v>
      </c>
      <c r="AN279" s="27" t="n">
        <f aca="false">ROUND(MAX(0,AN278*(1+G$8)-BJ279),2)</f>
        <v>0</v>
      </c>
      <c r="AO279" s="27" t="n">
        <f aca="false">ROUND(MAX(0,AO278*(1+H$8)-BK279),2)</f>
        <v>0</v>
      </c>
      <c r="AP279" s="27" t="n">
        <f aca="false">ROUND(MAX(0,AP278*(1+I$8)-BL279),2)</f>
        <v>0</v>
      </c>
      <c r="AQ279" s="27" t="n">
        <f aca="false">ROUND(MAX(0,AQ278*(1+J$8)-BM279),2)</f>
        <v>0</v>
      </c>
      <c r="AR279" s="27" t="n">
        <f aca="false">ROUND(MAX(0,AR278*(1+K$8)-BN279),2)</f>
        <v>0</v>
      </c>
      <c r="AS279" s="27" t="n">
        <f aca="false">SUM(AI279:AR279)</f>
        <v>0</v>
      </c>
      <c r="AT279" s="27" t="n">
        <f aca="false">SUMPRODUCT(AI278:AR278,$B$8:$K$8)</f>
        <v>0</v>
      </c>
      <c r="AU279" s="27" t="n">
        <f aca="false">MIN(AI278*(1+B$8),B$9)</f>
        <v>0</v>
      </c>
      <c r="AV279" s="27" t="n">
        <f aca="false">MIN(AJ278*(1+C$8),C$9)</f>
        <v>0</v>
      </c>
      <c r="AW279" s="27" t="n">
        <f aca="false">MIN(AK278*(1+D$8),D$9)</f>
        <v>0</v>
      </c>
      <c r="AX279" s="27" t="n">
        <f aca="false">MIN(AL278*(1+E$8),E$9)</f>
        <v>0</v>
      </c>
      <c r="AY279" s="27" t="n">
        <f aca="false">MIN(AM278*(1+F$8),F$9)</f>
        <v>0</v>
      </c>
      <c r="AZ279" s="27" t="n">
        <f aca="false">MIN(AN278*(1+G$8),G$9)</f>
        <v>0</v>
      </c>
      <c r="BA279" s="27" t="n">
        <f aca="false">MIN(AO278*(1+H$8),H$9)</f>
        <v>0</v>
      </c>
      <c r="BB279" s="27" t="n">
        <f aca="false">MIN(AP278*(1+I$8),I$9)</f>
        <v>0</v>
      </c>
      <c r="BC279" s="27" t="n">
        <f aca="false">MIN(AQ278*(1+J$8),J$9)</f>
        <v>0</v>
      </c>
      <c r="BD279" s="27" t="n">
        <f aca="false">MIN(AR278*(1+K$8),K$9)</f>
        <v>0</v>
      </c>
      <c r="BE279" s="27" t="n">
        <f aca="false">MIN(AI278*(1+B$8),MAX(AU279,$B$12-SUM(AV279:BD279)))</f>
        <v>0</v>
      </c>
      <c r="BF279" s="27" t="n">
        <f aca="false">MIN(AJ278*(1+C$8),MAX(AV279,$B$12-SUM(BE279:BE279)-SUM(AW279:BD279)))</f>
        <v>0</v>
      </c>
      <c r="BG279" s="27" t="n">
        <f aca="false">MIN(AK278*(1+D$8),MAX(AW279,$B$12-SUM(BE279:BF279)-SUM(AX279:BD279)))</f>
        <v>0</v>
      </c>
      <c r="BH279" s="27" t="n">
        <f aca="false">MIN(AL278*(1+E$8),MAX(AX279,$B$12-SUM(BE279:BG279)-SUM(AY279:BD279)))</f>
        <v>0</v>
      </c>
      <c r="BI279" s="27" t="n">
        <f aca="false">MIN(AM278*(1+F$8),MAX(AY279,$B$12-SUM(BE279:BH279)-SUM(AZ279:BD279)))</f>
        <v>0</v>
      </c>
      <c r="BJ279" s="27" t="n">
        <f aca="false">MIN(AN278*(1+G$8),MAX(AZ279,$B$12-SUM(BE279:BI279)-SUM(BA279:BD279)))</f>
        <v>0</v>
      </c>
      <c r="BK279" s="27" t="n">
        <f aca="false">MIN(AO278*(1+H$8),MAX(BA279,$B$12-SUM(BE279:BJ279)-SUM(BB279:BD279)))</f>
        <v>0</v>
      </c>
      <c r="BL279" s="27" t="n">
        <f aca="false">MIN(AP278*(1+I$8),MAX(BB279,$B$12-SUM(BE279:BK279)-SUM(BC279:BD279)))</f>
        <v>0</v>
      </c>
      <c r="BM279" s="27" t="n">
        <f aca="false">MIN(AQ278*(1+J$8),MAX(BC279,$B$12-SUM(BE279:BL279)-SUM(BD279:BD279)))</f>
        <v>0</v>
      </c>
      <c r="BN279" s="27" t="n">
        <f aca="false">MIN(AR278*(1+K$8),MAX(BD279,$B$12-SUM(BE279:BM279)))</f>
        <v>0</v>
      </c>
    </row>
    <row r="280" customFormat="false" ht="15" hidden="false" customHeight="false" outlineLevel="0" collapsed="false">
      <c r="A280" s="0" t="n">
        <v>266</v>
      </c>
      <c r="B280" s="27" t="n">
        <f aca="false">ROUND(MAX(0,B279*(1+B$8)-X280),2)</f>
        <v>0</v>
      </c>
      <c r="C280" s="27" t="n">
        <f aca="false">ROUND(MAX(0,C279*(1+C$8)-Y280),2)</f>
        <v>0</v>
      </c>
      <c r="D280" s="27" t="n">
        <f aca="false">ROUND(MAX(0,D279*(1+D$8)-Z280),2)</f>
        <v>0</v>
      </c>
      <c r="E280" s="27" t="n">
        <f aca="false">ROUND(MAX(0,E279*(1+E$8)-AA280),2)</f>
        <v>0</v>
      </c>
      <c r="F280" s="27" t="n">
        <f aca="false">ROUND(MAX(0,F279*(1+F$8)-AB280),2)</f>
        <v>0</v>
      </c>
      <c r="G280" s="27" t="n">
        <f aca="false">ROUND(MAX(0,G279*(1+G$8)-AC280),2)</f>
        <v>0</v>
      </c>
      <c r="H280" s="27" t="n">
        <f aca="false">ROUND(MAX(0,H279*(1+H$8)-AD280),2)</f>
        <v>0</v>
      </c>
      <c r="I280" s="27" t="n">
        <f aca="false">ROUND(MAX(0,I279*(1+I$8)-AE280),2)</f>
        <v>0</v>
      </c>
      <c r="J280" s="27" t="n">
        <f aca="false">ROUND(MAX(0,J279*(1+J$8)-AF280),2)</f>
        <v>0</v>
      </c>
      <c r="K280" s="27" t="n">
        <f aca="false">ROUND(MAX(0,K279*(1+K$8)-AG280),2)</f>
        <v>0</v>
      </c>
      <c r="L280" s="30" t="n">
        <f aca="false">SUM(B280:K280)</f>
        <v>0</v>
      </c>
      <c r="M280" s="27" t="n">
        <f aca="false">SUMPRODUCT(B279:K279,$B$8:$K$8)</f>
        <v>0</v>
      </c>
      <c r="N280" s="27" t="n">
        <f aca="false">MIN(B279*(1+B$8),B$9)</f>
        <v>0</v>
      </c>
      <c r="O280" s="27" t="n">
        <f aca="false">MIN(C279*(1+C$8),C$9)</f>
        <v>0</v>
      </c>
      <c r="P280" s="27" t="n">
        <f aca="false">MIN(D279*(1+D$8),D$9)</f>
        <v>0</v>
      </c>
      <c r="Q280" s="27" t="n">
        <f aca="false">MIN(E279*(1+E$8),E$9)</f>
        <v>0</v>
      </c>
      <c r="R280" s="27" t="n">
        <f aca="false">MIN(F279*(1+F$8),F$9)</f>
        <v>0</v>
      </c>
      <c r="S280" s="27" t="n">
        <f aca="false">MIN(G279*(1+G$8),G$9)</f>
        <v>0</v>
      </c>
      <c r="T280" s="27" t="n">
        <f aca="false">MIN(H279*(1+H$8),H$9)</f>
        <v>0</v>
      </c>
      <c r="U280" s="27" t="n">
        <f aca="false">MIN(I279*(1+I$8),I$9)</f>
        <v>0</v>
      </c>
      <c r="V280" s="27" t="n">
        <f aca="false">MIN(J279*(1+J$8),J$9)</f>
        <v>0</v>
      </c>
      <c r="W280" s="27" t="n">
        <f aca="false">MIN(K279*(1+K$8),K$9)</f>
        <v>0</v>
      </c>
      <c r="X280" s="27" t="n">
        <f aca="false">MIN(B279*(1+B$8),MAX(N280,$B$11-SUM(O280:W280)))</f>
        <v>0</v>
      </c>
      <c r="Y280" s="27" t="n">
        <f aca="false">MIN(C279*(1+C$8),MAX(O280,$B$11-SUM(X280:X280)-SUM(P280:W280)))</f>
        <v>0</v>
      </c>
      <c r="Z280" s="27" t="n">
        <f aca="false">MIN(D279*(1+D$8),MAX(P280,$B$11-SUM(X280:Y280)-SUM(Q280:W280)))</f>
        <v>0</v>
      </c>
      <c r="AA280" s="27" t="n">
        <f aca="false">MIN(E279*(1+E$8),MAX(Q280,$B$11-SUM(X280:Z280)-SUM(R280:W280)))</f>
        <v>0</v>
      </c>
      <c r="AB280" s="27" t="n">
        <f aca="false">MIN(F279*(1+F$8),MAX(R280,$B$11-SUM(X280:AA280)-SUM(S280:W280)))</f>
        <v>0</v>
      </c>
      <c r="AC280" s="27" t="n">
        <f aca="false">MIN(G279*(1+G$8),MAX(S280,$B$11-SUM(X280:AB280)-SUM(T280:W280)))</f>
        <v>0</v>
      </c>
      <c r="AD280" s="27" t="n">
        <f aca="false">MIN(H279*(1+H$8),MAX(T280,$B$11-SUM(X280:AC280)-SUM(U280:W280)))</f>
        <v>0</v>
      </c>
      <c r="AE280" s="27" t="n">
        <f aca="false">MIN(I279*(1+I$8),MAX(U280,$B$11-SUM(X280:AD280)-SUM(V280:W280)))</f>
        <v>0</v>
      </c>
      <c r="AF280" s="27" t="n">
        <f aca="false">MIN(J279*(1+J$8),MAX(V280,$B$11-SUM(X280:AE280)-SUM(W280:W280)))</f>
        <v>0</v>
      </c>
      <c r="AG280" s="27" t="n">
        <f aca="false">MIN(K279*(1+K$8),MAX(W280,$B$11-SUM(X280:AF280)))</f>
        <v>0</v>
      </c>
      <c r="AI280" s="27" t="n">
        <f aca="false">ROUND(MAX(0,AI279*(1+B$8)-BE280),2)</f>
        <v>0</v>
      </c>
      <c r="AJ280" s="27" t="n">
        <f aca="false">ROUND(MAX(0,AJ279*(1+C$8)-BF280),2)</f>
        <v>0</v>
      </c>
      <c r="AK280" s="27" t="n">
        <f aca="false">ROUND(MAX(0,AK279*(1+D$8)-BG280),2)</f>
        <v>0</v>
      </c>
      <c r="AL280" s="27" t="n">
        <f aca="false">ROUND(MAX(0,AL279*(1+E$8)-BH280),2)</f>
        <v>0</v>
      </c>
      <c r="AM280" s="27" t="n">
        <f aca="false">ROUND(MAX(0,AM279*(1+F$8)-BI280),2)</f>
        <v>0</v>
      </c>
      <c r="AN280" s="27" t="n">
        <f aca="false">ROUND(MAX(0,AN279*(1+G$8)-BJ280),2)</f>
        <v>0</v>
      </c>
      <c r="AO280" s="27" t="n">
        <f aca="false">ROUND(MAX(0,AO279*(1+H$8)-BK280),2)</f>
        <v>0</v>
      </c>
      <c r="AP280" s="27" t="n">
        <f aca="false">ROUND(MAX(0,AP279*(1+I$8)-BL280),2)</f>
        <v>0</v>
      </c>
      <c r="AQ280" s="27" t="n">
        <f aca="false">ROUND(MAX(0,AQ279*(1+J$8)-BM280),2)</f>
        <v>0</v>
      </c>
      <c r="AR280" s="27" t="n">
        <f aca="false">ROUND(MAX(0,AR279*(1+K$8)-BN280),2)</f>
        <v>0</v>
      </c>
      <c r="AS280" s="27" t="n">
        <f aca="false">SUM(AI280:AR280)</f>
        <v>0</v>
      </c>
      <c r="AT280" s="27" t="n">
        <f aca="false">SUMPRODUCT(AI279:AR279,$B$8:$K$8)</f>
        <v>0</v>
      </c>
      <c r="AU280" s="27" t="n">
        <f aca="false">MIN(AI279*(1+B$8),B$9)</f>
        <v>0</v>
      </c>
      <c r="AV280" s="27" t="n">
        <f aca="false">MIN(AJ279*(1+C$8),C$9)</f>
        <v>0</v>
      </c>
      <c r="AW280" s="27" t="n">
        <f aca="false">MIN(AK279*(1+D$8),D$9)</f>
        <v>0</v>
      </c>
      <c r="AX280" s="27" t="n">
        <f aca="false">MIN(AL279*(1+E$8),E$9)</f>
        <v>0</v>
      </c>
      <c r="AY280" s="27" t="n">
        <f aca="false">MIN(AM279*(1+F$8),F$9)</f>
        <v>0</v>
      </c>
      <c r="AZ280" s="27" t="n">
        <f aca="false">MIN(AN279*(1+G$8),G$9)</f>
        <v>0</v>
      </c>
      <c r="BA280" s="27" t="n">
        <f aca="false">MIN(AO279*(1+H$8),H$9)</f>
        <v>0</v>
      </c>
      <c r="BB280" s="27" t="n">
        <f aca="false">MIN(AP279*(1+I$8),I$9)</f>
        <v>0</v>
      </c>
      <c r="BC280" s="27" t="n">
        <f aca="false">MIN(AQ279*(1+J$8),J$9)</f>
        <v>0</v>
      </c>
      <c r="BD280" s="27" t="n">
        <f aca="false">MIN(AR279*(1+K$8),K$9)</f>
        <v>0</v>
      </c>
      <c r="BE280" s="27" t="n">
        <f aca="false">MIN(AI279*(1+B$8),MAX(AU280,$B$12-SUM(AV280:BD280)))</f>
        <v>0</v>
      </c>
      <c r="BF280" s="27" t="n">
        <f aca="false">MIN(AJ279*(1+C$8),MAX(AV280,$B$12-SUM(BE280:BE280)-SUM(AW280:BD280)))</f>
        <v>0</v>
      </c>
      <c r="BG280" s="27" t="n">
        <f aca="false">MIN(AK279*(1+D$8),MAX(AW280,$B$12-SUM(BE280:BF280)-SUM(AX280:BD280)))</f>
        <v>0</v>
      </c>
      <c r="BH280" s="27" t="n">
        <f aca="false">MIN(AL279*(1+E$8),MAX(AX280,$B$12-SUM(BE280:BG280)-SUM(AY280:BD280)))</f>
        <v>0</v>
      </c>
      <c r="BI280" s="27" t="n">
        <f aca="false">MIN(AM279*(1+F$8),MAX(AY280,$B$12-SUM(BE280:BH280)-SUM(AZ280:BD280)))</f>
        <v>0</v>
      </c>
      <c r="BJ280" s="27" t="n">
        <f aca="false">MIN(AN279*(1+G$8),MAX(AZ280,$B$12-SUM(BE280:BI280)-SUM(BA280:BD280)))</f>
        <v>0</v>
      </c>
      <c r="BK280" s="27" t="n">
        <f aca="false">MIN(AO279*(1+H$8),MAX(BA280,$B$12-SUM(BE280:BJ280)-SUM(BB280:BD280)))</f>
        <v>0</v>
      </c>
      <c r="BL280" s="27" t="n">
        <f aca="false">MIN(AP279*(1+I$8),MAX(BB280,$B$12-SUM(BE280:BK280)-SUM(BC280:BD280)))</f>
        <v>0</v>
      </c>
      <c r="BM280" s="27" t="n">
        <f aca="false">MIN(AQ279*(1+J$8),MAX(BC280,$B$12-SUM(BE280:BL280)-SUM(BD280:BD280)))</f>
        <v>0</v>
      </c>
      <c r="BN280" s="27" t="n">
        <f aca="false">MIN(AR279*(1+K$8),MAX(BD280,$B$12-SUM(BE280:BM280)))</f>
        <v>0</v>
      </c>
    </row>
    <row r="281" customFormat="false" ht="15" hidden="false" customHeight="false" outlineLevel="0" collapsed="false">
      <c r="A281" s="0" t="n">
        <v>267</v>
      </c>
      <c r="B281" s="27" t="n">
        <f aca="false">ROUND(MAX(0,B280*(1+B$8)-X281),2)</f>
        <v>0</v>
      </c>
      <c r="C281" s="27" t="n">
        <f aca="false">ROUND(MAX(0,C280*(1+C$8)-Y281),2)</f>
        <v>0</v>
      </c>
      <c r="D281" s="27" t="n">
        <f aca="false">ROUND(MAX(0,D280*(1+D$8)-Z281),2)</f>
        <v>0</v>
      </c>
      <c r="E281" s="27" t="n">
        <f aca="false">ROUND(MAX(0,E280*(1+E$8)-AA281),2)</f>
        <v>0</v>
      </c>
      <c r="F281" s="27" t="n">
        <f aca="false">ROUND(MAX(0,F280*(1+F$8)-AB281),2)</f>
        <v>0</v>
      </c>
      <c r="G281" s="27" t="n">
        <f aca="false">ROUND(MAX(0,G280*(1+G$8)-AC281),2)</f>
        <v>0</v>
      </c>
      <c r="H281" s="27" t="n">
        <f aca="false">ROUND(MAX(0,H280*(1+H$8)-AD281),2)</f>
        <v>0</v>
      </c>
      <c r="I281" s="27" t="n">
        <f aca="false">ROUND(MAX(0,I280*(1+I$8)-AE281),2)</f>
        <v>0</v>
      </c>
      <c r="J281" s="27" t="n">
        <f aca="false">ROUND(MAX(0,J280*(1+J$8)-AF281),2)</f>
        <v>0</v>
      </c>
      <c r="K281" s="27" t="n">
        <f aca="false">ROUND(MAX(0,K280*(1+K$8)-AG281),2)</f>
        <v>0</v>
      </c>
      <c r="L281" s="30" t="n">
        <f aca="false">SUM(B281:K281)</f>
        <v>0</v>
      </c>
      <c r="M281" s="27" t="n">
        <f aca="false">SUMPRODUCT(B280:K280,$B$8:$K$8)</f>
        <v>0</v>
      </c>
      <c r="N281" s="27" t="n">
        <f aca="false">MIN(B280*(1+B$8),B$9)</f>
        <v>0</v>
      </c>
      <c r="O281" s="27" t="n">
        <f aca="false">MIN(C280*(1+C$8),C$9)</f>
        <v>0</v>
      </c>
      <c r="P281" s="27" t="n">
        <f aca="false">MIN(D280*(1+D$8),D$9)</f>
        <v>0</v>
      </c>
      <c r="Q281" s="27" t="n">
        <f aca="false">MIN(E280*(1+E$8),E$9)</f>
        <v>0</v>
      </c>
      <c r="R281" s="27" t="n">
        <f aca="false">MIN(F280*(1+F$8),F$9)</f>
        <v>0</v>
      </c>
      <c r="S281" s="27" t="n">
        <f aca="false">MIN(G280*(1+G$8),G$9)</f>
        <v>0</v>
      </c>
      <c r="T281" s="27" t="n">
        <f aca="false">MIN(H280*(1+H$8),H$9)</f>
        <v>0</v>
      </c>
      <c r="U281" s="27" t="n">
        <f aca="false">MIN(I280*(1+I$8),I$9)</f>
        <v>0</v>
      </c>
      <c r="V281" s="27" t="n">
        <f aca="false">MIN(J280*(1+J$8),J$9)</f>
        <v>0</v>
      </c>
      <c r="W281" s="27" t="n">
        <f aca="false">MIN(K280*(1+K$8),K$9)</f>
        <v>0</v>
      </c>
      <c r="X281" s="27" t="n">
        <f aca="false">MIN(B280*(1+B$8),MAX(N281,$B$11-SUM(O281:W281)))</f>
        <v>0</v>
      </c>
      <c r="Y281" s="27" t="n">
        <f aca="false">MIN(C280*(1+C$8),MAX(O281,$B$11-SUM(X281:X281)-SUM(P281:W281)))</f>
        <v>0</v>
      </c>
      <c r="Z281" s="27" t="n">
        <f aca="false">MIN(D280*(1+D$8),MAX(P281,$B$11-SUM(X281:Y281)-SUM(Q281:W281)))</f>
        <v>0</v>
      </c>
      <c r="AA281" s="27" t="n">
        <f aca="false">MIN(E280*(1+E$8),MAX(Q281,$B$11-SUM(X281:Z281)-SUM(R281:W281)))</f>
        <v>0</v>
      </c>
      <c r="AB281" s="27" t="n">
        <f aca="false">MIN(F280*(1+F$8),MAX(R281,$B$11-SUM(X281:AA281)-SUM(S281:W281)))</f>
        <v>0</v>
      </c>
      <c r="AC281" s="27" t="n">
        <f aca="false">MIN(G280*(1+G$8),MAX(S281,$B$11-SUM(X281:AB281)-SUM(T281:W281)))</f>
        <v>0</v>
      </c>
      <c r="AD281" s="27" t="n">
        <f aca="false">MIN(H280*(1+H$8),MAX(T281,$B$11-SUM(X281:AC281)-SUM(U281:W281)))</f>
        <v>0</v>
      </c>
      <c r="AE281" s="27" t="n">
        <f aca="false">MIN(I280*(1+I$8),MAX(U281,$B$11-SUM(X281:AD281)-SUM(V281:W281)))</f>
        <v>0</v>
      </c>
      <c r="AF281" s="27" t="n">
        <f aca="false">MIN(J280*(1+J$8),MAX(V281,$B$11-SUM(X281:AE281)-SUM(W281:W281)))</f>
        <v>0</v>
      </c>
      <c r="AG281" s="27" t="n">
        <f aca="false">MIN(K280*(1+K$8),MAX(W281,$B$11-SUM(X281:AF281)))</f>
        <v>0</v>
      </c>
      <c r="AI281" s="27" t="n">
        <f aca="false">ROUND(MAX(0,AI280*(1+B$8)-BE281),2)</f>
        <v>0</v>
      </c>
      <c r="AJ281" s="27" t="n">
        <f aca="false">ROUND(MAX(0,AJ280*(1+C$8)-BF281),2)</f>
        <v>0</v>
      </c>
      <c r="AK281" s="27" t="n">
        <f aca="false">ROUND(MAX(0,AK280*(1+D$8)-BG281),2)</f>
        <v>0</v>
      </c>
      <c r="AL281" s="27" t="n">
        <f aca="false">ROUND(MAX(0,AL280*(1+E$8)-BH281),2)</f>
        <v>0</v>
      </c>
      <c r="AM281" s="27" t="n">
        <f aca="false">ROUND(MAX(0,AM280*(1+F$8)-BI281),2)</f>
        <v>0</v>
      </c>
      <c r="AN281" s="27" t="n">
        <f aca="false">ROUND(MAX(0,AN280*(1+G$8)-BJ281),2)</f>
        <v>0</v>
      </c>
      <c r="AO281" s="27" t="n">
        <f aca="false">ROUND(MAX(0,AO280*(1+H$8)-BK281),2)</f>
        <v>0</v>
      </c>
      <c r="AP281" s="27" t="n">
        <f aca="false">ROUND(MAX(0,AP280*(1+I$8)-BL281),2)</f>
        <v>0</v>
      </c>
      <c r="AQ281" s="27" t="n">
        <f aca="false">ROUND(MAX(0,AQ280*(1+J$8)-BM281),2)</f>
        <v>0</v>
      </c>
      <c r="AR281" s="27" t="n">
        <f aca="false">ROUND(MAX(0,AR280*(1+K$8)-BN281),2)</f>
        <v>0</v>
      </c>
      <c r="AS281" s="27" t="n">
        <f aca="false">SUM(AI281:AR281)</f>
        <v>0</v>
      </c>
      <c r="AT281" s="27" t="n">
        <f aca="false">SUMPRODUCT(AI280:AR280,$B$8:$K$8)</f>
        <v>0</v>
      </c>
      <c r="AU281" s="27" t="n">
        <f aca="false">MIN(AI280*(1+B$8),B$9)</f>
        <v>0</v>
      </c>
      <c r="AV281" s="27" t="n">
        <f aca="false">MIN(AJ280*(1+C$8),C$9)</f>
        <v>0</v>
      </c>
      <c r="AW281" s="27" t="n">
        <f aca="false">MIN(AK280*(1+D$8),D$9)</f>
        <v>0</v>
      </c>
      <c r="AX281" s="27" t="n">
        <f aca="false">MIN(AL280*(1+E$8),E$9)</f>
        <v>0</v>
      </c>
      <c r="AY281" s="27" t="n">
        <f aca="false">MIN(AM280*(1+F$8),F$9)</f>
        <v>0</v>
      </c>
      <c r="AZ281" s="27" t="n">
        <f aca="false">MIN(AN280*(1+G$8),G$9)</f>
        <v>0</v>
      </c>
      <c r="BA281" s="27" t="n">
        <f aca="false">MIN(AO280*(1+H$8),H$9)</f>
        <v>0</v>
      </c>
      <c r="BB281" s="27" t="n">
        <f aca="false">MIN(AP280*(1+I$8),I$9)</f>
        <v>0</v>
      </c>
      <c r="BC281" s="27" t="n">
        <f aca="false">MIN(AQ280*(1+J$8),J$9)</f>
        <v>0</v>
      </c>
      <c r="BD281" s="27" t="n">
        <f aca="false">MIN(AR280*(1+K$8),K$9)</f>
        <v>0</v>
      </c>
      <c r="BE281" s="27" t="n">
        <f aca="false">MIN(AI280*(1+B$8),MAX(AU281,$B$12-SUM(AV281:BD281)))</f>
        <v>0</v>
      </c>
      <c r="BF281" s="27" t="n">
        <f aca="false">MIN(AJ280*(1+C$8),MAX(AV281,$B$12-SUM(BE281:BE281)-SUM(AW281:BD281)))</f>
        <v>0</v>
      </c>
      <c r="BG281" s="27" t="n">
        <f aca="false">MIN(AK280*(1+D$8),MAX(AW281,$B$12-SUM(BE281:BF281)-SUM(AX281:BD281)))</f>
        <v>0</v>
      </c>
      <c r="BH281" s="27" t="n">
        <f aca="false">MIN(AL280*(1+E$8),MAX(AX281,$B$12-SUM(BE281:BG281)-SUM(AY281:BD281)))</f>
        <v>0</v>
      </c>
      <c r="BI281" s="27" t="n">
        <f aca="false">MIN(AM280*(1+F$8),MAX(AY281,$B$12-SUM(BE281:BH281)-SUM(AZ281:BD281)))</f>
        <v>0</v>
      </c>
      <c r="BJ281" s="27" t="n">
        <f aca="false">MIN(AN280*(1+G$8),MAX(AZ281,$B$12-SUM(BE281:BI281)-SUM(BA281:BD281)))</f>
        <v>0</v>
      </c>
      <c r="BK281" s="27" t="n">
        <f aca="false">MIN(AO280*(1+H$8),MAX(BA281,$B$12-SUM(BE281:BJ281)-SUM(BB281:BD281)))</f>
        <v>0</v>
      </c>
      <c r="BL281" s="27" t="n">
        <f aca="false">MIN(AP280*(1+I$8),MAX(BB281,$B$12-SUM(BE281:BK281)-SUM(BC281:BD281)))</f>
        <v>0</v>
      </c>
      <c r="BM281" s="27" t="n">
        <f aca="false">MIN(AQ280*(1+J$8),MAX(BC281,$B$12-SUM(BE281:BL281)-SUM(BD281:BD281)))</f>
        <v>0</v>
      </c>
      <c r="BN281" s="27" t="n">
        <f aca="false">MIN(AR280*(1+K$8),MAX(BD281,$B$12-SUM(BE281:BM281)))</f>
        <v>0</v>
      </c>
    </row>
    <row r="282" customFormat="false" ht="15" hidden="false" customHeight="false" outlineLevel="0" collapsed="false">
      <c r="A282" s="0" t="n">
        <v>268</v>
      </c>
      <c r="B282" s="27" t="n">
        <f aca="false">ROUND(MAX(0,B281*(1+B$8)-X282),2)</f>
        <v>0</v>
      </c>
      <c r="C282" s="27" t="n">
        <f aca="false">ROUND(MAX(0,C281*(1+C$8)-Y282),2)</f>
        <v>0</v>
      </c>
      <c r="D282" s="27" t="n">
        <f aca="false">ROUND(MAX(0,D281*(1+D$8)-Z282),2)</f>
        <v>0</v>
      </c>
      <c r="E282" s="27" t="n">
        <f aca="false">ROUND(MAX(0,E281*(1+E$8)-AA282),2)</f>
        <v>0</v>
      </c>
      <c r="F282" s="27" t="n">
        <f aca="false">ROUND(MAX(0,F281*(1+F$8)-AB282),2)</f>
        <v>0</v>
      </c>
      <c r="G282" s="27" t="n">
        <f aca="false">ROUND(MAX(0,G281*(1+G$8)-AC282),2)</f>
        <v>0</v>
      </c>
      <c r="H282" s="27" t="n">
        <f aca="false">ROUND(MAX(0,H281*(1+H$8)-AD282),2)</f>
        <v>0</v>
      </c>
      <c r="I282" s="27" t="n">
        <f aca="false">ROUND(MAX(0,I281*(1+I$8)-AE282),2)</f>
        <v>0</v>
      </c>
      <c r="J282" s="27" t="n">
        <f aca="false">ROUND(MAX(0,J281*(1+J$8)-AF282),2)</f>
        <v>0</v>
      </c>
      <c r="K282" s="27" t="n">
        <f aca="false">ROUND(MAX(0,K281*(1+K$8)-AG282),2)</f>
        <v>0</v>
      </c>
      <c r="L282" s="30" t="n">
        <f aca="false">SUM(B282:K282)</f>
        <v>0</v>
      </c>
      <c r="M282" s="27" t="n">
        <f aca="false">SUMPRODUCT(B281:K281,$B$8:$K$8)</f>
        <v>0</v>
      </c>
      <c r="N282" s="27" t="n">
        <f aca="false">MIN(B281*(1+B$8),B$9)</f>
        <v>0</v>
      </c>
      <c r="O282" s="27" t="n">
        <f aca="false">MIN(C281*(1+C$8),C$9)</f>
        <v>0</v>
      </c>
      <c r="P282" s="27" t="n">
        <f aca="false">MIN(D281*(1+D$8),D$9)</f>
        <v>0</v>
      </c>
      <c r="Q282" s="27" t="n">
        <f aca="false">MIN(E281*(1+E$8),E$9)</f>
        <v>0</v>
      </c>
      <c r="R282" s="27" t="n">
        <f aca="false">MIN(F281*(1+F$8),F$9)</f>
        <v>0</v>
      </c>
      <c r="S282" s="27" t="n">
        <f aca="false">MIN(G281*(1+G$8),G$9)</f>
        <v>0</v>
      </c>
      <c r="T282" s="27" t="n">
        <f aca="false">MIN(H281*(1+H$8),H$9)</f>
        <v>0</v>
      </c>
      <c r="U282" s="27" t="n">
        <f aca="false">MIN(I281*(1+I$8),I$9)</f>
        <v>0</v>
      </c>
      <c r="V282" s="27" t="n">
        <f aca="false">MIN(J281*(1+J$8),J$9)</f>
        <v>0</v>
      </c>
      <c r="W282" s="27" t="n">
        <f aca="false">MIN(K281*(1+K$8),K$9)</f>
        <v>0</v>
      </c>
      <c r="X282" s="27" t="n">
        <f aca="false">MIN(B281*(1+B$8),MAX(N282,$B$11-SUM(O282:W282)))</f>
        <v>0</v>
      </c>
      <c r="Y282" s="27" t="n">
        <f aca="false">MIN(C281*(1+C$8),MAX(O282,$B$11-SUM(X282:X282)-SUM(P282:W282)))</f>
        <v>0</v>
      </c>
      <c r="Z282" s="27" t="n">
        <f aca="false">MIN(D281*(1+D$8),MAX(P282,$B$11-SUM(X282:Y282)-SUM(Q282:W282)))</f>
        <v>0</v>
      </c>
      <c r="AA282" s="27" t="n">
        <f aca="false">MIN(E281*(1+E$8),MAX(Q282,$B$11-SUM(X282:Z282)-SUM(R282:W282)))</f>
        <v>0</v>
      </c>
      <c r="AB282" s="27" t="n">
        <f aca="false">MIN(F281*(1+F$8),MAX(R282,$B$11-SUM(X282:AA282)-SUM(S282:W282)))</f>
        <v>0</v>
      </c>
      <c r="AC282" s="27" t="n">
        <f aca="false">MIN(G281*(1+G$8),MAX(S282,$B$11-SUM(X282:AB282)-SUM(T282:W282)))</f>
        <v>0</v>
      </c>
      <c r="AD282" s="27" t="n">
        <f aca="false">MIN(H281*(1+H$8),MAX(T282,$B$11-SUM(X282:AC282)-SUM(U282:W282)))</f>
        <v>0</v>
      </c>
      <c r="AE282" s="27" t="n">
        <f aca="false">MIN(I281*(1+I$8),MAX(U282,$B$11-SUM(X282:AD282)-SUM(V282:W282)))</f>
        <v>0</v>
      </c>
      <c r="AF282" s="27" t="n">
        <f aca="false">MIN(J281*(1+J$8),MAX(V282,$B$11-SUM(X282:AE282)-SUM(W282:W282)))</f>
        <v>0</v>
      </c>
      <c r="AG282" s="27" t="n">
        <f aca="false">MIN(K281*(1+K$8),MAX(W282,$B$11-SUM(X282:AF282)))</f>
        <v>0</v>
      </c>
      <c r="AI282" s="27" t="n">
        <f aca="false">ROUND(MAX(0,AI281*(1+B$8)-BE282),2)</f>
        <v>0</v>
      </c>
      <c r="AJ282" s="27" t="n">
        <f aca="false">ROUND(MAX(0,AJ281*(1+C$8)-BF282),2)</f>
        <v>0</v>
      </c>
      <c r="AK282" s="27" t="n">
        <f aca="false">ROUND(MAX(0,AK281*(1+D$8)-BG282),2)</f>
        <v>0</v>
      </c>
      <c r="AL282" s="27" t="n">
        <f aca="false">ROUND(MAX(0,AL281*(1+E$8)-BH282),2)</f>
        <v>0</v>
      </c>
      <c r="AM282" s="27" t="n">
        <f aca="false">ROUND(MAX(0,AM281*(1+F$8)-BI282),2)</f>
        <v>0</v>
      </c>
      <c r="AN282" s="27" t="n">
        <f aca="false">ROUND(MAX(0,AN281*(1+G$8)-BJ282),2)</f>
        <v>0</v>
      </c>
      <c r="AO282" s="27" t="n">
        <f aca="false">ROUND(MAX(0,AO281*(1+H$8)-BK282),2)</f>
        <v>0</v>
      </c>
      <c r="AP282" s="27" t="n">
        <f aca="false">ROUND(MAX(0,AP281*(1+I$8)-BL282),2)</f>
        <v>0</v>
      </c>
      <c r="AQ282" s="27" t="n">
        <f aca="false">ROUND(MAX(0,AQ281*(1+J$8)-BM282),2)</f>
        <v>0</v>
      </c>
      <c r="AR282" s="27" t="n">
        <f aca="false">ROUND(MAX(0,AR281*(1+K$8)-BN282),2)</f>
        <v>0</v>
      </c>
      <c r="AS282" s="27" t="n">
        <f aca="false">SUM(AI282:AR282)</f>
        <v>0</v>
      </c>
      <c r="AT282" s="27" t="n">
        <f aca="false">SUMPRODUCT(AI281:AR281,$B$8:$K$8)</f>
        <v>0</v>
      </c>
      <c r="AU282" s="27" t="n">
        <f aca="false">MIN(AI281*(1+B$8),B$9)</f>
        <v>0</v>
      </c>
      <c r="AV282" s="27" t="n">
        <f aca="false">MIN(AJ281*(1+C$8),C$9)</f>
        <v>0</v>
      </c>
      <c r="AW282" s="27" t="n">
        <f aca="false">MIN(AK281*(1+D$8),D$9)</f>
        <v>0</v>
      </c>
      <c r="AX282" s="27" t="n">
        <f aca="false">MIN(AL281*(1+E$8),E$9)</f>
        <v>0</v>
      </c>
      <c r="AY282" s="27" t="n">
        <f aca="false">MIN(AM281*(1+F$8),F$9)</f>
        <v>0</v>
      </c>
      <c r="AZ282" s="27" t="n">
        <f aca="false">MIN(AN281*(1+G$8),G$9)</f>
        <v>0</v>
      </c>
      <c r="BA282" s="27" t="n">
        <f aca="false">MIN(AO281*(1+H$8),H$9)</f>
        <v>0</v>
      </c>
      <c r="BB282" s="27" t="n">
        <f aca="false">MIN(AP281*(1+I$8),I$9)</f>
        <v>0</v>
      </c>
      <c r="BC282" s="27" t="n">
        <f aca="false">MIN(AQ281*(1+J$8),J$9)</f>
        <v>0</v>
      </c>
      <c r="BD282" s="27" t="n">
        <f aca="false">MIN(AR281*(1+K$8),K$9)</f>
        <v>0</v>
      </c>
      <c r="BE282" s="27" t="n">
        <f aca="false">MIN(AI281*(1+B$8),MAX(AU282,$B$12-SUM(AV282:BD282)))</f>
        <v>0</v>
      </c>
      <c r="BF282" s="27" t="n">
        <f aca="false">MIN(AJ281*(1+C$8),MAX(AV282,$B$12-SUM(BE282:BE282)-SUM(AW282:BD282)))</f>
        <v>0</v>
      </c>
      <c r="BG282" s="27" t="n">
        <f aca="false">MIN(AK281*(1+D$8),MAX(AW282,$B$12-SUM(BE282:BF282)-SUM(AX282:BD282)))</f>
        <v>0</v>
      </c>
      <c r="BH282" s="27" t="n">
        <f aca="false">MIN(AL281*(1+E$8),MAX(AX282,$B$12-SUM(BE282:BG282)-SUM(AY282:BD282)))</f>
        <v>0</v>
      </c>
      <c r="BI282" s="27" t="n">
        <f aca="false">MIN(AM281*(1+F$8),MAX(AY282,$B$12-SUM(BE282:BH282)-SUM(AZ282:BD282)))</f>
        <v>0</v>
      </c>
      <c r="BJ282" s="27" t="n">
        <f aca="false">MIN(AN281*(1+G$8),MAX(AZ282,$B$12-SUM(BE282:BI282)-SUM(BA282:BD282)))</f>
        <v>0</v>
      </c>
      <c r="BK282" s="27" t="n">
        <f aca="false">MIN(AO281*(1+H$8),MAX(BA282,$B$12-SUM(BE282:BJ282)-SUM(BB282:BD282)))</f>
        <v>0</v>
      </c>
      <c r="BL282" s="27" t="n">
        <f aca="false">MIN(AP281*(1+I$8),MAX(BB282,$B$12-SUM(BE282:BK282)-SUM(BC282:BD282)))</f>
        <v>0</v>
      </c>
      <c r="BM282" s="27" t="n">
        <f aca="false">MIN(AQ281*(1+J$8),MAX(BC282,$B$12-SUM(BE282:BL282)-SUM(BD282:BD282)))</f>
        <v>0</v>
      </c>
      <c r="BN282" s="27" t="n">
        <f aca="false">MIN(AR281*(1+K$8),MAX(BD282,$B$12-SUM(BE282:BM282)))</f>
        <v>0</v>
      </c>
    </row>
    <row r="283" customFormat="false" ht="15" hidden="false" customHeight="false" outlineLevel="0" collapsed="false">
      <c r="A283" s="0" t="n">
        <v>269</v>
      </c>
      <c r="B283" s="27" t="n">
        <f aca="false">ROUND(MAX(0,B282*(1+B$8)-X283),2)</f>
        <v>0</v>
      </c>
      <c r="C283" s="27" t="n">
        <f aca="false">ROUND(MAX(0,C282*(1+C$8)-Y283),2)</f>
        <v>0</v>
      </c>
      <c r="D283" s="27" t="n">
        <f aca="false">ROUND(MAX(0,D282*(1+D$8)-Z283),2)</f>
        <v>0</v>
      </c>
      <c r="E283" s="27" t="n">
        <f aca="false">ROUND(MAX(0,E282*(1+E$8)-AA283),2)</f>
        <v>0</v>
      </c>
      <c r="F283" s="27" t="n">
        <f aca="false">ROUND(MAX(0,F282*(1+F$8)-AB283),2)</f>
        <v>0</v>
      </c>
      <c r="G283" s="27" t="n">
        <f aca="false">ROUND(MAX(0,G282*(1+G$8)-AC283),2)</f>
        <v>0</v>
      </c>
      <c r="H283" s="27" t="n">
        <f aca="false">ROUND(MAX(0,H282*(1+H$8)-AD283),2)</f>
        <v>0</v>
      </c>
      <c r="I283" s="27" t="n">
        <f aca="false">ROUND(MAX(0,I282*(1+I$8)-AE283),2)</f>
        <v>0</v>
      </c>
      <c r="J283" s="27" t="n">
        <f aca="false">ROUND(MAX(0,J282*(1+J$8)-AF283),2)</f>
        <v>0</v>
      </c>
      <c r="K283" s="27" t="n">
        <f aca="false">ROUND(MAX(0,K282*(1+K$8)-AG283),2)</f>
        <v>0</v>
      </c>
      <c r="L283" s="30" t="n">
        <f aca="false">SUM(B283:K283)</f>
        <v>0</v>
      </c>
      <c r="M283" s="27" t="n">
        <f aca="false">SUMPRODUCT(B282:K282,$B$8:$K$8)</f>
        <v>0</v>
      </c>
      <c r="N283" s="27" t="n">
        <f aca="false">MIN(B282*(1+B$8),B$9)</f>
        <v>0</v>
      </c>
      <c r="O283" s="27" t="n">
        <f aca="false">MIN(C282*(1+C$8),C$9)</f>
        <v>0</v>
      </c>
      <c r="P283" s="27" t="n">
        <f aca="false">MIN(D282*(1+D$8),D$9)</f>
        <v>0</v>
      </c>
      <c r="Q283" s="27" t="n">
        <f aca="false">MIN(E282*(1+E$8),E$9)</f>
        <v>0</v>
      </c>
      <c r="R283" s="27" t="n">
        <f aca="false">MIN(F282*(1+F$8),F$9)</f>
        <v>0</v>
      </c>
      <c r="S283" s="27" t="n">
        <f aca="false">MIN(G282*(1+G$8),G$9)</f>
        <v>0</v>
      </c>
      <c r="T283" s="27" t="n">
        <f aca="false">MIN(H282*(1+H$8),H$9)</f>
        <v>0</v>
      </c>
      <c r="U283" s="27" t="n">
        <f aca="false">MIN(I282*(1+I$8),I$9)</f>
        <v>0</v>
      </c>
      <c r="V283" s="27" t="n">
        <f aca="false">MIN(J282*(1+J$8),J$9)</f>
        <v>0</v>
      </c>
      <c r="W283" s="27" t="n">
        <f aca="false">MIN(K282*(1+K$8),K$9)</f>
        <v>0</v>
      </c>
      <c r="X283" s="27" t="n">
        <f aca="false">MIN(B282*(1+B$8),MAX(N283,$B$11-SUM(O283:W283)))</f>
        <v>0</v>
      </c>
      <c r="Y283" s="27" t="n">
        <f aca="false">MIN(C282*(1+C$8),MAX(O283,$B$11-SUM(X283:X283)-SUM(P283:W283)))</f>
        <v>0</v>
      </c>
      <c r="Z283" s="27" t="n">
        <f aca="false">MIN(D282*(1+D$8),MAX(P283,$B$11-SUM(X283:Y283)-SUM(Q283:W283)))</f>
        <v>0</v>
      </c>
      <c r="AA283" s="27" t="n">
        <f aca="false">MIN(E282*(1+E$8),MAX(Q283,$B$11-SUM(X283:Z283)-SUM(R283:W283)))</f>
        <v>0</v>
      </c>
      <c r="AB283" s="27" t="n">
        <f aca="false">MIN(F282*(1+F$8),MAX(R283,$B$11-SUM(X283:AA283)-SUM(S283:W283)))</f>
        <v>0</v>
      </c>
      <c r="AC283" s="27" t="n">
        <f aca="false">MIN(G282*(1+G$8),MAX(S283,$B$11-SUM(X283:AB283)-SUM(T283:W283)))</f>
        <v>0</v>
      </c>
      <c r="AD283" s="27" t="n">
        <f aca="false">MIN(H282*(1+H$8),MAX(T283,$B$11-SUM(X283:AC283)-SUM(U283:W283)))</f>
        <v>0</v>
      </c>
      <c r="AE283" s="27" t="n">
        <f aca="false">MIN(I282*(1+I$8),MAX(U283,$B$11-SUM(X283:AD283)-SUM(V283:W283)))</f>
        <v>0</v>
      </c>
      <c r="AF283" s="27" t="n">
        <f aca="false">MIN(J282*(1+J$8),MAX(V283,$B$11-SUM(X283:AE283)-SUM(W283:W283)))</f>
        <v>0</v>
      </c>
      <c r="AG283" s="27" t="n">
        <f aca="false">MIN(K282*(1+K$8),MAX(W283,$B$11-SUM(X283:AF283)))</f>
        <v>0</v>
      </c>
      <c r="AI283" s="27" t="n">
        <f aca="false">ROUND(MAX(0,AI282*(1+B$8)-BE283),2)</f>
        <v>0</v>
      </c>
      <c r="AJ283" s="27" t="n">
        <f aca="false">ROUND(MAX(0,AJ282*(1+C$8)-BF283),2)</f>
        <v>0</v>
      </c>
      <c r="AK283" s="27" t="n">
        <f aca="false">ROUND(MAX(0,AK282*(1+D$8)-BG283),2)</f>
        <v>0</v>
      </c>
      <c r="AL283" s="27" t="n">
        <f aca="false">ROUND(MAX(0,AL282*(1+E$8)-BH283),2)</f>
        <v>0</v>
      </c>
      <c r="AM283" s="27" t="n">
        <f aca="false">ROUND(MAX(0,AM282*(1+F$8)-BI283),2)</f>
        <v>0</v>
      </c>
      <c r="AN283" s="27" t="n">
        <f aca="false">ROUND(MAX(0,AN282*(1+G$8)-BJ283),2)</f>
        <v>0</v>
      </c>
      <c r="AO283" s="27" t="n">
        <f aca="false">ROUND(MAX(0,AO282*(1+H$8)-BK283),2)</f>
        <v>0</v>
      </c>
      <c r="AP283" s="27" t="n">
        <f aca="false">ROUND(MAX(0,AP282*(1+I$8)-BL283),2)</f>
        <v>0</v>
      </c>
      <c r="AQ283" s="27" t="n">
        <f aca="false">ROUND(MAX(0,AQ282*(1+J$8)-BM283),2)</f>
        <v>0</v>
      </c>
      <c r="AR283" s="27" t="n">
        <f aca="false">ROUND(MAX(0,AR282*(1+K$8)-BN283),2)</f>
        <v>0</v>
      </c>
      <c r="AS283" s="27" t="n">
        <f aca="false">SUM(AI283:AR283)</f>
        <v>0</v>
      </c>
      <c r="AT283" s="27" t="n">
        <f aca="false">SUMPRODUCT(AI282:AR282,$B$8:$K$8)</f>
        <v>0</v>
      </c>
      <c r="AU283" s="27" t="n">
        <f aca="false">MIN(AI282*(1+B$8),B$9)</f>
        <v>0</v>
      </c>
      <c r="AV283" s="27" t="n">
        <f aca="false">MIN(AJ282*(1+C$8),C$9)</f>
        <v>0</v>
      </c>
      <c r="AW283" s="27" t="n">
        <f aca="false">MIN(AK282*(1+D$8),D$9)</f>
        <v>0</v>
      </c>
      <c r="AX283" s="27" t="n">
        <f aca="false">MIN(AL282*(1+E$8),E$9)</f>
        <v>0</v>
      </c>
      <c r="AY283" s="27" t="n">
        <f aca="false">MIN(AM282*(1+F$8),F$9)</f>
        <v>0</v>
      </c>
      <c r="AZ283" s="27" t="n">
        <f aca="false">MIN(AN282*(1+G$8),G$9)</f>
        <v>0</v>
      </c>
      <c r="BA283" s="27" t="n">
        <f aca="false">MIN(AO282*(1+H$8),H$9)</f>
        <v>0</v>
      </c>
      <c r="BB283" s="27" t="n">
        <f aca="false">MIN(AP282*(1+I$8),I$9)</f>
        <v>0</v>
      </c>
      <c r="BC283" s="27" t="n">
        <f aca="false">MIN(AQ282*(1+J$8),J$9)</f>
        <v>0</v>
      </c>
      <c r="BD283" s="27" t="n">
        <f aca="false">MIN(AR282*(1+K$8),K$9)</f>
        <v>0</v>
      </c>
      <c r="BE283" s="27" t="n">
        <f aca="false">MIN(AI282*(1+B$8),MAX(AU283,$B$12-SUM(AV283:BD283)))</f>
        <v>0</v>
      </c>
      <c r="BF283" s="27" t="n">
        <f aca="false">MIN(AJ282*(1+C$8),MAX(AV283,$B$12-SUM(BE283:BE283)-SUM(AW283:BD283)))</f>
        <v>0</v>
      </c>
      <c r="BG283" s="27" t="n">
        <f aca="false">MIN(AK282*(1+D$8),MAX(AW283,$B$12-SUM(BE283:BF283)-SUM(AX283:BD283)))</f>
        <v>0</v>
      </c>
      <c r="BH283" s="27" t="n">
        <f aca="false">MIN(AL282*(1+E$8),MAX(AX283,$B$12-SUM(BE283:BG283)-SUM(AY283:BD283)))</f>
        <v>0</v>
      </c>
      <c r="BI283" s="27" t="n">
        <f aca="false">MIN(AM282*(1+F$8),MAX(AY283,$B$12-SUM(BE283:BH283)-SUM(AZ283:BD283)))</f>
        <v>0</v>
      </c>
      <c r="BJ283" s="27" t="n">
        <f aca="false">MIN(AN282*(1+G$8),MAX(AZ283,$B$12-SUM(BE283:BI283)-SUM(BA283:BD283)))</f>
        <v>0</v>
      </c>
      <c r="BK283" s="27" t="n">
        <f aca="false">MIN(AO282*(1+H$8),MAX(BA283,$B$12-SUM(BE283:BJ283)-SUM(BB283:BD283)))</f>
        <v>0</v>
      </c>
      <c r="BL283" s="27" t="n">
        <f aca="false">MIN(AP282*(1+I$8),MAX(BB283,$B$12-SUM(BE283:BK283)-SUM(BC283:BD283)))</f>
        <v>0</v>
      </c>
      <c r="BM283" s="27" t="n">
        <f aca="false">MIN(AQ282*(1+J$8),MAX(BC283,$B$12-SUM(BE283:BL283)-SUM(BD283:BD283)))</f>
        <v>0</v>
      </c>
      <c r="BN283" s="27" t="n">
        <f aca="false">MIN(AR282*(1+K$8),MAX(BD283,$B$12-SUM(BE283:BM283)))</f>
        <v>0</v>
      </c>
    </row>
    <row r="284" customFormat="false" ht="15" hidden="false" customHeight="false" outlineLevel="0" collapsed="false">
      <c r="A284" s="0" t="n">
        <v>270</v>
      </c>
      <c r="B284" s="27" t="n">
        <f aca="false">ROUND(MAX(0,B283*(1+B$8)-X284),2)</f>
        <v>0</v>
      </c>
      <c r="C284" s="27" t="n">
        <f aca="false">ROUND(MAX(0,C283*(1+C$8)-Y284),2)</f>
        <v>0</v>
      </c>
      <c r="D284" s="27" t="n">
        <f aca="false">ROUND(MAX(0,D283*(1+D$8)-Z284),2)</f>
        <v>0</v>
      </c>
      <c r="E284" s="27" t="n">
        <f aca="false">ROUND(MAX(0,E283*(1+E$8)-AA284),2)</f>
        <v>0</v>
      </c>
      <c r="F284" s="27" t="n">
        <f aca="false">ROUND(MAX(0,F283*(1+F$8)-AB284),2)</f>
        <v>0</v>
      </c>
      <c r="G284" s="27" t="n">
        <f aca="false">ROUND(MAX(0,G283*(1+G$8)-AC284),2)</f>
        <v>0</v>
      </c>
      <c r="H284" s="27" t="n">
        <f aca="false">ROUND(MAX(0,H283*(1+H$8)-AD284),2)</f>
        <v>0</v>
      </c>
      <c r="I284" s="27" t="n">
        <f aca="false">ROUND(MAX(0,I283*(1+I$8)-AE284),2)</f>
        <v>0</v>
      </c>
      <c r="J284" s="27" t="n">
        <f aca="false">ROUND(MAX(0,J283*(1+J$8)-AF284),2)</f>
        <v>0</v>
      </c>
      <c r="K284" s="27" t="n">
        <f aca="false">ROUND(MAX(0,K283*(1+K$8)-AG284),2)</f>
        <v>0</v>
      </c>
      <c r="L284" s="30" t="n">
        <f aca="false">SUM(B284:K284)</f>
        <v>0</v>
      </c>
      <c r="M284" s="27" t="n">
        <f aca="false">SUMPRODUCT(B283:K283,$B$8:$K$8)</f>
        <v>0</v>
      </c>
      <c r="N284" s="27" t="n">
        <f aca="false">MIN(B283*(1+B$8),B$9)</f>
        <v>0</v>
      </c>
      <c r="O284" s="27" t="n">
        <f aca="false">MIN(C283*(1+C$8),C$9)</f>
        <v>0</v>
      </c>
      <c r="P284" s="27" t="n">
        <f aca="false">MIN(D283*(1+D$8),D$9)</f>
        <v>0</v>
      </c>
      <c r="Q284" s="27" t="n">
        <f aca="false">MIN(E283*(1+E$8),E$9)</f>
        <v>0</v>
      </c>
      <c r="R284" s="27" t="n">
        <f aca="false">MIN(F283*(1+F$8),F$9)</f>
        <v>0</v>
      </c>
      <c r="S284" s="27" t="n">
        <f aca="false">MIN(G283*(1+G$8),G$9)</f>
        <v>0</v>
      </c>
      <c r="T284" s="27" t="n">
        <f aca="false">MIN(H283*(1+H$8),H$9)</f>
        <v>0</v>
      </c>
      <c r="U284" s="27" t="n">
        <f aca="false">MIN(I283*(1+I$8),I$9)</f>
        <v>0</v>
      </c>
      <c r="V284" s="27" t="n">
        <f aca="false">MIN(J283*(1+J$8),J$9)</f>
        <v>0</v>
      </c>
      <c r="W284" s="27" t="n">
        <f aca="false">MIN(K283*(1+K$8),K$9)</f>
        <v>0</v>
      </c>
      <c r="X284" s="27" t="n">
        <f aca="false">MIN(B283*(1+B$8),MAX(N284,$B$11-SUM(O284:W284)))</f>
        <v>0</v>
      </c>
      <c r="Y284" s="27" t="n">
        <f aca="false">MIN(C283*(1+C$8),MAX(O284,$B$11-SUM(X284:X284)-SUM(P284:W284)))</f>
        <v>0</v>
      </c>
      <c r="Z284" s="27" t="n">
        <f aca="false">MIN(D283*(1+D$8),MAX(P284,$B$11-SUM(X284:Y284)-SUM(Q284:W284)))</f>
        <v>0</v>
      </c>
      <c r="AA284" s="27" t="n">
        <f aca="false">MIN(E283*(1+E$8),MAX(Q284,$B$11-SUM(X284:Z284)-SUM(R284:W284)))</f>
        <v>0</v>
      </c>
      <c r="AB284" s="27" t="n">
        <f aca="false">MIN(F283*(1+F$8),MAX(R284,$B$11-SUM(X284:AA284)-SUM(S284:W284)))</f>
        <v>0</v>
      </c>
      <c r="AC284" s="27" t="n">
        <f aca="false">MIN(G283*(1+G$8),MAX(S284,$B$11-SUM(X284:AB284)-SUM(T284:W284)))</f>
        <v>0</v>
      </c>
      <c r="AD284" s="27" t="n">
        <f aca="false">MIN(H283*(1+H$8),MAX(T284,$B$11-SUM(X284:AC284)-SUM(U284:W284)))</f>
        <v>0</v>
      </c>
      <c r="AE284" s="27" t="n">
        <f aca="false">MIN(I283*(1+I$8),MAX(U284,$B$11-SUM(X284:AD284)-SUM(V284:W284)))</f>
        <v>0</v>
      </c>
      <c r="AF284" s="27" t="n">
        <f aca="false">MIN(J283*(1+J$8),MAX(V284,$B$11-SUM(X284:AE284)-SUM(W284:W284)))</f>
        <v>0</v>
      </c>
      <c r="AG284" s="27" t="n">
        <f aca="false">MIN(K283*(1+K$8),MAX(W284,$B$11-SUM(X284:AF284)))</f>
        <v>0</v>
      </c>
      <c r="AI284" s="27" t="n">
        <f aca="false">ROUND(MAX(0,AI283*(1+B$8)-BE284),2)</f>
        <v>0</v>
      </c>
      <c r="AJ284" s="27" t="n">
        <f aca="false">ROUND(MAX(0,AJ283*(1+C$8)-BF284),2)</f>
        <v>0</v>
      </c>
      <c r="AK284" s="27" t="n">
        <f aca="false">ROUND(MAX(0,AK283*(1+D$8)-BG284),2)</f>
        <v>0</v>
      </c>
      <c r="AL284" s="27" t="n">
        <f aca="false">ROUND(MAX(0,AL283*(1+E$8)-BH284),2)</f>
        <v>0</v>
      </c>
      <c r="AM284" s="27" t="n">
        <f aca="false">ROUND(MAX(0,AM283*(1+F$8)-BI284),2)</f>
        <v>0</v>
      </c>
      <c r="AN284" s="27" t="n">
        <f aca="false">ROUND(MAX(0,AN283*(1+G$8)-BJ284),2)</f>
        <v>0</v>
      </c>
      <c r="AO284" s="27" t="n">
        <f aca="false">ROUND(MAX(0,AO283*(1+H$8)-BK284),2)</f>
        <v>0</v>
      </c>
      <c r="AP284" s="27" t="n">
        <f aca="false">ROUND(MAX(0,AP283*(1+I$8)-BL284),2)</f>
        <v>0</v>
      </c>
      <c r="AQ284" s="27" t="n">
        <f aca="false">ROUND(MAX(0,AQ283*(1+J$8)-BM284),2)</f>
        <v>0</v>
      </c>
      <c r="AR284" s="27" t="n">
        <f aca="false">ROUND(MAX(0,AR283*(1+K$8)-BN284),2)</f>
        <v>0</v>
      </c>
      <c r="AS284" s="27" t="n">
        <f aca="false">SUM(AI284:AR284)</f>
        <v>0</v>
      </c>
      <c r="AT284" s="27" t="n">
        <f aca="false">SUMPRODUCT(AI283:AR283,$B$8:$K$8)</f>
        <v>0</v>
      </c>
      <c r="AU284" s="27" t="n">
        <f aca="false">MIN(AI283*(1+B$8),B$9)</f>
        <v>0</v>
      </c>
      <c r="AV284" s="27" t="n">
        <f aca="false">MIN(AJ283*(1+C$8),C$9)</f>
        <v>0</v>
      </c>
      <c r="AW284" s="27" t="n">
        <f aca="false">MIN(AK283*(1+D$8),D$9)</f>
        <v>0</v>
      </c>
      <c r="AX284" s="27" t="n">
        <f aca="false">MIN(AL283*(1+E$8),E$9)</f>
        <v>0</v>
      </c>
      <c r="AY284" s="27" t="n">
        <f aca="false">MIN(AM283*(1+F$8),F$9)</f>
        <v>0</v>
      </c>
      <c r="AZ284" s="27" t="n">
        <f aca="false">MIN(AN283*(1+G$8),G$9)</f>
        <v>0</v>
      </c>
      <c r="BA284" s="27" t="n">
        <f aca="false">MIN(AO283*(1+H$8),H$9)</f>
        <v>0</v>
      </c>
      <c r="BB284" s="27" t="n">
        <f aca="false">MIN(AP283*(1+I$8),I$9)</f>
        <v>0</v>
      </c>
      <c r="BC284" s="27" t="n">
        <f aca="false">MIN(AQ283*(1+J$8),J$9)</f>
        <v>0</v>
      </c>
      <c r="BD284" s="27" t="n">
        <f aca="false">MIN(AR283*(1+K$8),K$9)</f>
        <v>0</v>
      </c>
      <c r="BE284" s="27" t="n">
        <f aca="false">MIN(AI283*(1+B$8),MAX(AU284,$B$12-SUM(AV284:BD284)))</f>
        <v>0</v>
      </c>
      <c r="BF284" s="27" t="n">
        <f aca="false">MIN(AJ283*(1+C$8),MAX(AV284,$B$12-SUM(BE284:BE284)-SUM(AW284:BD284)))</f>
        <v>0</v>
      </c>
      <c r="BG284" s="27" t="n">
        <f aca="false">MIN(AK283*(1+D$8),MAX(AW284,$B$12-SUM(BE284:BF284)-SUM(AX284:BD284)))</f>
        <v>0</v>
      </c>
      <c r="BH284" s="27" t="n">
        <f aca="false">MIN(AL283*(1+E$8),MAX(AX284,$B$12-SUM(BE284:BG284)-SUM(AY284:BD284)))</f>
        <v>0</v>
      </c>
      <c r="BI284" s="27" t="n">
        <f aca="false">MIN(AM283*(1+F$8),MAX(AY284,$B$12-SUM(BE284:BH284)-SUM(AZ284:BD284)))</f>
        <v>0</v>
      </c>
      <c r="BJ284" s="27" t="n">
        <f aca="false">MIN(AN283*(1+G$8),MAX(AZ284,$B$12-SUM(BE284:BI284)-SUM(BA284:BD284)))</f>
        <v>0</v>
      </c>
      <c r="BK284" s="27" t="n">
        <f aca="false">MIN(AO283*(1+H$8),MAX(BA284,$B$12-SUM(BE284:BJ284)-SUM(BB284:BD284)))</f>
        <v>0</v>
      </c>
      <c r="BL284" s="27" t="n">
        <f aca="false">MIN(AP283*(1+I$8),MAX(BB284,$B$12-SUM(BE284:BK284)-SUM(BC284:BD284)))</f>
        <v>0</v>
      </c>
      <c r="BM284" s="27" t="n">
        <f aca="false">MIN(AQ283*(1+J$8),MAX(BC284,$B$12-SUM(BE284:BL284)-SUM(BD284:BD284)))</f>
        <v>0</v>
      </c>
      <c r="BN284" s="27" t="n">
        <f aca="false">MIN(AR283*(1+K$8),MAX(BD284,$B$12-SUM(BE284:BM284)))</f>
        <v>0</v>
      </c>
    </row>
    <row r="285" customFormat="false" ht="15" hidden="false" customHeight="false" outlineLevel="0" collapsed="false">
      <c r="A285" s="0" t="n">
        <v>271</v>
      </c>
      <c r="B285" s="27" t="n">
        <f aca="false">ROUND(MAX(0,B284*(1+B$8)-X285),2)</f>
        <v>0</v>
      </c>
      <c r="C285" s="27" t="n">
        <f aca="false">ROUND(MAX(0,C284*(1+C$8)-Y285),2)</f>
        <v>0</v>
      </c>
      <c r="D285" s="27" t="n">
        <f aca="false">ROUND(MAX(0,D284*(1+D$8)-Z285),2)</f>
        <v>0</v>
      </c>
      <c r="E285" s="27" t="n">
        <f aca="false">ROUND(MAX(0,E284*(1+E$8)-AA285),2)</f>
        <v>0</v>
      </c>
      <c r="F285" s="27" t="n">
        <f aca="false">ROUND(MAX(0,F284*(1+F$8)-AB285),2)</f>
        <v>0</v>
      </c>
      <c r="G285" s="27" t="n">
        <f aca="false">ROUND(MAX(0,G284*(1+G$8)-AC285),2)</f>
        <v>0</v>
      </c>
      <c r="H285" s="27" t="n">
        <f aca="false">ROUND(MAX(0,H284*(1+H$8)-AD285),2)</f>
        <v>0</v>
      </c>
      <c r="I285" s="27" t="n">
        <f aca="false">ROUND(MAX(0,I284*(1+I$8)-AE285),2)</f>
        <v>0</v>
      </c>
      <c r="J285" s="27" t="n">
        <f aca="false">ROUND(MAX(0,J284*(1+J$8)-AF285),2)</f>
        <v>0</v>
      </c>
      <c r="K285" s="27" t="n">
        <f aca="false">ROUND(MAX(0,K284*(1+K$8)-AG285),2)</f>
        <v>0</v>
      </c>
      <c r="L285" s="30" t="n">
        <f aca="false">SUM(B285:K285)</f>
        <v>0</v>
      </c>
      <c r="M285" s="27" t="n">
        <f aca="false">SUMPRODUCT(B284:K284,$B$8:$K$8)</f>
        <v>0</v>
      </c>
      <c r="N285" s="27" t="n">
        <f aca="false">MIN(B284*(1+B$8),B$9)</f>
        <v>0</v>
      </c>
      <c r="O285" s="27" t="n">
        <f aca="false">MIN(C284*(1+C$8),C$9)</f>
        <v>0</v>
      </c>
      <c r="P285" s="27" t="n">
        <f aca="false">MIN(D284*(1+D$8),D$9)</f>
        <v>0</v>
      </c>
      <c r="Q285" s="27" t="n">
        <f aca="false">MIN(E284*(1+E$8),E$9)</f>
        <v>0</v>
      </c>
      <c r="R285" s="27" t="n">
        <f aca="false">MIN(F284*(1+F$8),F$9)</f>
        <v>0</v>
      </c>
      <c r="S285" s="27" t="n">
        <f aca="false">MIN(G284*(1+G$8),G$9)</f>
        <v>0</v>
      </c>
      <c r="T285" s="27" t="n">
        <f aca="false">MIN(H284*(1+H$8),H$9)</f>
        <v>0</v>
      </c>
      <c r="U285" s="27" t="n">
        <f aca="false">MIN(I284*(1+I$8),I$9)</f>
        <v>0</v>
      </c>
      <c r="V285" s="27" t="n">
        <f aca="false">MIN(J284*(1+J$8),J$9)</f>
        <v>0</v>
      </c>
      <c r="W285" s="27" t="n">
        <f aca="false">MIN(K284*(1+K$8),K$9)</f>
        <v>0</v>
      </c>
      <c r="X285" s="27" t="n">
        <f aca="false">MIN(B284*(1+B$8),MAX(N285,$B$11-SUM(O285:W285)))</f>
        <v>0</v>
      </c>
      <c r="Y285" s="27" t="n">
        <f aca="false">MIN(C284*(1+C$8),MAX(O285,$B$11-SUM(X285:X285)-SUM(P285:W285)))</f>
        <v>0</v>
      </c>
      <c r="Z285" s="27" t="n">
        <f aca="false">MIN(D284*(1+D$8),MAX(P285,$B$11-SUM(X285:Y285)-SUM(Q285:W285)))</f>
        <v>0</v>
      </c>
      <c r="AA285" s="27" t="n">
        <f aca="false">MIN(E284*(1+E$8),MAX(Q285,$B$11-SUM(X285:Z285)-SUM(R285:W285)))</f>
        <v>0</v>
      </c>
      <c r="AB285" s="27" t="n">
        <f aca="false">MIN(F284*(1+F$8),MAX(R285,$B$11-SUM(X285:AA285)-SUM(S285:W285)))</f>
        <v>0</v>
      </c>
      <c r="AC285" s="27" t="n">
        <f aca="false">MIN(G284*(1+G$8),MAX(S285,$B$11-SUM(X285:AB285)-SUM(T285:W285)))</f>
        <v>0</v>
      </c>
      <c r="AD285" s="27" t="n">
        <f aca="false">MIN(H284*(1+H$8),MAX(T285,$B$11-SUM(X285:AC285)-SUM(U285:W285)))</f>
        <v>0</v>
      </c>
      <c r="AE285" s="27" t="n">
        <f aca="false">MIN(I284*(1+I$8),MAX(U285,$B$11-SUM(X285:AD285)-SUM(V285:W285)))</f>
        <v>0</v>
      </c>
      <c r="AF285" s="27" t="n">
        <f aca="false">MIN(J284*(1+J$8),MAX(V285,$B$11-SUM(X285:AE285)-SUM(W285:W285)))</f>
        <v>0</v>
      </c>
      <c r="AG285" s="27" t="n">
        <f aca="false">MIN(K284*(1+K$8),MAX(W285,$B$11-SUM(X285:AF285)))</f>
        <v>0</v>
      </c>
      <c r="AI285" s="27" t="n">
        <f aca="false">ROUND(MAX(0,AI284*(1+B$8)-BE285),2)</f>
        <v>0</v>
      </c>
      <c r="AJ285" s="27" t="n">
        <f aca="false">ROUND(MAX(0,AJ284*(1+C$8)-BF285),2)</f>
        <v>0</v>
      </c>
      <c r="AK285" s="27" t="n">
        <f aca="false">ROUND(MAX(0,AK284*(1+D$8)-BG285),2)</f>
        <v>0</v>
      </c>
      <c r="AL285" s="27" t="n">
        <f aca="false">ROUND(MAX(0,AL284*(1+E$8)-BH285),2)</f>
        <v>0</v>
      </c>
      <c r="AM285" s="27" t="n">
        <f aca="false">ROUND(MAX(0,AM284*(1+F$8)-BI285),2)</f>
        <v>0</v>
      </c>
      <c r="AN285" s="27" t="n">
        <f aca="false">ROUND(MAX(0,AN284*(1+G$8)-BJ285),2)</f>
        <v>0</v>
      </c>
      <c r="AO285" s="27" t="n">
        <f aca="false">ROUND(MAX(0,AO284*(1+H$8)-BK285),2)</f>
        <v>0</v>
      </c>
      <c r="AP285" s="27" t="n">
        <f aca="false">ROUND(MAX(0,AP284*(1+I$8)-BL285),2)</f>
        <v>0</v>
      </c>
      <c r="AQ285" s="27" t="n">
        <f aca="false">ROUND(MAX(0,AQ284*(1+J$8)-BM285),2)</f>
        <v>0</v>
      </c>
      <c r="AR285" s="27" t="n">
        <f aca="false">ROUND(MAX(0,AR284*(1+K$8)-BN285),2)</f>
        <v>0</v>
      </c>
      <c r="AS285" s="27" t="n">
        <f aca="false">SUM(AI285:AR285)</f>
        <v>0</v>
      </c>
      <c r="AT285" s="27" t="n">
        <f aca="false">SUMPRODUCT(AI284:AR284,$B$8:$K$8)</f>
        <v>0</v>
      </c>
      <c r="AU285" s="27" t="n">
        <f aca="false">MIN(AI284*(1+B$8),B$9)</f>
        <v>0</v>
      </c>
      <c r="AV285" s="27" t="n">
        <f aca="false">MIN(AJ284*(1+C$8),C$9)</f>
        <v>0</v>
      </c>
      <c r="AW285" s="27" t="n">
        <f aca="false">MIN(AK284*(1+D$8),D$9)</f>
        <v>0</v>
      </c>
      <c r="AX285" s="27" t="n">
        <f aca="false">MIN(AL284*(1+E$8),E$9)</f>
        <v>0</v>
      </c>
      <c r="AY285" s="27" t="n">
        <f aca="false">MIN(AM284*(1+F$8),F$9)</f>
        <v>0</v>
      </c>
      <c r="AZ285" s="27" t="n">
        <f aca="false">MIN(AN284*(1+G$8),G$9)</f>
        <v>0</v>
      </c>
      <c r="BA285" s="27" t="n">
        <f aca="false">MIN(AO284*(1+H$8),H$9)</f>
        <v>0</v>
      </c>
      <c r="BB285" s="27" t="n">
        <f aca="false">MIN(AP284*(1+I$8),I$9)</f>
        <v>0</v>
      </c>
      <c r="BC285" s="27" t="n">
        <f aca="false">MIN(AQ284*(1+J$8),J$9)</f>
        <v>0</v>
      </c>
      <c r="BD285" s="27" t="n">
        <f aca="false">MIN(AR284*(1+K$8),K$9)</f>
        <v>0</v>
      </c>
      <c r="BE285" s="27" t="n">
        <f aca="false">MIN(AI284*(1+B$8),MAX(AU285,$B$12-SUM(AV285:BD285)))</f>
        <v>0</v>
      </c>
      <c r="BF285" s="27" t="n">
        <f aca="false">MIN(AJ284*(1+C$8),MAX(AV285,$B$12-SUM(BE285:BE285)-SUM(AW285:BD285)))</f>
        <v>0</v>
      </c>
      <c r="BG285" s="27" t="n">
        <f aca="false">MIN(AK284*(1+D$8),MAX(AW285,$B$12-SUM(BE285:BF285)-SUM(AX285:BD285)))</f>
        <v>0</v>
      </c>
      <c r="BH285" s="27" t="n">
        <f aca="false">MIN(AL284*(1+E$8),MAX(AX285,$B$12-SUM(BE285:BG285)-SUM(AY285:BD285)))</f>
        <v>0</v>
      </c>
      <c r="BI285" s="27" t="n">
        <f aca="false">MIN(AM284*(1+F$8),MAX(AY285,$B$12-SUM(BE285:BH285)-SUM(AZ285:BD285)))</f>
        <v>0</v>
      </c>
      <c r="BJ285" s="27" t="n">
        <f aca="false">MIN(AN284*(1+G$8),MAX(AZ285,$B$12-SUM(BE285:BI285)-SUM(BA285:BD285)))</f>
        <v>0</v>
      </c>
      <c r="BK285" s="27" t="n">
        <f aca="false">MIN(AO284*(1+H$8),MAX(BA285,$B$12-SUM(BE285:BJ285)-SUM(BB285:BD285)))</f>
        <v>0</v>
      </c>
      <c r="BL285" s="27" t="n">
        <f aca="false">MIN(AP284*(1+I$8),MAX(BB285,$B$12-SUM(BE285:BK285)-SUM(BC285:BD285)))</f>
        <v>0</v>
      </c>
      <c r="BM285" s="27" t="n">
        <f aca="false">MIN(AQ284*(1+J$8),MAX(BC285,$B$12-SUM(BE285:BL285)-SUM(BD285:BD285)))</f>
        <v>0</v>
      </c>
      <c r="BN285" s="27" t="n">
        <f aca="false">MIN(AR284*(1+K$8),MAX(BD285,$B$12-SUM(BE285:BM285)))</f>
        <v>0</v>
      </c>
    </row>
    <row r="286" customFormat="false" ht="15" hidden="false" customHeight="false" outlineLevel="0" collapsed="false">
      <c r="A286" s="0" t="n">
        <v>272</v>
      </c>
      <c r="B286" s="27" t="n">
        <f aca="false">ROUND(MAX(0,B285*(1+B$8)-X286),2)</f>
        <v>0</v>
      </c>
      <c r="C286" s="27" t="n">
        <f aca="false">ROUND(MAX(0,C285*(1+C$8)-Y286),2)</f>
        <v>0</v>
      </c>
      <c r="D286" s="27" t="n">
        <f aca="false">ROUND(MAX(0,D285*(1+D$8)-Z286),2)</f>
        <v>0</v>
      </c>
      <c r="E286" s="27" t="n">
        <f aca="false">ROUND(MAX(0,E285*(1+E$8)-AA286),2)</f>
        <v>0</v>
      </c>
      <c r="F286" s="27" t="n">
        <f aca="false">ROUND(MAX(0,F285*(1+F$8)-AB286),2)</f>
        <v>0</v>
      </c>
      <c r="G286" s="27" t="n">
        <f aca="false">ROUND(MAX(0,G285*(1+G$8)-AC286),2)</f>
        <v>0</v>
      </c>
      <c r="H286" s="27" t="n">
        <f aca="false">ROUND(MAX(0,H285*(1+H$8)-AD286),2)</f>
        <v>0</v>
      </c>
      <c r="I286" s="27" t="n">
        <f aca="false">ROUND(MAX(0,I285*(1+I$8)-AE286),2)</f>
        <v>0</v>
      </c>
      <c r="J286" s="27" t="n">
        <f aca="false">ROUND(MAX(0,J285*(1+J$8)-AF286),2)</f>
        <v>0</v>
      </c>
      <c r="K286" s="27" t="n">
        <f aca="false">ROUND(MAX(0,K285*(1+K$8)-AG286),2)</f>
        <v>0</v>
      </c>
      <c r="L286" s="30" t="n">
        <f aca="false">SUM(B286:K286)</f>
        <v>0</v>
      </c>
      <c r="M286" s="27" t="n">
        <f aca="false">SUMPRODUCT(B285:K285,$B$8:$K$8)</f>
        <v>0</v>
      </c>
      <c r="N286" s="27" t="n">
        <f aca="false">MIN(B285*(1+B$8),B$9)</f>
        <v>0</v>
      </c>
      <c r="O286" s="27" t="n">
        <f aca="false">MIN(C285*(1+C$8),C$9)</f>
        <v>0</v>
      </c>
      <c r="P286" s="27" t="n">
        <f aca="false">MIN(D285*(1+D$8),D$9)</f>
        <v>0</v>
      </c>
      <c r="Q286" s="27" t="n">
        <f aca="false">MIN(E285*(1+E$8),E$9)</f>
        <v>0</v>
      </c>
      <c r="R286" s="27" t="n">
        <f aca="false">MIN(F285*(1+F$8),F$9)</f>
        <v>0</v>
      </c>
      <c r="S286" s="27" t="n">
        <f aca="false">MIN(G285*(1+G$8),G$9)</f>
        <v>0</v>
      </c>
      <c r="T286" s="27" t="n">
        <f aca="false">MIN(H285*(1+H$8),H$9)</f>
        <v>0</v>
      </c>
      <c r="U286" s="27" t="n">
        <f aca="false">MIN(I285*(1+I$8),I$9)</f>
        <v>0</v>
      </c>
      <c r="V286" s="27" t="n">
        <f aca="false">MIN(J285*(1+J$8),J$9)</f>
        <v>0</v>
      </c>
      <c r="W286" s="27" t="n">
        <f aca="false">MIN(K285*(1+K$8),K$9)</f>
        <v>0</v>
      </c>
      <c r="X286" s="27" t="n">
        <f aca="false">MIN(B285*(1+B$8),MAX(N286,$B$11-SUM(O286:W286)))</f>
        <v>0</v>
      </c>
      <c r="Y286" s="27" t="n">
        <f aca="false">MIN(C285*(1+C$8),MAX(O286,$B$11-SUM(X286:X286)-SUM(P286:W286)))</f>
        <v>0</v>
      </c>
      <c r="Z286" s="27" t="n">
        <f aca="false">MIN(D285*(1+D$8),MAX(P286,$B$11-SUM(X286:Y286)-SUM(Q286:W286)))</f>
        <v>0</v>
      </c>
      <c r="AA286" s="27" t="n">
        <f aca="false">MIN(E285*(1+E$8),MAX(Q286,$B$11-SUM(X286:Z286)-SUM(R286:W286)))</f>
        <v>0</v>
      </c>
      <c r="AB286" s="27" t="n">
        <f aca="false">MIN(F285*(1+F$8),MAX(R286,$B$11-SUM(X286:AA286)-SUM(S286:W286)))</f>
        <v>0</v>
      </c>
      <c r="AC286" s="27" t="n">
        <f aca="false">MIN(G285*(1+G$8),MAX(S286,$B$11-SUM(X286:AB286)-SUM(T286:W286)))</f>
        <v>0</v>
      </c>
      <c r="AD286" s="27" t="n">
        <f aca="false">MIN(H285*(1+H$8),MAX(T286,$B$11-SUM(X286:AC286)-SUM(U286:W286)))</f>
        <v>0</v>
      </c>
      <c r="AE286" s="27" t="n">
        <f aca="false">MIN(I285*(1+I$8),MAX(U286,$B$11-SUM(X286:AD286)-SUM(V286:W286)))</f>
        <v>0</v>
      </c>
      <c r="AF286" s="27" t="n">
        <f aca="false">MIN(J285*(1+J$8),MAX(V286,$B$11-SUM(X286:AE286)-SUM(W286:W286)))</f>
        <v>0</v>
      </c>
      <c r="AG286" s="27" t="n">
        <f aca="false">MIN(K285*(1+K$8),MAX(W286,$B$11-SUM(X286:AF286)))</f>
        <v>0</v>
      </c>
      <c r="AI286" s="27" t="n">
        <f aca="false">ROUND(MAX(0,AI285*(1+B$8)-BE286),2)</f>
        <v>0</v>
      </c>
      <c r="AJ286" s="27" t="n">
        <f aca="false">ROUND(MAX(0,AJ285*(1+C$8)-BF286),2)</f>
        <v>0</v>
      </c>
      <c r="AK286" s="27" t="n">
        <f aca="false">ROUND(MAX(0,AK285*(1+D$8)-BG286),2)</f>
        <v>0</v>
      </c>
      <c r="AL286" s="27" t="n">
        <f aca="false">ROUND(MAX(0,AL285*(1+E$8)-BH286),2)</f>
        <v>0</v>
      </c>
      <c r="AM286" s="27" t="n">
        <f aca="false">ROUND(MAX(0,AM285*(1+F$8)-BI286),2)</f>
        <v>0</v>
      </c>
      <c r="AN286" s="27" t="n">
        <f aca="false">ROUND(MAX(0,AN285*(1+G$8)-BJ286),2)</f>
        <v>0</v>
      </c>
      <c r="AO286" s="27" t="n">
        <f aca="false">ROUND(MAX(0,AO285*(1+H$8)-BK286),2)</f>
        <v>0</v>
      </c>
      <c r="AP286" s="27" t="n">
        <f aca="false">ROUND(MAX(0,AP285*(1+I$8)-BL286),2)</f>
        <v>0</v>
      </c>
      <c r="AQ286" s="27" t="n">
        <f aca="false">ROUND(MAX(0,AQ285*(1+J$8)-BM286),2)</f>
        <v>0</v>
      </c>
      <c r="AR286" s="27" t="n">
        <f aca="false">ROUND(MAX(0,AR285*(1+K$8)-BN286),2)</f>
        <v>0</v>
      </c>
      <c r="AS286" s="27" t="n">
        <f aca="false">SUM(AI286:AR286)</f>
        <v>0</v>
      </c>
      <c r="AT286" s="27" t="n">
        <f aca="false">SUMPRODUCT(AI285:AR285,$B$8:$K$8)</f>
        <v>0</v>
      </c>
      <c r="AU286" s="27" t="n">
        <f aca="false">MIN(AI285*(1+B$8),B$9)</f>
        <v>0</v>
      </c>
      <c r="AV286" s="27" t="n">
        <f aca="false">MIN(AJ285*(1+C$8),C$9)</f>
        <v>0</v>
      </c>
      <c r="AW286" s="27" t="n">
        <f aca="false">MIN(AK285*(1+D$8),D$9)</f>
        <v>0</v>
      </c>
      <c r="AX286" s="27" t="n">
        <f aca="false">MIN(AL285*(1+E$8),E$9)</f>
        <v>0</v>
      </c>
      <c r="AY286" s="27" t="n">
        <f aca="false">MIN(AM285*(1+F$8),F$9)</f>
        <v>0</v>
      </c>
      <c r="AZ286" s="27" t="n">
        <f aca="false">MIN(AN285*(1+G$8),G$9)</f>
        <v>0</v>
      </c>
      <c r="BA286" s="27" t="n">
        <f aca="false">MIN(AO285*(1+H$8),H$9)</f>
        <v>0</v>
      </c>
      <c r="BB286" s="27" t="n">
        <f aca="false">MIN(AP285*(1+I$8),I$9)</f>
        <v>0</v>
      </c>
      <c r="BC286" s="27" t="n">
        <f aca="false">MIN(AQ285*(1+J$8),J$9)</f>
        <v>0</v>
      </c>
      <c r="BD286" s="27" t="n">
        <f aca="false">MIN(AR285*(1+K$8),K$9)</f>
        <v>0</v>
      </c>
      <c r="BE286" s="27" t="n">
        <f aca="false">MIN(AI285*(1+B$8),MAX(AU286,$B$12-SUM(AV286:BD286)))</f>
        <v>0</v>
      </c>
      <c r="BF286" s="27" t="n">
        <f aca="false">MIN(AJ285*(1+C$8),MAX(AV286,$B$12-SUM(BE286:BE286)-SUM(AW286:BD286)))</f>
        <v>0</v>
      </c>
      <c r="BG286" s="27" t="n">
        <f aca="false">MIN(AK285*(1+D$8),MAX(AW286,$B$12-SUM(BE286:BF286)-SUM(AX286:BD286)))</f>
        <v>0</v>
      </c>
      <c r="BH286" s="27" t="n">
        <f aca="false">MIN(AL285*(1+E$8),MAX(AX286,$B$12-SUM(BE286:BG286)-SUM(AY286:BD286)))</f>
        <v>0</v>
      </c>
      <c r="BI286" s="27" t="n">
        <f aca="false">MIN(AM285*(1+F$8),MAX(AY286,$B$12-SUM(BE286:BH286)-SUM(AZ286:BD286)))</f>
        <v>0</v>
      </c>
      <c r="BJ286" s="27" t="n">
        <f aca="false">MIN(AN285*(1+G$8),MAX(AZ286,$B$12-SUM(BE286:BI286)-SUM(BA286:BD286)))</f>
        <v>0</v>
      </c>
      <c r="BK286" s="27" t="n">
        <f aca="false">MIN(AO285*(1+H$8),MAX(BA286,$B$12-SUM(BE286:BJ286)-SUM(BB286:BD286)))</f>
        <v>0</v>
      </c>
      <c r="BL286" s="27" t="n">
        <f aca="false">MIN(AP285*(1+I$8),MAX(BB286,$B$12-SUM(BE286:BK286)-SUM(BC286:BD286)))</f>
        <v>0</v>
      </c>
      <c r="BM286" s="27" t="n">
        <f aca="false">MIN(AQ285*(1+J$8),MAX(BC286,$B$12-SUM(BE286:BL286)-SUM(BD286:BD286)))</f>
        <v>0</v>
      </c>
      <c r="BN286" s="27" t="n">
        <f aca="false">MIN(AR285*(1+K$8),MAX(BD286,$B$12-SUM(BE286:BM286)))</f>
        <v>0</v>
      </c>
    </row>
    <row r="287" customFormat="false" ht="15" hidden="false" customHeight="false" outlineLevel="0" collapsed="false">
      <c r="A287" s="0" t="n">
        <v>273</v>
      </c>
      <c r="B287" s="27" t="n">
        <f aca="false">ROUND(MAX(0,B286*(1+B$8)-X287),2)</f>
        <v>0</v>
      </c>
      <c r="C287" s="27" t="n">
        <f aca="false">ROUND(MAX(0,C286*(1+C$8)-Y287),2)</f>
        <v>0</v>
      </c>
      <c r="D287" s="27" t="n">
        <f aca="false">ROUND(MAX(0,D286*(1+D$8)-Z287),2)</f>
        <v>0</v>
      </c>
      <c r="E287" s="27" t="n">
        <f aca="false">ROUND(MAX(0,E286*(1+E$8)-AA287),2)</f>
        <v>0</v>
      </c>
      <c r="F287" s="27" t="n">
        <f aca="false">ROUND(MAX(0,F286*(1+F$8)-AB287),2)</f>
        <v>0</v>
      </c>
      <c r="G287" s="27" t="n">
        <f aca="false">ROUND(MAX(0,G286*(1+G$8)-AC287),2)</f>
        <v>0</v>
      </c>
      <c r="H287" s="27" t="n">
        <f aca="false">ROUND(MAX(0,H286*(1+H$8)-AD287),2)</f>
        <v>0</v>
      </c>
      <c r="I287" s="27" t="n">
        <f aca="false">ROUND(MAX(0,I286*(1+I$8)-AE287),2)</f>
        <v>0</v>
      </c>
      <c r="J287" s="27" t="n">
        <f aca="false">ROUND(MAX(0,J286*(1+J$8)-AF287),2)</f>
        <v>0</v>
      </c>
      <c r="K287" s="27" t="n">
        <f aca="false">ROUND(MAX(0,K286*(1+K$8)-AG287),2)</f>
        <v>0</v>
      </c>
      <c r="L287" s="30" t="n">
        <f aca="false">SUM(B287:K287)</f>
        <v>0</v>
      </c>
      <c r="M287" s="27" t="n">
        <f aca="false">SUMPRODUCT(B286:K286,$B$8:$K$8)</f>
        <v>0</v>
      </c>
      <c r="N287" s="27" t="n">
        <f aca="false">MIN(B286*(1+B$8),B$9)</f>
        <v>0</v>
      </c>
      <c r="O287" s="27" t="n">
        <f aca="false">MIN(C286*(1+C$8),C$9)</f>
        <v>0</v>
      </c>
      <c r="P287" s="27" t="n">
        <f aca="false">MIN(D286*(1+D$8),D$9)</f>
        <v>0</v>
      </c>
      <c r="Q287" s="27" t="n">
        <f aca="false">MIN(E286*(1+E$8),E$9)</f>
        <v>0</v>
      </c>
      <c r="R287" s="27" t="n">
        <f aca="false">MIN(F286*(1+F$8),F$9)</f>
        <v>0</v>
      </c>
      <c r="S287" s="27" t="n">
        <f aca="false">MIN(G286*(1+G$8),G$9)</f>
        <v>0</v>
      </c>
      <c r="T287" s="27" t="n">
        <f aca="false">MIN(H286*(1+H$8),H$9)</f>
        <v>0</v>
      </c>
      <c r="U287" s="27" t="n">
        <f aca="false">MIN(I286*(1+I$8),I$9)</f>
        <v>0</v>
      </c>
      <c r="V287" s="27" t="n">
        <f aca="false">MIN(J286*(1+J$8),J$9)</f>
        <v>0</v>
      </c>
      <c r="W287" s="27" t="n">
        <f aca="false">MIN(K286*(1+K$8),K$9)</f>
        <v>0</v>
      </c>
      <c r="X287" s="27" t="n">
        <f aca="false">MIN(B286*(1+B$8),MAX(N287,$B$11-SUM(O287:W287)))</f>
        <v>0</v>
      </c>
      <c r="Y287" s="27" t="n">
        <f aca="false">MIN(C286*(1+C$8),MAX(O287,$B$11-SUM(X287:X287)-SUM(P287:W287)))</f>
        <v>0</v>
      </c>
      <c r="Z287" s="27" t="n">
        <f aca="false">MIN(D286*(1+D$8),MAX(P287,$B$11-SUM(X287:Y287)-SUM(Q287:W287)))</f>
        <v>0</v>
      </c>
      <c r="AA287" s="27" t="n">
        <f aca="false">MIN(E286*(1+E$8),MAX(Q287,$B$11-SUM(X287:Z287)-SUM(R287:W287)))</f>
        <v>0</v>
      </c>
      <c r="AB287" s="27" t="n">
        <f aca="false">MIN(F286*(1+F$8),MAX(R287,$B$11-SUM(X287:AA287)-SUM(S287:W287)))</f>
        <v>0</v>
      </c>
      <c r="AC287" s="27" t="n">
        <f aca="false">MIN(G286*(1+G$8),MAX(S287,$B$11-SUM(X287:AB287)-SUM(T287:W287)))</f>
        <v>0</v>
      </c>
      <c r="AD287" s="27" t="n">
        <f aca="false">MIN(H286*(1+H$8),MAX(T287,$B$11-SUM(X287:AC287)-SUM(U287:W287)))</f>
        <v>0</v>
      </c>
      <c r="AE287" s="27" t="n">
        <f aca="false">MIN(I286*(1+I$8),MAX(U287,$B$11-SUM(X287:AD287)-SUM(V287:W287)))</f>
        <v>0</v>
      </c>
      <c r="AF287" s="27" t="n">
        <f aca="false">MIN(J286*(1+J$8),MAX(V287,$B$11-SUM(X287:AE287)-SUM(W287:W287)))</f>
        <v>0</v>
      </c>
      <c r="AG287" s="27" t="n">
        <f aca="false">MIN(K286*(1+K$8),MAX(W287,$B$11-SUM(X287:AF287)))</f>
        <v>0</v>
      </c>
      <c r="AI287" s="27" t="n">
        <f aca="false">ROUND(MAX(0,AI286*(1+B$8)-BE287),2)</f>
        <v>0</v>
      </c>
      <c r="AJ287" s="27" t="n">
        <f aca="false">ROUND(MAX(0,AJ286*(1+C$8)-BF287),2)</f>
        <v>0</v>
      </c>
      <c r="AK287" s="27" t="n">
        <f aca="false">ROUND(MAX(0,AK286*(1+D$8)-BG287),2)</f>
        <v>0</v>
      </c>
      <c r="AL287" s="27" t="n">
        <f aca="false">ROUND(MAX(0,AL286*(1+E$8)-BH287),2)</f>
        <v>0</v>
      </c>
      <c r="AM287" s="27" t="n">
        <f aca="false">ROUND(MAX(0,AM286*(1+F$8)-BI287),2)</f>
        <v>0</v>
      </c>
      <c r="AN287" s="27" t="n">
        <f aca="false">ROUND(MAX(0,AN286*(1+G$8)-BJ287),2)</f>
        <v>0</v>
      </c>
      <c r="AO287" s="27" t="n">
        <f aca="false">ROUND(MAX(0,AO286*(1+H$8)-BK287),2)</f>
        <v>0</v>
      </c>
      <c r="AP287" s="27" t="n">
        <f aca="false">ROUND(MAX(0,AP286*(1+I$8)-BL287),2)</f>
        <v>0</v>
      </c>
      <c r="AQ287" s="27" t="n">
        <f aca="false">ROUND(MAX(0,AQ286*(1+J$8)-BM287),2)</f>
        <v>0</v>
      </c>
      <c r="AR287" s="27" t="n">
        <f aca="false">ROUND(MAX(0,AR286*(1+K$8)-BN287),2)</f>
        <v>0</v>
      </c>
      <c r="AS287" s="27" t="n">
        <f aca="false">SUM(AI287:AR287)</f>
        <v>0</v>
      </c>
      <c r="AT287" s="27" t="n">
        <f aca="false">SUMPRODUCT(AI286:AR286,$B$8:$K$8)</f>
        <v>0</v>
      </c>
      <c r="AU287" s="27" t="n">
        <f aca="false">MIN(AI286*(1+B$8),B$9)</f>
        <v>0</v>
      </c>
      <c r="AV287" s="27" t="n">
        <f aca="false">MIN(AJ286*(1+C$8),C$9)</f>
        <v>0</v>
      </c>
      <c r="AW287" s="27" t="n">
        <f aca="false">MIN(AK286*(1+D$8),D$9)</f>
        <v>0</v>
      </c>
      <c r="AX287" s="27" t="n">
        <f aca="false">MIN(AL286*(1+E$8),E$9)</f>
        <v>0</v>
      </c>
      <c r="AY287" s="27" t="n">
        <f aca="false">MIN(AM286*(1+F$8),F$9)</f>
        <v>0</v>
      </c>
      <c r="AZ287" s="27" t="n">
        <f aca="false">MIN(AN286*(1+G$8),G$9)</f>
        <v>0</v>
      </c>
      <c r="BA287" s="27" t="n">
        <f aca="false">MIN(AO286*(1+H$8),H$9)</f>
        <v>0</v>
      </c>
      <c r="BB287" s="27" t="n">
        <f aca="false">MIN(AP286*(1+I$8),I$9)</f>
        <v>0</v>
      </c>
      <c r="BC287" s="27" t="n">
        <f aca="false">MIN(AQ286*(1+J$8),J$9)</f>
        <v>0</v>
      </c>
      <c r="BD287" s="27" t="n">
        <f aca="false">MIN(AR286*(1+K$8),K$9)</f>
        <v>0</v>
      </c>
      <c r="BE287" s="27" t="n">
        <f aca="false">MIN(AI286*(1+B$8),MAX(AU287,$B$12-SUM(AV287:BD287)))</f>
        <v>0</v>
      </c>
      <c r="BF287" s="27" t="n">
        <f aca="false">MIN(AJ286*(1+C$8),MAX(AV287,$B$12-SUM(BE287:BE287)-SUM(AW287:BD287)))</f>
        <v>0</v>
      </c>
      <c r="BG287" s="27" t="n">
        <f aca="false">MIN(AK286*(1+D$8),MAX(AW287,$B$12-SUM(BE287:BF287)-SUM(AX287:BD287)))</f>
        <v>0</v>
      </c>
      <c r="BH287" s="27" t="n">
        <f aca="false">MIN(AL286*(1+E$8),MAX(AX287,$B$12-SUM(BE287:BG287)-SUM(AY287:BD287)))</f>
        <v>0</v>
      </c>
      <c r="BI287" s="27" t="n">
        <f aca="false">MIN(AM286*(1+F$8),MAX(AY287,$B$12-SUM(BE287:BH287)-SUM(AZ287:BD287)))</f>
        <v>0</v>
      </c>
      <c r="BJ287" s="27" t="n">
        <f aca="false">MIN(AN286*(1+G$8),MAX(AZ287,$B$12-SUM(BE287:BI287)-SUM(BA287:BD287)))</f>
        <v>0</v>
      </c>
      <c r="BK287" s="27" t="n">
        <f aca="false">MIN(AO286*(1+H$8),MAX(BA287,$B$12-SUM(BE287:BJ287)-SUM(BB287:BD287)))</f>
        <v>0</v>
      </c>
      <c r="BL287" s="27" t="n">
        <f aca="false">MIN(AP286*(1+I$8),MAX(BB287,$B$12-SUM(BE287:BK287)-SUM(BC287:BD287)))</f>
        <v>0</v>
      </c>
      <c r="BM287" s="27" t="n">
        <f aca="false">MIN(AQ286*(1+J$8),MAX(BC287,$B$12-SUM(BE287:BL287)-SUM(BD287:BD287)))</f>
        <v>0</v>
      </c>
      <c r="BN287" s="27" t="n">
        <f aca="false">MIN(AR286*(1+K$8),MAX(BD287,$B$12-SUM(BE287:BM287)))</f>
        <v>0</v>
      </c>
    </row>
    <row r="288" customFormat="false" ht="15" hidden="false" customHeight="false" outlineLevel="0" collapsed="false">
      <c r="A288" s="0" t="n">
        <v>274</v>
      </c>
      <c r="B288" s="27" t="n">
        <f aca="false">ROUND(MAX(0,B287*(1+B$8)-X288),2)</f>
        <v>0</v>
      </c>
      <c r="C288" s="27" t="n">
        <f aca="false">ROUND(MAX(0,C287*(1+C$8)-Y288),2)</f>
        <v>0</v>
      </c>
      <c r="D288" s="27" t="n">
        <f aca="false">ROUND(MAX(0,D287*(1+D$8)-Z288),2)</f>
        <v>0</v>
      </c>
      <c r="E288" s="27" t="n">
        <f aca="false">ROUND(MAX(0,E287*(1+E$8)-AA288),2)</f>
        <v>0</v>
      </c>
      <c r="F288" s="27" t="n">
        <f aca="false">ROUND(MAX(0,F287*(1+F$8)-AB288),2)</f>
        <v>0</v>
      </c>
      <c r="G288" s="27" t="n">
        <f aca="false">ROUND(MAX(0,G287*(1+G$8)-AC288),2)</f>
        <v>0</v>
      </c>
      <c r="H288" s="27" t="n">
        <f aca="false">ROUND(MAX(0,H287*(1+H$8)-AD288),2)</f>
        <v>0</v>
      </c>
      <c r="I288" s="27" t="n">
        <f aca="false">ROUND(MAX(0,I287*(1+I$8)-AE288),2)</f>
        <v>0</v>
      </c>
      <c r="J288" s="27" t="n">
        <f aca="false">ROUND(MAX(0,J287*(1+J$8)-AF288),2)</f>
        <v>0</v>
      </c>
      <c r="K288" s="27" t="n">
        <f aca="false">ROUND(MAX(0,K287*(1+K$8)-AG288),2)</f>
        <v>0</v>
      </c>
      <c r="L288" s="30" t="n">
        <f aca="false">SUM(B288:K288)</f>
        <v>0</v>
      </c>
      <c r="M288" s="27" t="n">
        <f aca="false">SUMPRODUCT(B287:K287,$B$8:$K$8)</f>
        <v>0</v>
      </c>
      <c r="N288" s="27" t="n">
        <f aca="false">MIN(B287*(1+B$8),B$9)</f>
        <v>0</v>
      </c>
      <c r="O288" s="27" t="n">
        <f aca="false">MIN(C287*(1+C$8),C$9)</f>
        <v>0</v>
      </c>
      <c r="P288" s="27" t="n">
        <f aca="false">MIN(D287*(1+D$8),D$9)</f>
        <v>0</v>
      </c>
      <c r="Q288" s="27" t="n">
        <f aca="false">MIN(E287*(1+E$8),E$9)</f>
        <v>0</v>
      </c>
      <c r="R288" s="27" t="n">
        <f aca="false">MIN(F287*(1+F$8),F$9)</f>
        <v>0</v>
      </c>
      <c r="S288" s="27" t="n">
        <f aca="false">MIN(G287*(1+G$8),G$9)</f>
        <v>0</v>
      </c>
      <c r="T288" s="27" t="n">
        <f aca="false">MIN(H287*(1+H$8),H$9)</f>
        <v>0</v>
      </c>
      <c r="U288" s="27" t="n">
        <f aca="false">MIN(I287*(1+I$8),I$9)</f>
        <v>0</v>
      </c>
      <c r="V288" s="27" t="n">
        <f aca="false">MIN(J287*(1+J$8),J$9)</f>
        <v>0</v>
      </c>
      <c r="W288" s="27" t="n">
        <f aca="false">MIN(K287*(1+K$8),K$9)</f>
        <v>0</v>
      </c>
      <c r="X288" s="27" t="n">
        <f aca="false">MIN(B287*(1+B$8),MAX(N288,$B$11-SUM(O288:W288)))</f>
        <v>0</v>
      </c>
      <c r="Y288" s="27" t="n">
        <f aca="false">MIN(C287*(1+C$8),MAX(O288,$B$11-SUM(X288:X288)-SUM(P288:W288)))</f>
        <v>0</v>
      </c>
      <c r="Z288" s="27" t="n">
        <f aca="false">MIN(D287*(1+D$8),MAX(P288,$B$11-SUM(X288:Y288)-SUM(Q288:W288)))</f>
        <v>0</v>
      </c>
      <c r="AA288" s="27" t="n">
        <f aca="false">MIN(E287*(1+E$8),MAX(Q288,$B$11-SUM(X288:Z288)-SUM(R288:W288)))</f>
        <v>0</v>
      </c>
      <c r="AB288" s="27" t="n">
        <f aca="false">MIN(F287*(1+F$8),MAX(R288,$B$11-SUM(X288:AA288)-SUM(S288:W288)))</f>
        <v>0</v>
      </c>
      <c r="AC288" s="27" t="n">
        <f aca="false">MIN(G287*(1+G$8),MAX(S288,$B$11-SUM(X288:AB288)-SUM(T288:W288)))</f>
        <v>0</v>
      </c>
      <c r="AD288" s="27" t="n">
        <f aca="false">MIN(H287*(1+H$8),MAX(T288,$B$11-SUM(X288:AC288)-SUM(U288:W288)))</f>
        <v>0</v>
      </c>
      <c r="AE288" s="27" t="n">
        <f aca="false">MIN(I287*(1+I$8),MAX(U288,$B$11-SUM(X288:AD288)-SUM(V288:W288)))</f>
        <v>0</v>
      </c>
      <c r="AF288" s="27" t="n">
        <f aca="false">MIN(J287*(1+J$8),MAX(V288,$B$11-SUM(X288:AE288)-SUM(W288:W288)))</f>
        <v>0</v>
      </c>
      <c r="AG288" s="27" t="n">
        <f aca="false">MIN(K287*(1+K$8),MAX(W288,$B$11-SUM(X288:AF288)))</f>
        <v>0</v>
      </c>
      <c r="AI288" s="27" t="n">
        <f aca="false">ROUND(MAX(0,AI287*(1+B$8)-BE288),2)</f>
        <v>0</v>
      </c>
      <c r="AJ288" s="27" t="n">
        <f aca="false">ROUND(MAX(0,AJ287*(1+C$8)-BF288),2)</f>
        <v>0</v>
      </c>
      <c r="AK288" s="27" t="n">
        <f aca="false">ROUND(MAX(0,AK287*(1+D$8)-BG288),2)</f>
        <v>0</v>
      </c>
      <c r="AL288" s="27" t="n">
        <f aca="false">ROUND(MAX(0,AL287*(1+E$8)-BH288),2)</f>
        <v>0</v>
      </c>
      <c r="AM288" s="27" t="n">
        <f aca="false">ROUND(MAX(0,AM287*(1+F$8)-BI288),2)</f>
        <v>0</v>
      </c>
      <c r="AN288" s="27" t="n">
        <f aca="false">ROUND(MAX(0,AN287*(1+G$8)-BJ288),2)</f>
        <v>0</v>
      </c>
      <c r="AO288" s="27" t="n">
        <f aca="false">ROUND(MAX(0,AO287*(1+H$8)-BK288),2)</f>
        <v>0</v>
      </c>
      <c r="AP288" s="27" t="n">
        <f aca="false">ROUND(MAX(0,AP287*(1+I$8)-BL288),2)</f>
        <v>0</v>
      </c>
      <c r="AQ288" s="27" t="n">
        <f aca="false">ROUND(MAX(0,AQ287*(1+J$8)-BM288),2)</f>
        <v>0</v>
      </c>
      <c r="AR288" s="27" t="n">
        <f aca="false">ROUND(MAX(0,AR287*(1+K$8)-BN288),2)</f>
        <v>0</v>
      </c>
      <c r="AS288" s="27" t="n">
        <f aca="false">SUM(AI288:AR288)</f>
        <v>0</v>
      </c>
      <c r="AT288" s="27" t="n">
        <f aca="false">SUMPRODUCT(AI287:AR287,$B$8:$K$8)</f>
        <v>0</v>
      </c>
      <c r="AU288" s="27" t="n">
        <f aca="false">MIN(AI287*(1+B$8),B$9)</f>
        <v>0</v>
      </c>
      <c r="AV288" s="27" t="n">
        <f aca="false">MIN(AJ287*(1+C$8),C$9)</f>
        <v>0</v>
      </c>
      <c r="AW288" s="27" t="n">
        <f aca="false">MIN(AK287*(1+D$8),D$9)</f>
        <v>0</v>
      </c>
      <c r="AX288" s="27" t="n">
        <f aca="false">MIN(AL287*(1+E$8),E$9)</f>
        <v>0</v>
      </c>
      <c r="AY288" s="27" t="n">
        <f aca="false">MIN(AM287*(1+F$8),F$9)</f>
        <v>0</v>
      </c>
      <c r="AZ288" s="27" t="n">
        <f aca="false">MIN(AN287*(1+G$8),G$9)</f>
        <v>0</v>
      </c>
      <c r="BA288" s="27" t="n">
        <f aca="false">MIN(AO287*(1+H$8),H$9)</f>
        <v>0</v>
      </c>
      <c r="BB288" s="27" t="n">
        <f aca="false">MIN(AP287*(1+I$8),I$9)</f>
        <v>0</v>
      </c>
      <c r="BC288" s="27" t="n">
        <f aca="false">MIN(AQ287*(1+J$8),J$9)</f>
        <v>0</v>
      </c>
      <c r="BD288" s="27" t="n">
        <f aca="false">MIN(AR287*(1+K$8),K$9)</f>
        <v>0</v>
      </c>
      <c r="BE288" s="27" t="n">
        <f aca="false">MIN(AI287*(1+B$8),MAX(AU288,$B$12-SUM(AV288:BD288)))</f>
        <v>0</v>
      </c>
      <c r="BF288" s="27" t="n">
        <f aca="false">MIN(AJ287*(1+C$8),MAX(AV288,$B$12-SUM(BE288:BE288)-SUM(AW288:BD288)))</f>
        <v>0</v>
      </c>
      <c r="BG288" s="27" t="n">
        <f aca="false">MIN(AK287*(1+D$8),MAX(AW288,$B$12-SUM(BE288:BF288)-SUM(AX288:BD288)))</f>
        <v>0</v>
      </c>
      <c r="BH288" s="27" t="n">
        <f aca="false">MIN(AL287*(1+E$8),MAX(AX288,$B$12-SUM(BE288:BG288)-SUM(AY288:BD288)))</f>
        <v>0</v>
      </c>
      <c r="BI288" s="27" t="n">
        <f aca="false">MIN(AM287*(1+F$8),MAX(AY288,$B$12-SUM(BE288:BH288)-SUM(AZ288:BD288)))</f>
        <v>0</v>
      </c>
      <c r="BJ288" s="27" t="n">
        <f aca="false">MIN(AN287*(1+G$8),MAX(AZ288,$B$12-SUM(BE288:BI288)-SUM(BA288:BD288)))</f>
        <v>0</v>
      </c>
      <c r="BK288" s="27" t="n">
        <f aca="false">MIN(AO287*(1+H$8),MAX(BA288,$B$12-SUM(BE288:BJ288)-SUM(BB288:BD288)))</f>
        <v>0</v>
      </c>
      <c r="BL288" s="27" t="n">
        <f aca="false">MIN(AP287*(1+I$8),MAX(BB288,$B$12-SUM(BE288:BK288)-SUM(BC288:BD288)))</f>
        <v>0</v>
      </c>
      <c r="BM288" s="27" t="n">
        <f aca="false">MIN(AQ287*(1+J$8),MAX(BC288,$B$12-SUM(BE288:BL288)-SUM(BD288:BD288)))</f>
        <v>0</v>
      </c>
      <c r="BN288" s="27" t="n">
        <f aca="false">MIN(AR287*(1+K$8),MAX(BD288,$B$12-SUM(BE288:BM288)))</f>
        <v>0</v>
      </c>
    </row>
    <row r="289" customFormat="false" ht="15" hidden="false" customHeight="false" outlineLevel="0" collapsed="false">
      <c r="A289" s="0" t="n">
        <v>275</v>
      </c>
      <c r="B289" s="27" t="n">
        <f aca="false">ROUND(MAX(0,B288*(1+B$8)-X289),2)</f>
        <v>0</v>
      </c>
      <c r="C289" s="27" t="n">
        <f aca="false">ROUND(MAX(0,C288*(1+C$8)-Y289),2)</f>
        <v>0</v>
      </c>
      <c r="D289" s="27" t="n">
        <f aca="false">ROUND(MAX(0,D288*(1+D$8)-Z289),2)</f>
        <v>0</v>
      </c>
      <c r="E289" s="27" t="n">
        <f aca="false">ROUND(MAX(0,E288*(1+E$8)-AA289),2)</f>
        <v>0</v>
      </c>
      <c r="F289" s="27" t="n">
        <f aca="false">ROUND(MAX(0,F288*(1+F$8)-AB289),2)</f>
        <v>0</v>
      </c>
      <c r="G289" s="27" t="n">
        <f aca="false">ROUND(MAX(0,G288*(1+G$8)-AC289),2)</f>
        <v>0</v>
      </c>
      <c r="H289" s="27" t="n">
        <f aca="false">ROUND(MAX(0,H288*(1+H$8)-AD289),2)</f>
        <v>0</v>
      </c>
      <c r="I289" s="27" t="n">
        <f aca="false">ROUND(MAX(0,I288*(1+I$8)-AE289),2)</f>
        <v>0</v>
      </c>
      <c r="J289" s="27" t="n">
        <f aca="false">ROUND(MAX(0,J288*(1+J$8)-AF289),2)</f>
        <v>0</v>
      </c>
      <c r="K289" s="27" t="n">
        <f aca="false">ROUND(MAX(0,K288*(1+K$8)-AG289),2)</f>
        <v>0</v>
      </c>
      <c r="L289" s="30" t="n">
        <f aca="false">SUM(B289:K289)</f>
        <v>0</v>
      </c>
      <c r="M289" s="27" t="n">
        <f aca="false">SUMPRODUCT(B288:K288,$B$8:$K$8)</f>
        <v>0</v>
      </c>
      <c r="N289" s="27" t="n">
        <f aca="false">MIN(B288*(1+B$8),B$9)</f>
        <v>0</v>
      </c>
      <c r="O289" s="27" t="n">
        <f aca="false">MIN(C288*(1+C$8),C$9)</f>
        <v>0</v>
      </c>
      <c r="P289" s="27" t="n">
        <f aca="false">MIN(D288*(1+D$8),D$9)</f>
        <v>0</v>
      </c>
      <c r="Q289" s="27" t="n">
        <f aca="false">MIN(E288*(1+E$8),E$9)</f>
        <v>0</v>
      </c>
      <c r="R289" s="27" t="n">
        <f aca="false">MIN(F288*(1+F$8),F$9)</f>
        <v>0</v>
      </c>
      <c r="S289" s="27" t="n">
        <f aca="false">MIN(G288*(1+G$8),G$9)</f>
        <v>0</v>
      </c>
      <c r="T289" s="27" t="n">
        <f aca="false">MIN(H288*(1+H$8),H$9)</f>
        <v>0</v>
      </c>
      <c r="U289" s="27" t="n">
        <f aca="false">MIN(I288*(1+I$8),I$9)</f>
        <v>0</v>
      </c>
      <c r="V289" s="27" t="n">
        <f aca="false">MIN(J288*(1+J$8),J$9)</f>
        <v>0</v>
      </c>
      <c r="W289" s="27" t="n">
        <f aca="false">MIN(K288*(1+K$8),K$9)</f>
        <v>0</v>
      </c>
      <c r="X289" s="27" t="n">
        <f aca="false">MIN(B288*(1+B$8),MAX(N289,$B$11-SUM(O289:W289)))</f>
        <v>0</v>
      </c>
      <c r="Y289" s="27" t="n">
        <f aca="false">MIN(C288*(1+C$8),MAX(O289,$B$11-SUM(X289:X289)-SUM(P289:W289)))</f>
        <v>0</v>
      </c>
      <c r="Z289" s="27" t="n">
        <f aca="false">MIN(D288*(1+D$8),MAX(P289,$B$11-SUM(X289:Y289)-SUM(Q289:W289)))</f>
        <v>0</v>
      </c>
      <c r="AA289" s="27" t="n">
        <f aca="false">MIN(E288*(1+E$8),MAX(Q289,$B$11-SUM(X289:Z289)-SUM(R289:W289)))</f>
        <v>0</v>
      </c>
      <c r="AB289" s="27" t="n">
        <f aca="false">MIN(F288*(1+F$8),MAX(R289,$B$11-SUM(X289:AA289)-SUM(S289:W289)))</f>
        <v>0</v>
      </c>
      <c r="AC289" s="27" t="n">
        <f aca="false">MIN(G288*(1+G$8),MAX(S289,$B$11-SUM(X289:AB289)-SUM(T289:W289)))</f>
        <v>0</v>
      </c>
      <c r="AD289" s="27" t="n">
        <f aca="false">MIN(H288*(1+H$8),MAX(T289,$B$11-SUM(X289:AC289)-SUM(U289:W289)))</f>
        <v>0</v>
      </c>
      <c r="AE289" s="27" t="n">
        <f aca="false">MIN(I288*(1+I$8),MAX(U289,$B$11-SUM(X289:AD289)-SUM(V289:W289)))</f>
        <v>0</v>
      </c>
      <c r="AF289" s="27" t="n">
        <f aca="false">MIN(J288*(1+J$8),MAX(V289,$B$11-SUM(X289:AE289)-SUM(W289:W289)))</f>
        <v>0</v>
      </c>
      <c r="AG289" s="27" t="n">
        <f aca="false">MIN(K288*(1+K$8),MAX(W289,$B$11-SUM(X289:AF289)))</f>
        <v>0</v>
      </c>
      <c r="AI289" s="27" t="n">
        <f aca="false">ROUND(MAX(0,AI288*(1+B$8)-BE289),2)</f>
        <v>0</v>
      </c>
      <c r="AJ289" s="27" t="n">
        <f aca="false">ROUND(MAX(0,AJ288*(1+C$8)-BF289),2)</f>
        <v>0</v>
      </c>
      <c r="AK289" s="27" t="n">
        <f aca="false">ROUND(MAX(0,AK288*(1+D$8)-BG289),2)</f>
        <v>0</v>
      </c>
      <c r="AL289" s="27" t="n">
        <f aca="false">ROUND(MAX(0,AL288*(1+E$8)-BH289),2)</f>
        <v>0</v>
      </c>
      <c r="AM289" s="27" t="n">
        <f aca="false">ROUND(MAX(0,AM288*(1+F$8)-BI289),2)</f>
        <v>0</v>
      </c>
      <c r="AN289" s="27" t="n">
        <f aca="false">ROUND(MAX(0,AN288*(1+G$8)-BJ289),2)</f>
        <v>0</v>
      </c>
      <c r="AO289" s="27" t="n">
        <f aca="false">ROUND(MAX(0,AO288*(1+H$8)-BK289),2)</f>
        <v>0</v>
      </c>
      <c r="AP289" s="27" t="n">
        <f aca="false">ROUND(MAX(0,AP288*(1+I$8)-BL289),2)</f>
        <v>0</v>
      </c>
      <c r="AQ289" s="27" t="n">
        <f aca="false">ROUND(MAX(0,AQ288*(1+J$8)-BM289),2)</f>
        <v>0</v>
      </c>
      <c r="AR289" s="27" t="n">
        <f aca="false">ROUND(MAX(0,AR288*(1+K$8)-BN289),2)</f>
        <v>0</v>
      </c>
      <c r="AS289" s="27" t="n">
        <f aca="false">SUM(AI289:AR289)</f>
        <v>0</v>
      </c>
      <c r="AT289" s="27" t="n">
        <f aca="false">SUMPRODUCT(AI288:AR288,$B$8:$K$8)</f>
        <v>0</v>
      </c>
      <c r="AU289" s="27" t="n">
        <f aca="false">MIN(AI288*(1+B$8),B$9)</f>
        <v>0</v>
      </c>
      <c r="AV289" s="27" t="n">
        <f aca="false">MIN(AJ288*(1+C$8),C$9)</f>
        <v>0</v>
      </c>
      <c r="AW289" s="27" t="n">
        <f aca="false">MIN(AK288*(1+D$8),D$9)</f>
        <v>0</v>
      </c>
      <c r="AX289" s="27" t="n">
        <f aca="false">MIN(AL288*(1+E$8),E$9)</f>
        <v>0</v>
      </c>
      <c r="AY289" s="27" t="n">
        <f aca="false">MIN(AM288*(1+F$8),F$9)</f>
        <v>0</v>
      </c>
      <c r="AZ289" s="27" t="n">
        <f aca="false">MIN(AN288*(1+G$8),G$9)</f>
        <v>0</v>
      </c>
      <c r="BA289" s="27" t="n">
        <f aca="false">MIN(AO288*(1+H$8),H$9)</f>
        <v>0</v>
      </c>
      <c r="BB289" s="27" t="n">
        <f aca="false">MIN(AP288*(1+I$8),I$9)</f>
        <v>0</v>
      </c>
      <c r="BC289" s="27" t="n">
        <f aca="false">MIN(AQ288*(1+J$8),J$9)</f>
        <v>0</v>
      </c>
      <c r="BD289" s="27" t="n">
        <f aca="false">MIN(AR288*(1+K$8),K$9)</f>
        <v>0</v>
      </c>
      <c r="BE289" s="27" t="n">
        <f aca="false">MIN(AI288*(1+B$8),MAX(AU289,$B$12-SUM(AV289:BD289)))</f>
        <v>0</v>
      </c>
      <c r="BF289" s="27" t="n">
        <f aca="false">MIN(AJ288*(1+C$8),MAX(AV289,$B$12-SUM(BE289:BE289)-SUM(AW289:BD289)))</f>
        <v>0</v>
      </c>
      <c r="BG289" s="27" t="n">
        <f aca="false">MIN(AK288*(1+D$8),MAX(AW289,$B$12-SUM(BE289:BF289)-SUM(AX289:BD289)))</f>
        <v>0</v>
      </c>
      <c r="BH289" s="27" t="n">
        <f aca="false">MIN(AL288*(1+E$8),MAX(AX289,$B$12-SUM(BE289:BG289)-SUM(AY289:BD289)))</f>
        <v>0</v>
      </c>
      <c r="BI289" s="27" t="n">
        <f aca="false">MIN(AM288*(1+F$8),MAX(AY289,$B$12-SUM(BE289:BH289)-SUM(AZ289:BD289)))</f>
        <v>0</v>
      </c>
      <c r="BJ289" s="27" t="n">
        <f aca="false">MIN(AN288*(1+G$8),MAX(AZ289,$B$12-SUM(BE289:BI289)-SUM(BA289:BD289)))</f>
        <v>0</v>
      </c>
      <c r="BK289" s="27" t="n">
        <f aca="false">MIN(AO288*(1+H$8),MAX(BA289,$B$12-SUM(BE289:BJ289)-SUM(BB289:BD289)))</f>
        <v>0</v>
      </c>
      <c r="BL289" s="27" t="n">
        <f aca="false">MIN(AP288*(1+I$8),MAX(BB289,$B$12-SUM(BE289:BK289)-SUM(BC289:BD289)))</f>
        <v>0</v>
      </c>
      <c r="BM289" s="27" t="n">
        <f aca="false">MIN(AQ288*(1+J$8),MAX(BC289,$B$12-SUM(BE289:BL289)-SUM(BD289:BD289)))</f>
        <v>0</v>
      </c>
      <c r="BN289" s="27" t="n">
        <f aca="false">MIN(AR288*(1+K$8),MAX(BD289,$B$12-SUM(BE289:BM289)))</f>
        <v>0</v>
      </c>
    </row>
    <row r="290" customFormat="false" ht="15" hidden="false" customHeight="false" outlineLevel="0" collapsed="false">
      <c r="A290" s="0" t="n">
        <v>276</v>
      </c>
      <c r="B290" s="27" t="n">
        <f aca="false">ROUND(MAX(0,B289*(1+B$8)-X290),2)</f>
        <v>0</v>
      </c>
      <c r="C290" s="27" t="n">
        <f aca="false">ROUND(MAX(0,C289*(1+C$8)-Y290),2)</f>
        <v>0</v>
      </c>
      <c r="D290" s="27" t="n">
        <f aca="false">ROUND(MAX(0,D289*(1+D$8)-Z290),2)</f>
        <v>0</v>
      </c>
      <c r="E290" s="27" t="n">
        <f aca="false">ROUND(MAX(0,E289*(1+E$8)-AA290),2)</f>
        <v>0</v>
      </c>
      <c r="F290" s="27" t="n">
        <f aca="false">ROUND(MAX(0,F289*(1+F$8)-AB290),2)</f>
        <v>0</v>
      </c>
      <c r="G290" s="27" t="n">
        <f aca="false">ROUND(MAX(0,G289*(1+G$8)-AC290),2)</f>
        <v>0</v>
      </c>
      <c r="H290" s="27" t="n">
        <f aca="false">ROUND(MAX(0,H289*(1+H$8)-AD290),2)</f>
        <v>0</v>
      </c>
      <c r="I290" s="27" t="n">
        <f aca="false">ROUND(MAX(0,I289*(1+I$8)-AE290),2)</f>
        <v>0</v>
      </c>
      <c r="J290" s="27" t="n">
        <f aca="false">ROUND(MAX(0,J289*(1+J$8)-AF290),2)</f>
        <v>0</v>
      </c>
      <c r="K290" s="27" t="n">
        <f aca="false">ROUND(MAX(0,K289*(1+K$8)-AG290),2)</f>
        <v>0</v>
      </c>
      <c r="L290" s="30" t="n">
        <f aca="false">SUM(B290:K290)</f>
        <v>0</v>
      </c>
      <c r="M290" s="27" t="n">
        <f aca="false">SUMPRODUCT(B289:K289,$B$8:$K$8)</f>
        <v>0</v>
      </c>
      <c r="N290" s="27" t="n">
        <f aca="false">MIN(B289*(1+B$8),B$9)</f>
        <v>0</v>
      </c>
      <c r="O290" s="27" t="n">
        <f aca="false">MIN(C289*(1+C$8),C$9)</f>
        <v>0</v>
      </c>
      <c r="P290" s="27" t="n">
        <f aca="false">MIN(D289*(1+D$8),D$9)</f>
        <v>0</v>
      </c>
      <c r="Q290" s="27" t="n">
        <f aca="false">MIN(E289*(1+E$8),E$9)</f>
        <v>0</v>
      </c>
      <c r="R290" s="27" t="n">
        <f aca="false">MIN(F289*(1+F$8),F$9)</f>
        <v>0</v>
      </c>
      <c r="S290" s="27" t="n">
        <f aca="false">MIN(G289*(1+G$8),G$9)</f>
        <v>0</v>
      </c>
      <c r="T290" s="27" t="n">
        <f aca="false">MIN(H289*(1+H$8),H$9)</f>
        <v>0</v>
      </c>
      <c r="U290" s="27" t="n">
        <f aca="false">MIN(I289*(1+I$8),I$9)</f>
        <v>0</v>
      </c>
      <c r="V290" s="27" t="n">
        <f aca="false">MIN(J289*(1+J$8),J$9)</f>
        <v>0</v>
      </c>
      <c r="W290" s="27" t="n">
        <f aca="false">MIN(K289*(1+K$8),K$9)</f>
        <v>0</v>
      </c>
      <c r="X290" s="27" t="n">
        <f aca="false">MIN(B289*(1+B$8),MAX(N290,$B$11-SUM(O290:W290)))</f>
        <v>0</v>
      </c>
      <c r="Y290" s="27" t="n">
        <f aca="false">MIN(C289*(1+C$8),MAX(O290,$B$11-SUM(X290:X290)-SUM(P290:W290)))</f>
        <v>0</v>
      </c>
      <c r="Z290" s="27" t="n">
        <f aca="false">MIN(D289*(1+D$8),MAX(P290,$B$11-SUM(X290:Y290)-SUM(Q290:W290)))</f>
        <v>0</v>
      </c>
      <c r="AA290" s="27" t="n">
        <f aca="false">MIN(E289*(1+E$8),MAX(Q290,$B$11-SUM(X290:Z290)-SUM(R290:W290)))</f>
        <v>0</v>
      </c>
      <c r="AB290" s="27" t="n">
        <f aca="false">MIN(F289*(1+F$8),MAX(R290,$B$11-SUM(X290:AA290)-SUM(S290:W290)))</f>
        <v>0</v>
      </c>
      <c r="AC290" s="27" t="n">
        <f aca="false">MIN(G289*(1+G$8),MAX(S290,$B$11-SUM(X290:AB290)-SUM(T290:W290)))</f>
        <v>0</v>
      </c>
      <c r="AD290" s="27" t="n">
        <f aca="false">MIN(H289*(1+H$8),MAX(T290,$B$11-SUM(X290:AC290)-SUM(U290:W290)))</f>
        <v>0</v>
      </c>
      <c r="AE290" s="27" t="n">
        <f aca="false">MIN(I289*(1+I$8),MAX(U290,$B$11-SUM(X290:AD290)-SUM(V290:W290)))</f>
        <v>0</v>
      </c>
      <c r="AF290" s="27" t="n">
        <f aca="false">MIN(J289*(1+J$8),MAX(V290,$B$11-SUM(X290:AE290)-SUM(W290:W290)))</f>
        <v>0</v>
      </c>
      <c r="AG290" s="27" t="n">
        <f aca="false">MIN(K289*(1+K$8),MAX(W290,$B$11-SUM(X290:AF290)))</f>
        <v>0</v>
      </c>
      <c r="AI290" s="27" t="n">
        <f aca="false">ROUND(MAX(0,AI289*(1+B$8)-BE290),2)</f>
        <v>0</v>
      </c>
      <c r="AJ290" s="27" t="n">
        <f aca="false">ROUND(MAX(0,AJ289*(1+C$8)-BF290),2)</f>
        <v>0</v>
      </c>
      <c r="AK290" s="27" t="n">
        <f aca="false">ROUND(MAX(0,AK289*(1+D$8)-BG290),2)</f>
        <v>0</v>
      </c>
      <c r="AL290" s="27" t="n">
        <f aca="false">ROUND(MAX(0,AL289*(1+E$8)-BH290),2)</f>
        <v>0</v>
      </c>
      <c r="AM290" s="27" t="n">
        <f aca="false">ROUND(MAX(0,AM289*(1+F$8)-BI290),2)</f>
        <v>0</v>
      </c>
      <c r="AN290" s="27" t="n">
        <f aca="false">ROUND(MAX(0,AN289*(1+G$8)-BJ290),2)</f>
        <v>0</v>
      </c>
      <c r="AO290" s="27" t="n">
        <f aca="false">ROUND(MAX(0,AO289*(1+H$8)-BK290),2)</f>
        <v>0</v>
      </c>
      <c r="AP290" s="27" t="n">
        <f aca="false">ROUND(MAX(0,AP289*(1+I$8)-BL290),2)</f>
        <v>0</v>
      </c>
      <c r="AQ290" s="27" t="n">
        <f aca="false">ROUND(MAX(0,AQ289*(1+J$8)-BM290),2)</f>
        <v>0</v>
      </c>
      <c r="AR290" s="27" t="n">
        <f aca="false">ROUND(MAX(0,AR289*(1+K$8)-BN290),2)</f>
        <v>0</v>
      </c>
      <c r="AS290" s="27" t="n">
        <f aca="false">SUM(AI290:AR290)</f>
        <v>0</v>
      </c>
      <c r="AT290" s="27" t="n">
        <f aca="false">SUMPRODUCT(AI289:AR289,$B$8:$K$8)</f>
        <v>0</v>
      </c>
      <c r="AU290" s="27" t="n">
        <f aca="false">MIN(AI289*(1+B$8),B$9)</f>
        <v>0</v>
      </c>
      <c r="AV290" s="27" t="n">
        <f aca="false">MIN(AJ289*(1+C$8),C$9)</f>
        <v>0</v>
      </c>
      <c r="AW290" s="27" t="n">
        <f aca="false">MIN(AK289*(1+D$8),D$9)</f>
        <v>0</v>
      </c>
      <c r="AX290" s="27" t="n">
        <f aca="false">MIN(AL289*(1+E$8),E$9)</f>
        <v>0</v>
      </c>
      <c r="AY290" s="27" t="n">
        <f aca="false">MIN(AM289*(1+F$8),F$9)</f>
        <v>0</v>
      </c>
      <c r="AZ290" s="27" t="n">
        <f aca="false">MIN(AN289*(1+G$8),G$9)</f>
        <v>0</v>
      </c>
      <c r="BA290" s="27" t="n">
        <f aca="false">MIN(AO289*(1+H$8),H$9)</f>
        <v>0</v>
      </c>
      <c r="BB290" s="27" t="n">
        <f aca="false">MIN(AP289*(1+I$8),I$9)</f>
        <v>0</v>
      </c>
      <c r="BC290" s="27" t="n">
        <f aca="false">MIN(AQ289*(1+J$8),J$9)</f>
        <v>0</v>
      </c>
      <c r="BD290" s="27" t="n">
        <f aca="false">MIN(AR289*(1+K$8),K$9)</f>
        <v>0</v>
      </c>
      <c r="BE290" s="27" t="n">
        <f aca="false">MIN(AI289*(1+B$8),MAX(AU290,$B$12-SUM(AV290:BD290)))</f>
        <v>0</v>
      </c>
      <c r="BF290" s="27" t="n">
        <f aca="false">MIN(AJ289*(1+C$8),MAX(AV290,$B$12-SUM(BE290:BE290)-SUM(AW290:BD290)))</f>
        <v>0</v>
      </c>
      <c r="BG290" s="27" t="n">
        <f aca="false">MIN(AK289*(1+D$8),MAX(AW290,$B$12-SUM(BE290:BF290)-SUM(AX290:BD290)))</f>
        <v>0</v>
      </c>
      <c r="BH290" s="27" t="n">
        <f aca="false">MIN(AL289*(1+E$8),MAX(AX290,$B$12-SUM(BE290:BG290)-SUM(AY290:BD290)))</f>
        <v>0</v>
      </c>
      <c r="BI290" s="27" t="n">
        <f aca="false">MIN(AM289*(1+F$8),MAX(AY290,$B$12-SUM(BE290:BH290)-SUM(AZ290:BD290)))</f>
        <v>0</v>
      </c>
      <c r="BJ290" s="27" t="n">
        <f aca="false">MIN(AN289*(1+G$8),MAX(AZ290,$B$12-SUM(BE290:BI290)-SUM(BA290:BD290)))</f>
        <v>0</v>
      </c>
      <c r="BK290" s="27" t="n">
        <f aca="false">MIN(AO289*(1+H$8),MAX(BA290,$B$12-SUM(BE290:BJ290)-SUM(BB290:BD290)))</f>
        <v>0</v>
      </c>
      <c r="BL290" s="27" t="n">
        <f aca="false">MIN(AP289*(1+I$8),MAX(BB290,$B$12-SUM(BE290:BK290)-SUM(BC290:BD290)))</f>
        <v>0</v>
      </c>
      <c r="BM290" s="27" t="n">
        <f aca="false">MIN(AQ289*(1+J$8),MAX(BC290,$B$12-SUM(BE290:BL290)-SUM(BD290:BD290)))</f>
        <v>0</v>
      </c>
      <c r="BN290" s="27" t="n">
        <f aca="false">MIN(AR289*(1+K$8),MAX(BD290,$B$12-SUM(BE290:BM290)))</f>
        <v>0</v>
      </c>
    </row>
    <row r="291" customFormat="false" ht="15" hidden="false" customHeight="false" outlineLevel="0" collapsed="false">
      <c r="A291" s="0" t="n">
        <v>277</v>
      </c>
      <c r="B291" s="27" t="n">
        <f aca="false">ROUND(MAX(0,B290*(1+B$8)-X291),2)</f>
        <v>0</v>
      </c>
      <c r="C291" s="27" t="n">
        <f aca="false">ROUND(MAX(0,C290*(1+C$8)-Y291),2)</f>
        <v>0</v>
      </c>
      <c r="D291" s="27" t="n">
        <f aca="false">ROUND(MAX(0,D290*(1+D$8)-Z291),2)</f>
        <v>0</v>
      </c>
      <c r="E291" s="27" t="n">
        <f aca="false">ROUND(MAX(0,E290*(1+E$8)-AA291),2)</f>
        <v>0</v>
      </c>
      <c r="F291" s="27" t="n">
        <f aca="false">ROUND(MAX(0,F290*(1+F$8)-AB291),2)</f>
        <v>0</v>
      </c>
      <c r="G291" s="27" t="n">
        <f aca="false">ROUND(MAX(0,G290*(1+G$8)-AC291),2)</f>
        <v>0</v>
      </c>
      <c r="H291" s="27" t="n">
        <f aca="false">ROUND(MAX(0,H290*(1+H$8)-AD291),2)</f>
        <v>0</v>
      </c>
      <c r="I291" s="27" t="n">
        <f aca="false">ROUND(MAX(0,I290*(1+I$8)-AE291),2)</f>
        <v>0</v>
      </c>
      <c r="J291" s="27" t="n">
        <f aca="false">ROUND(MAX(0,J290*(1+J$8)-AF291),2)</f>
        <v>0</v>
      </c>
      <c r="K291" s="27" t="n">
        <f aca="false">ROUND(MAX(0,K290*(1+K$8)-AG291),2)</f>
        <v>0</v>
      </c>
      <c r="L291" s="30" t="n">
        <f aca="false">SUM(B291:K291)</f>
        <v>0</v>
      </c>
      <c r="M291" s="27" t="n">
        <f aca="false">SUMPRODUCT(B290:K290,$B$8:$K$8)</f>
        <v>0</v>
      </c>
      <c r="N291" s="27" t="n">
        <f aca="false">MIN(B290*(1+B$8),B$9)</f>
        <v>0</v>
      </c>
      <c r="O291" s="27" t="n">
        <f aca="false">MIN(C290*(1+C$8),C$9)</f>
        <v>0</v>
      </c>
      <c r="P291" s="27" t="n">
        <f aca="false">MIN(D290*(1+D$8),D$9)</f>
        <v>0</v>
      </c>
      <c r="Q291" s="27" t="n">
        <f aca="false">MIN(E290*(1+E$8),E$9)</f>
        <v>0</v>
      </c>
      <c r="R291" s="27" t="n">
        <f aca="false">MIN(F290*(1+F$8),F$9)</f>
        <v>0</v>
      </c>
      <c r="S291" s="27" t="n">
        <f aca="false">MIN(G290*(1+G$8),G$9)</f>
        <v>0</v>
      </c>
      <c r="T291" s="27" t="n">
        <f aca="false">MIN(H290*(1+H$8),H$9)</f>
        <v>0</v>
      </c>
      <c r="U291" s="27" t="n">
        <f aca="false">MIN(I290*(1+I$8),I$9)</f>
        <v>0</v>
      </c>
      <c r="V291" s="27" t="n">
        <f aca="false">MIN(J290*(1+J$8),J$9)</f>
        <v>0</v>
      </c>
      <c r="W291" s="27" t="n">
        <f aca="false">MIN(K290*(1+K$8),K$9)</f>
        <v>0</v>
      </c>
      <c r="X291" s="27" t="n">
        <f aca="false">MIN(B290*(1+B$8),MAX(N291,$B$11-SUM(O291:W291)))</f>
        <v>0</v>
      </c>
      <c r="Y291" s="27" t="n">
        <f aca="false">MIN(C290*(1+C$8),MAX(O291,$B$11-SUM(X291:X291)-SUM(P291:W291)))</f>
        <v>0</v>
      </c>
      <c r="Z291" s="27" t="n">
        <f aca="false">MIN(D290*(1+D$8),MAX(P291,$B$11-SUM(X291:Y291)-SUM(Q291:W291)))</f>
        <v>0</v>
      </c>
      <c r="AA291" s="27" t="n">
        <f aca="false">MIN(E290*(1+E$8),MAX(Q291,$B$11-SUM(X291:Z291)-SUM(R291:W291)))</f>
        <v>0</v>
      </c>
      <c r="AB291" s="27" t="n">
        <f aca="false">MIN(F290*(1+F$8),MAX(R291,$B$11-SUM(X291:AA291)-SUM(S291:W291)))</f>
        <v>0</v>
      </c>
      <c r="AC291" s="27" t="n">
        <f aca="false">MIN(G290*(1+G$8),MAX(S291,$B$11-SUM(X291:AB291)-SUM(T291:W291)))</f>
        <v>0</v>
      </c>
      <c r="AD291" s="27" t="n">
        <f aca="false">MIN(H290*(1+H$8),MAX(T291,$B$11-SUM(X291:AC291)-SUM(U291:W291)))</f>
        <v>0</v>
      </c>
      <c r="AE291" s="27" t="n">
        <f aca="false">MIN(I290*(1+I$8),MAX(U291,$B$11-SUM(X291:AD291)-SUM(V291:W291)))</f>
        <v>0</v>
      </c>
      <c r="AF291" s="27" t="n">
        <f aca="false">MIN(J290*(1+J$8),MAX(V291,$B$11-SUM(X291:AE291)-SUM(W291:W291)))</f>
        <v>0</v>
      </c>
      <c r="AG291" s="27" t="n">
        <f aca="false">MIN(K290*(1+K$8),MAX(W291,$B$11-SUM(X291:AF291)))</f>
        <v>0</v>
      </c>
      <c r="AI291" s="27" t="n">
        <f aca="false">ROUND(MAX(0,AI290*(1+B$8)-BE291),2)</f>
        <v>0</v>
      </c>
      <c r="AJ291" s="27" t="n">
        <f aca="false">ROUND(MAX(0,AJ290*(1+C$8)-BF291),2)</f>
        <v>0</v>
      </c>
      <c r="AK291" s="27" t="n">
        <f aca="false">ROUND(MAX(0,AK290*(1+D$8)-BG291),2)</f>
        <v>0</v>
      </c>
      <c r="AL291" s="27" t="n">
        <f aca="false">ROUND(MAX(0,AL290*(1+E$8)-BH291),2)</f>
        <v>0</v>
      </c>
      <c r="AM291" s="27" t="n">
        <f aca="false">ROUND(MAX(0,AM290*(1+F$8)-BI291),2)</f>
        <v>0</v>
      </c>
      <c r="AN291" s="27" t="n">
        <f aca="false">ROUND(MAX(0,AN290*(1+G$8)-BJ291),2)</f>
        <v>0</v>
      </c>
      <c r="AO291" s="27" t="n">
        <f aca="false">ROUND(MAX(0,AO290*(1+H$8)-BK291),2)</f>
        <v>0</v>
      </c>
      <c r="AP291" s="27" t="n">
        <f aca="false">ROUND(MAX(0,AP290*(1+I$8)-BL291),2)</f>
        <v>0</v>
      </c>
      <c r="AQ291" s="27" t="n">
        <f aca="false">ROUND(MAX(0,AQ290*(1+J$8)-BM291),2)</f>
        <v>0</v>
      </c>
      <c r="AR291" s="27" t="n">
        <f aca="false">ROUND(MAX(0,AR290*(1+K$8)-BN291),2)</f>
        <v>0</v>
      </c>
      <c r="AS291" s="27" t="n">
        <f aca="false">SUM(AI291:AR291)</f>
        <v>0</v>
      </c>
      <c r="AT291" s="27" t="n">
        <f aca="false">SUMPRODUCT(AI290:AR290,$B$8:$K$8)</f>
        <v>0</v>
      </c>
      <c r="AU291" s="27" t="n">
        <f aca="false">MIN(AI290*(1+B$8),B$9)</f>
        <v>0</v>
      </c>
      <c r="AV291" s="27" t="n">
        <f aca="false">MIN(AJ290*(1+C$8),C$9)</f>
        <v>0</v>
      </c>
      <c r="AW291" s="27" t="n">
        <f aca="false">MIN(AK290*(1+D$8),D$9)</f>
        <v>0</v>
      </c>
      <c r="AX291" s="27" t="n">
        <f aca="false">MIN(AL290*(1+E$8),E$9)</f>
        <v>0</v>
      </c>
      <c r="AY291" s="27" t="n">
        <f aca="false">MIN(AM290*(1+F$8),F$9)</f>
        <v>0</v>
      </c>
      <c r="AZ291" s="27" t="n">
        <f aca="false">MIN(AN290*(1+G$8),G$9)</f>
        <v>0</v>
      </c>
      <c r="BA291" s="27" t="n">
        <f aca="false">MIN(AO290*(1+H$8),H$9)</f>
        <v>0</v>
      </c>
      <c r="BB291" s="27" t="n">
        <f aca="false">MIN(AP290*(1+I$8),I$9)</f>
        <v>0</v>
      </c>
      <c r="BC291" s="27" t="n">
        <f aca="false">MIN(AQ290*(1+J$8),J$9)</f>
        <v>0</v>
      </c>
      <c r="BD291" s="27" t="n">
        <f aca="false">MIN(AR290*(1+K$8),K$9)</f>
        <v>0</v>
      </c>
      <c r="BE291" s="27" t="n">
        <f aca="false">MIN(AI290*(1+B$8),MAX(AU291,$B$12-SUM(AV291:BD291)))</f>
        <v>0</v>
      </c>
      <c r="BF291" s="27" t="n">
        <f aca="false">MIN(AJ290*(1+C$8),MAX(AV291,$B$12-SUM(BE291:BE291)-SUM(AW291:BD291)))</f>
        <v>0</v>
      </c>
      <c r="BG291" s="27" t="n">
        <f aca="false">MIN(AK290*(1+D$8),MAX(AW291,$B$12-SUM(BE291:BF291)-SUM(AX291:BD291)))</f>
        <v>0</v>
      </c>
      <c r="BH291" s="27" t="n">
        <f aca="false">MIN(AL290*(1+E$8),MAX(AX291,$B$12-SUM(BE291:BG291)-SUM(AY291:BD291)))</f>
        <v>0</v>
      </c>
      <c r="BI291" s="27" t="n">
        <f aca="false">MIN(AM290*(1+F$8),MAX(AY291,$B$12-SUM(BE291:BH291)-SUM(AZ291:BD291)))</f>
        <v>0</v>
      </c>
      <c r="BJ291" s="27" t="n">
        <f aca="false">MIN(AN290*(1+G$8),MAX(AZ291,$B$12-SUM(BE291:BI291)-SUM(BA291:BD291)))</f>
        <v>0</v>
      </c>
      <c r="BK291" s="27" t="n">
        <f aca="false">MIN(AO290*(1+H$8),MAX(BA291,$B$12-SUM(BE291:BJ291)-SUM(BB291:BD291)))</f>
        <v>0</v>
      </c>
      <c r="BL291" s="27" t="n">
        <f aca="false">MIN(AP290*(1+I$8),MAX(BB291,$B$12-SUM(BE291:BK291)-SUM(BC291:BD291)))</f>
        <v>0</v>
      </c>
      <c r="BM291" s="27" t="n">
        <f aca="false">MIN(AQ290*(1+J$8),MAX(BC291,$B$12-SUM(BE291:BL291)-SUM(BD291:BD291)))</f>
        <v>0</v>
      </c>
      <c r="BN291" s="27" t="n">
        <f aca="false">MIN(AR290*(1+K$8),MAX(BD291,$B$12-SUM(BE291:BM291)))</f>
        <v>0</v>
      </c>
    </row>
    <row r="292" customFormat="false" ht="15" hidden="false" customHeight="false" outlineLevel="0" collapsed="false">
      <c r="A292" s="0" t="n">
        <v>278</v>
      </c>
      <c r="B292" s="27" t="n">
        <f aca="false">ROUND(MAX(0,B291*(1+B$8)-X292),2)</f>
        <v>0</v>
      </c>
      <c r="C292" s="27" t="n">
        <f aca="false">ROUND(MAX(0,C291*(1+C$8)-Y292),2)</f>
        <v>0</v>
      </c>
      <c r="D292" s="27" t="n">
        <f aca="false">ROUND(MAX(0,D291*(1+D$8)-Z292),2)</f>
        <v>0</v>
      </c>
      <c r="E292" s="27" t="n">
        <f aca="false">ROUND(MAX(0,E291*(1+E$8)-AA292),2)</f>
        <v>0</v>
      </c>
      <c r="F292" s="27" t="n">
        <f aca="false">ROUND(MAX(0,F291*(1+F$8)-AB292),2)</f>
        <v>0</v>
      </c>
      <c r="G292" s="27" t="n">
        <f aca="false">ROUND(MAX(0,G291*(1+G$8)-AC292),2)</f>
        <v>0</v>
      </c>
      <c r="H292" s="27" t="n">
        <f aca="false">ROUND(MAX(0,H291*(1+H$8)-AD292),2)</f>
        <v>0</v>
      </c>
      <c r="I292" s="27" t="n">
        <f aca="false">ROUND(MAX(0,I291*(1+I$8)-AE292),2)</f>
        <v>0</v>
      </c>
      <c r="J292" s="27" t="n">
        <f aca="false">ROUND(MAX(0,J291*(1+J$8)-AF292),2)</f>
        <v>0</v>
      </c>
      <c r="K292" s="27" t="n">
        <f aca="false">ROUND(MAX(0,K291*(1+K$8)-AG292),2)</f>
        <v>0</v>
      </c>
      <c r="L292" s="30" t="n">
        <f aca="false">SUM(B292:K292)</f>
        <v>0</v>
      </c>
      <c r="M292" s="27" t="n">
        <f aca="false">SUMPRODUCT(B291:K291,$B$8:$K$8)</f>
        <v>0</v>
      </c>
      <c r="N292" s="27" t="n">
        <f aca="false">MIN(B291*(1+B$8),B$9)</f>
        <v>0</v>
      </c>
      <c r="O292" s="27" t="n">
        <f aca="false">MIN(C291*(1+C$8),C$9)</f>
        <v>0</v>
      </c>
      <c r="P292" s="27" t="n">
        <f aca="false">MIN(D291*(1+D$8),D$9)</f>
        <v>0</v>
      </c>
      <c r="Q292" s="27" t="n">
        <f aca="false">MIN(E291*(1+E$8),E$9)</f>
        <v>0</v>
      </c>
      <c r="R292" s="27" t="n">
        <f aca="false">MIN(F291*(1+F$8),F$9)</f>
        <v>0</v>
      </c>
      <c r="S292" s="27" t="n">
        <f aca="false">MIN(G291*(1+G$8),G$9)</f>
        <v>0</v>
      </c>
      <c r="T292" s="27" t="n">
        <f aca="false">MIN(H291*(1+H$8),H$9)</f>
        <v>0</v>
      </c>
      <c r="U292" s="27" t="n">
        <f aca="false">MIN(I291*(1+I$8),I$9)</f>
        <v>0</v>
      </c>
      <c r="V292" s="27" t="n">
        <f aca="false">MIN(J291*(1+J$8),J$9)</f>
        <v>0</v>
      </c>
      <c r="W292" s="27" t="n">
        <f aca="false">MIN(K291*(1+K$8),K$9)</f>
        <v>0</v>
      </c>
      <c r="X292" s="27" t="n">
        <f aca="false">MIN(B291*(1+B$8),MAX(N292,$B$11-SUM(O292:W292)))</f>
        <v>0</v>
      </c>
      <c r="Y292" s="27" t="n">
        <f aca="false">MIN(C291*(1+C$8),MAX(O292,$B$11-SUM(X292:X292)-SUM(P292:W292)))</f>
        <v>0</v>
      </c>
      <c r="Z292" s="27" t="n">
        <f aca="false">MIN(D291*(1+D$8),MAX(P292,$B$11-SUM(X292:Y292)-SUM(Q292:W292)))</f>
        <v>0</v>
      </c>
      <c r="AA292" s="27" t="n">
        <f aca="false">MIN(E291*(1+E$8),MAX(Q292,$B$11-SUM(X292:Z292)-SUM(R292:W292)))</f>
        <v>0</v>
      </c>
      <c r="AB292" s="27" t="n">
        <f aca="false">MIN(F291*(1+F$8),MAX(R292,$B$11-SUM(X292:AA292)-SUM(S292:W292)))</f>
        <v>0</v>
      </c>
      <c r="AC292" s="27" t="n">
        <f aca="false">MIN(G291*(1+G$8),MAX(S292,$B$11-SUM(X292:AB292)-SUM(T292:W292)))</f>
        <v>0</v>
      </c>
      <c r="AD292" s="27" t="n">
        <f aca="false">MIN(H291*(1+H$8),MAX(T292,$B$11-SUM(X292:AC292)-SUM(U292:W292)))</f>
        <v>0</v>
      </c>
      <c r="AE292" s="27" t="n">
        <f aca="false">MIN(I291*(1+I$8),MAX(U292,$B$11-SUM(X292:AD292)-SUM(V292:W292)))</f>
        <v>0</v>
      </c>
      <c r="AF292" s="27" t="n">
        <f aca="false">MIN(J291*(1+J$8),MAX(V292,$B$11-SUM(X292:AE292)-SUM(W292:W292)))</f>
        <v>0</v>
      </c>
      <c r="AG292" s="27" t="n">
        <f aca="false">MIN(K291*(1+K$8),MAX(W292,$B$11-SUM(X292:AF292)))</f>
        <v>0</v>
      </c>
      <c r="AI292" s="27" t="n">
        <f aca="false">ROUND(MAX(0,AI291*(1+B$8)-BE292),2)</f>
        <v>0</v>
      </c>
      <c r="AJ292" s="27" t="n">
        <f aca="false">ROUND(MAX(0,AJ291*(1+C$8)-BF292),2)</f>
        <v>0</v>
      </c>
      <c r="AK292" s="27" t="n">
        <f aca="false">ROUND(MAX(0,AK291*(1+D$8)-BG292),2)</f>
        <v>0</v>
      </c>
      <c r="AL292" s="27" t="n">
        <f aca="false">ROUND(MAX(0,AL291*(1+E$8)-BH292),2)</f>
        <v>0</v>
      </c>
      <c r="AM292" s="27" t="n">
        <f aca="false">ROUND(MAX(0,AM291*(1+F$8)-BI292),2)</f>
        <v>0</v>
      </c>
      <c r="AN292" s="27" t="n">
        <f aca="false">ROUND(MAX(0,AN291*(1+G$8)-BJ292),2)</f>
        <v>0</v>
      </c>
      <c r="AO292" s="27" t="n">
        <f aca="false">ROUND(MAX(0,AO291*(1+H$8)-BK292),2)</f>
        <v>0</v>
      </c>
      <c r="AP292" s="27" t="n">
        <f aca="false">ROUND(MAX(0,AP291*(1+I$8)-BL292),2)</f>
        <v>0</v>
      </c>
      <c r="AQ292" s="27" t="n">
        <f aca="false">ROUND(MAX(0,AQ291*(1+J$8)-BM292),2)</f>
        <v>0</v>
      </c>
      <c r="AR292" s="27" t="n">
        <f aca="false">ROUND(MAX(0,AR291*(1+K$8)-BN292),2)</f>
        <v>0</v>
      </c>
      <c r="AS292" s="27" t="n">
        <f aca="false">SUM(AI292:AR292)</f>
        <v>0</v>
      </c>
      <c r="AT292" s="27" t="n">
        <f aca="false">SUMPRODUCT(AI291:AR291,$B$8:$K$8)</f>
        <v>0</v>
      </c>
      <c r="AU292" s="27" t="n">
        <f aca="false">MIN(AI291*(1+B$8),B$9)</f>
        <v>0</v>
      </c>
      <c r="AV292" s="27" t="n">
        <f aca="false">MIN(AJ291*(1+C$8),C$9)</f>
        <v>0</v>
      </c>
      <c r="AW292" s="27" t="n">
        <f aca="false">MIN(AK291*(1+D$8),D$9)</f>
        <v>0</v>
      </c>
      <c r="AX292" s="27" t="n">
        <f aca="false">MIN(AL291*(1+E$8),E$9)</f>
        <v>0</v>
      </c>
      <c r="AY292" s="27" t="n">
        <f aca="false">MIN(AM291*(1+F$8),F$9)</f>
        <v>0</v>
      </c>
      <c r="AZ292" s="27" t="n">
        <f aca="false">MIN(AN291*(1+G$8),G$9)</f>
        <v>0</v>
      </c>
      <c r="BA292" s="27" t="n">
        <f aca="false">MIN(AO291*(1+H$8),H$9)</f>
        <v>0</v>
      </c>
      <c r="BB292" s="27" t="n">
        <f aca="false">MIN(AP291*(1+I$8),I$9)</f>
        <v>0</v>
      </c>
      <c r="BC292" s="27" t="n">
        <f aca="false">MIN(AQ291*(1+J$8),J$9)</f>
        <v>0</v>
      </c>
      <c r="BD292" s="27" t="n">
        <f aca="false">MIN(AR291*(1+K$8),K$9)</f>
        <v>0</v>
      </c>
      <c r="BE292" s="27" t="n">
        <f aca="false">MIN(AI291*(1+B$8),MAX(AU292,$B$12-SUM(AV292:BD292)))</f>
        <v>0</v>
      </c>
      <c r="BF292" s="27" t="n">
        <f aca="false">MIN(AJ291*(1+C$8),MAX(AV292,$B$12-SUM(BE292:BE292)-SUM(AW292:BD292)))</f>
        <v>0</v>
      </c>
      <c r="BG292" s="27" t="n">
        <f aca="false">MIN(AK291*(1+D$8),MAX(AW292,$B$12-SUM(BE292:BF292)-SUM(AX292:BD292)))</f>
        <v>0</v>
      </c>
      <c r="BH292" s="27" t="n">
        <f aca="false">MIN(AL291*(1+E$8),MAX(AX292,$B$12-SUM(BE292:BG292)-SUM(AY292:BD292)))</f>
        <v>0</v>
      </c>
      <c r="BI292" s="27" t="n">
        <f aca="false">MIN(AM291*(1+F$8),MAX(AY292,$B$12-SUM(BE292:BH292)-SUM(AZ292:BD292)))</f>
        <v>0</v>
      </c>
      <c r="BJ292" s="27" t="n">
        <f aca="false">MIN(AN291*(1+G$8),MAX(AZ292,$B$12-SUM(BE292:BI292)-SUM(BA292:BD292)))</f>
        <v>0</v>
      </c>
      <c r="BK292" s="27" t="n">
        <f aca="false">MIN(AO291*(1+H$8),MAX(BA292,$B$12-SUM(BE292:BJ292)-SUM(BB292:BD292)))</f>
        <v>0</v>
      </c>
      <c r="BL292" s="27" t="n">
        <f aca="false">MIN(AP291*(1+I$8),MAX(BB292,$B$12-SUM(BE292:BK292)-SUM(BC292:BD292)))</f>
        <v>0</v>
      </c>
      <c r="BM292" s="27" t="n">
        <f aca="false">MIN(AQ291*(1+J$8),MAX(BC292,$B$12-SUM(BE292:BL292)-SUM(BD292:BD292)))</f>
        <v>0</v>
      </c>
      <c r="BN292" s="27" t="n">
        <f aca="false">MIN(AR291*(1+K$8),MAX(BD292,$B$12-SUM(BE292:BM292)))</f>
        <v>0</v>
      </c>
    </row>
    <row r="293" customFormat="false" ht="15" hidden="false" customHeight="false" outlineLevel="0" collapsed="false">
      <c r="A293" s="0" t="n">
        <v>279</v>
      </c>
      <c r="B293" s="27" t="n">
        <f aca="false">ROUND(MAX(0,B292*(1+B$8)-X293),2)</f>
        <v>0</v>
      </c>
      <c r="C293" s="27" t="n">
        <f aca="false">ROUND(MAX(0,C292*(1+C$8)-Y293),2)</f>
        <v>0</v>
      </c>
      <c r="D293" s="27" t="n">
        <f aca="false">ROUND(MAX(0,D292*(1+D$8)-Z293),2)</f>
        <v>0</v>
      </c>
      <c r="E293" s="27" t="n">
        <f aca="false">ROUND(MAX(0,E292*(1+E$8)-AA293),2)</f>
        <v>0</v>
      </c>
      <c r="F293" s="27" t="n">
        <f aca="false">ROUND(MAX(0,F292*(1+F$8)-AB293),2)</f>
        <v>0</v>
      </c>
      <c r="G293" s="27" t="n">
        <f aca="false">ROUND(MAX(0,G292*(1+G$8)-AC293),2)</f>
        <v>0</v>
      </c>
      <c r="H293" s="27" t="n">
        <f aca="false">ROUND(MAX(0,H292*(1+H$8)-AD293),2)</f>
        <v>0</v>
      </c>
      <c r="I293" s="27" t="n">
        <f aca="false">ROUND(MAX(0,I292*(1+I$8)-AE293),2)</f>
        <v>0</v>
      </c>
      <c r="J293" s="27" t="n">
        <f aca="false">ROUND(MAX(0,J292*(1+J$8)-AF293),2)</f>
        <v>0</v>
      </c>
      <c r="K293" s="27" t="n">
        <f aca="false">ROUND(MAX(0,K292*(1+K$8)-AG293),2)</f>
        <v>0</v>
      </c>
      <c r="L293" s="30" t="n">
        <f aca="false">SUM(B293:K293)</f>
        <v>0</v>
      </c>
      <c r="M293" s="27" t="n">
        <f aca="false">SUMPRODUCT(B292:K292,$B$8:$K$8)</f>
        <v>0</v>
      </c>
      <c r="N293" s="27" t="n">
        <f aca="false">MIN(B292*(1+B$8),B$9)</f>
        <v>0</v>
      </c>
      <c r="O293" s="27" t="n">
        <f aca="false">MIN(C292*(1+C$8),C$9)</f>
        <v>0</v>
      </c>
      <c r="P293" s="27" t="n">
        <f aca="false">MIN(D292*(1+D$8),D$9)</f>
        <v>0</v>
      </c>
      <c r="Q293" s="27" t="n">
        <f aca="false">MIN(E292*(1+E$8),E$9)</f>
        <v>0</v>
      </c>
      <c r="R293" s="27" t="n">
        <f aca="false">MIN(F292*(1+F$8),F$9)</f>
        <v>0</v>
      </c>
      <c r="S293" s="27" t="n">
        <f aca="false">MIN(G292*(1+G$8),G$9)</f>
        <v>0</v>
      </c>
      <c r="T293" s="27" t="n">
        <f aca="false">MIN(H292*(1+H$8),H$9)</f>
        <v>0</v>
      </c>
      <c r="U293" s="27" t="n">
        <f aca="false">MIN(I292*(1+I$8),I$9)</f>
        <v>0</v>
      </c>
      <c r="V293" s="27" t="n">
        <f aca="false">MIN(J292*(1+J$8),J$9)</f>
        <v>0</v>
      </c>
      <c r="W293" s="27" t="n">
        <f aca="false">MIN(K292*(1+K$8),K$9)</f>
        <v>0</v>
      </c>
      <c r="X293" s="27" t="n">
        <f aca="false">MIN(B292*(1+B$8),MAX(N293,$B$11-SUM(O293:W293)))</f>
        <v>0</v>
      </c>
      <c r="Y293" s="27" t="n">
        <f aca="false">MIN(C292*(1+C$8),MAX(O293,$B$11-SUM(X293:X293)-SUM(P293:W293)))</f>
        <v>0</v>
      </c>
      <c r="Z293" s="27" t="n">
        <f aca="false">MIN(D292*(1+D$8),MAX(P293,$B$11-SUM(X293:Y293)-SUM(Q293:W293)))</f>
        <v>0</v>
      </c>
      <c r="AA293" s="27" t="n">
        <f aca="false">MIN(E292*(1+E$8),MAX(Q293,$B$11-SUM(X293:Z293)-SUM(R293:W293)))</f>
        <v>0</v>
      </c>
      <c r="AB293" s="27" t="n">
        <f aca="false">MIN(F292*(1+F$8),MAX(R293,$B$11-SUM(X293:AA293)-SUM(S293:W293)))</f>
        <v>0</v>
      </c>
      <c r="AC293" s="27" t="n">
        <f aca="false">MIN(G292*(1+G$8),MAX(S293,$B$11-SUM(X293:AB293)-SUM(T293:W293)))</f>
        <v>0</v>
      </c>
      <c r="AD293" s="27" t="n">
        <f aca="false">MIN(H292*(1+H$8),MAX(T293,$B$11-SUM(X293:AC293)-SUM(U293:W293)))</f>
        <v>0</v>
      </c>
      <c r="AE293" s="27" t="n">
        <f aca="false">MIN(I292*(1+I$8),MAX(U293,$B$11-SUM(X293:AD293)-SUM(V293:W293)))</f>
        <v>0</v>
      </c>
      <c r="AF293" s="27" t="n">
        <f aca="false">MIN(J292*(1+J$8),MAX(V293,$B$11-SUM(X293:AE293)-SUM(W293:W293)))</f>
        <v>0</v>
      </c>
      <c r="AG293" s="27" t="n">
        <f aca="false">MIN(K292*(1+K$8),MAX(W293,$B$11-SUM(X293:AF293)))</f>
        <v>0</v>
      </c>
      <c r="AI293" s="27" t="n">
        <f aca="false">ROUND(MAX(0,AI292*(1+B$8)-BE293),2)</f>
        <v>0</v>
      </c>
      <c r="AJ293" s="27" t="n">
        <f aca="false">ROUND(MAX(0,AJ292*(1+C$8)-BF293),2)</f>
        <v>0</v>
      </c>
      <c r="AK293" s="27" t="n">
        <f aca="false">ROUND(MAX(0,AK292*(1+D$8)-BG293),2)</f>
        <v>0</v>
      </c>
      <c r="AL293" s="27" t="n">
        <f aca="false">ROUND(MAX(0,AL292*(1+E$8)-BH293),2)</f>
        <v>0</v>
      </c>
      <c r="AM293" s="27" t="n">
        <f aca="false">ROUND(MAX(0,AM292*(1+F$8)-BI293),2)</f>
        <v>0</v>
      </c>
      <c r="AN293" s="27" t="n">
        <f aca="false">ROUND(MAX(0,AN292*(1+G$8)-BJ293),2)</f>
        <v>0</v>
      </c>
      <c r="AO293" s="27" t="n">
        <f aca="false">ROUND(MAX(0,AO292*(1+H$8)-BK293),2)</f>
        <v>0</v>
      </c>
      <c r="AP293" s="27" t="n">
        <f aca="false">ROUND(MAX(0,AP292*(1+I$8)-BL293),2)</f>
        <v>0</v>
      </c>
      <c r="AQ293" s="27" t="n">
        <f aca="false">ROUND(MAX(0,AQ292*(1+J$8)-BM293),2)</f>
        <v>0</v>
      </c>
      <c r="AR293" s="27" t="n">
        <f aca="false">ROUND(MAX(0,AR292*(1+K$8)-BN293),2)</f>
        <v>0</v>
      </c>
      <c r="AS293" s="27" t="n">
        <f aca="false">SUM(AI293:AR293)</f>
        <v>0</v>
      </c>
      <c r="AT293" s="27" t="n">
        <f aca="false">SUMPRODUCT(AI292:AR292,$B$8:$K$8)</f>
        <v>0</v>
      </c>
      <c r="AU293" s="27" t="n">
        <f aca="false">MIN(AI292*(1+B$8),B$9)</f>
        <v>0</v>
      </c>
      <c r="AV293" s="27" t="n">
        <f aca="false">MIN(AJ292*(1+C$8),C$9)</f>
        <v>0</v>
      </c>
      <c r="AW293" s="27" t="n">
        <f aca="false">MIN(AK292*(1+D$8),D$9)</f>
        <v>0</v>
      </c>
      <c r="AX293" s="27" t="n">
        <f aca="false">MIN(AL292*(1+E$8),E$9)</f>
        <v>0</v>
      </c>
      <c r="AY293" s="27" t="n">
        <f aca="false">MIN(AM292*(1+F$8),F$9)</f>
        <v>0</v>
      </c>
      <c r="AZ293" s="27" t="n">
        <f aca="false">MIN(AN292*(1+G$8),G$9)</f>
        <v>0</v>
      </c>
      <c r="BA293" s="27" t="n">
        <f aca="false">MIN(AO292*(1+H$8),H$9)</f>
        <v>0</v>
      </c>
      <c r="BB293" s="27" t="n">
        <f aca="false">MIN(AP292*(1+I$8),I$9)</f>
        <v>0</v>
      </c>
      <c r="BC293" s="27" t="n">
        <f aca="false">MIN(AQ292*(1+J$8),J$9)</f>
        <v>0</v>
      </c>
      <c r="BD293" s="27" t="n">
        <f aca="false">MIN(AR292*(1+K$8),K$9)</f>
        <v>0</v>
      </c>
      <c r="BE293" s="27" t="n">
        <f aca="false">MIN(AI292*(1+B$8),MAX(AU293,$B$12-SUM(AV293:BD293)))</f>
        <v>0</v>
      </c>
      <c r="BF293" s="27" t="n">
        <f aca="false">MIN(AJ292*(1+C$8),MAX(AV293,$B$12-SUM(BE293:BE293)-SUM(AW293:BD293)))</f>
        <v>0</v>
      </c>
      <c r="BG293" s="27" t="n">
        <f aca="false">MIN(AK292*(1+D$8),MAX(AW293,$B$12-SUM(BE293:BF293)-SUM(AX293:BD293)))</f>
        <v>0</v>
      </c>
      <c r="BH293" s="27" t="n">
        <f aca="false">MIN(AL292*(1+E$8),MAX(AX293,$B$12-SUM(BE293:BG293)-SUM(AY293:BD293)))</f>
        <v>0</v>
      </c>
      <c r="BI293" s="27" t="n">
        <f aca="false">MIN(AM292*(1+F$8),MAX(AY293,$B$12-SUM(BE293:BH293)-SUM(AZ293:BD293)))</f>
        <v>0</v>
      </c>
      <c r="BJ293" s="27" t="n">
        <f aca="false">MIN(AN292*(1+G$8),MAX(AZ293,$B$12-SUM(BE293:BI293)-SUM(BA293:BD293)))</f>
        <v>0</v>
      </c>
      <c r="BK293" s="27" t="n">
        <f aca="false">MIN(AO292*(1+H$8),MAX(BA293,$B$12-SUM(BE293:BJ293)-SUM(BB293:BD293)))</f>
        <v>0</v>
      </c>
      <c r="BL293" s="27" t="n">
        <f aca="false">MIN(AP292*(1+I$8),MAX(BB293,$B$12-SUM(BE293:BK293)-SUM(BC293:BD293)))</f>
        <v>0</v>
      </c>
      <c r="BM293" s="27" t="n">
        <f aca="false">MIN(AQ292*(1+J$8),MAX(BC293,$B$12-SUM(BE293:BL293)-SUM(BD293:BD293)))</f>
        <v>0</v>
      </c>
      <c r="BN293" s="27" t="n">
        <f aca="false">MIN(AR292*(1+K$8),MAX(BD293,$B$12-SUM(BE293:BM293)))</f>
        <v>0</v>
      </c>
    </row>
    <row r="294" customFormat="false" ht="15" hidden="false" customHeight="false" outlineLevel="0" collapsed="false">
      <c r="A294" s="0" t="n">
        <v>280</v>
      </c>
      <c r="B294" s="27" t="n">
        <f aca="false">ROUND(MAX(0,B293*(1+B$8)-X294),2)</f>
        <v>0</v>
      </c>
      <c r="C294" s="27" t="n">
        <f aca="false">ROUND(MAX(0,C293*(1+C$8)-Y294),2)</f>
        <v>0</v>
      </c>
      <c r="D294" s="27" t="n">
        <f aca="false">ROUND(MAX(0,D293*(1+D$8)-Z294),2)</f>
        <v>0</v>
      </c>
      <c r="E294" s="27" t="n">
        <f aca="false">ROUND(MAX(0,E293*(1+E$8)-AA294),2)</f>
        <v>0</v>
      </c>
      <c r="F294" s="27" t="n">
        <f aca="false">ROUND(MAX(0,F293*(1+F$8)-AB294),2)</f>
        <v>0</v>
      </c>
      <c r="G294" s="27" t="n">
        <f aca="false">ROUND(MAX(0,G293*(1+G$8)-AC294),2)</f>
        <v>0</v>
      </c>
      <c r="H294" s="27" t="n">
        <f aca="false">ROUND(MAX(0,H293*(1+H$8)-AD294),2)</f>
        <v>0</v>
      </c>
      <c r="I294" s="27" t="n">
        <f aca="false">ROUND(MAX(0,I293*(1+I$8)-AE294),2)</f>
        <v>0</v>
      </c>
      <c r="J294" s="27" t="n">
        <f aca="false">ROUND(MAX(0,J293*(1+J$8)-AF294),2)</f>
        <v>0</v>
      </c>
      <c r="K294" s="27" t="n">
        <f aca="false">ROUND(MAX(0,K293*(1+K$8)-AG294),2)</f>
        <v>0</v>
      </c>
      <c r="L294" s="30" t="n">
        <f aca="false">SUM(B294:K294)</f>
        <v>0</v>
      </c>
      <c r="M294" s="27" t="n">
        <f aca="false">SUMPRODUCT(B293:K293,$B$8:$K$8)</f>
        <v>0</v>
      </c>
      <c r="N294" s="27" t="n">
        <f aca="false">MIN(B293*(1+B$8),B$9)</f>
        <v>0</v>
      </c>
      <c r="O294" s="27" t="n">
        <f aca="false">MIN(C293*(1+C$8),C$9)</f>
        <v>0</v>
      </c>
      <c r="P294" s="27" t="n">
        <f aca="false">MIN(D293*(1+D$8),D$9)</f>
        <v>0</v>
      </c>
      <c r="Q294" s="27" t="n">
        <f aca="false">MIN(E293*(1+E$8),E$9)</f>
        <v>0</v>
      </c>
      <c r="R294" s="27" t="n">
        <f aca="false">MIN(F293*(1+F$8),F$9)</f>
        <v>0</v>
      </c>
      <c r="S294" s="27" t="n">
        <f aca="false">MIN(G293*(1+G$8),G$9)</f>
        <v>0</v>
      </c>
      <c r="T294" s="27" t="n">
        <f aca="false">MIN(H293*(1+H$8),H$9)</f>
        <v>0</v>
      </c>
      <c r="U294" s="27" t="n">
        <f aca="false">MIN(I293*(1+I$8),I$9)</f>
        <v>0</v>
      </c>
      <c r="V294" s="27" t="n">
        <f aca="false">MIN(J293*(1+J$8),J$9)</f>
        <v>0</v>
      </c>
      <c r="W294" s="27" t="n">
        <f aca="false">MIN(K293*(1+K$8),K$9)</f>
        <v>0</v>
      </c>
      <c r="X294" s="27" t="n">
        <f aca="false">MIN(B293*(1+B$8),MAX(N294,$B$11-SUM(O294:W294)))</f>
        <v>0</v>
      </c>
      <c r="Y294" s="27" t="n">
        <f aca="false">MIN(C293*(1+C$8),MAX(O294,$B$11-SUM(X294:X294)-SUM(P294:W294)))</f>
        <v>0</v>
      </c>
      <c r="Z294" s="27" t="n">
        <f aca="false">MIN(D293*(1+D$8),MAX(P294,$B$11-SUM(X294:Y294)-SUM(Q294:W294)))</f>
        <v>0</v>
      </c>
      <c r="AA294" s="27" t="n">
        <f aca="false">MIN(E293*(1+E$8),MAX(Q294,$B$11-SUM(X294:Z294)-SUM(R294:W294)))</f>
        <v>0</v>
      </c>
      <c r="AB294" s="27" t="n">
        <f aca="false">MIN(F293*(1+F$8),MAX(R294,$B$11-SUM(X294:AA294)-SUM(S294:W294)))</f>
        <v>0</v>
      </c>
      <c r="AC294" s="27" t="n">
        <f aca="false">MIN(G293*(1+G$8),MAX(S294,$B$11-SUM(X294:AB294)-SUM(T294:W294)))</f>
        <v>0</v>
      </c>
      <c r="AD294" s="27" t="n">
        <f aca="false">MIN(H293*(1+H$8),MAX(T294,$B$11-SUM(X294:AC294)-SUM(U294:W294)))</f>
        <v>0</v>
      </c>
      <c r="AE294" s="27" t="n">
        <f aca="false">MIN(I293*(1+I$8),MAX(U294,$B$11-SUM(X294:AD294)-SUM(V294:W294)))</f>
        <v>0</v>
      </c>
      <c r="AF294" s="27" t="n">
        <f aca="false">MIN(J293*(1+J$8),MAX(V294,$B$11-SUM(X294:AE294)-SUM(W294:W294)))</f>
        <v>0</v>
      </c>
      <c r="AG294" s="27" t="n">
        <f aca="false">MIN(K293*(1+K$8),MAX(W294,$B$11-SUM(X294:AF294)))</f>
        <v>0</v>
      </c>
      <c r="AI294" s="27" t="n">
        <f aca="false">ROUND(MAX(0,AI293*(1+B$8)-BE294),2)</f>
        <v>0</v>
      </c>
      <c r="AJ294" s="27" t="n">
        <f aca="false">ROUND(MAX(0,AJ293*(1+C$8)-BF294),2)</f>
        <v>0</v>
      </c>
      <c r="AK294" s="27" t="n">
        <f aca="false">ROUND(MAX(0,AK293*(1+D$8)-BG294),2)</f>
        <v>0</v>
      </c>
      <c r="AL294" s="27" t="n">
        <f aca="false">ROUND(MAX(0,AL293*(1+E$8)-BH294),2)</f>
        <v>0</v>
      </c>
      <c r="AM294" s="27" t="n">
        <f aca="false">ROUND(MAX(0,AM293*(1+F$8)-BI294),2)</f>
        <v>0</v>
      </c>
      <c r="AN294" s="27" t="n">
        <f aca="false">ROUND(MAX(0,AN293*(1+G$8)-BJ294),2)</f>
        <v>0</v>
      </c>
      <c r="AO294" s="27" t="n">
        <f aca="false">ROUND(MAX(0,AO293*(1+H$8)-BK294),2)</f>
        <v>0</v>
      </c>
      <c r="AP294" s="27" t="n">
        <f aca="false">ROUND(MAX(0,AP293*(1+I$8)-BL294),2)</f>
        <v>0</v>
      </c>
      <c r="AQ294" s="27" t="n">
        <f aca="false">ROUND(MAX(0,AQ293*(1+J$8)-BM294),2)</f>
        <v>0</v>
      </c>
      <c r="AR294" s="27" t="n">
        <f aca="false">ROUND(MAX(0,AR293*(1+K$8)-BN294),2)</f>
        <v>0</v>
      </c>
      <c r="AS294" s="27" t="n">
        <f aca="false">SUM(AI294:AR294)</f>
        <v>0</v>
      </c>
      <c r="AT294" s="27" t="n">
        <f aca="false">SUMPRODUCT(AI293:AR293,$B$8:$K$8)</f>
        <v>0</v>
      </c>
      <c r="AU294" s="27" t="n">
        <f aca="false">MIN(AI293*(1+B$8),B$9)</f>
        <v>0</v>
      </c>
      <c r="AV294" s="27" t="n">
        <f aca="false">MIN(AJ293*(1+C$8),C$9)</f>
        <v>0</v>
      </c>
      <c r="AW294" s="27" t="n">
        <f aca="false">MIN(AK293*(1+D$8),D$9)</f>
        <v>0</v>
      </c>
      <c r="AX294" s="27" t="n">
        <f aca="false">MIN(AL293*(1+E$8),E$9)</f>
        <v>0</v>
      </c>
      <c r="AY294" s="27" t="n">
        <f aca="false">MIN(AM293*(1+F$8),F$9)</f>
        <v>0</v>
      </c>
      <c r="AZ294" s="27" t="n">
        <f aca="false">MIN(AN293*(1+G$8),G$9)</f>
        <v>0</v>
      </c>
      <c r="BA294" s="27" t="n">
        <f aca="false">MIN(AO293*(1+H$8),H$9)</f>
        <v>0</v>
      </c>
      <c r="BB294" s="27" t="n">
        <f aca="false">MIN(AP293*(1+I$8),I$9)</f>
        <v>0</v>
      </c>
      <c r="BC294" s="27" t="n">
        <f aca="false">MIN(AQ293*(1+J$8),J$9)</f>
        <v>0</v>
      </c>
      <c r="BD294" s="27" t="n">
        <f aca="false">MIN(AR293*(1+K$8),K$9)</f>
        <v>0</v>
      </c>
      <c r="BE294" s="27" t="n">
        <f aca="false">MIN(AI293*(1+B$8),MAX(AU294,$B$12-SUM(AV294:BD294)))</f>
        <v>0</v>
      </c>
      <c r="BF294" s="27" t="n">
        <f aca="false">MIN(AJ293*(1+C$8),MAX(AV294,$B$12-SUM(BE294:BE294)-SUM(AW294:BD294)))</f>
        <v>0</v>
      </c>
      <c r="BG294" s="27" t="n">
        <f aca="false">MIN(AK293*(1+D$8),MAX(AW294,$B$12-SUM(BE294:BF294)-SUM(AX294:BD294)))</f>
        <v>0</v>
      </c>
      <c r="BH294" s="27" t="n">
        <f aca="false">MIN(AL293*(1+E$8),MAX(AX294,$B$12-SUM(BE294:BG294)-SUM(AY294:BD294)))</f>
        <v>0</v>
      </c>
      <c r="BI294" s="27" t="n">
        <f aca="false">MIN(AM293*(1+F$8),MAX(AY294,$B$12-SUM(BE294:BH294)-SUM(AZ294:BD294)))</f>
        <v>0</v>
      </c>
      <c r="BJ294" s="27" t="n">
        <f aca="false">MIN(AN293*(1+G$8),MAX(AZ294,$B$12-SUM(BE294:BI294)-SUM(BA294:BD294)))</f>
        <v>0</v>
      </c>
      <c r="BK294" s="27" t="n">
        <f aca="false">MIN(AO293*(1+H$8),MAX(BA294,$B$12-SUM(BE294:BJ294)-SUM(BB294:BD294)))</f>
        <v>0</v>
      </c>
      <c r="BL294" s="27" t="n">
        <f aca="false">MIN(AP293*(1+I$8),MAX(BB294,$B$12-SUM(BE294:BK294)-SUM(BC294:BD294)))</f>
        <v>0</v>
      </c>
      <c r="BM294" s="27" t="n">
        <f aca="false">MIN(AQ293*(1+J$8),MAX(BC294,$B$12-SUM(BE294:BL294)-SUM(BD294:BD294)))</f>
        <v>0</v>
      </c>
      <c r="BN294" s="27" t="n">
        <f aca="false">MIN(AR293*(1+K$8),MAX(BD294,$B$12-SUM(BE294:BM294)))</f>
        <v>0</v>
      </c>
    </row>
    <row r="295" customFormat="false" ht="15" hidden="false" customHeight="false" outlineLevel="0" collapsed="false">
      <c r="A295" s="0" t="n">
        <v>281</v>
      </c>
      <c r="B295" s="27" t="n">
        <f aca="false">ROUND(MAX(0,B294*(1+B$8)-X295),2)</f>
        <v>0</v>
      </c>
      <c r="C295" s="27" t="n">
        <f aca="false">ROUND(MAX(0,C294*(1+C$8)-Y295),2)</f>
        <v>0</v>
      </c>
      <c r="D295" s="27" t="n">
        <f aca="false">ROUND(MAX(0,D294*(1+D$8)-Z295),2)</f>
        <v>0</v>
      </c>
      <c r="E295" s="27" t="n">
        <f aca="false">ROUND(MAX(0,E294*(1+E$8)-AA295),2)</f>
        <v>0</v>
      </c>
      <c r="F295" s="27" t="n">
        <f aca="false">ROUND(MAX(0,F294*(1+F$8)-AB295),2)</f>
        <v>0</v>
      </c>
      <c r="G295" s="27" t="n">
        <f aca="false">ROUND(MAX(0,G294*(1+G$8)-AC295),2)</f>
        <v>0</v>
      </c>
      <c r="H295" s="27" t="n">
        <f aca="false">ROUND(MAX(0,H294*(1+H$8)-AD295),2)</f>
        <v>0</v>
      </c>
      <c r="I295" s="27" t="n">
        <f aca="false">ROUND(MAX(0,I294*(1+I$8)-AE295),2)</f>
        <v>0</v>
      </c>
      <c r="J295" s="27" t="n">
        <f aca="false">ROUND(MAX(0,J294*(1+J$8)-AF295),2)</f>
        <v>0</v>
      </c>
      <c r="K295" s="27" t="n">
        <f aca="false">ROUND(MAX(0,K294*(1+K$8)-AG295),2)</f>
        <v>0</v>
      </c>
      <c r="L295" s="30" t="n">
        <f aca="false">SUM(B295:K295)</f>
        <v>0</v>
      </c>
      <c r="M295" s="27" t="n">
        <f aca="false">SUMPRODUCT(B294:K294,$B$8:$K$8)</f>
        <v>0</v>
      </c>
      <c r="N295" s="27" t="n">
        <f aca="false">MIN(B294*(1+B$8),B$9)</f>
        <v>0</v>
      </c>
      <c r="O295" s="27" t="n">
        <f aca="false">MIN(C294*(1+C$8),C$9)</f>
        <v>0</v>
      </c>
      <c r="P295" s="27" t="n">
        <f aca="false">MIN(D294*(1+D$8),D$9)</f>
        <v>0</v>
      </c>
      <c r="Q295" s="27" t="n">
        <f aca="false">MIN(E294*(1+E$8),E$9)</f>
        <v>0</v>
      </c>
      <c r="R295" s="27" t="n">
        <f aca="false">MIN(F294*(1+F$8),F$9)</f>
        <v>0</v>
      </c>
      <c r="S295" s="27" t="n">
        <f aca="false">MIN(G294*(1+G$8),G$9)</f>
        <v>0</v>
      </c>
      <c r="T295" s="27" t="n">
        <f aca="false">MIN(H294*(1+H$8),H$9)</f>
        <v>0</v>
      </c>
      <c r="U295" s="27" t="n">
        <f aca="false">MIN(I294*(1+I$8),I$9)</f>
        <v>0</v>
      </c>
      <c r="V295" s="27" t="n">
        <f aca="false">MIN(J294*(1+J$8),J$9)</f>
        <v>0</v>
      </c>
      <c r="W295" s="27" t="n">
        <f aca="false">MIN(K294*(1+K$8),K$9)</f>
        <v>0</v>
      </c>
      <c r="X295" s="27" t="n">
        <f aca="false">MIN(B294*(1+B$8),MAX(N295,$B$11-SUM(O295:W295)))</f>
        <v>0</v>
      </c>
      <c r="Y295" s="27" t="n">
        <f aca="false">MIN(C294*(1+C$8),MAX(O295,$B$11-SUM(X295:X295)-SUM(P295:W295)))</f>
        <v>0</v>
      </c>
      <c r="Z295" s="27" t="n">
        <f aca="false">MIN(D294*(1+D$8),MAX(P295,$B$11-SUM(X295:Y295)-SUM(Q295:W295)))</f>
        <v>0</v>
      </c>
      <c r="AA295" s="27" t="n">
        <f aca="false">MIN(E294*(1+E$8),MAX(Q295,$B$11-SUM(X295:Z295)-SUM(R295:W295)))</f>
        <v>0</v>
      </c>
      <c r="AB295" s="27" t="n">
        <f aca="false">MIN(F294*(1+F$8),MAX(R295,$B$11-SUM(X295:AA295)-SUM(S295:W295)))</f>
        <v>0</v>
      </c>
      <c r="AC295" s="27" t="n">
        <f aca="false">MIN(G294*(1+G$8),MAX(S295,$B$11-SUM(X295:AB295)-SUM(T295:W295)))</f>
        <v>0</v>
      </c>
      <c r="AD295" s="27" t="n">
        <f aca="false">MIN(H294*(1+H$8),MAX(T295,$B$11-SUM(X295:AC295)-SUM(U295:W295)))</f>
        <v>0</v>
      </c>
      <c r="AE295" s="27" t="n">
        <f aca="false">MIN(I294*(1+I$8),MAX(U295,$B$11-SUM(X295:AD295)-SUM(V295:W295)))</f>
        <v>0</v>
      </c>
      <c r="AF295" s="27" t="n">
        <f aca="false">MIN(J294*(1+J$8),MAX(V295,$B$11-SUM(X295:AE295)-SUM(W295:W295)))</f>
        <v>0</v>
      </c>
      <c r="AG295" s="27" t="n">
        <f aca="false">MIN(K294*(1+K$8),MAX(W295,$B$11-SUM(X295:AF295)))</f>
        <v>0</v>
      </c>
      <c r="AI295" s="27" t="n">
        <f aca="false">ROUND(MAX(0,AI294*(1+B$8)-BE295),2)</f>
        <v>0</v>
      </c>
      <c r="AJ295" s="27" t="n">
        <f aca="false">ROUND(MAX(0,AJ294*(1+C$8)-BF295),2)</f>
        <v>0</v>
      </c>
      <c r="AK295" s="27" t="n">
        <f aca="false">ROUND(MAX(0,AK294*(1+D$8)-BG295),2)</f>
        <v>0</v>
      </c>
      <c r="AL295" s="27" t="n">
        <f aca="false">ROUND(MAX(0,AL294*(1+E$8)-BH295),2)</f>
        <v>0</v>
      </c>
      <c r="AM295" s="27" t="n">
        <f aca="false">ROUND(MAX(0,AM294*(1+F$8)-BI295),2)</f>
        <v>0</v>
      </c>
      <c r="AN295" s="27" t="n">
        <f aca="false">ROUND(MAX(0,AN294*(1+G$8)-BJ295),2)</f>
        <v>0</v>
      </c>
      <c r="AO295" s="27" t="n">
        <f aca="false">ROUND(MAX(0,AO294*(1+H$8)-BK295),2)</f>
        <v>0</v>
      </c>
      <c r="AP295" s="27" t="n">
        <f aca="false">ROUND(MAX(0,AP294*(1+I$8)-BL295),2)</f>
        <v>0</v>
      </c>
      <c r="AQ295" s="27" t="n">
        <f aca="false">ROUND(MAX(0,AQ294*(1+J$8)-BM295),2)</f>
        <v>0</v>
      </c>
      <c r="AR295" s="27" t="n">
        <f aca="false">ROUND(MAX(0,AR294*(1+K$8)-BN295),2)</f>
        <v>0</v>
      </c>
      <c r="AS295" s="27" t="n">
        <f aca="false">SUM(AI295:AR295)</f>
        <v>0</v>
      </c>
      <c r="AT295" s="27" t="n">
        <f aca="false">SUMPRODUCT(AI294:AR294,$B$8:$K$8)</f>
        <v>0</v>
      </c>
      <c r="AU295" s="27" t="n">
        <f aca="false">MIN(AI294*(1+B$8),B$9)</f>
        <v>0</v>
      </c>
      <c r="AV295" s="27" t="n">
        <f aca="false">MIN(AJ294*(1+C$8),C$9)</f>
        <v>0</v>
      </c>
      <c r="AW295" s="27" t="n">
        <f aca="false">MIN(AK294*(1+D$8),D$9)</f>
        <v>0</v>
      </c>
      <c r="AX295" s="27" t="n">
        <f aca="false">MIN(AL294*(1+E$8),E$9)</f>
        <v>0</v>
      </c>
      <c r="AY295" s="27" t="n">
        <f aca="false">MIN(AM294*(1+F$8),F$9)</f>
        <v>0</v>
      </c>
      <c r="AZ295" s="27" t="n">
        <f aca="false">MIN(AN294*(1+G$8),G$9)</f>
        <v>0</v>
      </c>
      <c r="BA295" s="27" t="n">
        <f aca="false">MIN(AO294*(1+H$8),H$9)</f>
        <v>0</v>
      </c>
      <c r="BB295" s="27" t="n">
        <f aca="false">MIN(AP294*(1+I$8),I$9)</f>
        <v>0</v>
      </c>
      <c r="BC295" s="27" t="n">
        <f aca="false">MIN(AQ294*(1+J$8),J$9)</f>
        <v>0</v>
      </c>
      <c r="BD295" s="27" t="n">
        <f aca="false">MIN(AR294*(1+K$8),K$9)</f>
        <v>0</v>
      </c>
      <c r="BE295" s="27" t="n">
        <f aca="false">MIN(AI294*(1+B$8),MAX(AU295,$B$12-SUM(AV295:BD295)))</f>
        <v>0</v>
      </c>
      <c r="BF295" s="27" t="n">
        <f aca="false">MIN(AJ294*(1+C$8),MAX(AV295,$B$12-SUM(BE295:BE295)-SUM(AW295:BD295)))</f>
        <v>0</v>
      </c>
      <c r="BG295" s="27" t="n">
        <f aca="false">MIN(AK294*(1+D$8),MAX(AW295,$B$12-SUM(BE295:BF295)-SUM(AX295:BD295)))</f>
        <v>0</v>
      </c>
      <c r="BH295" s="27" t="n">
        <f aca="false">MIN(AL294*(1+E$8),MAX(AX295,$B$12-SUM(BE295:BG295)-SUM(AY295:BD295)))</f>
        <v>0</v>
      </c>
      <c r="BI295" s="27" t="n">
        <f aca="false">MIN(AM294*(1+F$8),MAX(AY295,$B$12-SUM(BE295:BH295)-SUM(AZ295:BD295)))</f>
        <v>0</v>
      </c>
      <c r="BJ295" s="27" t="n">
        <f aca="false">MIN(AN294*(1+G$8),MAX(AZ295,$B$12-SUM(BE295:BI295)-SUM(BA295:BD295)))</f>
        <v>0</v>
      </c>
      <c r="BK295" s="27" t="n">
        <f aca="false">MIN(AO294*(1+H$8),MAX(BA295,$B$12-SUM(BE295:BJ295)-SUM(BB295:BD295)))</f>
        <v>0</v>
      </c>
      <c r="BL295" s="27" t="n">
        <f aca="false">MIN(AP294*(1+I$8),MAX(BB295,$B$12-SUM(BE295:BK295)-SUM(BC295:BD295)))</f>
        <v>0</v>
      </c>
      <c r="BM295" s="27" t="n">
        <f aca="false">MIN(AQ294*(1+J$8),MAX(BC295,$B$12-SUM(BE295:BL295)-SUM(BD295:BD295)))</f>
        <v>0</v>
      </c>
      <c r="BN295" s="27" t="n">
        <f aca="false">MIN(AR294*(1+K$8),MAX(BD295,$B$12-SUM(BE295:BM295)))</f>
        <v>0</v>
      </c>
    </row>
    <row r="296" customFormat="false" ht="15" hidden="false" customHeight="false" outlineLevel="0" collapsed="false">
      <c r="A296" s="0" t="n">
        <v>282</v>
      </c>
      <c r="B296" s="27" t="n">
        <f aca="false">ROUND(MAX(0,B295*(1+B$8)-X296),2)</f>
        <v>0</v>
      </c>
      <c r="C296" s="27" t="n">
        <f aca="false">ROUND(MAX(0,C295*(1+C$8)-Y296),2)</f>
        <v>0</v>
      </c>
      <c r="D296" s="27" t="n">
        <f aca="false">ROUND(MAX(0,D295*(1+D$8)-Z296),2)</f>
        <v>0</v>
      </c>
      <c r="E296" s="27" t="n">
        <f aca="false">ROUND(MAX(0,E295*(1+E$8)-AA296),2)</f>
        <v>0</v>
      </c>
      <c r="F296" s="27" t="n">
        <f aca="false">ROUND(MAX(0,F295*(1+F$8)-AB296),2)</f>
        <v>0</v>
      </c>
      <c r="G296" s="27" t="n">
        <f aca="false">ROUND(MAX(0,G295*(1+G$8)-AC296),2)</f>
        <v>0</v>
      </c>
      <c r="H296" s="27" t="n">
        <f aca="false">ROUND(MAX(0,H295*(1+H$8)-AD296),2)</f>
        <v>0</v>
      </c>
      <c r="I296" s="27" t="n">
        <f aca="false">ROUND(MAX(0,I295*(1+I$8)-AE296),2)</f>
        <v>0</v>
      </c>
      <c r="J296" s="27" t="n">
        <f aca="false">ROUND(MAX(0,J295*(1+J$8)-AF296),2)</f>
        <v>0</v>
      </c>
      <c r="K296" s="27" t="n">
        <f aca="false">ROUND(MAX(0,K295*(1+K$8)-AG296),2)</f>
        <v>0</v>
      </c>
      <c r="L296" s="30" t="n">
        <f aca="false">SUM(B296:K296)</f>
        <v>0</v>
      </c>
      <c r="M296" s="27" t="n">
        <f aca="false">SUMPRODUCT(B295:K295,$B$8:$K$8)</f>
        <v>0</v>
      </c>
      <c r="N296" s="27" t="n">
        <f aca="false">MIN(B295*(1+B$8),B$9)</f>
        <v>0</v>
      </c>
      <c r="O296" s="27" t="n">
        <f aca="false">MIN(C295*(1+C$8),C$9)</f>
        <v>0</v>
      </c>
      <c r="P296" s="27" t="n">
        <f aca="false">MIN(D295*(1+D$8),D$9)</f>
        <v>0</v>
      </c>
      <c r="Q296" s="27" t="n">
        <f aca="false">MIN(E295*(1+E$8),E$9)</f>
        <v>0</v>
      </c>
      <c r="R296" s="27" t="n">
        <f aca="false">MIN(F295*(1+F$8),F$9)</f>
        <v>0</v>
      </c>
      <c r="S296" s="27" t="n">
        <f aca="false">MIN(G295*(1+G$8),G$9)</f>
        <v>0</v>
      </c>
      <c r="T296" s="27" t="n">
        <f aca="false">MIN(H295*(1+H$8),H$9)</f>
        <v>0</v>
      </c>
      <c r="U296" s="27" t="n">
        <f aca="false">MIN(I295*(1+I$8),I$9)</f>
        <v>0</v>
      </c>
      <c r="V296" s="27" t="n">
        <f aca="false">MIN(J295*(1+J$8),J$9)</f>
        <v>0</v>
      </c>
      <c r="W296" s="27" t="n">
        <f aca="false">MIN(K295*(1+K$8),K$9)</f>
        <v>0</v>
      </c>
      <c r="X296" s="27" t="n">
        <f aca="false">MIN(B295*(1+B$8),MAX(N296,$B$11-SUM(O296:W296)))</f>
        <v>0</v>
      </c>
      <c r="Y296" s="27" t="n">
        <f aca="false">MIN(C295*(1+C$8),MAX(O296,$B$11-SUM(X296:X296)-SUM(P296:W296)))</f>
        <v>0</v>
      </c>
      <c r="Z296" s="27" t="n">
        <f aca="false">MIN(D295*(1+D$8),MAX(P296,$B$11-SUM(X296:Y296)-SUM(Q296:W296)))</f>
        <v>0</v>
      </c>
      <c r="AA296" s="27" t="n">
        <f aca="false">MIN(E295*(1+E$8),MAX(Q296,$B$11-SUM(X296:Z296)-SUM(R296:W296)))</f>
        <v>0</v>
      </c>
      <c r="AB296" s="27" t="n">
        <f aca="false">MIN(F295*(1+F$8),MAX(R296,$B$11-SUM(X296:AA296)-SUM(S296:W296)))</f>
        <v>0</v>
      </c>
      <c r="AC296" s="27" t="n">
        <f aca="false">MIN(G295*(1+G$8),MAX(S296,$B$11-SUM(X296:AB296)-SUM(T296:W296)))</f>
        <v>0</v>
      </c>
      <c r="AD296" s="27" t="n">
        <f aca="false">MIN(H295*(1+H$8),MAX(T296,$B$11-SUM(X296:AC296)-SUM(U296:W296)))</f>
        <v>0</v>
      </c>
      <c r="AE296" s="27" t="n">
        <f aca="false">MIN(I295*(1+I$8),MAX(U296,$B$11-SUM(X296:AD296)-SUM(V296:W296)))</f>
        <v>0</v>
      </c>
      <c r="AF296" s="27" t="n">
        <f aca="false">MIN(J295*(1+J$8),MAX(V296,$B$11-SUM(X296:AE296)-SUM(W296:W296)))</f>
        <v>0</v>
      </c>
      <c r="AG296" s="27" t="n">
        <f aca="false">MIN(K295*(1+K$8),MAX(W296,$B$11-SUM(X296:AF296)))</f>
        <v>0</v>
      </c>
      <c r="AI296" s="27" t="n">
        <f aca="false">ROUND(MAX(0,AI295*(1+B$8)-BE296),2)</f>
        <v>0</v>
      </c>
      <c r="AJ296" s="27" t="n">
        <f aca="false">ROUND(MAX(0,AJ295*(1+C$8)-BF296),2)</f>
        <v>0</v>
      </c>
      <c r="AK296" s="27" t="n">
        <f aca="false">ROUND(MAX(0,AK295*(1+D$8)-BG296),2)</f>
        <v>0</v>
      </c>
      <c r="AL296" s="27" t="n">
        <f aca="false">ROUND(MAX(0,AL295*(1+E$8)-BH296),2)</f>
        <v>0</v>
      </c>
      <c r="AM296" s="27" t="n">
        <f aca="false">ROUND(MAX(0,AM295*(1+F$8)-BI296),2)</f>
        <v>0</v>
      </c>
      <c r="AN296" s="27" t="n">
        <f aca="false">ROUND(MAX(0,AN295*(1+G$8)-BJ296),2)</f>
        <v>0</v>
      </c>
      <c r="AO296" s="27" t="n">
        <f aca="false">ROUND(MAX(0,AO295*(1+H$8)-BK296),2)</f>
        <v>0</v>
      </c>
      <c r="AP296" s="27" t="n">
        <f aca="false">ROUND(MAX(0,AP295*(1+I$8)-BL296),2)</f>
        <v>0</v>
      </c>
      <c r="AQ296" s="27" t="n">
        <f aca="false">ROUND(MAX(0,AQ295*(1+J$8)-BM296),2)</f>
        <v>0</v>
      </c>
      <c r="AR296" s="27" t="n">
        <f aca="false">ROUND(MAX(0,AR295*(1+K$8)-BN296),2)</f>
        <v>0</v>
      </c>
      <c r="AS296" s="27" t="n">
        <f aca="false">SUM(AI296:AR296)</f>
        <v>0</v>
      </c>
      <c r="AT296" s="27" t="n">
        <f aca="false">SUMPRODUCT(AI295:AR295,$B$8:$K$8)</f>
        <v>0</v>
      </c>
      <c r="AU296" s="27" t="n">
        <f aca="false">MIN(AI295*(1+B$8),B$9)</f>
        <v>0</v>
      </c>
      <c r="AV296" s="27" t="n">
        <f aca="false">MIN(AJ295*(1+C$8),C$9)</f>
        <v>0</v>
      </c>
      <c r="AW296" s="27" t="n">
        <f aca="false">MIN(AK295*(1+D$8),D$9)</f>
        <v>0</v>
      </c>
      <c r="AX296" s="27" t="n">
        <f aca="false">MIN(AL295*(1+E$8),E$9)</f>
        <v>0</v>
      </c>
      <c r="AY296" s="27" t="n">
        <f aca="false">MIN(AM295*(1+F$8),F$9)</f>
        <v>0</v>
      </c>
      <c r="AZ296" s="27" t="n">
        <f aca="false">MIN(AN295*(1+G$8),G$9)</f>
        <v>0</v>
      </c>
      <c r="BA296" s="27" t="n">
        <f aca="false">MIN(AO295*(1+H$8),H$9)</f>
        <v>0</v>
      </c>
      <c r="BB296" s="27" t="n">
        <f aca="false">MIN(AP295*(1+I$8),I$9)</f>
        <v>0</v>
      </c>
      <c r="BC296" s="27" t="n">
        <f aca="false">MIN(AQ295*(1+J$8),J$9)</f>
        <v>0</v>
      </c>
      <c r="BD296" s="27" t="n">
        <f aca="false">MIN(AR295*(1+K$8),K$9)</f>
        <v>0</v>
      </c>
      <c r="BE296" s="27" t="n">
        <f aca="false">MIN(AI295*(1+B$8),MAX(AU296,$B$12-SUM(AV296:BD296)))</f>
        <v>0</v>
      </c>
      <c r="BF296" s="27" t="n">
        <f aca="false">MIN(AJ295*(1+C$8),MAX(AV296,$B$12-SUM(BE296:BE296)-SUM(AW296:BD296)))</f>
        <v>0</v>
      </c>
      <c r="BG296" s="27" t="n">
        <f aca="false">MIN(AK295*(1+D$8),MAX(AW296,$B$12-SUM(BE296:BF296)-SUM(AX296:BD296)))</f>
        <v>0</v>
      </c>
      <c r="BH296" s="27" t="n">
        <f aca="false">MIN(AL295*(1+E$8),MAX(AX296,$B$12-SUM(BE296:BG296)-SUM(AY296:BD296)))</f>
        <v>0</v>
      </c>
      <c r="BI296" s="27" t="n">
        <f aca="false">MIN(AM295*(1+F$8),MAX(AY296,$B$12-SUM(BE296:BH296)-SUM(AZ296:BD296)))</f>
        <v>0</v>
      </c>
      <c r="BJ296" s="27" t="n">
        <f aca="false">MIN(AN295*(1+G$8),MAX(AZ296,$B$12-SUM(BE296:BI296)-SUM(BA296:BD296)))</f>
        <v>0</v>
      </c>
      <c r="BK296" s="27" t="n">
        <f aca="false">MIN(AO295*(1+H$8),MAX(BA296,$B$12-SUM(BE296:BJ296)-SUM(BB296:BD296)))</f>
        <v>0</v>
      </c>
      <c r="BL296" s="27" t="n">
        <f aca="false">MIN(AP295*(1+I$8),MAX(BB296,$B$12-SUM(BE296:BK296)-SUM(BC296:BD296)))</f>
        <v>0</v>
      </c>
      <c r="BM296" s="27" t="n">
        <f aca="false">MIN(AQ295*(1+J$8),MAX(BC296,$B$12-SUM(BE296:BL296)-SUM(BD296:BD296)))</f>
        <v>0</v>
      </c>
      <c r="BN296" s="27" t="n">
        <f aca="false">MIN(AR295*(1+K$8),MAX(BD296,$B$12-SUM(BE296:BM296)))</f>
        <v>0</v>
      </c>
    </row>
    <row r="297" customFormat="false" ht="15" hidden="false" customHeight="false" outlineLevel="0" collapsed="false">
      <c r="A297" s="0" t="n">
        <v>283</v>
      </c>
      <c r="B297" s="27" t="n">
        <f aca="false">ROUND(MAX(0,B296*(1+B$8)-X297),2)</f>
        <v>0</v>
      </c>
      <c r="C297" s="27" t="n">
        <f aca="false">ROUND(MAX(0,C296*(1+C$8)-Y297),2)</f>
        <v>0</v>
      </c>
      <c r="D297" s="27" t="n">
        <f aca="false">ROUND(MAX(0,D296*(1+D$8)-Z297),2)</f>
        <v>0</v>
      </c>
      <c r="E297" s="27" t="n">
        <f aca="false">ROUND(MAX(0,E296*(1+E$8)-AA297),2)</f>
        <v>0</v>
      </c>
      <c r="F297" s="27" t="n">
        <f aca="false">ROUND(MAX(0,F296*(1+F$8)-AB297),2)</f>
        <v>0</v>
      </c>
      <c r="G297" s="27" t="n">
        <f aca="false">ROUND(MAX(0,G296*(1+G$8)-AC297),2)</f>
        <v>0</v>
      </c>
      <c r="H297" s="27" t="n">
        <f aca="false">ROUND(MAX(0,H296*(1+H$8)-AD297),2)</f>
        <v>0</v>
      </c>
      <c r="I297" s="27" t="n">
        <f aca="false">ROUND(MAX(0,I296*(1+I$8)-AE297),2)</f>
        <v>0</v>
      </c>
      <c r="J297" s="27" t="n">
        <f aca="false">ROUND(MAX(0,J296*(1+J$8)-AF297),2)</f>
        <v>0</v>
      </c>
      <c r="K297" s="27" t="n">
        <f aca="false">ROUND(MAX(0,K296*(1+K$8)-AG297),2)</f>
        <v>0</v>
      </c>
      <c r="L297" s="30" t="n">
        <f aca="false">SUM(B297:K297)</f>
        <v>0</v>
      </c>
      <c r="M297" s="27" t="n">
        <f aca="false">SUMPRODUCT(B296:K296,$B$8:$K$8)</f>
        <v>0</v>
      </c>
      <c r="N297" s="27" t="n">
        <f aca="false">MIN(B296*(1+B$8),B$9)</f>
        <v>0</v>
      </c>
      <c r="O297" s="27" t="n">
        <f aca="false">MIN(C296*(1+C$8),C$9)</f>
        <v>0</v>
      </c>
      <c r="P297" s="27" t="n">
        <f aca="false">MIN(D296*(1+D$8),D$9)</f>
        <v>0</v>
      </c>
      <c r="Q297" s="27" t="n">
        <f aca="false">MIN(E296*(1+E$8),E$9)</f>
        <v>0</v>
      </c>
      <c r="R297" s="27" t="n">
        <f aca="false">MIN(F296*(1+F$8),F$9)</f>
        <v>0</v>
      </c>
      <c r="S297" s="27" t="n">
        <f aca="false">MIN(G296*(1+G$8),G$9)</f>
        <v>0</v>
      </c>
      <c r="T297" s="27" t="n">
        <f aca="false">MIN(H296*(1+H$8),H$9)</f>
        <v>0</v>
      </c>
      <c r="U297" s="27" t="n">
        <f aca="false">MIN(I296*(1+I$8),I$9)</f>
        <v>0</v>
      </c>
      <c r="V297" s="27" t="n">
        <f aca="false">MIN(J296*(1+J$8),J$9)</f>
        <v>0</v>
      </c>
      <c r="W297" s="27" t="n">
        <f aca="false">MIN(K296*(1+K$8),K$9)</f>
        <v>0</v>
      </c>
      <c r="X297" s="27" t="n">
        <f aca="false">MIN(B296*(1+B$8),MAX(N297,$B$11-SUM(O297:W297)))</f>
        <v>0</v>
      </c>
      <c r="Y297" s="27" t="n">
        <f aca="false">MIN(C296*(1+C$8),MAX(O297,$B$11-SUM(X297:X297)-SUM(P297:W297)))</f>
        <v>0</v>
      </c>
      <c r="Z297" s="27" t="n">
        <f aca="false">MIN(D296*(1+D$8),MAX(P297,$B$11-SUM(X297:Y297)-SUM(Q297:W297)))</f>
        <v>0</v>
      </c>
      <c r="AA297" s="27" t="n">
        <f aca="false">MIN(E296*(1+E$8),MAX(Q297,$B$11-SUM(X297:Z297)-SUM(R297:W297)))</f>
        <v>0</v>
      </c>
      <c r="AB297" s="27" t="n">
        <f aca="false">MIN(F296*(1+F$8),MAX(R297,$B$11-SUM(X297:AA297)-SUM(S297:W297)))</f>
        <v>0</v>
      </c>
      <c r="AC297" s="27" t="n">
        <f aca="false">MIN(G296*(1+G$8),MAX(S297,$B$11-SUM(X297:AB297)-SUM(T297:W297)))</f>
        <v>0</v>
      </c>
      <c r="AD297" s="27" t="n">
        <f aca="false">MIN(H296*(1+H$8),MAX(T297,$B$11-SUM(X297:AC297)-SUM(U297:W297)))</f>
        <v>0</v>
      </c>
      <c r="AE297" s="27" t="n">
        <f aca="false">MIN(I296*(1+I$8),MAX(U297,$B$11-SUM(X297:AD297)-SUM(V297:W297)))</f>
        <v>0</v>
      </c>
      <c r="AF297" s="27" t="n">
        <f aca="false">MIN(J296*(1+J$8),MAX(V297,$B$11-SUM(X297:AE297)-SUM(W297:W297)))</f>
        <v>0</v>
      </c>
      <c r="AG297" s="27" t="n">
        <f aca="false">MIN(K296*(1+K$8),MAX(W297,$B$11-SUM(X297:AF297)))</f>
        <v>0</v>
      </c>
      <c r="AI297" s="27" t="n">
        <f aca="false">ROUND(MAX(0,AI296*(1+B$8)-BE297),2)</f>
        <v>0</v>
      </c>
      <c r="AJ297" s="27" t="n">
        <f aca="false">ROUND(MAX(0,AJ296*(1+C$8)-BF297),2)</f>
        <v>0</v>
      </c>
      <c r="AK297" s="27" t="n">
        <f aca="false">ROUND(MAX(0,AK296*(1+D$8)-BG297),2)</f>
        <v>0</v>
      </c>
      <c r="AL297" s="27" t="n">
        <f aca="false">ROUND(MAX(0,AL296*(1+E$8)-BH297),2)</f>
        <v>0</v>
      </c>
      <c r="AM297" s="27" t="n">
        <f aca="false">ROUND(MAX(0,AM296*(1+F$8)-BI297),2)</f>
        <v>0</v>
      </c>
      <c r="AN297" s="27" t="n">
        <f aca="false">ROUND(MAX(0,AN296*(1+G$8)-BJ297),2)</f>
        <v>0</v>
      </c>
      <c r="AO297" s="27" t="n">
        <f aca="false">ROUND(MAX(0,AO296*(1+H$8)-BK297),2)</f>
        <v>0</v>
      </c>
      <c r="AP297" s="27" t="n">
        <f aca="false">ROUND(MAX(0,AP296*(1+I$8)-BL297),2)</f>
        <v>0</v>
      </c>
      <c r="AQ297" s="27" t="n">
        <f aca="false">ROUND(MAX(0,AQ296*(1+J$8)-BM297),2)</f>
        <v>0</v>
      </c>
      <c r="AR297" s="27" t="n">
        <f aca="false">ROUND(MAX(0,AR296*(1+K$8)-BN297),2)</f>
        <v>0</v>
      </c>
      <c r="AS297" s="27" t="n">
        <f aca="false">SUM(AI297:AR297)</f>
        <v>0</v>
      </c>
      <c r="AT297" s="27" t="n">
        <f aca="false">SUMPRODUCT(AI296:AR296,$B$8:$K$8)</f>
        <v>0</v>
      </c>
      <c r="AU297" s="27" t="n">
        <f aca="false">MIN(AI296*(1+B$8),B$9)</f>
        <v>0</v>
      </c>
      <c r="AV297" s="27" t="n">
        <f aca="false">MIN(AJ296*(1+C$8),C$9)</f>
        <v>0</v>
      </c>
      <c r="AW297" s="27" t="n">
        <f aca="false">MIN(AK296*(1+D$8),D$9)</f>
        <v>0</v>
      </c>
      <c r="AX297" s="27" t="n">
        <f aca="false">MIN(AL296*(1+E$8),E$9)</f>
        <v>0</v>
      </c>
      <c r="AY297" s="27" t="n">
        <f aca="false">MIN(AM296*(1+F$8),F$9)</f>
        <v>0</v>
      </c>
      <c r="AZ297" s="27" t="n">
        <f aca="false">MIN(AN296*(1+G$8),G$9)</f>
        <v>0</v>
      </c>
      <c r="BA297" s="27" t="n">
        <f aca="false">MIN(AO296*(1+H$8),H$9)</f>
        <v>0</v>
      </c>
      <c r="BB297" s="27" t="n">
        <f aca="false">MIN(AP296*(1+I$8),I$9)</f>
        <v>0</v>
      </c>
      <c r="BC297" s="27" t="n">
        <f aca="false">MIN(AQ296*(1+J$8),J$9)</f>
        <v>0</v>
      </c>
      <c r="BD297" s="27" t="n">
        <f aca="false">MIN(AR296*(1+K$8),K$9)</f>
        <v>0</v>
      </c>
      <c r="BE297" s="27" t="n">
        <f aca="false">MIN(AI296*(1+B$8),MAX(AU297,$B$12-SUM(AV297:BD297)))</f>
        <v>0</v>
      </c>
      <c r="BF297" s="27" t="n">
        <f aca="false">MIN(AJ296*(1+C$8),MAX(AV297,$B$12-SUM(BE297:BE297)-SUM(AW297:BD297)))</f>
        <v>0</v>
      </c>
      <c r="BG297" s="27" t="n">
        <f aca="false">MIN(AK296*(1+D$8),MAX(AW297,$B$12-SUM(BE297:BF297)-SUM(AX297:BD297)))</f>
        <v>0</v>
      </c>
      <c r="BH297" s="27" t="n">
        <f aca="false">MIN(AL296*(1+E$8),MAX(AX297,$B$12-SUM(BE297:BG297)-SUM(AY297:BD297)))</f>
        <v>0</v>
      </c>
      <c r="BI297" s="27" t="n">
        <f aca="false">MIN(AM296*(1+F$8),MAX(AY297,$B$12-SUM(BE297:BH297)-SUM(AZ297:BD297)))</f>
        <v>0</v>
      </c>
      <c r="BJ297" s="27" t="n">
        <f aca="false">MIN(AN296*(1+G$8),MAX(AZ297,$B$12-SUM(BE297:BI297)-SUM(BA297:BD297)))</f>
        <v>0</v>
      </c>
      <c r="BK297" s="27" t="n">
        <f aca="false">MIN(AO296*(1+H$8),MAX(BA297,$B$12-SUM(BE297:BJ297)-SUM(BB297:BD297)))</f>
        <v>0</v>
      </c>
      <c r="BL297" s="27" t="n">
        <f aca="false">MIN(AP296*(1+I$8),MAX(BB297,$B$12-SUM(BE297:BK297)-SUM(BC297:BD297)))</f>
        <v>0</v>
      </c>
      <c r="BM297" s="27" t="n">
        <f aca="false">MIN(AQ296*(1+J$8),MAX(BC297,$B$12-SUM(BE297:BL297)-SUM(BD297:BD297)))</f>
        <v>0</v>
      </c>
      <c r="BN297" s="27" t="n">
        <f aca="false">MIN(AR296*(1+K$8),MAX(BD297,$B$12-SUM(BE297:BM297)))</f>
        <v>0</v>
      </c>
    </row>
    <row r="298" customFormat="false" ht="15" hidden="false" customHeight="false" outlineLevel="0" collapsed="false">
      <c r="A298" s="0" t="n">
        <v>284</v>
      </c>
      <c r="B298" s="27" t="n">
        <f aca="false">ROUND(MAX(0,B297*(1+B$8)-X298),2)</f>
        <v>0</v>
      </c>
      <c r="C298" s="27" t="n">
        <f aca="false">ROUND(MAX(0,C297*(1+C$8)-Y298),2)</f>
        <v>0</v>
      </c>
      <c r="D298" s="27" t="n">
        <f aca="false">ROUND(MAX(0,D297*(1+D$8)-Z298),2)</f>
        <v>0</v>
      </c>
      <c r="E298" s="27" t="n">
        <f aca="false">ROUND(MAX(0,E297*(1+E$8)-AA298),2)</f>
        <v>0</v>
      </c>
      <c r="F298" s="27" t="n">
        <f aca="false">ROUND(MAX(0,F297*(1+F$8)-AB298),2)</f>
        <v>0</v>
      </c>
      <c r="G298" s="27" t="n">
        <f aca="false">ROUND(MAX(0,G297*(1+G$8)-AC298),2)</f>
        <v>0</v>
      </c>
      <c r="H298" s="27" t="n">
        <f aca="false">ROUND(MAX(0,H297*(1+H$8)-AD298),2)</f>
        <v>0</v>
      </c>
      <c r="I298" s="27" t="n">
        <f aca="false">ROUND(MAX(0,I297*(1+I$8)-AE298),2)</f>
        <v>0</v>
      </c>
      <c r="J298" s="27" t="n">
        <f aca="false">ROUND(MAX(0,J297*(1+J$8)-AF298),2)</f>
        <v>0</v>
      </c>
      <c r="K298" s="27" t="n">
        <f aca="false">ROUND(MAX(0,K297*(1+K$8)-AG298),2)</f>
        <v>0</v>
      </c>
      <c r="L298" s="30" t="n">
        <f aca="false">SUM(B298:K298)</f>
        <v>0</v>
      </c>
      <c r="M298" s="27" t="n">
        <f aca="false">SUMPRODUCT(B297:K297,$B$8:$K$8)</f>
        <v>0</v>
      </c>
      <c r="N298" s="27" t="n">
        <f aca="false">MIN(B297*(1+B$8),B$9)</f>
        <v>0</v>
      </c>
      <c r="O298" s="27" t="n">
        <f aca="false">MIN(C297*(1+C$8),C$9)</f>
        <v>0</v>
      </c>
      <c r="P298" s="27" t="n">
        <f aca="false">MIN(D297*(1+D$8),D$9)</f>
        <v>0</v>
      </c>
      <c r="Q298" s="27" t="n">
        <f aca="false">MIN(E297*(1+E$8),E$9)</f>
        <v>0</v>
      </c>
      <c r="R298" s="27" t="n">
        <f aca="false">MIN(F297*(1+F$8),F$9)</f>
        <v>0</v>
      </c>
      <c r="S298" s="27" t="n">
        <f aca="false">MIN(G297*(1+G$8),G$9)</f>
        <v>0</v>
      </c>
      <c r="T298" s="27" t="n">
        <f aca="false">MIN(H297*(1+H$8),H$9)</f>
        <v>0</v>
      </c>
      <c r="U298" s="27" t="n">
        <f aca="false">MIN(I297*(1+I$8),I$9)</f>
        <v>0</v>
      </c>
      <c r="V298" s="27" t="n">
        <f aca="false">MIN(J297*(1+J$8),J$9)</f>
        <v>0</v>
      </c>
      <c r="W298" s="27" t="n">
        <f aca="false">MIN(K297*(1+K$8),K$9)</f>
        <v>0</v>
      </c>
      <c r="X298" s="27" t="n">
        <f aca="false">MIN(B297*(1+B$8),MAX(N298,$B$11-SUM(O298:W298)))</f>
        <v>0</v>
      </c>
      <c r="Y298" s="27" t="n">
        <f aca="false">MIN(C297*(1+C$8),MAX(O298,$B$11-SUM(X298:X298)-SUM(P298:W298)))</f>
        <v>0</v>
      </c>
      <c r="Z298" s="27" t="n">
        <f aca="false">MIN(D297*(1+D$8),MAX(P298,$B$11-SUM(X298:Y298)-SUM(Q298:W298)))</f>
        <v>0</v>
      </c>
      <c r="AA298" s="27" t="n">
        <f aca="false">MIN(E297*(1+E$8),MAX(Q298,$B$11-SUM(X298:Z298)-SUM(R298:W298)))</f>
        <v>0</v>
      </c>
      <c r="AB298" s="27" t="n">
        <f aca="false">MIN(F297*(1+F$8),MAX(R298,$B$11-SUM(X298:AA298)-SUM(S298:W298)))</f>
        <v>0</v>
      </c>
      <c r="AC298" s="27" t="n">
        <f aca="false">MIN(G297*(1+G$8),MAX(S298,$B$11-SUM(X298:AB298)-SUM(T298:W298)))</f>
        <v>0</v>
      </c>
      <c r="AD298" s="27" t="n">
        <f aca="false">MIN(H297*(1+H$8),MAX(T298,$B$11-SUM(X298:AC298)-SUM(U298:W298)))</f>
        <v>0</v>
      </c>
      <c r="AE298" s="27" t="n">
        <f aca="false">MIN(I297*(1+I$8),MAX(U298,$B$11-SUM(X298:AD298)-SUM(V298:W298)))</f>
        <v>0</v>
      </c>
      <c r="AF298" s="27" t="n">
        <f aca="false">MIN(J297*(1+J$8),MAX(V298,$B$11-SUM(X298:AE298)-SUM(W298:W298)))</f>
        <v>0</v>
      </c>
      <c r="AG298" s="27" t="n">
        <f aca="false">MIN(K297*(1+K$8),MAX(W298,$B$11-SUM(X298:AF298)))</f>
        <v>0</v>
      </c>
      <c r="AI298" s="27" t="n">
        <f aca="false">ROUND(MAX(0,AI297*(1+B$8)-BE298),2)</f>
        <v>0</v>
      </c>
      <c r="AJ298" s="27" t="n">
        <f aca="false">ROUND(MAX(0,AJ297*(1+C$8)-BF298),2)</f>
        <v>0</v>
      </c>
      <c r="AK298" s="27" t="n">
        <f aca="false">ROUND(MAX(0,AK297*(1+D$8)-BG298),2)</f>
        <v>0</v>
      </c>
      <c r="AL298" s="27" t="n">
        <f aca="false">ROUND(MAX(0,AL297*(1+E$8)-BH298),2)</f>
        <v>0</v>
      </c>
      <c r="AM298" s="27" t="n">
        <f aca="false">ROUND(MAX(0,AM297*(1+F$8)-BI298),2)</f>
        <v>0</v>
      </c>
      <c r="AN298" s="27" t="n">
        <f aca="false">ROUND(MAX(0,AN297*(1+G$8)-BJ298),2)</f>
        <v>0</v>
      </c>
      <c r="AO298" s="27" t="n">
        <f aca="false">ROUND(MAX(0,AO297*(1+H$8)-BK298),2)</f>
        <v>0</v>
      </c>
      <c r="AP298" s="27" t="n">
        <f aca="false">ROUND(MAX(0,AP297*(1+I$8)-BL298),2)</f>
        <v>0</v>
      </c>
      <c r="AQ298" s="27" t="n">
        <f aca="false">ROUND(MAX(0,AQ297*(1+J$8)-BM298),2)</f>
        <v>0</v>
      </c>
      <c r="AR298" s="27" t="n">
        <f aca="false">ROUND(MAX(0,AR297*(1+K$8)-BN298),2)</f>
        <v>0</v>
      </c>
      <c r="AS298" s="27" t="n">
        <f aca="false">SUM(AI298:AR298)</f>
        <v>0</v>
      </c>
      <c r="AT298" s="27" t="n">
        <f aca="false">SUMPRODUCT(AI297:AR297,$B$8:$K$8)</f>
        <v>0</v>
      </c>
      <c r="AU298" s="27" t="n">
        <f aca="false">MIN(AI297*(1+B$8),B$9)</f>
        <v>0</v>
      </c>
      <c r="AV298" s="27" t="n">
        <f aca="false">MIN(AJ297*(1+C$8),C$9)</f>
        <v>0</v>
      </c>
      <c r="AW298" s="27" t="n">
        <f aca="false">MIN(AK297*(1+D$8),D$9)</f>
        <v>0</v>
      </c>
      <c r="AX298" s="27" t="n">
        <f aca="false">MIN(AL297*(1+E$8),E$9)</f>
        <v>0</v>
      </c>
      <c r="AY298" s="27" t="n">
        <f aca="false">MIN(AM297*(1+F$8),F$9)</f>
        <v>0</v>
      </c>
      <c r="AZ298" s="27" t="n">
        <f aca="false">MIN(AN297*(1+G$8),G$9)</f>
        <v>0</v>
      </c>
      <c r="BA298" s="27" t="n">
        <f aca="false">MIN(AO297*(1+H$8),H$9)</f>
        <v>0</v>
      </c>
      <c r="BB298" s="27" t="n">
        <f aca="false">MIN(AP297*(1+I$8),I$9)</f>
        <v>0</v>
      </c>
      <c r="BC298" s="27" t="n">
        <f aca="false">MIN(AQ297*(1+J$8),J$9)</f>
        <v>0</v>
      </c>
      <c r="BD298" s="27" t="n">
        <f aca="false">MIN(AR297*(1+K$8),K$9)</f>
        <v>0</v>
      </c>
      <c r="BE298" s="27" t="n">
        <f aca="false">MIN(AI297*(1+B$8),MAX(AU298,$B$12-SUM(AV298:BD298)))</f>
        <v>0</v>
      </c>
      <c r="BF298" s="27" t="n">
        <f aca="false">MIN(AJ297*(1+C$8),MAX(AV298,$B$12-SUM(BE298:BE298)-SUM(AW298:BD298)))</f>
        <v>0</v>
      </c>
      <c r="BG298" s="27" t="n">
        <f aca="false">MIN(AK297*(1+D$8),MAX(AW298,$B$12-SUM(BE298:BF298)-SUM(AX298:BD298)))</f>
        <v>0</v>
      </c>
      <c r="BH298" s="27" t="n">
        <f aca="false">MIN(AL297*(1+E$8),MAX(AX298,$B$12-SUM(BE298:BG298)-SUM(AY298:BD298)))</f>
        <v>0</v>
      </c>
      <c r="BI298" s="27" t="n">
        <f aca="false">MIN(AM297*(1+F$8),MAX(AY298,$B$12-SUM(BE298:BH298)-SUM(AZ298:BD298)))</f>
        <v>0</v>
      </c>
      <c r="BJ298" s="27" t="n">
        <f aca="false">MIN(AN297*(1+G$8),MAX(AZ298,$B$12-SUM(BE298:BI298)-SUM(BA298:BD298)))</f>
        <v>0</v>
      </c>
      <c r="BK298" s="27" t="n">
        <f aca="false">MIN(AO297*(1+H$8),MAX(BA298,$B$12-SUM(BE298:BJ298)-SUM(BB298:BD298)))</f>
        <v>0</v>
      </c>
      <c r="BL298" s="27" t="n">
        <f aca="false">MIN(AP297*(1+I$8),MAX(BB298,$B$12-SUM(BE298:BK298)-SUM(BC298:BD298)))</f>
        <v>0</v>
      </c>
      <c r="BM298" s="27" t="n">
        <f aca="false">MIN(AQ297*(1+J$8),MAX(BC298,$B$12-SUM(BE298:BL298)-SUM(BD298:BD298)))</f>
        <v>0</v>
      </c>
      <c r="BN298" s="27" t="n">
        <f aca="false">MIN(AR297*(1+K$8),MAX(BD298,$B$12-SUM(BE298:BM298)))</f>
        <v>0</v>
      </c>
    </row>
    <row r="299" customFormat="false" ht="15" hidden="false" customHeight="false" outlineLevel="0" collapsed="false">
      <c r="A299" s="0" t="n">
        <v>285</v>
      </c>
      <c r="B299" s="27" t="n">
        <f aca="false">ROUND(MAX(0,B298*(1+B$8)-X299),2)</f>
        <v>0</v>
      </c>
      <c r="C299" s="27" t="n">
        <f aca="false">ROUND(MAX(0,C298*(1+C$8)-Y299),2)</f>
        <v>0</v>
      </c>
      <c r="D299" s="27" t="n">
        <f aca="false">ROUND(MAX(0,D298*(1+D$8)-Z299),2)</f>
        <v>0</v>
      </c>
      <c r="E299" s="27" t="n">
        <f aca="false">ROUND(MAX(0,E298*(1+E$8)-AA299),2)</f>
        <v>0</v>
      </c>
      <c r="F299" s="27" t="n">
        <f aca="false">ROUND(MAX(0,F298*(1+F$8)-AB299),2)</f>
        <v>0</v>
      </c>
      <c r="G299" s="27" t="n">
        <f aca="false">ROUND(MAX(0,G298*(1+G$8)-AC299),2)</f>
        <v>0</v>
      </c>
      <c r="H299" s="27" t="n">
        <f aca="false">ROUND(MAX(0,H298*(1+H$8)-AD299),2)</f>
        <v>0</v>
      </c>
      <c r="I299" s="27" t="n">
        <f aca="false">ROUND(MAX(0,I298*(1+I$8)-AE299),2)</f>
        <v>0</v>
      </c>
      <c r="J299" s="27" t="n">
        <f aca="false">ROUND(MAX(0,J298*(1+J$8)-AF299),2)</f>
        <v>0</v>
      </c>
      <c r="K299" s="27" t="n">
        <f aca="false">ROUND(MAX(0,K298*(1+K$8)-AG299),2)</f>
        <v>0</v>
      </c>
      <c r="L299" s="30" t="n">
        <f aca="false">SUM(B299:K299)</f>
        <v>0</v>
      </c>
      <c r="M299" s="27" t="n">
        <f aca="false">SUMPRODUCT(B298:K298,$B$8:$K$8)</f>
        <v>0</v>
      </c>
      <c r="N299" s="27" t="n">
        <f aca="false">MIN(B298*(1+B$8),B$9)</f>
        <v>0</v>
      </c>
      <c r="O299" s="27" t="n">
        <f aca="false">MIN(C298*(1+C$8),C$9)</f>
        <v>0</v>
      </c>
      <c r="P299" s="27" t="n">
        <f aca="false">MIN(D298*(1+D$8),D$9)</f>
        <v>0</v>
      </c>
      <c r="Q299" s="27" t="n">
        <f aca="false">MIN(E298*(1+E$8),E$9)</f>
        <v>0</v>
      </c>
      <c r="R299" s="27" t="n">
        <f aca="false">MIN(F298*(1+F$8),F$9)</f>
        <v>0</v>
      </c>
      <c r="S299" s="27" t="n">
        <f aca="false">MIN(G298*(1+G$8),G$9)</f>
        <v>0</v>
      </c>
      <c r="T299" s="27" t="n">
        <f aca="false">MIN(H298*(1+H$8),H$9)</f>
        <v>0</v>
      </c>
      <c r="U299" s="27" t="n">
        <f aca="false">MIN(I298*(1+I$8),I$9)</f>
        <v>0</v>
      </c>
      <c r="V299" s="27" t="n">
        <f aca="false">MIN(J298*(1+J$8),J$9)</f>
        <v>0</v>
      </c>
      <c r="W299" s="27" t="n">
        <f aca="false">MIN(K298*(1+K$8),K$9)</f>
        <v>0</v>
      </c>
      <c r="X299" s="27" t="n">
        <f aca="false">MIN(B298*(1+B$8),MAX(N299,$B$11-SUM(O299:W299)))</f>
        <v>0</v>
      </c>
      <c r="Y299" s="27" t="n">
        <f aca="false">MIN(C298*(1+C$8),MAX(O299,$B$11-SUM(X299:X299)-SUM(P299:W299)))</f>
        <v>0</v>
      </c>
      <c r="Z299" s="27" t="n">
        <f aca="false">MIN(D298*(1+D$8),MAX(P299,$B$11-SUM(X299:Y299)-SUM(Q299:W299)))</f>
        <v>0</v>
      </c>
      <c r="AA299" s="27" t="n">
        <f aca="false">MIN(E298*(1+E$8),MAX(Q299,$B$11-SUM(X299:Z299)-SUM(R299:W299)))</f>
        <v>0</v>
      </c>
      <c r="AB299" s="27" t="n">
        <f aca="false">MIN(F298*(1+F$8),MAX(R299,$B$11-SUM(X299:AA299)-SUM(S299:W299)))</f>
        <v>0</v>
      </c>
      <c r="AC299" s="27" t="n">
        <f aca="false">MIN(G298*(1+G$8),MAX(S299,$B$11-SUM(X299:AB299)-SUM(T299:W299)))</f>
        <v>0</v>
      </c>
      <c r="AD299" s="27" t="n">
        <f aca="false">MIN(H298*(1+H$8),MAX(T299,$B$11-SUM(X299:AC299)-SUM(U299:W299)))</f>
        <v>0</v>
      </c>
      <c r="AE299" s="27" t="n">
        <f aca="false">MIN(I298*(1+I$8),MAX(U299,$B$11-SUM(X299:AD299)-SUM(V299:W299)))</f>
        <v>0</v>
      </c>
      <c r="AF299" s="27" t="n">
        <f aca="false">MIN(J298*(1+J$8),MAX(V299,$B$11-SUM(X299:AE299)-SUM(W299:W299)))</f>
        <v>0</v>
      </c>
      <c r="AG299" s="27" t="n">
        <f aca="false">MIN(K298*(1+K$8),MAX(W299,$B$11-SUM(X299:AF299)))</f>
        <v>0</v>
      </c>
      <c r="AI299" s="27" t="n">
        <f aca="false">ROUND(MAX(0,AI298*(1+B$8)-BE299),2)</f>
        <v>0</v>
      </c>
      <c r="AJ299" s="27" t="n">
        <f aca="false">ROUND(MAX(0,AJ298*(1+C$8)-BF299),2)</f>
        <v>0</v>
      </c>
      <c r="AK299" s="27" t="n">
        <f aca="false">ROUND(MAX(0,AK298*(1+D$8)-BG299),2)</f>
        <v>0</v>
      </c>
      <c r="AL299" s="27" t="n">
        <f aca="false">ROUND(MAX(0,AL298*(1+E$8)-BH299),2)</f>
        <v>0</v>
      </c>
      <c r="AM299" s="27" t="n">
        <f aca="false">ROUND(MAX(0,AM298*(1+F$8)-BI299),2)</f>
        <v>0</v>
      </c>
      <c r="AN299" s="27" t="n">
        <f aca="false">ROUND(MAX(0,AN298*(1+G$8)-BJ299),2)</f>
        <v>0</v>
      </c>
      <c r="AO299" s="27" t="n">
        <f aca="false">ROUND(MAX(0,AO298*(1+H$8)-BK299),2)</f>
        <v>0</v>
      </c>
      <c r="AP299" s="27" t="n">
        <f aca="false">ROUND(MAX(0,AP298*(1+I$8)-BL299),2)</f>
        <v>0</v>
      </c>
      <c r="AQ299" s="27" t="n">
        <f aca="false">ROUND(MAX(0,AQ298*(1+J$8)-BM299),2)</f>
        <v>0</v>
      </c>
      <c r="AR299" s="27" t="n">
        <f aca="false">ROUND(MAX(0,AR298*(1+K$8)-BN299),2)</f>
        <v>0</v>
      </c>
      <c r="AS299" s="27" t="n">
        <f aca="false">SUM(AI299:AR299)</f>
        <v>0</v>
      </c>
      <c r="AT299" s="27" t="n">
        <f aca="false">SUMPRODUCT(AI298:AR298,$B$8:$K$8)</f>
        <v>0</v>
      </c>
      <c r="AU299" s="27" t="n">
        <f aca="false">MIN(AI298*(1+B$8),B$9)</f>
        <v>0</v>
      </c>
      <c r="AV299" s="27" t="n">
        <f aca="false">MIN(AJ298*(1+C$8),C$9)</f>
        <v>0</v>
      </c>
      <c r="AW299" s="27" t="n">
        <f aca="false">MIN(AK298*(1+D$8),D$9)</f>
        <v>0</v>
      </c>
      <c r="AX299" s="27" t="n">
        <f aca="false">MIN(AL298*(1+E$8),E$9)</f>
        <v>0</v>
      </c>
      <c r="AY299" s="27" t="n">
        <f aca="false">MIN(AM298*(1+F$8),F$9)</f>
        <v>0</v>
      </c>
      <c r="AZ299" s="27" t="n">
        <f aca="false">MIN(AN298*(1+G$8),G$9)</f>
        <v>0</v>
      </c>
      <c r="BA299" s="27" t="n">
        <f aca="false">MIN(AO298*(1+H$8),H$9)</f>
        <v>0</v>
      </c>
      <c r="BB299" s="27" t="n">
        <f aca="false">MIN(AP298*(1+I$8),I$9)</f>
        <v>0</v>
      </c>
      <c r="BC299" s="27" t="n">
        <f aca="false">MIN(AQ298*(1+J$8),J$9)</f>
        <v>0</v>
      </c>
      <c r="BD299" s="27" t="n">
        <f aca="false">MIN(AR298*(1+K$8),K$9)</f>
        <v>0</v>
      </c>
      <c r="BE299" s="27" t="n">
        <f aca="false">MIN(AI298*(1+B$8),MAX(AU299,$B$12-SUM(AV299:BD299)))</f>
        <v>0</v>
      </c>
      <c r="BF299" s="27" t="n">
        <f aca="false">MIN(AJ298*(1+C$8),MAX(AV299,$B$12-SUM(BE299:BE299)-SUM(AW299:BD299)))</f>
        <v>0</v>
      </c>
      <c r="BG299" s="27" t="n">
        <f aca="false">MIN(AK298*(1+D$8),MAX(AW299,$B$12-SUM(BE299:BF299)-SUM(AX299:BD299)))</f>
        <v>0</v>
      </c>
      <c r="BH299" s="27" t="n">
        <f aca="false">MIN(AL298*(1+E$8),MAX(AX299,$B$12-SUM(BE299:BG299)-SUM(AY299:BD299)))</f>
        <v>0</v>
      </c>
      <c r="BI299" s="27" t="n">
        <f aca="false">MIN(AM298*(1+F$8),MAX(AY299,$B$12-SUM(BE299:BH299)-SUM(AZ299:BD299)))</f>
        <v>0</v>
      </c>
      <c r="BJ299" s="27" t="n">
        <f aca="false">MIN(AN298*(1+G$8),MAX(AZ299,$B$12-SUM(BE299:BI299)-SUM(BA299:BD299)))</f>
        <v>0</v>
      </c>
      <c r="BK299" s="27" t="n">
        <f aca="false">MIN(AO298*(1+H$8),MAX(BA299,$B$12-SUM(BE299:BJ299)-SUM(BB299:BD299)))</f>
        <v>0</v>
      </c>
      <c r="BL299" s="27" t="n">
        <f aca="false">MIN(AP298*(1+I$8),MAX(BB299,$B$12-SUM(BE299:BK299)-SUM(BC299:BD299)))</f>
        <v>0</v>
      </c>
      <c r="BM299" s="27" t="n">
        <f aca="false">MIN(AQ298*(1+J$8),MAX(BC299,$B$12-SUM(BE299:BL299)-SUM(BD299:BD299)))</f>
        <v>0</v>
      </c>
      <c r="BN299" s="27" t="n">
        <f aca="false">MIN(AR298*(1+K$8),MAX(BD299,$B$12-SUM(BE299:BM299)))</f>
        <v>0</v>
      </c>
    </row>
    <row r="300" customFormat="false" ht="15" hidden="false" customHeight="false" outlineLevel="0" collapsed="false">
      <c r="A300" s="0" t="n">
        <v>286</v>
      </c>
      <c r="B300" s="27" t="n">
        <f aca="false">ROUND(MAX(0,B299*(1+B$8)-X300),2)</f>
        <v>0</v>
      </c>
      <c r="C300" s="27" t="n">
        <f aca="false">ROUND(MAX(0,C299*(1+C$8)-Y300),2)</f>
        <v>0</v>
      </c>
      <c r="D300" s="27" t="n">
        <f aca="false">ROUND(MAX(0,D299*(1+D$8)-Z300),2)</f>
        <v>0</v>
      </c>
      <c r="E300" s="27" t="n">
        <f aca="false">ROUND(MAX(0,E299*(1+E$8)-AA300),2)</f>
        <v>0</v>
      </c>
      <c r="F300" s="27" t="n">
        <f aca="false">ROUND(MAX(0,F299*(1+F$8)-AB300),2)</f>
        <v>0</v>
      </c>
      <c r="G300" s="27" t="n">
        <f aca="false">ROUND(MAX(0,G299*(1+G$8)-AC300),2)</f>
        <v>0</v>
      </c>
      <c r="H300" s="27" t="n">
        <f aca="false">ROUND(MAX(0,H299*(1+H$8)-AD300),2)</f>
        <v>0</v>
      </c>
      <c r="I300" s="27" t="n">
        <f aca="false">ROUND(MAX(0,I299*(1+I$8)-AE300),2)</f>
        <v>0</v>
      </c>
      <c r="J300" s="27" t="n">
        <f aca="false">ROUND(MAX(0,J299*(1+J$8)-AF300),2)</f>
        <v>0</v>
      </c>
      <c r="K300" s="27" t="n">
        <f aca="false">ROUND(MAX(0,K299*(1+K$8)-AG300),2)</f>
        <v>0</v>
      </c>
      <c r="L300" s="30" t="n">
        <f aca="false">SUM(B300:K300)</f>
        <v>0</v>
      </c>
      <c r="M300" s="27" t="n">
        <f aca="false">SUMPRODUCT(B299:K299,$B$8:$K$8)</f>
        <v>0</v>
      </c>
      <c r="N300" s="27" t="n">
        <f aca="false">MIN(B299*(1+B$8),B$9)</f>
        <v>0</v>
      </c>
      <c r="O300" s="27" t="n">
        <f aca="false">MIN(C299*(1+C$8),C$9)</f>
        <v>0</v>
      </c>
      <c r="P300" s="27" t="n">
        <f aca="false">MIN(D299*(1+D$8),D$9)</f>
        <v>0</v>
      </c>
      <c r="Q300" s="27" t="n">
        <f aca="false">MIN(E299*(1+E$8),E$9)</f>
        <v>0</v>
      </c>
      <c r="R300" s="27" t="n">
        <f aca="false">MIN(F299*(1+F$8),F$9)</f>
        <v>0</v>
      </c>
      <c r="S300" s="27" t="n">
        <f aca="false">MIN(G299*(1+G$8),G$9)</f>
        <v>0</v>
      </c>
      <c r="T300" s="27" t="n">
        <f aca="false">MIN(H299*(1+H$8),H$9)</f>
        <v>0</v>
      </c>
      <c r="U300" s="27" t="n">
        <f aca="false">MIN(I299*(1+I$8),I$9)</f>
        <v>0</v>
      </c>
      <c r="V300" s="27" t="n">
        <f aca="false">MIN(J299*(1+J$8),J$9)</f>
        <v>0</v>
      </c>
      <c r="W300" s="27" t="n">
        <f aca="false">MIN(K299*(1+K$8),K$9)</f>
        <v>0</v>
      </c>
      <c r="X300" s="27" t="n">
        <f aca="false">MIN(B299*(1+B$8),MAX(N300,$B$11-SUM(O300:W300)))</f>
        <v>0</v>
      </c>
      <c r="Y300" s="27" t="n">
        <f aca="false">MIN(C299*(1+C$8),MAX(O300,$B$11-SUM(X300:X300)-SUM(P300:W300)))</f>
        <v>0</v>
      </c>
      <c r="Z300" s="27" t="n">
        <f aca="false">MIN(D299*(1+D$8),MAX(P300,$B$11-SUM(X300:Y300)-SUM(Q300:W300)))</f>
        <v>0</v>
      </c>
      <c r="AA300" s="27" t="n">
        <f aca="false">MIN(E299*(1+E$8),MAX(Q300,$B$11-SUM(X300:Z300)-SUM(R300:W300)))</f>
        <v>0</v>
      </c>
      <c r="AB300" s="27" t="n">
        <f aca="false">MIN(F299*(1+F$8),MAX(R300,$B$11-SUM(X300:AA300)-SUM(S300:W300)))</f>
        <v>0</v>
      </c>
      <c r="AC300" s="27" t="n">
        <f aca="false">MIN(G299*(1+G$8),MAX(S300,$B$11-SUM(X300:AB300)-SUM(T300:W300)))</f>
        <v>0</v>
      </c>
      <c r="AD300" s="27" t="n">
        <f aca="false">MIN(H299*(1+H$8),MAX(T300,$B$11-SUM(X300:AC300)-SUM(U300:W300)))</f>
        <v>0</v>
      </c>
      <c r="AE300" s="27" t="n">
        <f aca="false">MIN(I299*(1+I$8),MAX(U300,$B$11-SUM(X300:AD300)-SUM(V300:W300)))</f>
        <v>0</v>
      </c>
      <c r="AF300" s="27" t="n">
        <f aca="false">MIN(J299*(1+J$8),MAX(V300,$B$11-SUM(X300:AE300)-SUM(W300:W300)))</f>
        <v>0</v>
      </c>
      <c r="AG300" s="27" t="n">
        <f aca="false">MIN(K299*(1+K$8),MAX(W300,$B$11-SUM(X300:AF300)))</f>
        <v>0</v>
      </c>
      <c r="AI300" s="27" t="n">
        <f aca="false">ROUND(MAX(0,AI299*(1+B$8)-BE300),2)</f>
        <v>0</v>
      </c>
      <c r="AJ300" s="27" t="n">
        <f aca="false">ROUND(MAX(0,AJ299*(1+C$8)-BF300),2)</f>
        <v>0</v>
      </c>
      <c r="AK300" s="27" t="n">
        <f aca="false">ROUND(MAX(0,AK299*(1+D$8)-BG300),2)</f>
        <v>0</v>
      </c>
      <c r="AL300" s="27" t="n">
        <f aca="false">ROUND(MAX(0,AL299*(1+E$8)-BH300),2)</f>
        <v>0</v>
      </c>
      <c r="AM300" s="27" t="n">
        <f aca="false">ROUND(MAX(0,AM299*(1+F$8)-BI300),2)</f>
        <v>0</v>
      </c>
      <c r="AN300" s="27" t="n">
        <f aca="false">ROUND(MAX(0,AN299*(1+G$8)-BJ300),2)</f>
        <v>0</v>
      </c>
      <c r="AO300" s="27" t="n">
        <f aca="false">ROUND(MAX(0,AO299*(1+H$8)-BK300),2)</f>
        <v>0</v>
      </c>
      <c r="AP300" s="27" t="n">
        <f aca="false">ROUND(MAX(0,AP299*(1+I$8)-BL300),2)</f>
        <v>0</v>
      </c>
      <c r="AQ300" s="27" t="n">
        <f aca="false">ROUND(MAX(0,AQ299*(1+J$8)-BM300),2)</f>
        <v>0</v>
      </c>
      <c r="AR300" s="27" t="n">
        <f aca="false">ROUND(MAX(0,AR299*(1+K$8)-BN300),2)</f>
        <v>0</v>
      </c>
      <c r="AS300" s="27" t="n">
        <f aca="false">SUM(AI300:AR300)</f>
        <v>0</v>
      </c>
      <c r="AT300" s="27" t="n">
        <f aca="false">SUMPRODUCT(AI299:AR299,$B$8:$K$8)</f>
        <v>0</v>
      </c>
      <c r="AU300" s="27" t="n">
        <f aca="false">MIN(AI299*(1+B$8),B$9)</f>
        <v>0</v>
      </c>
      <c r="AV300" s="27" t="n">
        <f aca="false">MIN(AJ299*(1+C$8),C$9)</f>
        <v>0</v>
      </c>
      <c r="AW300" s="27" t="n">
        <f aca="false">MIN(AK299*(1+D$8),D$9)</f>
        <v>0</v>
      </c>
      <c r="AX300" s="27" t="n">
        <f aca="false">MIN(AL299*(1+E$8),E$9)</f>
        <v>0</v>
      </c>
      <c r="AY300" s="27" t="n">
        <f aca="false">MIN(AM299*(1+F$8),F$9)</f>
        <v>0</v>
      </c>
      <c r="AZ300" s="27" t="n">
        <f aca="false">MIN(AN299*(1+G$8),G$9)</f>
        <v>0</v>
      </c>
      <c r="BA300" s="27" t="n">
        <f aca="false">MIN(AO299*(1+H$8),H$9)</f>
        <v>0</v>
      </c>
      <c r="BB300" s="27" t="n">
        <f aca="false">MIN(AP299*(1+I$8),I$9)</f>
        <v>0</v>
      </c>
      <c r="BC300" s="27" t="n">
        <f aca="false">MIN(AQ299*(1+J$8),J$9)</f>
        <v>0</v>
      </c>
      <c r="BD300" s="27" t="n">
        <f aca="false">MIN(AR299*(1+K$8),K$9)</f>
        <v>0</v>
      </c>
      <c r="BE300" s="27" t="n">
        <f aca="false">MIN(AI299*(1+B$8),MAX(AU300,$B$12-SUM(AV300:BD300)))</f>
        <v>0</v>
      </c>
      <c r="BF300" s="27" t="n">
        <f aca="false">MIN(AJ299*(1+C$8),MAX(AV300,$B$12-SUM(BE300:BE300)-SUM(AW300:BD300)))</f>
        <v>0</v>
      </c>
      <c r="BG300" s="27" t="n">
        <f aca="false">MIN(AK299*(1+D$8),MAX(AW300,$B$12-SUM(BE300:BF300)-SUM(AX300:BD300)))</f>
        <v>0</v>
      </c>
      <c r="BH300" s="27" t="n">
        <f aca="false">MIN(AL299*(1+E$8),MAX(AX300,$B$12-SUM(BE300:BG300)-SUM(AY300:BD300)))</f>
        <v>0</v>
      </c>
      <c r="BI300" s="27" t="n">
        <f aca="false">MIN(AM299*(1+F$8),MAX(AY300,$B$12-SUM(BE300:BH300)-SUM(AZ300:BD300)))</f>
        <v>0</v>
      </c>
      <c r="BJ300" s="27" t="n">
        <f aca="false">MIN(AN299*(1+G$8),MAX(AZ300,$B$12-SUM(BE300:BI300)-SUM(BA300:BD300)))</f>
        <v>0</v>
      </c>
      <c r="BK300" s="27" t="n">
        <f aca="false">MIN(AO299*(1+H$8),MAX(BA300,$B$12-SUM(BE300:BJ300)-SUM(BB300:BD300)))</f>
        <v>0</v>
      </c>
      <c r="BL300" s="27" t="n">
        <f aca="false">MIN(AP299*(1+I$8),MAX(BB300,$B$12-SUM(BE300:BK300)-SUM(BC300:BD300)))</f>
        <v>0</v>
      </c>
      <c r="BM300" s="27" t="n">
        <f aca="false">MIN(AQ299*(1+J$8),MAX(BC300,$B$12-SUM(BE300:BL300)-SUM(BD300:BD300)))</f>
        <v>0</v>
      </c>
      <c r="BN300" s="27" t="n">
        <f aca="false">MIN(AR299*(1+K$8),MAX(BD300,$B$12-SUM(BE300:BM300)))</f>
        <v>0</v>
      </c>
    </row>
    <row r="301" customFormat="false" ht="15" hidden="false" customHeight="false" outlineLevel="0" collapsed="false">
      <c r="A301" s="0" t="n">
        <v>287</v>
      </c>
      <c r="B301" s="27" t="n">
        <f aca="false">ROUND(MAX(0,B300*(1+B$8)-X301),2)</f>
        <v>0</v>
      </c>
      <c r="C301" s="27" t="n">
        <f aca="false">ROUND(MAX(0,C300*(1+C$8)-Y301),2)</f>
        <v>0</v>
      </c>
      <c r="D301" s="27" t="n">
        <f aca="false">ROUND(MAX(0,D300*(1+D$8)-Z301),2)</f>
        <v>0</v>
      </c>
      <c r="E301" s="27" t="n">
        <f aca="false">ROUND(MAX(0,E300*(1+E$8)-AA301),2)</f>
        <v>0</v>
      </c>
      <c r="F301" s="27" t="n">
        <f aca="false">ROUND(MAX(0,F300*(1+F$8)-AB301),2)</f>
        <v>0</v>
      </c>
      <c r="G301" s="27" t="n">
        <f aca="false">ROUND(MAX(0,G300*(1+G$8)-AC301),2)</f>
        <v>0</v>
      </c>
      <c r="H301" s="27" t="n">
        <f aca="false">ROUND(MAX(0,H300*(1+H$8)-AD301),2)</f>
        <v>0</v>
      </c>
      <c r="I301" s="27" t="n">
        <f aca="false">ROUND(MAX(0,I300*(1+I$8)-AE301),2)</f>
        <v>0</v>
      </c>
      <c r="J301" s="27" t="n">
        <f aca="false">ROUND(MAX(0,J300*(1+J$8)-AF301),2)</f>
        <v>0</v>
      </c>
      <c r="K301" s="27" t="n">
        <f aca="false">ROUND(MAX(0,K300*(1+K$8)-AG301),2)</f>
        <v>0</v>
      </c>
      <c r="L301" s="30" t="n">
        <f aca="false">SUM(B301:K301)</f>
        <v>0</v>
      </c>
      <c r="M301" s="27" t="n">
        <f aca="false">SUMPRODUCT(B300:K300,$B$8:$K$8)</f>
        <v>0</v>
      </c>
      <c r="N301" s="27" t="n">
        <f aca="false">MIN(B300*(1+B$8),B$9)</f>
        <v>0</v>
      </c>
      <c r="O301" s="27" t="n">
        <f aca="false">MIN(C300*(1+C$8),C$9)</f>
        <v>0</v>
      </c>
      <c r="P301" s="27" t="n">
        <f aca="false">MIN(D300*(1+D$8),D$9)</f>
        <v>0</v>
      </c>
      <c r="Q301" s="27" t="n">
        <f aca="false">MIN(E300*(1+E$8),E$9)</f>
        <v>0</v>
      </c>
      <c r="R301" s="27" t="n">
        <f aca="false">MIN(F300*(1+F$8),F$9)</f>
        <v>0</v>
      </c>
      <c r="S301" s="27" t="n">
        <f aca="false">MIN(G300*(1+G$8),G$9)</f>
        <v>0</v>
      </c>
      <c r="T301" s="27" t="n">
        <f aca="false">MIN(H300*(1+H$8),H$9)</f>
        <v>0</v>
      </c>
      <c r="U301" s="27" t="n">
        <f aca="false">MIN(I300*(1+I$8),I$9)</f>
        <v>0</v>
      </c>
      <c r="V301" s="27" t="n">
        <f aca="false">MIN(J300*(1+J$8),J$9)</f>
        <v>0</v>
      </c>
      <c r="W301" s="27" t="n">
        <f aca="false">MIN(K300*(1+K$8),K$9)</f>
        <v>0</v>
      </c>
      <c r="X301" s="27" t="n">
        <f aca="false">MIN(B300*(1+B$8),MAX(N301,$B$11-SUM(O301:W301)))</f>
        <v>0</v>
      </c>
      <c r="Y301" s="27" t="n">
        <f aca="false">MIN(C300*(1+C$8),MAX(O301,$B$11-SUM(X301:X301)-SUM(P301:W301)))</f>
        <v>0</v>
      </c>
      <c r="Z301" s="27" t="n">
        <f aca="false">MIN(D300*(1+D$8),MAX(P301,$B$11-SUM(X301:Y301)-SUM(Q301:W301)))</f>
        <v>0</v>
      </c>
      <c r="AA301" s="27" t="n">
        <f aca="false">MIN(E300*(1+E$8),MAX(Q301,$B$11-SUM(X301:Z301)-SUM(R301:W301)))</f>
        <v>0</v>
      </c>
      <c r="AB301" s="27" t="n">
        <f aca="false">MIN(F300*(1+F$8),MAX(R301,$B$11-SUM(X301:AA301)-SUM(S301:W301)))</f>
        <v>0</v>
      </c>
      <c r="AC301" s="27" t="n">
        <f aca="false">MIN(G300*(1+G$8),MAX(S301,$B$11-SUM(X301:AB301)-SUM(T301:W301)))</f>
        <v>0</v>
      </c>
      <c r="AD301" s="27" t="n">
        <f aca="false">MIN(H300*(1+H$8),MAX(T301,$B$11-SUM(X301:AC301)-SUM(U301:W301)))</f>
        <v>0</v>
      </c>
      <c r="AE301" s="27" t="n">
        <f aca="false">MIN(I300*(1+I$8),MAX(U301,$B$11-SUM(X301:AD301)-SUM(V301:W301)))</f>
        <v>0</v>
      </c>
      <c r="AF301" s="27" t="n">
        <f aca="false">MIN(J300*(1+J$8),MAX(V301,$B$11-SUM(X301:AE301)-SUM(W301:W301)))</f>
        <v>0</v>
      </c>
      <c r="AG301" s="27" t="n">
        <f aca="false">MIN(K300*(1+K$8),MAX(W301,$B$11-SUM(X301:AF301)))</f>
        <v>0</v>
      </c>
      <c r="AI301" s="27" t="n">
        <f aca="false">ROUND(MAX(0,AI300*(1+B$8)-BE301),2)</f>
        <v>0</v>
      </c>
      <c r="AJ301" s="27" t="n">
        <f aca="false">ROUND(MAX(0,AJ300*(1+C$8)-BF301),2)</f>
        <v>0</v>
      </c>
      <c r="AK301" s="27" t="n">
        <f aca="false">ROUND(MAX(0,AK300*(1+D$8)-BG301),2)</f>
        <v>0</v>
      </c>
      <c r="AL301" s="27" t="n">
        <f aca="false">ROUND(MAX(0,AL300*(1+E$8)-BH301),2)</f>
        <v>0</v>
      </c>
      <c r="AM301" s="27" t="n">
        <f aca="false">ROUND(MAX(0,AM300*(1+F$8)-BI301),2)</f>
        <v>0</v>
      </c>
      <c r="AN301" s="27" t="n">
        <f aca="false">ROUND(MAX(0,AN300*(1+G$8)-BJ301),2)</f>
        <v>0</v>
      </c>
      <c r="AO301" s="27" t="n">
        <f aca="false">ROUND(MAX(0,AO300*(1+H$8)-BK301),2)</f>
        <v>0</v>
      </c>
      <c r="AP301" s="27" t="n">
        <f aca="false">ROUND(MAX(0,AP300*(1+I$8)-BL301),2)</f>
        <v>0</v>
      </c>
      <c r="AQ301" s="27" t="n">
        <f aca="false">ROUND(MAX(0,AQ300*(1+J$8)-BM301),2)</f>
        <v>0</v>
      </c>
      <c r="AR301" s="27" t="n">
        <f aca="false">ROUND(MAX(0,AR300*(1+K$8)-BN301),2)</f>
        <v>0</v>
      </c>
      <c r="AS301" s="27" t="n">
        <f aca="false">SUM(AI301:AR301)</f>
        <v>0</v>
      </c>
      <c r="AT301" s="27" t="n">
        <f aca="false">SUMPRODUCT(AI300:AR300,$B$8:$K$8)</f>
        <v>0</v>
      </c>
      <c r="AU301" s="27" t="n">
        <f aca="false">MIN(AI300*(1+B$8),B$9)</f>
        <v>0</v>
      </c>
      <c r="AV301" s="27" t="n">
        <f aca="false">MIN(AJ300*(1+C$8),C$9)</f>
        <v>0</v>
      </c>
      <c r="AW301" s="27" t="n">
        <f aca="false">MIN(AK300*(1+D$8),D$9)</f>
        <v>0</v>
      </c>
      <c r="AX301" s="27" t="n">
        <f aca="false">MIN(AL300*(1+E$8),E$9)</f>
        <v>0</v>
      </c>
      <c r="AY301" s="27" t="n">
        <f aca="false">MIN(AM300*(1+F$8),F$9)</f>
        <v>0</v>
      </c>
      <c r="AZ301" s="27" t="n">
        <f aca="false">MIN(AN300*(1+G$8),G$9)</f>
        <v>0</v>
      </c>
      <c r="BA301" s="27" t="n">
        <f aca="false">MIN(AO300*(1+H$8),H$9)</f>
        <v>0</v>
      </c>
      <c r="BB301" s="27" t="n">
        <f aca="false">MIN(AP300*(1+I$8),I$9)</f>
        <v>0</v>
      </c>
      <c r="BC301" s="27" t="n">
        <f aca="false">MIN(AQ300*(1+J$8),J$9)</f>
        <v>0</v>
      </c>
      <c r="BD301" s="27" t="n">
        <f aca="false">MIN(AR300*(1+K$8),K$9)</f>
        <v>0</v>
      </c>
      <c r="BE301" s="27" t="n">
        <f aca="false">MIN(AI300*(1+B$8),MAX(AU301,$B$12-SUM(AV301:BD301)))</f>
        <v>0</v>
      </c>
      <c r="BF301" s="27" t="n">
        <f aca="false">MIN(AJ300*(1+C$8),MAX(AV301,$B$12-SUM(BE301:BE301)-SUM(AW301:BD301)))</f>
        <v>0</v>
      </c>
      <c r="BG301" s="27" t="n">
        <f aca="false">MIN(AK300*(1+D$8),MAX(AW301,$B$12-SUM(BE301:BF301)-SUM(AX301:BD301)))</f>
        <v>0</v>
      </c>
      <c r="BH301" s="27" t="n">
        <f aca="false">MIN(AL300*(1+E$8),MAX(AX301,$B$12-SUM(BE301:BG301)-SUM(AY301:BD301)))</f>
        <v>0</v>
      </c>
      <c r="BI301" s="27" t="n">
        <f aca="false">MIN(AM300*(1+F$8),MAX(AY301,$B$12-SUM(BE301:BH301)-SUM(AZ301:BD301)))</f>
        <v>0</v>
      </c>
      <c r="BJ301" s="27" t="n">
        <f aca="false">MIN(AN300*(1+G$8),MAX(AZ301,$B$12-SUM(BE301:BI301)-SUM(BA301:BD301)))</f>
        <v>0</v>
      </c>
      <c r="BK301" s="27" t="n">
        <f aca="false">MIN(AO300*(1+H$8),MAX(BA301,$B$12-SUM(BE301:BJ301)-SUM(BB301:BD301)))</f>
        <v>0</v>
      </c>
      <c r="BL301" s="27" t="n">
        <f aca="false">MIN(AP300*(1+I$8),MAX(BB301,$B$12-SUM(BE301:BK301)-SUM(BC301:BD301)))</f>
        <v>0</v>
      </c>
      <c r="BM301" s="27" t="n">
        <f aca="false">MIN(AQ300*(1+J$8),MAX(BC301,$B$12-SUM(BE301:BL301)-SUM(BD301:BD301)))</f>
        <v>0</v>
      </c>
      <c r="BN301" s="27" t="n">
        <f aca="false">MIN(AR300*(1+K$8),MAX(BD301,$B$12-SUM(BE301:BM301)))</f>
        <v>0</v>
      </c>
    </row>
    <row r="302" customFormat="false" ht="15" hidden="false" customHeight="false" outlineLevel="0" collapsed="false">
      <c r="A302" s="0" t="n">
        <v>288</v>
      </c>
      <c r="B302" s="27" t="n">
        <f aca="false">ROUND(MAX(0,B301*(1+B$8)-X302),2)</f>
        <v>0</v>
      </c>
      <c r="C302" s="27" t="n">
        <f aca="false">ROUND(MAX(0,C301*(1+C$8)-Y302),2)</f>
        <v>0</v>
      </c>
      <c r="D302" s="27" t="n">
        <f aca="false">ROUND(MAX(0,D301*(1+D$8)-Z302),2)</f>
        <v>0</v>
      </c>
      <c r="E302" s="27" t="n">
        <f aca="false">ROUND(MAX(0,E301*(1+E$8)-AA302),2)</f>
        <v>0</v>
      </c>
      <c r="F302" s="27" t="n">
        <f aca="false">ROUND(MAX(0,F301*(1+F$8)-AB302),2)</f>
        <v>0</v>
      </c>
      <c r="G302" s="27" t="n">
        <f aca="false">ROUND(MAX(0,G301*(1+G$8)-AC302),2)</f>
        <v>0</v>
      </c>
      <c r="H302" s="27" t="n">
        <f aca="false">ROUND(MAX(0,H301*(1+H$8)-AD302),2)</f>
        <v>0</v>
      </c>
      <c r="I302" s="27" t="n">
        <f aca="false">ROUND(MAX(0,I301*(1+I$8)-AE302),2)</f>
        <v>0</v>
      </c>
      <c r="J302" s="27" t="n">
        <f aca="false">ROUND(MAX(0,J301*(1+J$8)-AF302),2)</f>
        <v>0</v>
      </c>
      <c r="K302" s="27" t="n">
        <f aca="false">ROUND(MAX(0,K301*(1+K$8)-AG302),2)</f>
        <v>0</v>
      </c>
      <c r="L302" s="30" t="n">
        <f aca="false">SUM(B302:K302)</f>
        <v>0</v>
      </c>
      <c r="M302" s="27" t="n">
        <f aca="false">SUMPRODUCT(B301:K301,$B$8:$K$8)</f>
        <v>0</v>
      </c>
      <c r="N302" s="27" t="n">
        <f aca="false">MIN(B301*(1+B$8),B$9)</f>
        <v>0</v>
      </c>
      <c r="O302" s="27" t="n">
        <f aca="false">MIN(C301*(1+C$8),C$9)</f>
        <v>0</v>
      </c>
      <c r="P302" s="27" t="n">
        <f aca="false">MIN(D301*(1+D$8),D$9)</f>
        <v>0</v>
      </c>
      <c r="Q302" s="27" t="n">
        <f aca="false">MIN(E301*(1+E$8),E$9)</f>
        <v>0</v>
      </c>
      <c r="R302" s="27" t="n">
        <f aca="false">MIN(F301*(1+F$8),F$9)</f>
        <v>0</v>
      </c>
      <c r="S302" s="27" t="n">
        <f aca="false">MIN(G301*(1+G$8),G$9)</f>
        <v>0</v>
      </c>
      <c r="T302" s="27" t="n">
        <f aca="false">MIN(H301*(1+H$8),H$9)</f>
        <v>0</v>
      </c>
      <c r="U302" s="27" t="n">
        <f aca="false">MIN(I301*(1+I$8),I$9)</f>
        <v>0</v>
      </c>
      <c r="V302" s="27" t="n">
        <f aca="false">MIN(J301*(1+J$8),J$9)</f>
        <v>0</v>
      </c>
      <c r="W302" s="27" t="n">
        <f aca="false">MIN(K301*(1+K$8),K$9)</f>
        <v>0</v>
      </c>
      <c r="X302" s="27" t="n">
        <f aca="false">MIN(B301*(1+B$8),MAX(N302,$B$11-SUM(O302:W302)))</f>
        <v>0</v>
      </c>
      <c r="Y302" s="27" t="n">
        <f aca="false">MIN(C301*(1+C$8),MAX(O302,$B$11-SUM(X302:X302)-SUM(P302:W302)))</f>
        <v>0</v>
      </c>
      <c r="Z302" s="27" t="n">
        <f aca="false">MIN(D301*(1+D$8),MAX(P302,$B$11-SUM(X302:Y302)-SUM(Q302:W302)))</f>
        <v>0</v>
      </c>
      <c r="AA302" s="27" t="n">
        <f aca="false">MIN(E301*(1+E$8),MAX(Q302,$B$11-SUM(X302:Z302)-SUM(R302:W302)))</f>
        <v>0</v>
      </c>
      <c r="AB302" s="27" t="n">
        <f aca="false">MIN(F301*(1+F$8),MAX(R302,$B$11-SUM(X302:AA302)-SUM(S302:W302)))</f>
        <v>0</v>
      </c>
      <c r="AC302" s="27" t="n">
        <f aca="false">MIN(G301*(1+G$8),MAX(S302,$B$11-SUM(X302:AB302)-SUM(T302:W302)))</f>
        <v>0</v>
      </c>
      <c r="AD302" s="27" t="n">
        <f aca="false">MIN(H301*(1+H$8),MAX(T302,$B$11-SUM(X302:AC302)-SUM(U302:W302)))</f>
        <v>0</v>
      </c>
      <c r="AE302" s="27" t="n">
        <f aca="false">MIN(I301*(1+I$8),MAX(U302,$B$11-SUM(X302:AD302)-SUM(V302:W302)))</f>
        <v>0</v>
      </c>
      <c r="AF302" s="27" t="n">
        <f aca="false">MIN(J301*(1+J$8),MAX(V302,$B$11-SUM(X302:AE302)-SUM(W302:W302)))</f>
        <v>0</v>
      </c>
      <c r="AG302" s="27" t="n">
        <f aca="false">MIN(K301*(1+K$8),MAX(W302,$B$11-SUM(X302:AF302)))</f>
        <v>0</v>
      </c>
      <c r="AI302" s="27" t="n">
        <f aca="false">ROUND(MAX(0,AI301*(1+B$8)-BE302),2)</f>
        <v>0</v>
      </c>
      <c r="AJ302" s="27" t="n">
        <f aca="false">ROUND(MAX(0,AJ301*(1+C$8)-BF302),2)</f>
        <v>0</v>
      </c>
      <c r="AK302" s="27" t="n">
        <f aca="false">ROUND(MAX(0,AK301*(1+D$8)-BG302),2)</f>
        <v>0</v>
      </c>
      <c r="AL302" s="27" t="n">
        <f aca="false">ROUND(MAX(0,AL301*(1+E$8)-BH302),2)</f>
        <v>0</v>
      </c>
      <c r="AM302" s="27" t="n">
        <f aca="false">ROUND(MAX(0,AM301*(1+F$8)-BI302),2)</f>
        <v>0</v>
      </c>
      <c r="AN302" s="27" t="n">
        <f aca="false">ROUND(MAX(0,AN301*(1+G$8)-BJ302),2)</f>
        <v>0</v>
      </c>
      <c r="AO302" s="27" t="n">
        <f aca="false">ROUND(MAX(0,AO301*(1+H$8)-BK302),2)</f>
        <v>0</v>
      </c>
      <c r="AP302" s="27" t="n">
        <f aca="false">ROUND(MAX(0,AP301*(1+I$8)-BL302),2)</f>
        <v>0</v>
      </c>
      <c r="AQ302" s="27" t="n">
        <f aca="false">ROUND(MAX(0,AQ301*(1+J$8)-BM302),2)</f>
        <v>0</v>
      </c>
      <c r="AR302" s="27" t="n">
        <f aca="false">ROUND(MAX(0,AR301*(1+K$8)-BN302),2)</f>
        <v>0</v>
      </c>
      <c r="AS302" s="27" t="n">
        <f aca="false">SUM(AI302:AR302)</f>
        <v>0</v>
      </c>
      <c r="AT302" s="27" t="n">
        <f aca="false">SUMPRODUCT(AI301:AR301,$B$8:$K$8)</f>
        <v>0</v>
      </c>
      <c r="AU302" s="27" t="n">
        <f aca="false">MIN(AI301*(1+B$8),B$9)</f>
        <v>0</v>
      </c>
      <c r="AV302" s="27" t="n">
        <f aca="false">MIN(AJ301*(1+C$8),C$9)</f>
        <v>0</v>
      </c>
      <c r="AW302" s="27" t="n">
        <f aca="false">MIN(AK301*(1+D$8),D$9)</f>
        <v>0</v>
      </c>
      <c r="AX302" s="27" t="n">
        <f aca="false">MIN(AL301*(1+E$8),E$9)</f>
        <v>0</v>
      </c>
      <c r="AY302" s="27" t="n">
        <f aca="false">MIN(AM301*(1+F$8),F$9)</f>
        <v>0</v>
      </c>
      <c r="AZ302" s="27" t="n">
        <f aca="false">MIN(AN301*(1+G$8),G$9)</f>
        <v>0</v>
      </c>
      <c r="BA302" s="27" t="n">
        <f aca="false">MIN(AO301*(1+H$8),H$9)</f>
        <v>0</v>
      </c>
      <c r="BB302" s="27" t="n">
        <f aca="false">MIN(AP301*(1+I$8),I$9)</f>
        <v>0</v>
      </c>
      <c r="BC302" s="27" t="n">
        <f aca="false">MIN(AQ301*(1+J$8),J$9)</f>
        <v>0</v>
      </c>
      <c r="BD302" s="27" t="n">
        <f aca="false">MIN(AR301*(1+K$8),K$9)</f>
        <v>0</v>
      </c>
      <c r="BE302" s="27" t="n">
        <f aca="false">MIN(AI301*(1+B$8),MAX(AU302,$B$12-SUM(AV302:BD302)))</f>
        <v>0</v>
      </c>
      <c r="BF302" s="27" t="n">
        <f aca="false">MIN(AJ301*(1+C$8),MAX(AV302,$B$12-SUM(BE302:BE302)-SUM(AW302:BD302)))</f>
        <v>0</v>
      </c>
      <c r="BG302" s="27" t="n">
        <f aca="false">MIN(AK301*(1+D$8),MAX(AW302,$B$12-SUM(BE302:BF302)-SUM(AX302:BD302)))</f>
        <v>0</v>
      </c>
      <c r="BH302" s="27" t="n">
        <f aca="false">MIN(AL301*(1+E$8),MAX(AX302,$B$12-SUM(BE302:BG302)-SUM(AY302:BD302)))</f>
        <v>0</v>
      </c>
      <c r="BI302" s="27" t="n">
        <f aca="false">MIN(AM301*(1+F$8),MAX(AY302,$B$12-SUM(BE302:BH302)-SUM(AZ302:BD302)))</f>
        <v>0</v>
      </c>
      <c r="BJ302" s="27" t="n">
        <f aca="false">MIN(AN301*(1+G$8),MAX(AZ302,$B$12-SUM(BE302:BI302)-SUM(BA302:BD302)))</f>
        <v>0</v>
      </c>
      <c r="BK302" s="27" t="n">
        <f aca="false">MIN(AO301*(1+H$8),MAX(BA302,$B$12-SUM(BE302:BJ302)-SUM(BB302:BD302)))</f>
        <v>0</v>
      </c>
      <c r="BL302" s="27" t="n">
        <f aca="false">MIN(AP301*(1+I$8),MAX(BB302,$B$12-SUM(BE302:BK302)-SUM(BC302:BD302)))</f>
        <v>0</v>
      </c>
      <c r="BM302" s="27" t="n">
        <f aca="false">MIN(AQ301*(1+J$8),MAX(BC302,$B$12-SUM(BE302:BL302)-SUM(BD302:BD302)))</f>
        <v>0</v>
      </c>
      <c r="BN302" s="27" t="n">
        <f aca="false">MIN(AR301*(1+K$8),MAX(BD302,$B$12-SUM(BE302:BM302)))</f>
        <v>0</v>
      </c>
    </row>
    <row r="303" customFormat="false" ht="15" hidden="false" customHeight="false" outlineLevel="0" collapsed="false">
      <c r="A303" s="0" t="n">
        <v>289</v>
      </c>
      <c r="B303" s="27" t="n">
        <f aca="false">ROUND(MAX(0,B302*(1+B$8)-X303),2)</f>
        <v>0</v>
      </c>
      <c r="C303" s="27" t="n">
        <f aca="false">ROUND(MAX(0,C302*(1+C$8)-Y303),2)</f>
        <v>0</v>
      </c>
      <c r="D303" s="27" t="n">
        <f aca="false">ROUND(MAX(0,D302*(1+D$8)-Z303),2)</f>
        <v>0</v>
      </c>
      <c r="E303" s="27" t="n">
        <f aca="false">ROUND(MAX(0,E302*(1+E$8)-AA303),2)</f>
        <v>0</v>
      </c>
      <c r="F303" s="27" t="n">
        <f aca="false">ROUND(MAX(0,F302*(1+F$8)-AB303),2)</f>
        <v>0</v>
      </c>
      <c r="G303" s="27" t="n">
        <f aca="false">ROUND(MAX(0,G302*(1+G$8)-AC303),2)</f>
        <v>0</v>
      </c>
      <c r="H303" s="27" t="n">
        <f aca="false">ROUND(MAX(0,H302*(1+H$8)-AD303),2)</f>
        <v>0</v>
      </c>
      <c r="I303" s="27" t="n">
        <f aca="false">ROUND(MAX(0,I302*(1+I$8)-AE303),2)</f>
        <v>0</v>
      </c>
      <c r="J303" s="27" t="n">
        <f aca="false">ROUND(MAX(0,J302*(1+J$8)-AF303),2)</f>
        <v>0</v>
      </c>
      <c r="K303" s="27" t="n">
        <f aca="false">ROUND(MAX(0,K302*(1+K$8)-AG303),2)</f>
        <v>0</v>
      </c>
      <c r="L303" s="30" t="n">
        <f aca="false">SUM(B303:K303)</f>
        <v>0</v>
      </c>
      <c r="M303" s="27" t="n">
        <f aca="false">SUMPRODUCT(B302:K302,$B$8:$K$8)</f>
        <v>0</v>
      </c>
      <c r="N303" s="27" t="n">
        <f aca="false">MIN(B302*(1+B$8),B$9)</f>
        <v>0</v>
      </c>
      <c r="O303" s="27" t="n">
        <f aca="false">MIN(C302*(1+C$8),C$9)</f>
        <v>0</v>
      </c>
      <c r="P303" s="27" t="n">
        <f aca="false">MIN(D302*(1+D$8),D$9)</f>
        <v>0</v>
      </c>
      <c r="Q303" s="27" t="n">
        <f aca="false">MIN(E302*(1+E$8),E$9)</f>
        <v>0</v>
      </c>
      <c r="R303" s="27" t="n">
        <f aca="false">MIN(F302*(1+F$8),F$9)</f>
        <v>0</v>
      </c>
      <c r="S303" s="27" t="n">
        <f aca="false">MIN(G302*(1+G$8),G$9)</f>
        <v>0</v>
      </c>
      <c r="T303" s="27" t="n">
        <f aca="false">MIN(H302*(1+H$8),H$9)</f>
        <v>0</v>
      </c>
      <c r="U303" s="27" t="n">
        <f aca="false">MIN(I302*(1+I$8),I$9)</f>
        <v>0</v>
      </c>
      <c r="V303" s="27" t="n">
        <f aca="false">MIN(J302*(1+J$8),J$9)</f>
        <v>0</v>
      </c>
      <c r="W303" s="27" t="n">
        <f aca="false">MIN(K302*(1+K$8),K$9)</f>
        <v>0</v>
      </c>
      <c r="X303" s="27" t="n">
        <f aca="false">MIN(B302*(1+B$8),MAX(N303,$B$11-SUM(O303:W303)))</f>
        <v>0</v>
      </c>
      <c r="Y303" s="27" t="n">
        <f aca="false">MIN(C302*(1+C$8),MAX(O303,$B$11-SUM(X303:X303)-SUM(P303:W303)))</f>
        <v>0</v>
      </c>
      <c r="Z303" s="27" t="n">
        <f aca="false">MIN(D302*(1+D$8),MAX(P303,$B$11-SUM(X303:Y303)-SUM(Q303:W303)))</f>
        <v>0</v>
      </c>
      <c r="AA303" s="27" t="n">
        <f aca="false">MIN(E302*(1+E$8),MAX(Q303,$B$11-SUM(X303:Z303)-SUM(R303:W303)))</f>
        <v>0</v>
      </c>
      <c r="AB303" s="27" t="n">
        <f aca="false">MIN(F302*(1+F$8),MAX(R303,$B$11-SUM(X303:AA303)-SUM(S303:W303)))</f>
        <v>0</v>
      </c>
      <c r="AC303" s="27" t="n">
        <f aca="false">MIN(G302*(1+G$8),MAX(S303,$B$11-SUM(X303:AB303)-SUM(T303:W303)))</f>
        <v>0</v>
      </c>
      <c r="AD303" s="27" t="n">
        <f aca="false">MIN(H302*(1+H$8),MAX(T303,$B$11-SUM(X303:AC303)-SUM(U303:W303)))</f>
        <v>0</v>
      </c>
      <c r="AE303" s="27" t="n">
        <f aca="false">MIN(I302*(1+I$8),MAX(U303,$B$11-SUM(X303:AD303)-SUM(V303:W303)))</f>
        <v>0</v>
      </c>
      <c r="AF303" s="27" t="n">
        <f aca="false">MIN(J302*(1+J$8),MAX(V303,$B$11-SUM(X303:AE303)-SUM(W303:W303)))</f>
        <v>0</v>
      </c>
      <c r="AG303" s="27" t="n">
        <f aca="false">MIN(K302*(1+K$8),MAX(W303,$B$11-SUM(X303:AF303)))</f>
        <v>0</v>
      </c>
      <c r="AI303" s="27" t="n">
        <f aca="false">ROUND(MAX(0,AI302*(1+B$8)-BE303),2)</f>
        <v>0</v>
      </c>
      <c r="AJ303" s="27" t="n">
        <f aca="false">ROUND(MAX(0,AJ302*(1+C$8)-BF303),2)</f>
        <v>0</v>
      </c>
      <c r="AK303" s="27" t="n">
        <f aca="false">ROUND(MAX(0,AK302*(1+D$8)-BG303),2)</f>
        <v>0</v>
      </c>
      <c r="AL303" s="27" t="n">
        <f aca="false">ROUND(MAX(0,AL302*(1+E$8)-BH303),2)</f>
        <v>0</v>
      </c>
      <c r="AM303" s="27" t="n">
        <f aca="false">ROUND(MAX(0,AM302*(1+F$8)-BI303),2)</f>
        <v>0</v>
      </c>
      <c r="AN303" s="27" t="n">
        <f aca="false">ROUND(MAX(0,AN302*(1+G$8)-BJ303),2)</f>
        <v>0</v>
      </c>
      <c r="AO303" s="27" t="n">
        <f aca="false">ROUND(MAX(0,AO302*(1+H$8)-BK303),2)</f>
        <v>0</v>
      </c>
      <c r="AP303" s="27" t="n">
        <f aca="false">ROUND(MAX(0,AP302*(1+I$8)-BL303),2)</f>
        <v>0</v>
      </c>
      <c r="AQ303" s="27" t="n">
        <f aca="false">ROUND(MAX(0,AQ302*(1+J$8)-BM303),2)</f>
        <v>0</v>
      </c>
      <c r="AR303" s="27" t="n">
        <f aca="false">ROUND(MAX(0,AR302*(1+K$8)-BN303),2)</f>
        <v>0</v>
      </c>
      <c r="AS303" s="27" t="n">
        <f aca="false">SUM(AI303:AR303)</f>
        <v>0</v>
      </c>
      <c r="AT303" s="27" t="n">
        <f aca="false">SUMPRODUCT(AI302:AR302,$B$8:$K$8)</f>
        <v>0</v>
      </c>
      <c r="AU303" s="27" t="n">
        <f aca="false">MIN(AI302*(1+B$8),B$9)</f>
        <v>0</v>
      </c>
      <c r="AV303" s="27" t="n">
        <f aca="false">MIN(AJ302*(1+C$8),C$9)</f>
        <v>0</v>
      </c>
      <c r="AW303" s="27" t="n">
        <f aca="false">MIN(AK302*(1+D$8),D$9)</f>
        <v>0</v>
      </c>
      <c r="AX303" s="27" t="n">
        <f aca="false">MIN(AL302*(1+E$8),E$9)</f>
        <v>0</v>
      </c>
      <c r="AY303" s="27" t="n">
        <f aca="false">MIN(AM302*(1+F$8),F$9)</f>
        <v>0</v>
      </c>
      <c r="AZ303" s="27" t="n">
        <f aca="false">MIN(AN302*(1+G$8),G$9)</f>
        <v>0</v>
      </c>
      <c r="BA303" s="27" t="n">
        <f aca="false">MIN(AO302*(1+H$8),H$9)</f>
        <v>0</v>
      </c>
      <c r="BB303" s="27" t="n">
        <f aca="false">MIN(AP302*(1+I$8),I$9)</f>
        <v>0</v>
      </c>
      <c r="BC303" s="27" t="n">
        <f aca="false">MIN(AQ302*(1+J$8),J$9)</f>
        <v>0</v>
      </c>
      <c r="BD303" s="27" t="n">
        <f aca="false">MIN(AR302*(1+K$8),K$9)</f>
        <v>0</v>
      </c>
      <c r="BE303" s="27" t="n">
        <f aca="false">MIN(AI302*(1+B$8),MAX(AU303,$B$12-SUM(AV303:BD303)))</f>
        <v>0</v>
      </c>
      <c r="BF303" s="27" t="n">
        <f aca="false">MIN(AJ302*(1+C$8),MAX(AV303,$B$12-SUM(BE303:BE303)-SUM(AW303:BD303)))</f>
        <v>0</v>
      </c>
      <c r="BG303" s="27" t="n">
        <f aca="false">MIN(AK302*(1+D$8),MAX(AW303,$B$12-SUM(BE303:BF303)-SUM(AX303:BD303)))</f>
        <v>0</v>
      </c>
      <c r="BH303" s="27" t="n">
        <f aca="false">MIN(AL302*(1+E$8),MAX(AX303,$B$12-SUM(BE303:BG303)-SUM(AY303:BD303)))</f>
        <v>0</v>
      </c>
      <c r="BI303" s="27" t="n">
        <f aca="false">MIN(AM302*(1+F$8),MAX(AY303,$B$12-SUM(BE303:BH303)-SUM(AZ303:BD303)))</f>
        <v>0</v>
      </c>
      <c r="BJ303" s="27" t="n">
        <f aca="false">MIN(AN302*(1+G$8),MAX(AZ303,$B$12-SUM(BE303:BI303)-SUM(BA303:BD303)))</f>
        <v>0</v>
      </c>
      <c r="BK303" s="27" t="n">
        <f aca="false">MIN(AO302*(1+H$8),MAX(BA303,$B$12-SUM(BE303:BJ303)-SUM(BB303:BD303)))</f>
        <v>0</v>
      </c>
      <c r="BL303" s="27" t="n">
        <f aca="false">MIN(AP302*(1+I$8),MAX(BB303,$B$12-SUM(BE303:BK303)-SUM(BC303:BD303)))</f>
        <v>0</v>
      </c>
      <c r="BM303" s="27" t="n">
        <f aca="false">MIN(AQ302*(1+J$8),MAX(BC303,$B$12-SUM(BE303:BL303)-SUM(BD303:BD303)))</f>
        <v>0</v>
      </c>
      <c r="BN303" s="27" t="n">
        <f aca="false">MIN(AR302*(1+K$8),MAX(BD303,$B$12-SUM(BE303:BM303)))</f>
        <v>0</v>
      </c>
    </row>
    <row r="304" customFormat="false" ht="15" hidden="false" customHeight="false" outlineLevel="0" collapsed="false">
      <c r="A304" s="0" t="n">
        <v>290</v>
      </c>
      <c r="B304" s="27" t="n">
        <f aca="false">ROUND(MAX(0,B303*(1+B$8)-X304),2)</f>
        <v>0</v>
      </c>
      <c r="C304" s="27" t="n">
        <f aca="false">ROUND(MAX(0,C303*(1+C$8)-Y304),2)</f>
        <v>0</v>
      </c>
      <c r="D304" s="27" t="n">
        <f aca="false">ROUND(MAX(0,D303*(1+D$8)-Z304),2)</f>
        <v>0</v>
      </c>
      <c r="E304" s="27" t="n">
        <f aca="false">ROUND(MAX(0,E303*(1+E$8)-AA304),2)</f>
        <v>0</v>
      </c>
      <c r="F304" s="27" t="n">
        <f aca="false">ROUND(MAX(0,F303*(1+F$8)-AB304),2)</f>
        <v>0</v>
      </c>
      <c r="G304" s="27" t="n">
        <f aca="false">ROUND(MAX(0,G303*(1+G$8)-AC304),2)</f>
        <v>0</v>
      </c>
      <c r="H304" s="27" t="n">
        <f aca="false">ROUND(MAX(0,H303*(1+H$8)-AD304),2)</f>
        <v>0</v>
      </c>
      <c r="I304" s="27" t="n">
        <f aca="false">ROUND(MAX(0,I303*(1+I$8)-AE304),2)</f>
        <v>0</v>
      </c>
      <c r="J304" s="27" t="n">
        <f aca="false">ROUND(MAX(0,J303*(1+J$8)-AF304),2)</f>
        <v>0</v>
      </c>
      <c r="K304" s="27" t="n">
        <f aca="false">ROUND(MAX(0,K303*(1+K$8)-AG304),2)</f>
        <v>0</v>
      </c>
      <c r="L304" s="30" t="n">
        <f aca="false">SUM(B304:K304)</f>
        <v>0</v>
      </c>
      <c r="M304" s="27" t="n">
        <f aca="false">SUMPRODUCT(B303:K303,$B$8:$K$8)</f>
        <v>0</v>
      </c>
      <c r="N304" s="27" t="n">
        <f aca="false">MIN(B303*(1+B$8),B$9)</f>
        <v>0</v>
      </c>
      <c r="O304" s="27" t="n">
        <f aca="false">MIN(C303*(1+C$8),C$9)</f>
        <v>0</v>
      </c>
      <c r="P304" s="27" t="n">
        <f aca="false">MIN(D303*(1+D$8),D$9)</f>
        <v>0</v>
      </c>
      <c r="Q304" s="27" t="n">
        <f aca="false">MIN(E303*(1+E$8),E$9)</f>
        <v>0</v>
      </c>
      <c r="R304" s="27" t="n">
        <f aca="false">MIN(F303*(1+F$8),F$9)</f>
        <v>0</v>
      </c>
      <c r="S304" s="27" t="n">
        <f aca="false">MIN(G303*(1+G$8),G$9)</f>
        <v>0</v>
      </c>
      <c r="T304" s="27" t="n">
        <f aca="false">MIN(H303*(1+H$8),H$9)</f>
        <v>0</v>
      </c>
      <c r="U304" s="27" t="n">
        <f aca="false">MIN(I303*(1+I$8),I$9)</f>
        <v>0</v>
      </c>
      <c r="V304" s="27" t="n">
        <f aca="false">MIN(J303*(1+J$8),J$9)</f>
        <v>0</v>
      </c>
      <c r="W304" s="27" t="n">
        <f aca="false">MIN(K303*(1+K$8),K$9)</f>
        <v>0</v>
      </c>
      <c r="X304" s="27" t="n">
        <f aca="false">MIN(B303*(1+B$8),MAX(N304,$B$11-SUM(O304:W304)))</f>
        <v>0</v>
      </c>
      <c r="Y304" s="27" t="n">
        <f aca="false">MIN(C303*(1+C$8),MAX(O304,$B$11-SUM(X304:X304)-SUM(P304:W304)))</f>
        <v>0</v>
      </c>
      <c r="Z304" s="27" t="n">
        <f aca="false">MIN(D303*(1+D$8),MAX(P304,$B$11-SUM(X304:Y304)-SUM(Q304:W304)))</f>
        <v>0</v>
      </c>
      <c r="AA304" s="27" t="n">
        <f aca="false">MIN(E303*(1+E$8),MAX(Q304,$B$11-SUM(X304:Z304)-SUM(R304:W304)))</f>
        <v>0</v>
      </c>
      <c r="AB304" s="27" t="n">
        <f aca="false">MIN(F303*(1+F$8),MAX(R304,$B$11-SUM(X304:AA304)-SUM(S304:W304)))</f>
        <v>0</v>
      </c>
      <c r="AC304" s="27" t="n">
        <f aca="false">MIN(G303*(1+G$8),MAX(S304,$B$11-SUM(X304:AB304)-SUM(T304:W304)))</f>
        <v>0</v>
      </c>
      <c r="AD304" s="27" t="n">
        <f aca="false">MIN(H303*(1+H$8),MAX(T304,$B$11-SUM(X304:AC304)-SUM(U304:W304)))</f>
        <v>0</v>
      </c>
      <c r="AE304" s="27" t="n">
        <f aca="false">MIN(I303*(1+I$8),MAX(U304,$B$11-SUM(X304:AD304)-SUM(V304:W304)))</f>
        <v>0</v>
      </c>
      <c r="AF304" s="27" t="n">
        <f aca="false">MIN(J303*(1+J$8),MAX(V304,$B$11-SUM(X304:AE304)-SUM(W304:W304)))</f>
        <v>0</v>
      </c>
      <c r="AG304" s="27" t="n">
        <f aca="false">MIN(K303*(1+K$8),MAX(W304,$B$11-SUM(X304:AF304)))</f>
        <v>0</v>
      </c>
      <c r="AI304" s="27" t="n">
        <f aca="false">ROUND(MAX(0,AI303*(1+B$8)-BE304),2)</f>
        <v>0</v>
      </c>
      <c r="AJ304" s="27" t="n">
        <f aca="false">ROUND(MAX(0,AJ303*(1+C$8)-BF304),2)</f>
        <v>0</v>
      </c>
      <c r="AK304" s="27" t="n">
        <f aca="false">ROUND(MAX(0,AK303*(1+D$8)-BG304),2)</f>
        <v>0</v>
      </c>
      <c r="AL304" s="27" t="n">
        <f aca="false">ROUND(MAX(0,AL303*(1+E$8)-BH304),2)</f>
        <v>0</v>
      </c>
      <c r="AM304" s="27" t="n">
        <f aca="false">ROUND(MAX(0,AM303*(1+F$8)-BI304),2)</f>
        <v>0</v>
      </c>
      <c r="AN304" s="27" t="n">
        <f aca="false">ROUND(MAX(0,AN303*(1+G$8)-BJ304),2)</f>
        <v>0</v>
      </c>
      <c r="AO304" s="27" t="n">
        <f aca="false">ROUND(MAX(0,AO303*(1+H$8)-BK304),2)</f>
        <v>0</v>
      </c>
      <c r="AP304" s="27" t="n">
        <f aca="false">ROUND(MAX(0,AP303*(1+I$8)-BL304),2)</f>
        <v>0</v>
      </c>
      <c r="AQ304" s="27" t="n">
        <f aca="false">ROUND(MAX(0,AQ303*(1+J$8)-BM304),2)</f>
        <v>0</v>
      </c>
      <c r="AR304" s="27" t="n">
        <f aca="false">ROUND(MAX(0,AR303*(1+K$8)-BN304),2)</f>
        <v>0</v>
      </c>
      <c r="AS304" s="27" t="n">
        <f aca="false">SUM(AI304:AR304)</f>
        <v>0</v>
      </c>
      <c r="AT304" s="27" t="n">
        <f aca="false">SUMPRODUCT(AI303:AR303,$B$8:$K$8)</f>
        <v>0</v>
      </c>
      <c r="AU304" s="27" t="n">
        <f aca="false">MIN(AI303*(1+B$8),B$9)</f>
        <v>0</v>
      </c>
      <c r="AV304" s="27" t="n">
        <f aca="false">MIN(AJ303*(1+C$8),C$9)</f>
        <v>0</v>
      </c>
      <c r="AW304" s="27" t="n">
        <f aca="false">MIN(AK303*(1+D$8),D$9)</f>
        <v>0</v>
      </c>
      <c r="AX304" s="27" t="n">
        <f aca="false">MIN(AL303*(1+E$8),E$9)</f>
        <v>0</v>
      </c>
      <c r="AY304" s="27" t="n">
        <f aca="false">MIN(AM303*(1+F$8),F$9)</f>
        <v>0</v>
      </c>
      <c r="AZ304" s="27" t="n">
        <f aca="false">MIN(AN303*(1+G$8),G$9)</f>
        <v>0</v>
      </c>
      <c r="BA304" s="27" t="n">
        <f aca="false">MIN(AO303*(1+H$8),H$9)</f>
        <v>0</v>
      </c>
      <c r="BB304" s="27" t="n">
        <f aca="false">MIN(AP303*(1+I$8),I$9)</f>
        <v>0</v>
      </c>
      <c r="BC304" s="27" t="n">
        <f aca="false">MIN(AQ303*(1+J$8),J$9)</f>
        <v>0</v>
      </c>
      <c r="BD304" s="27" t="n">
        <f aca="false">MIN(AR303*(1+K$8),K$9)</f>
        <v>0</v>
      </c>
      <c r="BE304" s="27" t="n">
        <f aca="false">MIN(AI303*(1+B$8),MAX(AU304,$B$12-SUM(AV304:BD304)))</f>
        <v>0</v>
      </c>
      <c r="BF304" s="27" t="n">
        <f aca="false">MIN(AJ303*(1+C$8),MAX(AV304,$B$12-SUM(BE304:BE304)-SUM(AW304:BD304)))</f>
        <v>0</v>
      </c>
      <c r="BG304" s="27" t="n">
        <f aca="false">MIN(AK303*(1+D$8),MAX(AW304,$B$12-SUM(BE304:BF304)-SUM(AX304:BD304)))</f>
        <v>0</v>
      </c>
      <c r="BH304" s="27" t="n">
        <f aca="false">MIN(AL303*(1+E$8),MAX(AX304,$B$12-SUM(BE304:BG304)-SUM(AY304:BD304)))</f>
        <v>0</v>
      </c>
      <c r="BI304" s="27" t="n">
        <f aca="false">MIN(AM303*(1+F$8),MAX(AY304,$B$12-SUM(BE304:BH304)-SUM(AZ304:BD304)))</f>
        <v>0</v>
      </c>
      <c r="BJ304" s="27" t="n">
        <f aca="false">MIN(AN303*(1+G$8),MAX(AZ304,$B$12-SUM(BE304:BI304)-SUM(BA304:BD304)))</f>
        <v>0</v>
      </c>
      <c r="BK304" s="27" t="n">
        <f aca="false">MIN(AO303*(1+H$8),MAX(BA304,$B$12-SUM(BE304:BJ304)-SUM(BB304:BD304)))</f>
        <v>0</v>
      </c>
      <c r="BL304" s="27" t="n">
        <f aca="false">MIN(AP303*(1+I$8),MAX(BB304,$B$12-SUM(BE304:BK304)-SUM(BC304:BD304)))</f>
        <v>0</v>
      </c>
      <c r="BM304" s="27" t="n">
        <f aca="false">MIN(AQ303*(1+J$8),MAX(BC304,$B$12-SUM(BE304:BL304)-SUM(BD304:BD304)))</f>
        <v>0</v>
      </c>
      <c r="BN304" s="27" t="n">
        <f aca="false">MIN(AR303*(1+K$8),MAX(BD304,$B$12-SUM(BE304:BM304)))</f>
        <v>0</v>
      </c>
    </row>
    <row r="305" customFormat="false" ht="15" hidden="false" customHeight="false" outlineLevel="0" collapsed="false">
      <c r="A305" s="0" t="n">
        <v>291</v>
      </c>
      <c r="B305" s="27" t="n">
        <f aca="false">ROUND(MAX(0,B304*(1+B$8)-X305),2)</f>
        <v>0</v>
      </c>
      <c r="C305" s="27" t="n">
        <f aca="false">ROUND(MAX(0,C304*(1+C$8)-Y305),2)</f>
        <v>0</v>
      </c>
      <c r="D305" s="27" t="n">
        <f aca="false">ROUND(MAX(0,D304*(1+D$8)-Z305),2)</f>
        <v>0</v>
      </c>
      <c r="E305" s="27" t="n">
        <f aca="false">ROUND(MAX(0,E304*(1+E$8)-AA305),2)</f>
        <v>0</v>
      </c>
      <c r="F305" s="27" t="n">
        <f aca="false">ROUND(MAX(0,F304*(1+F$8)-AB305),2)</f>
        <v>0</v>
      </c>
      <c r="G305" s="27" t="n">
        <f aca="false">ROUND(MAX(0,G304*(1+G$8)-AC305),2)</f>
        <v>0</v>
      </c>
      <c r="H305" s="27" t="n">
        <f aca="false">ROUND(MAX(0,H304*(1+H$8)-AD305),2)</f>
        <v>0</v>
      </c>
      <c r="I305" s="27" t="n">
        <f aca="false">ROUND(MAX(0,I304*(1+I$8)-AE305),2)</f>
        <v>0</v>
      </c>
      <c r="J305" s="27" t="n">
        <f aca="false">ROUND(MAX(0,J304*(1+J$8)-AF305),2)</f>
        <v>0</v>
      </c>
      <c r="K305" s="27" t="n">
        <f aca="false">ROUND(MAX(0,K304*(1+K$8)-AG305),2)</f>
        <v>0</v>
      </c>
      <c r="L305" s="30" t="n">
        <f aca="false">SUM(B305:K305)</f>
        <v>0</v>
      </c>
      <c r="M305" s="27" t="n">
        <f aca="false">SUMPRODUCT(B304:K304,$B$8:$K$8)</f>
        <v>0</v>
      </c>
      <c r="N305" s="27" t="n">
        <f aca="false">MIN(B304*(1+B$8),B$9)</f>
        <v>0</v>
      </c>
      <c r="O305" s="27" t="n">
        <f aca="false">MIN(C304*(1+C$8),C$9)</f>
        <v>0</v>
      </c>
      <c r="P305" s="27" t="n">
        <f aca="false">MIN(D304*(1+D$8),D$9)</f>
        <v>0</v>
      </c>
      <c r="Q305" s="27" t="n">
        <f aca="false">MIN(E304*(1+E$8),E$9)</f>
        <v>0</v>
      </c>
      <c r="R305" s="27" t="n">
        <f aca="false">MIN(F304*(1+F$8),F$9)</f>
        <v>0</v>
      </c>
      <c r="S305" s="27" t="n">
        <f aca="false">MIN(G304*(1+G$8),G$9)</f>
        <v>0</v>
      </c>
      <c r="T305" s="27" t="n">
        <f aca="false">MIN(H304*(1+H$8),H$9)</f>
        <v>0</v>
      </c>
      <c r="U305" s="27" t="n">
        <f aca="false">MIN(I304*(1+I$8),I$9)</f>
        <v>0</v>
      </c>
      <c r="V305" s="27" t="n">
        <f aca="false">MIN(J304*(1+J$8),J$9)</f>
        <v>0</v>
      </c>
      <c r="W305" s="27" t="n">
        <f aca="false">MIN(K304*(1+K$8),K$9)</f>
        <v>0</v>
      </c>
      <c r="X305" s="27" t="n">
        <f aca="false">MIN(B304*(1+B$8),MAX(N305,$B$11-SUM(O305:W305)))</f>
        <v>0</v>
      </c>
      <c r="Y305" s="27" t="n">
        <f aca="false">MIN(C304*(1+C$8),MAX(O305,$B$11-SUM(X305:X305)-SUM(P305:W305)))</f>
        <v>0</v>
      </c>
      <c r="Z305" s="27" t="n">
        <f aca="false">MIN(D304*(1+D$8),MAX(P305,$B$11-SUM(X305:Y305)-SUM(Q305:W305)))</f>
        <v>0</v>
      </c>
      <c r="AA305" s="27" t="n">
        <f aca="false">MIN(E304*(1+E$8),MAX(Q305,$B$11-SUM(X305:Z305)-SUM(R305:W305)))</f>
        <v>0</v>
      </c>
      <c r="AB305" s="27" t="n">
        <f aca="false">MIN(F304*(1+F$8),MAX(R305,$B$11-SUM(X305:AA305)-SUM(S305:W305)))</f>
        <v>0</v>
      </c>
      <c r="AC305" s="27" t="n">
        <f aca="false">MIN(G304*(1+G$8),MAX(S305,$B$11-SUM(X305:AB305)-SUM(T305:W305)))</f>
        <v>0</v>
      </c>
      <c r="AD305" s="27" t="n">
        <f aca="false">MIN(H304*(1+H$8),MAX(T305,$B$11-SUM(X305:AC305)-SUM(U305:W305)))</f>
        <v>0</v>
      </c>
      <c r="AE305" s="27" t="n">
        <f aca="false">MIN(I304*(1+I$8),MAX(U305,$B$11-SUM(X305:AD305)-SUM(V305:W305)))</f>
        <v>0</v>
      </c>
      <c r="AF305" s="27" t="n">
        <f aca="false">MIN(J304*(1+J$8),MAX(V305,$B$11-SUM(X305:AE305)-SUM(W305:W305)))</f>
        <v>0</v>
      </c>
      <c r="AG305" s="27" t="n">
        <f aca="false">MIN(K304*(1+K$8),MAX(W305,$B$11-SUM(X305:AF305)))</f>
        <v>0</v>
      </c>
      <c r="AI305" s="27" t="n">
        <f aca="false">ROUND(MAX(0,AI304*(1+B$8)-BE305),2)</f>
        <v>0</v>
      </c>
      <c r="AJ305" s="27" t="n">
        <f aca="false">ROUND(MAX(0,AJ304*(1+C$8)-BF305),2)</f>
        <v>0</v>
      </c>
      <c r="AK305" s="27" t="n">
        <f aca="false">ROUND(MAX(0,AK304*(1+D$8)-BG305),2)</f>
        <v>0</v>
      </c>
      <c r="AL305" s="27" t="n">
        <f aca="false">ROUND(MAX(0,AL304*(1+E$8)-BH305),2)</f>
        <v>0</v>
      </c>
      <c r="AM305" s="27" t="n">
        <f aca="false">ROUND(MAX(0,AM304*(1+F$8)-BI305),2)</f>
        <v>0</v>
      </c>
      <c r="AN305" s="27" t="n">
        <f aca="false">ROUND(MAX(0,AN304*(1+G$8)-BJ305),2)</f>
        <v>0</v>
      </c>
      <c r="AO305" s="27" t="n">
        <f aca="false">ROUND(MAX(0,AO304*(1+H$8)-BK305),2)</f>
        <v>0</v>
      </c>
      <c r="AP305" s="27" t="n">
        <f aca="false">ROUND(MAX(0,AP304*(1+I$8)-BL305),2)</f>
        <v>0</v>
      </c>
      <c r="AQ305" s="27" t="n">
        <f aca="false">ROUND(MAX(0,AQ304*(1+J$8)-BM305),2)</f>
        <v>0</v>
      </c>
      <c r="AR305" s="27" t="n">
        <f aca="false">ROUND(MAX(0,AR304*(1+K$8)-BN305),2)</f>
        <v>0</v>
      </c>
      <c r="AS305" s="27" t="n">
        <f aca="false">SUM(AI305:AR305)</f>
        <v>0</v>
      </c>
      <c r="AT305" s="27" t="n">
        <f aca="false">SUMPRODUCT(AI304:AR304,$B$8:$K$8)</f>
        <v>0</v>
      </c>
      <c r="AU305" s="27" t="n">
        <f aca="false">MIN(AI304*(1+B$8),B$9)</f>
        <v>0</v>
      </c>
      <c r="AV305" s="27" t="n">
        <f aca="false">MIN(AJ304*(1+C$8),C$9)</f>
        <v>0</v>
      </c>
      <c r="AW305" s="27" t="n">
        <f aca="false">MIN(AK304*(1+D$8),D$9)</f>
        <v>0</v>
      </c>
      <c r="AX305" s="27" t="n">
        <f aca="false">MIN(AL304*(1+E$8),E$9)</f>
        <v>0</v>
      </c>
      <c r="AY305" s="27" t="n">
        <f aca="false">MIN(AM304*(1+F$8),F$9)</f>
        <v>0</v>
      </c>
      <c r="AZ305" s="27" t="n">
        <f aca="false">MIN(AN304*(1+G$8),G$9)</f>
        <v>0</v>
      </c>
      <c r="BA305" s="27" t="n">
        <f aca="false">MIN(AO304*(1+H$8),H$9)</f>
        <v>0</v>
      </c>
      <c r="BB305" s="27" t="n">
        <f aca="false">MIN(AP304*(1+I$8),I$9)</f>
        <v>0</v>
      </c>
      <c r="BC305" s="27" t="n">
        <f aca="false">MIN(AQ304*(1+J$8),J$9)</f>
        <v>0</v>
      </c>
      <c r="BD305" s="27" t="n">
        <f aca="false">MIN(AR304*(1+K$8),K$9)</f>
        <v>0</v>
      </c>
      <c r="BE305" s="27" t="n">
        <f aca="false">MIN(AI304*(1+B$8),MAX(AU305,$B$12-SUM(AV305:BD305)))</f>
        <v>0</v>
      </c>
      <c r="BF305" s="27" t="n">
        <f aca="false">MIN(AJ304*(1+C$8),MAX(AV305,$B$12-SUM(BE305:BE305)-SUM(AW305:BD305)))</f>
        <v>0</v>
      </c>
      <c r="BG305" s="27" t="n">
        <f aca="false">MIN(AK304*(1+D$8),MAX(AW305,$B$12-SUM(BE305:BF305)-SUM(AX305:BD305)))</f>
        <v>0</v>
      </c>
      <c r="BH305" s="27" t="n">
        <f aca="false">MIN(AL304*(1+E$8),MAX(AX305,$B$12-SUM(BE305:BG305)-SUM(AY305:BD305)))</f>
        <v>0</v>
      </c>
      <c r="BI305" s="27" t="n">
        <f aca="false">MIN(AM304*(1+F$8),MAX(AY305,$B$12-SUM(BE305:BH305)-SUM(AZ305:BD305)))</f>
        <v>0</v>
      </c>
      <c r="BJ305" s="27" t="n">
        <f aca="false">MIN(AN304*(1+G$8),MAX(AZ305,$B$12-SUM(BE305:BI305)-SUM(BA305:BD305)))</f>
        <v>0</v>
      </c>
      <c r="BK305" s="27" t="n">
        <f aca="false">MIN(AO304*(1+H$8),MAX(BA305,$B$12-SUM(BE305:BJ305)-SUM(BB305:BD305)))</f>
        <v>0</v>
      </c>
      <c r="BL305" s="27" t="n">
        <f aca="false">MIN(AP304*(1+I$8),MAX(BB305,$B$12-SUM(BE305:BK305)-SUM(BC305:BD305)))</f>
        <v>0</v>
      </c>
      <c r="BM305" s="27" t="n">
        <f aca="false">MIN(AQ304*(1+J$8),MAX(BC305,$B$12-SUM(BE305:BL305)-SUM(BD305:BD305)))</f>
        <v>0</v>
      </c>
      <c r="BN305" s="27" t="n">
        <f aca="false">MIN(AR304*(1+K$8),MAX(BD305,$B$12-SUM(BE305:BM305)))</f>
        <v>0</v>
      </c>
    </row>
    <row r="306" customFormat="false" ht="15" hidden="false" customHeight="false" outlineLevel="0" collapsed="false">
      <c r="A306" s="0" t="n">
        <v>292</v>
      </c>
      <c r="B306" s="27" t="n">
        <f aca="false">ROUND(MAX(0,B305*(1+B$8)-X306),2)</f>
        <v>0</v>
      </c>
      <c r="C306" s="27" t="n">
        <f aca="false">ROUND(MAX(0,C305*(1+C$8)-Y306),2)</f>
        <v>0</v>
      </c>
      <c r="D306" s="27" t="n">
        <f aca="false">ROUND(MAX(0,D305*(1+D$8)-Z306),2)</f>
        <v>0</v>
      </c>
      <c r="E306" s="27" t="n">
        <f aca="false">ROUND(MAX(0,E305*(1+E$8)-AA306),2)</f>
        <v>0</v>
      </c>
      <c r="F306" s="27" t="n">
        <f aca="false">ROUND(MAX(0,F305*(1+F$8)-AB306),2)</f>
        <v>0</v>
      </c>
      <c r="G306" s="27" t="n">
        <f aca="false">ROUND(MAX(0,G305*(1+G$8)-AC306),2)</f>
        <v>0</v>
      </c>
      <c r="H306" s="27" t="n">
        <f aca="false">ROUND(MAX(0,H305*(1+H$8)-AD306),2)</f>
        <v>0</v>
      </c>
      <c r="I306" s="27" t="n">
        <f aca="false">ROUND(MAX(0,I305*(1+I$8)-AE306),2)</f>
        <v>0</v>
      </c>
      <c r="J306" s="27" t="n">
        <f aca="false">ROUND(MAX(0,J305*(1+J$8)-AF306),2)</f>
        <v>0</v>
      </c>
      <c r="K306" s="27" t="n">
        <f aca="false">ROUND(MAX(0,K305*(1+K$8)-AG306),2)</f>
        <v>0</v>
      </c>
      <c r="L306" s="30" t="n">
        <f aca="false">SUM(B306:K306)</f>
        <v>0</v>
      </c>
      <c r="M306" s="27" t="n">
        <f aca="false">SUMPRODUCT(B305:K305,$B$8:$K$8)</f>
        <v>0</v>
      </c>
      <c r="N306" s="27" t="n">
        <f aca="false">MIN(B305*(1+B$8),B$9)</f>
        <v>0</v>
      </c>
      <c r="O306" s="27" t="n">
        <f aca="false">MIN(C305*(1+C$8),C$9)</f>
        <v>0</v>
      </c>
      <c r="P306" s="27" t="n">
        <f aca="false">MIN(D305*(1+D$8),D$9)</f>
        <v>0</v>
      </c>
      <c r="Q306" s="27" t="n">
        <f aca="false">MIN(E305*(1+E$8),E$9)</f>
        <v>0</v>
      </c>
      <c r="R306" s="27" t="n">
        <f aca="false">MIN(F305*(1+F$8),F$9)</f>
        <v>0</v>
      </c>
      <c r="S306" s="27" t="n">
        <f aca="false">MIN(G305*(1+G$8),G$9)</f>
        <v>0</v>
      </c>
      <c r="T306" s="27" t="n">
        <f aca="false">MIN(H305*(1+H$8),H$9)</f>
        <v>0</v>
      </c>
      <c r="U306" s="27" t="n">
        <f aca="false">MIN(I305*(1+I$8),I$9)</f>
        <v>0</v>
      </c>
      <c r="V306" s="27" t="n">
        <f aca="false">MIN(J305*(1+J$8),J$9)</f>
        <v>0</v>
      </c>
      <c r="W306" s="27" t="n">
        <f aca="false">MIN(K305*(1+K$8),K$9)</f>
        <v>0</v>
      </c>
      <c r="X306" s="27" t="n">
        <f aca="false">MIN(B305*(1+B$8),MAX(N306,$B$11-SUM(O306:W306)))</f>
        <v>0</v>
      </c>
      <c r="Y306" s="27" t="n">
        <f aca="false">MIN(C305*(1+C$8),MAX(O306,$B$11-SUM(X306:X306)-SUM(P306:W306)))</f>
        <v>0</v>
      </c>
      <c r="Z306" s="27" t="n">
        <f aca="false">MIN(D305*(1+D$8),MAX(P306,$B$11-SUM(X306:Y306)-SUM(Q306:W306)))</f>
        <v>0</v>
      </c>
      <c r="AA306" s="27" t="n">
        <f aca="false">MIN(E305*(1+E$8),MAX(Q306,$B$11-SUM(X306:Z306)-SUM(R306:W306)))</f>
        <v>0</v>
      </c>
      <c r="AB306" s="27" t="n">
        <f aca="false">MIN(F305*(1+F$8),MAX(R306,$B$11-SUM(X306:AA306)-SUM(S306:W306)))</f>
        <v>0</v>
      </c>
      <c r="AC306" s="27" t="n">
        <f aca="false">MIN(G305*(1+G$8),MAX(S306,$B$11-SUM(X306:AB306)-SUM(T306:W306)))</f>
        <v>0</v>
      </c>
      <c r="AD306" s="27" t="n">
        <f aca="false">MIN(H305*(1+H$8),MAX(T306,$B$11-SUM(X306:AC306)-SUM(U306:W306)))</f>
        <v>0</v>
      </c>
      <c r="AE306" s="27" t="n">
        <f aca="false">MIN(I305*(1+I$8),MAX(U306,$B$11-SUM(X306:AD306)-SUM(V306:W306)))</f>
        <v>0</v>
      </c>
      <c r="AF306" s="27" t="n">
        <f aca="false">MIN(J305*(1+J$8),MAX(V306,$B$11-SUM(X306:AE306)-SUM(W306:W306)))</f>
        <v>0</v>
      </c>
      <c r="AG306" s="27" t="n">
        <f aca="false">MIN(K305*(1+K$8),MAX(W306,$B$11-SUM(X306:AF306)))</f>
        <v>0</v>
      </c>
      <c r="AI306" s="27" t="n">
        <f aca="false">ROUND(MAX(0,AI305*(1+B$8)-BE306),2)</f>
        <v>0</v>
      </c>
      <c r="AJ306" s="27" t="n">
        <f aca="false">ROUND(MAX(0,AJ305*(1+C$8)-BF306),2)</f>
        <v>0</v>
      </c>
      <c r="AK306" s="27" t="n">
        <f aca="false">ROUND(MAX(0,AK305*(1+D$8)-BG306),2)</f>
        <v>0</v>
      </c>
      <c r="AL306" s="27" t="n">
        <f aca="false">ROUND(MAX(0,AL305*(1+E$8)-BH306),2)</f>
        <v>0</v>
      </c>
      <c r="AM306" s="27" t="n">
        <f aca="false">ROUND(MAX(0,AM305*(1+F$8)-BI306),2)</f>
        <v>0</v>
      </c>
      <c r="AN306" s="27" t="n">
        <f aca="false">ROUND(MAX(0,AN305*(1+G$8)-BJ306),2)</f>
        <v>0</v>
      </c>
      <c r="AO306" s="27" t="n">
        <f aca="false">ROUND(MAX(0,AO305*(1+H$8)-BK306),2)</f>
        <v>0</v>
      </c>
      <c r="AP306" s="27" t="n">
        <f aca="false">ROUND(MAX(0,AP305*(1+I$8)-BL306),2)</f>
        <v>0</v>
      </c>
      <c r="AQ306" s="27" t="n">
        <f aca="false">ROUND(MAX(0,AQ305*(1+J$8)-BM306),2)</f>
        <v>0</v>
      </c>
      <c r="AR306" s="27" t="n">
        <f aca="false">ROUND(MAX(0,AR305*(1+K$8)-BN306),2)</f>
        <v>0</v>
      </c>
      <c r="AS306" s="27" t="n">
        <f aca="false">SUM(AI306:AR306)</f>
        <v>0</v>
      </c>
      <c r="AT306" s="27" t="n">
        <f aca="false">SUMPRODUCT(AI305:AR305,$B$8:$K$8)</f>
        <v>0</v>
      </c>
      <c r="AU306" s="27" t="n">
        <f aca="false">MIN(AI305*(1+B$8),B$9)</f>
        <v>0</v>
      </c>
      <c r="AV306" s="27" t="n">
        <f aca="false">MIN(AJ305*(1+C$8),C$9)</f>
        <v>0</v>
      </c>
      <c r="AW306" s="27" t="n">
        <f aca="false">MIN(AK305*(1+D$8),D$9)</f>
        <v>0</v>
      </c>
      <c r="AX306" s="27" t="n">
        <f aca="false">MIN(AL305*(1+E$8),E$9)</f>
        <v>0</v>
      </c>
      <c r="AY306" s="27" t="n">
        <f aca="false">MIN(AM305*(1+F$8),F$9)</f>
        <v>0</v>
      </c>
      <c r="AZ306" s="27" t="n">
        <f aca="false">MIN(AN305*(1+G$8),G$9)</f>
        <v>0</v>
      </c>
      <c r="BA306" s="27" t="n">
        <f aca="false">MIN(AO305*(1+H$8),H$9)</f>
        <v>0</v>
      </c>
      <c r="BB306" s="27" t="n">
        <f aca="false">MIN(AP305*(1+I$8),I$9)</f>
        <v>0</v>
      </c>
      <c r="BC306" s="27" t="n">
        <f aca="false">MIN(AQ305*(1+J$8),J$9)</f>
        <v>0</v>
      </c>
      <c r="BD306" s="27" t="n">
        <f aca="false">MIN(AR305*(1+K$8),K$9)</f>
        <v>0</v>
      </c>
      <c r="BE306" s="27" t="n">
        <f aca="false">MIN(AI305*(1+B$8),MAX(AU306,$B$12-SUM(AV306:BD306)))</f>
        <v>0</v>
      </c>
      <c r="BF306" s="27" t="n">
        <f aca="false">MIN(AJ305*(1+C$8),MAX(AV306,$B$12-SUM(BE306:BE306)-SUM(AW306:BD306)))</f>
        <v>0</v>
      </c>
      <c r="BG306" s="27" t="n">
        <f aca="false">MIN(AK305*(1+D$8),MAX(AW306,$B$12-SUM(BE306:BF306)-SUM(AX306:BD306)))</f>
        <v>0</v>
      </c>
      <c r="BH306" s="27" t="n">
        <f aca="false">MIN(AL305*(1+E$8),MAX(AX306,$B$12-SUM(BE306:BG306)-SUM(AY306:BD306)))</f>
        <v>0</v>
      </c>
      <c r="BI306" s="27" t="n">
        <f aca="false">MIN(AM305*(1+F$8),MAX(AY306,$B$12-SUM(BE306:BH306)-SUM(AZ306:BD306)))</f>
        <v>0</v>
      </c>
      <c r="BJ306" s="27" t="n">
        <f aca="false">MIN(AN305*(1+G$8),MAX(AZ306,$B$12-SUM(BE306:BI306)-SUM(BA306:BD306)))</f>
        <v>0</v>
      </c>
      <c r="BK306" s="27" t="n">
        <f aca="false">MIN(AO305*(1+H$8),MAX(BA306,$B$12-SUM(BE306:BJ306)-SUM(BB306:BD306)))</f>
        <v>0</v>
      </c>
      <c r="BL306" s="27" t="n">
        <f aca="false">MIN(AP305*(1+I$8),MAX(BB306,$B$12-SUM(BE306:BK306)-SUM(BC306:BD306)))</f>
        <v>0</v>
      </c>
      <c r="BM306" s="27" t="n">
        <f aca="false">MIN(AQ305*(1+J$8),MAX(BC306,$B$12-SUM(BE306:BL306)-SUM(BD306:BD306)))</f>
        <v>0</v>
      </c>
      <c r="BN306" s="27" t="n">
        <f aca="false">MIN(AR305*(1+K$8),MAX(BD306,$B$12-SUM(BE306:BM306)))</f>
        <v>0</v>
      </c>
    </row>
    <row r="307" customFormat="false" ht="15" hidden="false" customHeight="false" outlineLevel="0" collapsed="false">
      <c r="A307" s="0" t="n">
        <v>293</v>
      </c>
      <c r="B307" s="27" t="n">
        <f aca="false">ROUND(MAX(0,B306*(1+B$8)-X307),2)</f>
        <v>0</v>
      </c>
      <c r="C307" s="27" t="n">
        <f aca="false">ROUND(MAX(0,C306*(1+C$8)-Y307),2)</f>
        <v>0</v>
      </c>
      <c r="D307" s="27" t="n">
        <f aca="false">ROUND(MAX(0,D306*(1+D$8)-Z307),2)</f>
        <v>0</v>
      </c>
      <c r="E307" s="27" t="n">
        <f aca="false">ROUND(MAX(0,E306*(1+E$8)-AA307),2)</f>
        <v>0</v>
      </c>
      <c r="F307" s="27" t="n">
        <f aca="false">ROUND(MAX(0,F306*(1+F$8)-AB307),2)</f>
        <v>0</v>
      </c>
      <c r="G307" s="27" t="n">
        <f aca="false">ROUND(MAX(0,G306*(1+G$8)-AC307),2)</f>
        <v>0</v>
      </c>
      <c r="H307" s="27" t="n">
        <f aca="false">ROUND(MAX(0,H306*(1+H$8)-AD307),2)</f>
        <v>0</v>
      </c>
      <c r="I307" s="27" t="n">
        <f aca="false">ROUND(MAX(0,I306*(1+I$8)-AE307),2)</f>
        <v>0</v>
      </c>
      <c r="J307" s="27" t="n">
        <f aca="false">ROUND(MAX(0,J306*(1+J$8)-AF307),2)</f>
        <v>0</v>
      </c>
      <c r="K307" s="27" t="n">
        <f aca="false">ROUND(MAX(0,K306*(1+K$8)-AG307),2)</f>
        <v>0</v>
      </c>
      <c r="L307" s="30" t="n">
        <f aca="false">SUM(B307:K307)</f>
        <v>0</v>
      </c>
      <c r="M307" s="27" t="n">
        <f aca="false">SUMPRODUCT(B306:K306,$B$8:$K$8)</f>
        <v>0</v>
      </c>
      <c r="N307" s="27" t="n">
        <f aca="false">MIN(B306*(1+B$8),B$9)</f>
        <v>0</v>
      </c>
      <c r="O307" s="27" t="n">
        <f aca="false">MIN(C306*(1+C$8),C$9)</f>
        <v>0</v>
      </c>
      <c r="P307" s="27" t="n">
        <f aca="false">MIN(D306*(1+D$8),D$9)</f>
        <v>0</v>
      </c>
      <c r="Q307" s="27" t="n">
        <f aca="false">MIN(E306*(1+E$8),E$9)</f>
        <v>0</v>
      </c>
      <c r="R307" s="27" t="n">
        <f aca="false">MIN(F306*(1+F$8),F$9)</f>
        <v>0</v>
      </c>
      <c r="S307" s="27" t="n">
        <f aca="false">MIN(G306*(1+G$8),G$9)</f>
        <v>0</v>
      </c>
      <c r="T307" s="27" t="n">
        <f aca="false">MIN(H306*(1+H$8),H$9)</f>
        <v>0</v>
      </c>
      <c r="U307" s="27" t="n">
        <f aca="false">MIN(I306*(1+I$8),I$9)</f>
        <v>0</v>
      </c>
      <c r="V307" s="27" t="n">
        <f aca="false">MIN(J306*(1+J$8),J$9)</f>
        <v>0</v>
      </c>
      <c r="W307" s="27" t="n">
        <f aca="false">MIN(K306*(1+K$8),K$9)</f>
        <v>0</v>
      </c>
      <c r="X307" s="27" t="n">
        <f aca="false">MIN(B306*(1+B$8),MAX(N307,$B$11-SUM(O307:W307)))</f>
        <v>0</v>
      </c>
      <c r="Y307" s="27" t="n">
        <f aca="false">MIN(C306*(1+C$8),MAX(O307,$B$11-SUM(X307:X307)-SUM(P307:W307)))</f>
        <v>0</v>
      </c>
      <c r="Z307" s="27" t="n">
        <f aca="false">MIN(D306*(1+D$8),MAX(P307,$B$11-SUM(X307:Y307)-SUM(Q307:W307)))</f>
        <v>0</v>
      </c>
      <c r="AA307" s="27" t="n">
        <f aca="false">MIN(E306*(1+E$8),MAX(Q307,$B$11-SUM(X307:Z307)-SUM(R307:W307)))</f>
        <v>0</v>
      </c>
      <c r="AB307" s="27" t="n">
        <f aca="false">MIN(F306*(1+F$8),MAX(R307,$B$11-SUM(X307:AA307)-SUM(S307:W307)))</f>
        <v>0</v>
      </c>
      <c r="AC307" s="27" t="n">
        <f aca="false">MIN(G306*(1+G$8),MAX(S307,$B$11-SUM(X307:AB307)-SUM(T307:W307)))</f>
        <v>0</v>
      </c>
      <c r="AD307" s="27" t="n">
        <f aca="false">MIN(H306*(1+H$8),MAX(T307,$B$11-SUM(X307:AC307)-SUM(U307:W307)))</f>
        <v>0</v>
      </c>
      <c r="AE307" s="27" t="n">
        <f aca="false">MIN(I306*(1+I$8),MAX(U307,$B$11-SUM(X307:AD307)-SUM(V307:W307)))</f>
        <v>0</v>
      </c>
      <c r="AF307" s="27" t="n">
        <f aca="false">MIN(J306*(1+J$8),MAX(V307,$B$11-SUM(X307:AE307)-SUM(W307:W307)))</f>
        <v>0</v>
      </c>
      <c r="AG307" s="27" t="n">
        <f aca="false">MIN(K306*(1+K$8),MAX(W307,$B$11-SUM(X307:AF307)))</f>
        <v>0</v>
      </c>
      <c r="AI307" s="27" t="n">
        <f aca="false">ROUND(MAX(0,AI306*(1+B$8)-BE307),2)</f>
        <v>0</v>
      </c>
      <c r="AJ307" s="27" t="n">
        <f aca="false">ROUND(MAX(0,AJ306*(1+C$8)-BF307),2)</f>
        <v>0</v>
      </c>
      <c r="AK307" s="27" t="n">
        <f aca="false">ROUND(MAX(0,AK306*(1+D$8)-BG307),2)</f>
        <v>0</v>
      </c>
      <c r="AL307" s="27" t="n">
        <f aca="false">ROUND(MAX(0,AL306*(1+E$8)-BH307),2)</f>
        <v>0</v>
      </c>
      <c r="AM307" s="27" t="n">
        <f aca="false">ROUND(MAX(0,AM306*(1+F$8)-BI307),2)</f>
        <v>0</v>
      </c>
      <c r="AN307" s="27" t="n">
        <f aca="false">ROUND(MAX(0,AN306*(1+G$8)-BJ307),2)</f>
        <v>0</v>
      </c>
      <c r="AO307" s="27" t="n">
        <f aca="false">ROUND(MAX(0,AO306*(1+H$8)-BK307),2)</f>
        <v>0</v>
      </c>
      <c r="AP307" s="27" t="n">
        <f aca="false">ROUND(MAX(0,AP306*(1+I$8)-BL307),2)</f>
        <v>0</v>
      </c>
      <c r="AQ307" s="27" t="n">
        <f aca="false">ROUND(MAX(0,AQ306*(1+J$8)-BM307),2)</f>
        <v>0</v>
      </c>
      <c r="AR307" s="27" t="n">
        <f aca="false">ROUND(MAX(0,AR306*(1+K$8)-BN307),2)</f>
        <v>0</v>
      </c>
      <c r="AS307" s="27" t="n">
        <f aca="false">SUM(AI307:AR307)</f>
        <v>0</v>
      </c>
      <c r="AT307" s="27" t="n">
        <f aca="false">SUMPRODUCT(AI306:AR306,$B$8:$K$8)</f>
        <v>0</v>
      </c>
      <c r="AU307" s="27" t="n">
        <f aca="false">MIN(AI306*(1+B$8),B$9)</f>
        <v>0</v>
      </c>
      <c r="AV307" s="27" t="n">
        <f aca="false">MIN(AJ306*(1+C$8),C$9)</f>
        <v>0</v>
      </c>
      <c r="AW307" s="27" t="n">
        <f aca="false">MIN(AK306*(1+D$8),D$9)</f>
        <v>0</v>
      </c>
      <c r="AX307" s="27" t="n">
        <f aca="false">MIN(AL306*(1+E$8),E$9)</f>
        <v>0</v>
      </c>
      <c r="AY307" s="27" t="n">
        <f aca="false">MIN(AM306*(1+F$8),F$9)</f>
        <v>0</v>
      </c>
      <c r="AZ307" s="27" t="n">
        <f aca="false">MIN(AN306*(1+G$8),G$9)</f>
        <v>0</v>
      </c>
      <c r="BA307" s="27" t="n">
        <f aca="false">MIN(AO306*(1+H$8),H$9)</f>
        <v>0</v>
      </c>
      <c r="BB307" s="27" t="n">
        <f aca="false">MIN(AP306*(1+I$8),I$9)</f>
        <v>0</v>
      </c>
      <c r="BC307" s="27" t="n">
        <f aca="false">MIN(AQ306*(1+J$8),J$9)</f>
        <v>0</v>
      </c>
      <c r="BD307" s="27" t="n">
        <f aca="false">MIN(AR306*(1+K$8),K$9)</f>
        <v>0</v>
      </c>
      <c r="BE307" s="27" t="n">
        <f aca="false">MIN(AI306*(1+B$8),MAX(AU307,$B$12-SUM(AV307:BD307)))</f>
        <v>0</v>
      </c>
      <c r="BF307" s="27" t="n">
        <f aca="false">MIN(AJ306*(1+C$8),MAX(AV307,$B$12-SUM(BE307:BE307)-SUM(AW307:BD307)))</f>
        <v>0</v>
      </c>
      <c r="BG307" s="27" t="n">
        <f aca="false">MIN(AK306*(1+D$8),MAX(AW307,$B$12-SUM(BE307:BF307)-SUM(AX307:BD307)))</f>
        <v>0</v>
      </c>
      <c r="BH307" s="27" t="n">
        <f aca="false">MIN(AL306*(1+E$8),MAX(AX307,$B$12-SUM(BE307:BG307)-SUM(AY307:BD307)))</f>
        <v>0</v>
      </c>
      <c r="BI307" s="27" t="n">
        <f aca="false">MIN(AM306*(1+F$8),MAX(AY307,$B$12-SUM(BE307:BH307)-SUM(AZ307:BD307)))</f>
        <v>0</v>
      </c>
      <c r="BJ307" s="27" t="n">
        <f aca="false">MIN(AN306*(1+G$8),MAX(AZ307,$B$12-SUM(BE307:BI307)-SUM(BA307:BD307)))</f>
        <v>0</v>
      </c>
      <c r="BK307" s="27" t="n">
        <f aca="false">MIN(AO306*(1+H$8),MAX(BA307,$B$12-SUM(BE307:BJ307)-SUM(BB307:BD307)))</f>
        <v>0</v>
      </c>
      <c r="BL307" s="27" t="n">
        <f aca="false">MIN(AP306*(1+I$8),MAX(BB307,$B$12-SUM(BE307:BK307)-SUM(BC307:BD307)))</f>
        <v>0</v>
      </c>
      <c r="BM307" s="27" t="n">
        <f aca="false">MIN(AQ306*(1+J$8),MAX(BC307,$B$12-SUM(BE307:BL307)-SUM(BD307:BD307)))</f>
        <v>0</v>
      </c>
      <c r="BN307" s="27" t="n">
        <f aca="false">MIN(AR306*(1+K$8),MAX(BD307,$B$12-SUM(BE307:BM307)))</f>
        <v>0</v>
      </c>
    </row>
    <row r="308" customFormat="false" ht="15" hidden="false" customHeight="false" outlineLevel="0" collapsed="false">
      <c r="A308" s="0" t="n">
        <v>294</v>
      </c>
      <c r="B308" s="27" t="n">
        <f aca="false">ROUND(MAX(0,B307*(1+B$8)-X308),2)</f>
        <v>0</v>
      </c>
      <c r="C308" s="27" t="n">
        <f aca="false">ROUND(MAX(0,C307*(1+C$8)-Y308),2)</f>
        <v>0</v>
      </c>
      <c r="D308" s="27" t="n">
        <f aca="false">ROUND(MAX(0,D307*(1+D$8)-Z308),2)</f>
        <v>0</v>
      </c>
      <c r="E308" s="27" t="n">
        <f aca="false">ROUND(MAX(0,E307*(1+E$8)-AA308),2)</f>
        <v>0</v>
      </c>
      <c r="F308" s="27" t="n">
        <f aca="false">ROUND(MAX(0,F307*(1+F$8)-AB308),2)</f>
        <v>0</v>
      </c>
      <c r="G308" s="27" t="n">
        <f aca="false">ROUND(MAX(0,G307*(1+G$8)-AC308),2)</f>
        <v>0</v>
      </c>
      <c r="H308" s="27" t="n">
        <f aca="false">ROUND(MAX(0,H307*(1+H$8)-AD308),2)</f>
        <v>0</v>
      </c>
      <c r="I308" s="27" t="n">
        <f aca="false">ROUND(MAX(0,I307*(1+I$8)-AE308),2)</f>
        <v>0</v>
      </c>
      <c r="J308" s="27" t="n">
        <f aca="false">ROUND(MAX(0,J307*(1+J$8)-AF308),2)</f>
        <v>0</v>
      </c>
      <c r="K308" s="27" t="n">
        <f aca="false">ROUND(MAX(0,K307*(1+K$8)-AG308),2)</f>
        <v>0</v>
      </c>
      <c r="L308" s="30" t="n">
        <f aca="false">SUM(B308:K308)</f>
        <v>0</v>
      </c>
      <c r="M308" s="27" t="n">
        <f aca="false">SUMPRODUCT(B307:K307,$B$8:$K$8)</f>
        <v>0</v>
      </c>
      <c r="N308" s="27" t="n">
        <f aca="false">MIN(B307*(1+B$8),B$9)</f>
        <v>0</v>
      </c>
      <c r="O308" s="27" t="n">
        <f aca="false">MIN(C307*(1+C$8),C$9)</f>
        <v>0</v>
      </c>
      <c r="P308" s="27" t="n">
        <f aca="false">MIN(D307*(1+D$8),D$9)</f>
        <v>0</v>
      </c>
      <c r="Q308" s="27" t="n">
        <f aca="false">MIN(E307*(1+E$8),E$9)</f>
        <v>0</v>
      </c>
      <c r="R308" s="27" t="n">
        <f aca="false">MIN(F307*(1+F$8),F$9)</f>
        <v>0</v>
      </c>
      <c r="S308" s="27" t="n">
        <f aca="false">MIN(G307*(1+G$8),G$9)</f>
        <v>0</v>
      </c>
      <c r="T308" s="27" t="n">
        <f aca="false">MIN(H307*(1+H$8),H$9)</f>
        <v>0</v>
      </c>
      <c r="U308" s="27" t="n">
        <f aca="false">MIN(I307*(1+I$8),I$9)</f>
        <v>0</v>
      </c>
      <c r="V308" s="27" t="n">
        <f aca="false">MIN(J307*(1+J$8),J$9)</f>
        <v>0</v>
      </c>
      <c r="W308" s="27" t="n">
        <f aca="false">MIN(K307*(1+K$8),K$9)</f>
        <v>0</v>
      </c>
      <c r="X308" s="27" t="n">
        <f aca="false">MIN(B307*(1+B$8),MAX(N308,$B$11-SUM(O308:W308)))</f>
        <v>0</v>
      </c>
      <c r="Y308" s="27" t="n">
        <f aca="false">MIN(C307*(1+C$8),MAX(O308,$B$11-SUM(X308:X308)-SUM(P308:W308)))</f>
        <v>0</v>
      </c>
      <c r="Z308" s="27" t="n">
        <f aca="false">MIN(D307*(1+D$8),MAX(P308,$B$11-SUM(X308:Y308)-SUM(Q308:W308)))</f>
        <v>0</v>
      </c>
      <c r="AA308" s="27" t="n">
        <f aca="false">MIN(E307*(1+E$8),MAX(Q308,$B$11-SUM(X308:Z308)-SUM(R308:W308)))</f>
        <v>0</v>
      </c>
      <c r="AB308" s="27" t="n">
        <f aca="false">MIN(F307*(1+F$8),MAX(R308,$B$11-SUM(X308:AA308)-SUM(S308:W308)))</f>
        <v>0</v>
      </c>
      <c r="AC308" s="27" t="n">
        <f aca="false">MIN(G307*(1+G$8),MAX(S308,$B$11-SUM(X308:AB308)-SUM(T308:W308)))</f>
        <v>0</v>
      </c>
      <c r="AD308" s="27" t="n">
        <f aca="false">MIN(H307*(1+H$8),MAX(T308,$B$11-SUM(X308:AC308)-SUM(U308:W308)))</f>
        <v>0</v>
      </c>
      <c r="AE308" s="27" t="n">
        <f aca="false">MIN(I307*(1+I$8),MAX(U308,$B$11-SUM(X308:AD308)-SUM(V308:W308)))</f>
        <v>0</v>
      </c>
      <c r="AF308" s="27" t="n">
        <f aca="false">MIN(J307*(1+J$8),MAX(V308,$B$11-SUM(X308:AE308)-SUM(W308:W308)))</f>
        <v>0</v>
      </c>
      <c r="AG308" s="27" t="n">
        <f aca="false">MIN(K307*(1+K$8),MAX(W308,$B$11-SUM(X308:AF308)))</f>
        <v>0</v>
      </c>
      <c r="AI308" s="27" t="n">
        <f aca="false">ROUND(MAX(0,AI307*(1+B$8)-BE308),2)</f>
        <v>0</v>
      </c>
      <c r="AJ308" s="27" t="n">
        <f aca="false">ROUND(MAX(0,AJ307*(1+C$8)-BF308),2)</f>
        <v>0</v>
      </c>
      <c r="AK308" s="27" t="n">
        <f aca="false">ROUND(MAX(0,AK307*(1+D$8)-BG308),2)</f>
        <v>0</v>
      </c>
      <c r="AL308" s="27" t="n">
        <f aca="false">ROUND(MAX(0,AL307*(1+E$8)-BH308),2)</f>
        <v>0</v>
      </c>
      <c r="AM308" s="27" t="n">
        <f aca="false">ROUND(MAX(0,AM307*(1+F$8)-BI308),2)</f>
        <v>0</v>
      </c>
      <c r="AN308" s="27" t="n">
        <f aca="false">ROUND(MAX(0,AN307*(1+G$8)-BJ308),2)</f>
        <v>0</v>
      </c>
      <c r="AO308" s="27" t="n">
        <f aca="false">ROUND(MAX(0,AO307*(1+H$8)-BK308),2)</f>
        <v>0</v>
      </c>
      <c r="AP308" s="27" t="n">
        <f aca="false">ROUND(MAX(0,AP307*(1+I$8)-BL308),2)</f>
        <v>0</v>
      </c>
      <c r="AQ308" s="27" t="n">
        <f aca="false">ROUND(MAX(0,AQ307*(1+J$8)-BM308),2)</f>
        <v>0</v>
      </c>
      <c r="AR308" s="27" t="n">
        <f aca="false">ROUND(MAX(0,AR307*(1+K$8)-BN308),2)</f>
        <v>0</v>
      </c>
      <c r="AS308" s="27" t="n">
        <f aca="false">SUM(AI308:AR308)</f>
        <v>0</v>
      </c>
      <c r="AT308" s="27" t="n">
        <f aca="false">SUMPRODUCT(AI307:AR307,$B$8:$K$8)</f>
        <v>0</v>
      </c>
      <c r="AU308" s="27" t="n">
        <f aca="false">MIN(AI307*(1+B$8),B$9)</f>
        <v>0</v>
      </c>
      <c r="AV308" s="27" t="n">
        <f aca="false">MIN(AJ307*(1+C$8),C$9)</f>
        <v>0</v>
      </c>
      <c r="AW308" s="27" t="n">
        <f aca="false">MIN(AK307*(1+D$8),D$9)</f>
        <v>0</v>
      </c>
      <c r="AX308" s="27" t="n">
        <f aca="false">MIN(AL307*(1+E$8),E$9)</f>
        <v>0</v>
      </c>
      <c r="AY308" s="27" t="n">
        <f aca="false">MIN(AM307*(1+F$8),F$9)</f>
        <v>0</v>
      </c>
      <c r="AZ308" s="27" t="n">
        <f aca="false">MIN(AN307*(1+G$8),G$9)</f>
        <v>0</v>
      </c>
      <c r="BA308" s="27" t="n">
        <f aca="false">MIN(AO307*(1+H$8),H$9)</f>
        <v>0</v>
      </c>
      <c r="BB308" s="27" t="n">
        <f aca="false">MIN(AP307*(1+I$8),I$9)</f>
        <v>0</v>
      </c>
      <c r="BC308" s="27" t="n">
        <f aca="false">MIN(AQ307*(1+J$8),J$9)</f>
        <v>0</v>
      </c>
      <c r="BD308" s="27" t="n">
        <f aca="false">MIN(AR307*(1+K$8),K$9)</f>
        <v>0</v>
      </c>
      <c r="BE308" s="27" t="n">
        <f aca="false">MIN(AI307*(1+B$8),MAX(AU308,$B$12-SUM(AV308:BD308)))</f>
        <v>0</v>
      </c>
      <c r="BF308" s="27" t="n">
        <f aca="false">MIN(AJ307*(1+C$8),MAX(AV308,$B$12-SUM(BE308:BE308)-SUM(AW308:BD308)))</f>
        <v>0</v>
      </c>
      <c r="BG308" s="27" t="n">
        <f aca="false">MIN(AK307*(1+D$8),MAX(AW308,$B$12-SUM(BE308:BF308)-SUM(AX308:BD308)))</f>
        <v>0</v>
      </c>
      <c r="BH308" s="27" t="n">
        <f aca="false">MIN(AL307*(1+E$8),MAX(AX308,$B$12-SUM(BE308:BG308)-SUM(AY308:BD308)))</f>
        <v>0</v>
      </c>
      <c r="BI308" s="27" t="n">
        <f aca="false">MIN(AM307*(1+F$8),MAX(AY308,$B$12-SUM(BE308:BH308)-SUM(AZ308:BD308)))</f>
        <v>0</v>
      </c>
      <c r="BJ308" s="27" t="n">
        <f aca="false">MIN(AN307*(1+G$8),MAX(AZ308,$B$12-SUM(BE308:BI308)-SUM(BA308:BD308)))</f>
        <v>0</v>
      </c>
      <c r="BK308" s="27" t="n">
        <f aca="false">MIN(AO307*(1+H$8),MAX(BA308,$B$12-SUM(BE308:BJ308)-SUM(BB308:BD308)))</f>
        <v>0</v>
      </c>
      <c r="BL308" s="27" t="n">
        <f aca="false">MIN(AP307*(1+I$8),MAX(BB308,$B$12-SUM(BE308:BK308)-SUM(BC308:BD308)))</f>
        <v>0</v>
      </c>
      <c r="BM308" s="27" t="n">
        <f aca="false">MIN(AQ307*(1+J$8),MAX(BC308,$B$12-SUM(BE308:BL308)-SUM(BD308:BD308)))</f>
        <v>0</v>
      </c>
      <c r="BN308" s="27" t="n">
        <f aca="false">MIN(AR307*(1+K$8),MAX(BD308,$B$12-SUM(BE308:BM308)))</f>
        <v>0</v>
      </c>
    </row>
    <row r="309" customFormat="false" ht="15" hidden="false" customHeight="false" outlineLevel="0" collapsed="false">
      <c r="A309" s="0" t="n">
        <v>295</v>
      </c>
      <c r="B309" s="27" t="n">
        <f aca="false">ROUND(MAX(0,B308*(1+B$8)-X309),2)</f>
        <v>0</v>
      </c>
      <c r="C309" s="27" t="n">
        <f aca="false">ROUND(MAX(0,C308*(1+C$8)-Y309),2)</f>
        <v>0</v>
      </c>
      <c r="D309" s="27" t="n">
        <f aca="false">ROUND(MAX(0,D308*(1+D$8)-Z309),2)</f>
        <v>0</v>
      </c>
      <c r="E309" s="27" t="n">
        <f aca="false">ROUND(MAX(0,E308*(1+E$8)-AA309),2)</f>
        <v>0</v>
      </c>
      <c r="F309" s="27" t="n">
        <f aca="false">ROUND(MAX(0,F308*(1+F$8)-AB309),2)</f>
        <v>0</v>
      </c>
      <c r="G309" s="27" t="n">
        <f aca="false">ROUND(MAX(0,G308*(1+G$8)-AC309),2)</f>
        <v>0</v>
      </c>
      <c r="H309" s="27" t="n">
        <f aca="false">ROUND(MAX(0,H308*(1+H$8)-AD309),2)</f>
        <v>0</v>
      </c>
      <c r="I309" s="27" t="n">
        <f aca="false">ROUND(MAX(0,I308*(1+I$8)-AE309),2)</f>
        <v>0</v>
      </c>
      <c r="J309" s="27" t="n">
        <f aca="false">ROUND(MAX(0,J308*(1+J$8)-AF309),2)</f>
        <v>0</v>
      </c>
      <c r="K309" s="27" t="n">
        <f aca="false">ROUND(MAX(0,K308*(1+K$8)-AG309),2)</f>
        <v>0</v>
      </c>
      <c r="L309" s="30" t="n">
        <f aca="false">SUM(B309:K309)</f>
        <v>0</v>
      </c>
      <c r="M309" s="27" t="n">
        <f aca="false">SUMPRODUCT(B308:K308,$B$8:$K$8)</f>
        <v>0</v>
      </c>
      <c r="N309" s="27" t="n">
        <f aca="false">MIN(B308*(1+B$8),B$9)</f>
        <v>0</v>
      </c>
      <c r="O309" s="27" t="n">
        <f aca="false">MIN(C308*(1+C$8),C$9)</f>
        <v>0</v>
      </c>
      <c r="P309" s="27" t="n">
        <f aca="false">MIN(D308*(1+D$8),D$9)</f>
        <v>0</v>
      </c>
      <c r="Q309" s="27" t="n">
        <f aca="false">MIN(E308*(1+E$8),E$9)</f>
        <v>0</v>
      </c>
      <c r="R309" s="27" t="n">
        <f aca="false">MIN(F308*(1+F$8),F$9)</f>
        <v>0</v>
      </c>
      <c r="S309" s="27" t="n">
        <f aca="false">MIN(G308*(1+G$8),G$9)</f>
        <v>0</v>
      </c>
      <c r="T309" s="27" t="n">
        <f aca="false">MIN(H308*(1+H$8),H$9)</f>
        <v>0</v>
      </c>
      <c r="U309" s="27" t="n">
        <f aca="false">MIN(I308*(1+I$8),I$9)</f>
        <v>0</v>
      </c>
      <c r="V309" s="27" t="n">
        <f aca="false">MIN(J308*(1+J$8),J$9)</f>
        <v>0</v>
      </c>
      <c r="W309" s="27" t="n">
        <f aca="false">MIN(K308*(1+K$8),K$9)</f>
        <v>0</v>
      </c>
      <c r="X309" s="27" t="n">
        <f aca="false">MIN(B308*(1+B$8),MAX(N309,$B$11-SUM(O309:W309)))</f>
        <v>0</v>
      </c>
      <c r="Y309" s="27" t="n">
        <f aca="false">MIN(C308*(1+C$8),MAX(O309,$B$11-SUM(X309:X309)-SUM(P309:W309)))</f>
        <v>0</v>
      </c>
      <c r="Z309" s="27" t="n">
        <f aca="false">MIN(D308*(1+D$8),MAX(P309,$B$11-SUM(X309:Y309)-SUM(Q309:W309)))</f>
        <v>0</v>
      </c>
      <c r="AA309" s="27" t="n">
        <f aca="false">MIN(E308*(1+E$8),MAX(Q309,$B$11-SUM(X309:Z309)-SUM(R309:W309)))</f>
        <v>0</v>
      </c>
      <c r="AB309" s="27" t="n">
        <f aca="false">MIN(F308*(1+F$8),MAX(R309,$B$11-SUM(X309:AA309)-SUM(S309:W309)))</f>
        <v>0</v>
      </c>
      <c r="AC309" s="27" t="n">
        <f aca="false">MIN(G308*(1+G$8),MAX(S309,$B$11-SUM(X309:AB309)-SUM(T309:W309)))</f>
        <v>0</v>
      </c>
      <c r="AD309" s="27" t="n">
        <f aca="false">MIN(H308*(1+H$8),MAX(T309,$B$11-SUM(X309:AC309)-SUM(U309:W309)))</f>
        <v>0</v>
      </c>
      <c r="AE309" s="27" t="n">
        <f aca="false">MIN(I308*(1+I$8),MAX(U309,$B$11-SUM(X309:AD309)-SUM(V309:W309)))</f>
        <v>0</v>
      </c>
      <c r="AF309" s="27" t="n">
        <f aca="false">MIN(J308*(1+J$8),MAX(V309,$B$11-SUM(X309:AE309)-SUM(W309:W309)))</f>
        <v>0</v>
      </c>
      <c r="AG309" s="27" t="n">
        <f aca="false">MIN(K308*(1+K$8),MAX(W309,$B$11-SUM(X309:AF309)))</f>
        <v>0</v>
      </c>
      <c r="AI309" s="27" t="n">
        <f aca="false">ROUND(MAX(0,AI308*(1+B$8)-BE309),2)</f>
        <v>0</v>
      </c>
      <c r="AJ309" s="27" t="n">
        <f aca="false">ROUND(MAX(0,AJ308*(1+C$8)-BF309),2)</f>
        <v>0</v>
      </c>
      <c r="AK309" s="27" t="n">
        <f aca="false">ROUND(MAX(0,AK308*(1+D$8)-BG309),2)</f>
        <v>0</v>
      </c>
      <c r="AL309" s="27" t="n">
        <f aca="false">ROUND(MAX(0,AL308*(1+E$8)-BH309),2)</f>
        <v>0</v>
      </c>
      <c r="AM309" s="27" t="n">
        <f aca="false">ROUND(MAX(0,AM308*(1+F$8)-BI309),2)</f>
        <v>0</v>
      </c>
      <c r="AN309" s="27" t="n">
        <f aca="false">ROUND(MAX(0,AN308*(1+G$8)-BJ309),2)</f>
        <v>0</v>
      </c>
      <c r="AO309" s="27" t="n">
        <f aca="false">ROUND(MAX(0,AO308*(1+H$8)-BK309),2)</f>
        <v>0</v>
      </c>
      <c r="AP309" s="27" t="n">
        <f aca="false">ROUND(MAX(0,AP308*(1+I$8)-BL309),2)</f>
        <v>0</v>
      </c>
      <c r="AQ309" s="27" t="n">
        <f aca="false">ROUND(MAX(0,AQ308*(1+J$8)-BM309),2)</f>
        <v>0</v>
      </c>
      <c r="AR309" s="27" t="n">
        <f aca="false">ROUND(MAX(0,AR308*(1+K$8)-BN309),2)</f>
        <v>0</v>
      </c>
      <c r="AS309" s="27" t="n">
        <f aca="false">SUM(AI309:AR309)</f>
        <v>0</v>
      </c>
      <c r="AT309" s="27" t="n">
        <f aca="false">SUMPRODUCT(AI308:AR308,$B$8:$K$8)</f>
        <v>0</v>
      </c>
      <c r="AU309" s="27" t="n">
        <f aca="false">MIN(AI308*(1+B$8),B$9)</f>
        <v>0</v>
      </c>
      <c r="AV309" s="27" t="n">
        <f aca="false">MIN(AJ308*(1+C$8),C$9)</f>
        <v>0</v>
      </c>
      <c r="AW309" s="27" t="n">
        <f aca="false">MIN(AK308*(1+D$8),D$9)</f>
        <v>0</v>
      </c>
      <c r="AX309" s="27" t="n">
        <f aca="false">MIN(AL308*(1+E$8),E$9)</f>
        <v>0</v>
      </c>
      <c r="AY309" s="27" t="n">
        <f aca="false">MIN(AM308*(1+F$8),F$9)</f>
        <v>0</v>
      </c>
      <c r="AZ309" s="27" t="n">
        <f aca="false">MIN(AN308*(1+G$8),G$9)</f>
        <v>0</v>
      </c>
      <c r="BA309" s="27" t="n">
        <f aca="false">MIN(AO308*(1+H$8),H$9)</f>
        <v>0</v>
      </c>
      <c r="BB309" s="27" t="n">
        <f aca="false">MIN(AP308*(1+I$8),I$9)</f>
        <v>0</v>
      </c>
      <c r="BC309" s="27" t="n">
        <f aca="false">MIN(AQ308*(1+J$8),J$9)</f>
        <v>0</v>
      </c>
      <c r="BD309" s="27" t="n">
        <f aca="false">MIN(AR308*(1+K$8),K$9)</f>
        <v>0</v>
      </c>
      <c r="BE309" s="27" t="n">
        <f aca="false">MIN(AI308*(1+B$8),MAX(AU309,$B$12-SUM(AV309:BD309)))</f>
        <v>0</v>
      </c>
      <c r="BF309" s="27" t="n">
        <f aca="false">MIN(AJ308*(1+C$8),MAX(AV309,$B$12-SUM(BE309:BE309)-SUM(AW309:BD309)))</f>
        <v>0</v>
      </c>
      <c r="BG309" s="27" t="n">
        <f aca="false">MIN(AK308*(1+D$8),MAX(AW309,$B$12-SUM(BE309:BF309)-SUM(AX309:BD309)))</f>
        <v>0</v>
      </c>
      <c r="BH309" s="27" t="n">
        <f aca="false">MIN(AL308*(1+E$8),MAX(AX309,$B$12-SUM(BE309:BG309)-SUM(AY309:BD309)))</f>
        <v>0</v>
      </c>
      <c r="BI309" s="27" t="n">
        <f aca="false">MIN(AM308*(1+F$8),MAX(AY309,$B$12-SUM(BE309:BH309)-SUM(AZ309:BD309)))</f>
        <v>0</v>
      </c>
      <c r="BJ309" s="27" t="n">
        <f aca="false">MIN(AN308*(1+G$8),MAX(AZ309,$B$12-SUM(BE309:BI309)-SUM(BA309:BD309)))</f>
        <v>0</v>
      </c>
      <c r="BK309" s="27" t="n">
        <f aca="false">MIN(AO308*(1+H$8),MAX(BA309,$B$12-SUM(BE309:BJ309)-SUM(BB309:BD309)))</f>
        <v>0</v>
      </c>
      <c r="BL309" s="27" t="n">
        <f aca="false">MIN(AP308*(1+I$8),MAX(BB309,$B$12-SUM(BE309:BK309)-SUM(BC309:BD309)))</f>
        <v>0</v>
      </c>
      <c r="BM309" s="27" t="n">
        <f aca="false">MIN(AQ308*(1+J$8),MAX(BC309,$B$12-SUM(BE309:BL309)-SUM(BD309:BD309)))</f>
        <v>0</v>
      </c>
      <c r="BN309" s="27" t="n">
        <f aca="false">MIN(AR308*(1+K$8),MAX(BD309,$B$12-SUM(BE309:BM309)))</f>
        <v>0</v>
      </c>
    </row>
    <row r="310" customFormat="false" ht="15" hidden="false" customHeight="false" outlineLevel="0" collapsed="false">
      <c r="A310" s="0" t="n">
        <v>296</v>
      </c>
      <c r="B310" s="27" t="n">
        <f aca="false">ROUND(MAX(0,B309*(1+B$8)-X310),2)</f>
        <v>0</v>
      </c>
      <c r="C310" s="27" t="n">
        <f aca="false">ROUND(MAX(0,C309*(1+C$8)-Y310),2)</f>
        <v>0</v>
      </c>
      <c r="D310" s="27" t="n">
        <f aca="false">ROUND(MAX(0,D309*(1+D$8)-Z310),2)</f>
        <v>0</v>
      </c>
      <c r="E310" s="27" t="n">
        <f aca="false">ROUND(MAX(0,E309*(1+E$8)-AA310),2)</f>
        <v>0</v>
      </c>
      <c r="F310" s="27" t="n">
        <f aca="false">ROUND(MAX(0,F309*(1+F$8)-AB310),2)</f>
        <v>0</v>
      </c>
      <c r="G310" s="27" t="n">
        <f aca="false">ROUND(MAX(0,G309*(1+G$8)-AC310),2)</f>
        <v>0</v>
      </c>
      <c r="H310" s="27" t="n">
        <f aca="false">ROUND(MAX(0,H309*(1+H$8)-AD310),2)</f>
        <v>0</v>
      </c>
      <c r="I310" s="27" t="n">
        <f aca="false">ROUND(MAX(0,I309*(1+I$8)-AE310),2)</f>
        <v>0</v>
      </c>
      <c r="J310" s="27" t="n">
        <f aca="false">ROUND(MAX(0,J309*(1+J$8)-AF310),2)</f>
        <v>0</v>
      </c>
      <c r="K310" s="27" t="n">
        <f aca="false">ROUND(MAX(0,K309*(1+K$8)-AG310),2)</f>
        <v>0</v>
      </c>
      <c r="L310" s="30" t="n">
        <f aca="false">SUM(B310:K310)</f>
        <v>0</v>
      </c>
      <c r="M310" s="27" t="n">
        <f aca="false">SUMPRODUCT(B309:K309,$B$8:$K$8)</f>
        <v>0</v>
      </c>
      <c r="N310" s="27" t="n">
        <f aca="false">MIN(B309*(1+B$8),B$9)</f>
        <v>0</v>
      </c>
      <c r="O310" s="27" t="n">
        <f aca="false">MIN(C309*(1+C$8),C$9)</f>
        <v>0</v>
      </c>
      <c r="P310" s="27" t="n">
        <f aca="false">MIN(D309*(1+D$8),D$9)</f>
        <v>0</v>
      </c>
      <c r="Q310" s="27" t="n">
        <f aca="false">MIN(E309*(1+E$8),E$9)</f>
        <v>0</v>
      </c>
      <c r="R310" s="27" t="n">
        <f aca="false">MIN(F309*(1+F$8),F$9)</f>
        <v>0</v>
      </c>
      <c r="S310" s="27" t="n">
        <f aca="false">MIN(G309*(1+G$8),G$9)</f>
        <v>0</v>
      </c>
      <c r="T310" s="27" t="n">
        <f aca="false">MIN(H309*(1+H$8),H$9)</f>
        <v>0</v>
      </c>
      <c r="U310" s="27" t="n">
        <f aca="false">MIN(I309*(1+I$8),I$9)</f>
        <v>0</v>
      </c>
      <c r="V310" s="27" t="n">
        <f aca="false">MIN(J309*(1+J$8),J$9)</f>
        <v>0</v>
      </c>
      <c r="W310" s="27" t="n">
        <f aca="false">MIN(K309*(1+K$8),K$9)</f>
        <v>0</v>
      </c>
      <c r="X310" s="27" t="n">
        <f aca="false">MIN(B309*(1+B$8),MAX(N310,$B$11-SUM(O310:W310)))</f>
        <v>0</v>
      </c>
      <c r="Y310" s="27" t="n">
        <f aca="false">MIN(C309*(1+C$8),MAX(O310,$B$11-SUM(X310:X310)-SUM(P310:W310)))</f>
        <v>0</v>
      </c>
      <c r="Z310" s="27" t="n">
        <f aca="false">MIN(D309*(1+D$8),MAX(P310,$B$11-SUM(X310:Y310)-SUM(Q310:W310)))</f>
        <v>0</v>
      </c>
      <c r="AA310" s="27" t="n">
        <f aca="false">MIN(E309*(1+E$8),MAX(Q310,$B$11-SUM(X310:Z310)-SUM(R310:W310)))</f>
        <v>0</v>
      </c>
      <c r="AB310" s="27" t="n">
        <f aca="false">MIN(F309*(1+F$8),MAX(R310,$B$11-SUM(X310:AA310)-SUM(S310:W310)))</f>
        <v>0</v>
      </c>
      <c r="AC310" s="27" t="n">
        <f aca="false">MIN(G309*(1+G$8),MAX(S310,$B$11-SUM(X310:AB310)-SUM(T310:W310)))</f>
        <v>0</v>
      </c>
      <c r="AD310" s="27" t="n">
        <f aca="false">MIN(H309*(1+H$8),MAX(T310,$B$11-SUM(X310:AC310)-SUM(U310:W310)))</f>
        <v>0</v>
      </c>
      <c r="AE310" s="27" t="n">
        <f aca="false">MIN(I309*(1+I$8),MAX(U310,$B$11-SUM(X310:AD310)-SUM(V310:W310)))</f>
        <v>0</v>
      </c>
      <c r="AF310" s="27" t="n">
        <f aca="false">MIN(J309*(1+J$8),MAX(V310,$B$11-SUM(X310:AE310)-SUM(W310:W310)))</f>
        <v>0</v>
      </c>
      <c r="AG310" s="27" t="n">
        <f aca="false">MIN(K309*(1+K$8),MAX(W310,$B$11-SUM(X310:AF310)))</f>
        <v>0</v>
      </c>
      <c r="AI310" s="27" t="n">
        <f aca="false">ROUND(MAX(0,AI309*(1+B$8)-BE310),2)</f>
        <v>0</v>
      </c>
      <c r="AJ310" s="27" t="n">
        <f aca="false">ROUND(MAX(0,AJ309*(1+C$8)-BF310),2)</f>
        <v>0</v>
      </c>
      <c r="AK310" s="27" t="n">
        <f aca="false">ROUND(MAX(0,AK309*(1+D$8)-BG310),2)</f>
        <v>0</v>
      </c>
      <c r="AL310" s="27" t="n">
        <f aca="false">ROUND(MAX(0,AL309*(1+E$8)-BH310),2)</f>
        <v>0</v>
      </c>
      <c r="AM310" s="27" t="n">
        <f aca="false">ROUND(MAX(0,AM309*(1+F$8)-BI310),2)</f>
        <v>0</v>
      </c>
      <c r="AN310" s="27" t="n">
        <f aca="false">ROUND(MAX(0,AN309*(1+G$8)-BJ310),2)</f>
        <v>0</v>
      </c>
      <c r="AO310" s="27" t="n">
        <f aca="false">ROUND(MAX(0,AO309*(1+H$8)-BK310),2)</f>
        <v>0</v>
      </c>
      <c r="AP310" s="27" t="n">
        <f aca="false">ROUND(MAX(0,AP309*(1+I$8)-BL310),2)</f>
        <v>0</v>
      </c>
      <c r="AQ310" s="27" t="n">
        <f aca="false">ROUND(MAX(0,AQ309*(1+J$8)-BM310),2)</f>
        <v>0</v>
      </c>
      <c r="AR310" s="27" t="n">
        <f aca="false">ROUND(MAX(0,AR309*(1+K$8)-BN310),2)</f>
        <v>0</v>
      </c>
      <c r="AS310" s="27" t="n">
        <f aca="false">SUM(AI310:AR310)</f>
        <v>0</v>
      </c>
      <c r="AT310" s="27" t="n">
        <f aca="false">SUMPRODUCT(AI309:AR309,$B$8:$K$8)</f>
        <v>0</v>
      </c>
      <c r="AU310" s="27" t="n">
        <f aca="false">MIN(AI309*(1+B$8),B$9)</f>
        <v>0</v>
      </c>
      <c r="AV310" s="27" t="n">
        <f aca="false">MIN(AJ309*(1+C$8),C$9)</f>
        <v>0</v>
      </c>
      <c r="AW310" s="27" t="n">
        <f aca="false">MIN(AK309*(1+D$8),D$9)</f>
        <v>0</v>
      </c>
      <c r="AX310" s="27" t="n">
        <f aca="false">MIN(AL309*(1+E$8),E$9)</f>
        <v>0</v>
      </c>
      <c r="AY310" s="27" t="n">
        <f aca="false">MIN(AM309*(1+F$8),F$9)</f>
        <v>0</v>
      </c>
      <c r="AZ310" s="27" t="n">
        <f aca="false">MIN(AN309*(1+G$8),G$9)</f>
        <v>0</v>
      </c>
      <c r="BA310" s="27" t="n">
        <f aca="false">MIN(AO309*(1+H$8),H$9)</f>
        <v>0</v>
      </c>
      <c r="BB310" s="27" t="n">
        <f aca="false">MIN(AP309*(1+I$8),I$9)</f>
        <v>0</v>
      </c>
      <c r="BC310" s="27" t="n">
        <f aca="false">MIN(AQ309*(1+J$8),J$9)</f>
        <v>0</v>
      </c>
      <c r="BD310" s="27" t="n">
        <f aca="false">MIN(AR309*(1+K$8),K$9)</f>
        <v>0</v>
      </c>
      <c r="BE310" s="27" t="n">
        <f aca="false">MIN(AI309*(1+B$8),MAX(AU310,$B$12-SUM(AV310:BD310)))</f>
        <v>0</v>
      </c>
      <c r="BF310" s="27" t="n">
        <f aca="false">MIN(AJ309*(1+C$8),MAX(AV310,$B$12-SUM(BE310:BE310)-SUM(AW310:BD310)))</f>
        <v>0</v>
      </c>
      <c r="BG310" s="27" t="n">
        <f aca="false">MIN(AK309*(1+D$8),MAX(AW310,$B$12-SUM(BE310:BF310)-SUM(AX310:BD310)))</f>
        <v>0</v>
      </c>
      <c r="BH310" s="27" t="n">
        <f aca="false">MIN(AL309*(1+E$8),MAX(AX310,$B$12-SUM(BE310:BG310)-SUM(AY310:BD310)))</f>
        <v>0</v>
      </c>
      <c r="BI310" s="27" t="n">
        <f aca="false">MIN(AM309*(1+F$8),MAX(AY310,$B$12-SUM(BE310:BH310)-SUM(AZ310:BD310)))</f>
        <v>0</v>
      </c>
      <c r="BJ310" s="27" t="n">
        <f aca="false">MIN(AN309*(1+G$8),MAX(AZ310,$B$12-SUM(BE310:BI310)-SUM(BA310:BD310)))</f>
        <v>0</v>
      </c>
      <c r="BK310" s="27" t="n">
        <f aca="false">MIN(AO309*(1+H$8),MAX(BA310,$B$12-SUM(BE310:BJ310)-SUM(BB310:BD310)))</f>
        <v>0</v>
      </c>
      <c r="BL310" s="27" t="n">
        <f aca="false">MIN(AP309*(1+I$8),MAX(BB310,$B$12-SUM(BE310:BK310)-SUM(BC310:BD310)))</f>
        <v>0</v>
      </c>
      <c r="BM310" s="27" t="n">
        <f aca="false">MIN(AQ309*(1+J$8),MAX(BC310,$B$12-SUM(BE310:BL310)-SUM(BD310:BD310)))</f>
        <v>0</v>
      </c>
      <c r="BN310" s="27" t="n">
        <f aca="false">MIN(AR309*(1+K$8),MAX(BD310,$B$12-SUM(BE310:BM310)))</f>
        <v>0</v>
      </c>
    </row>
    <row r="311" customFormat="false" ht="15" hidden="false" customHeight="false" outlineLevel="0" collapsed="false">
      <c r="A311" s="0" t="n">
        <v>297</v>
      </c>
      <c r="B311" s="27" t="n">
        <f aca="false">ROUND(MAX(0,B310*(1+B$8)-X311),2)</f>
        <v>0</v>
      </c>
      <c r="C311" s="27" t="n">
        <f aca="false">ROUND(MAX(0,C310*(1+C$8)-Y311),2)</f>
        <v>0</v>
      </c>
      <c r="D311" s="27" t="n">
        <f aca="false">ROUND(MAX(0,D310*(1+D$8)-Z311),2)</f>
        <v>0</v>
      </c>
      <c r="E311" s="27" t="n">
        <f aca="false">ROUND(MAX(0,E310*(1+E$8)-AA311),2)</f>
        <v>0</v>
      </c>
      <c r="F311" s="27" t="n">
        <f aca="false">ROUND(MAX(0,F310*(1+F$8)-AB311),2)</f>
        <v>0</v>
      </c>
      <c r="G311" s="27" t="n">
        <f aca="false">ROUND(MAX(0,G310*(1+G$8)-AC311),2)</f>
        <v>0</v>
      </c>
      <c r="H311" s="27" t="n">
        <f aca="false">ROUND(MAX(0,H310*(1+H$8)-AD311),2)</f>
        <v>0</v>
      </c>
      <c r="I311" s="27" t="n">
        <f aca="false">ROUND(MAX(0,I310*(1+I$8)-AE311),2)</f>
        <v>0</v>
      </c>
      <c r="J311" s="27" t="n">
        <f aca="false">ROUND(MAX(0,J310*(1+J$8)-AF311),2)</f>
        <v>0</v>
      </c>
      <c r="K311" s="27" t="n">
        <f aca="false">ROUND(MAX(0,K310*(1+K$8)-AG311),2)</f>
        <v>0</v>
      </c>
      <c r="L311" s="30" t="n">
        <f aca="false">SUM(B311:K311)</f>
        <v>0</v>
      </c>
      <c r="M311" s="27" t="n">
        <f aca="false">SUMPRODUCT(B310:K310,$B$8:$K$8)</f>
        <v>0</v>
      </c>
      <c r="N311" s="27" t="n">
        <f aca="false">MIN(B310*(1+B$8),B$9)</f>
        <v>0</v>
      </c>
      <c r="O311" s="27" t="n">
        <f aca="false">MIN(C310*(1+C$8),C$9)</f>
        <v>0</v>
      </c>
      <c r="P311" s="27" t="n">
        <f aca="false">MIN(D310*(1+D$8),D$9)</f>
        <v>0</v>
      </c>
      <c r="Q311" s="27" t="n">
        <f aca="false">MIN(E310*(1+E$8),E$9)</f>
        <v>0</v>
      </c>
      <c r="R311" s="27" t="n">
        <f aca="false">MIN(F310*(1+F$8),F$9)</f>
        <v>0</v>
      </c>
      <c r="S311" s="27" t="n">
        <f aca="false">MIN(G310*(1+G$8),G$9)</f>
        <v>0</v>
      </c>
      <c r="T311" s="27" t="n">
        <f aca="false">MIN(H310*(1+H$8),H$9)</f>
        <v>0</v>
      </c>
      <c r="U311" s="27" t="n">
        <f aca="false">MIN(I310*(1+I$8),I$9)</f>
        <v>0</v>
      </c>
      <c r="V311" s="27" t="n">
        <f aca="false">MIN(J310*(1+J$8),J$9)</f>
        <v>0</v>
      </c>
      <c r="W311" s="27" t="n">
        <f aca="false">MIN(K310*(1+K$8),K$9)</f>
        <v>0</v>
      </c>
      <c r="X311" s="27" t="n">
        <f aca="false">MIN(B310*(1+B$8),MAX(N311,$B$11-SUM(O311:W311)))</f>
        <v>0</v>
      </c>
      <c r="Y311" s="27" t="n">
        <f aca="false">MIN(C310*(1+C$8),MAX(O311,$B$11-SUM(X311:X311)-SUM(P311:W311)))</f>
        <v>0</v>
      </c>
      <c r="Z311" s="27" t="n">
        <f aca="false">MIN(D310*(1+D$8),MAX(P311,$B$11-SUM(X311:Y311)-SUM(Q311:W311)))</f>
        <v>0</v>
      </c>
      <c r="AA311" s="27" t="n">
        <f aca="false">MIN(E310*(1+E$8),MAX(Q311,$B$11-SUM(X311:Z311)-SUM(R311:W311)))</f>
        <v>0</v>
      </c>
      <c r="AB311" s="27" t="n">
        <f aca="false">MIN(F310*(1+F$8),MAX(R311,$B$11-SUM(X311:AA311)-SUM(S311:W311)))</f>
        <v>0</v>
      </c>
      <c r="AC311" s="27" t="n">
        <f aca="false">MIN(G310*(1+G$8),MAX(S311,$B$11-SUM(X311:AB311)-SUM(T311:W311)))</f>
        <v>0</v>
      </c>
      <c r="AD311" s="27" t="n">
        <f aca="false">MIN(H310*(1+H$8),MAX(T311,$B$11-SUM(X311:AC311)-SUM(U311:W311)))</f>
        <v>0</v>
      </c>
      <c r="AE311" s="27" t="n">
        <f aca="false">MIN(I310*(1+I$8),MAX(U311,$B$11-SUM(X311:AD311)-SUM(V311:W311)))</f>
        <v>0</v>
      </c>
      <c r="AF311" s="27" t="n">
        <f aca="false">MIN(J310*(1+J$8),MAX(V311,$B$11-SUM(X311:AE311)-SUM(W311:W311)))</f>
        <v>0</v>
      </c>
      <c r="AG311" s="27" t="n">
        <f aca="false">MIN(K310*(1+K$8),MAX(W311,$B$11-SUM(X311:AF311)))</f>
        <v>0</v>
      </c>
      <c r="AI311" s="27" t="n">
        <f aca="false">ROUND(MAX(0,AI310*(1+B$8)-BE311),2)</f>
        <v>0</v>
      </c>
      <c r="AJ311" s="27" t="n">
        <f aca="false">ROUND(MAX(0,AJ310*(1+C$8)-BF311),2)</f>
        <v>0</v>
      </c>
      <c r="AK311" s="27" t="n">
        <f aca="false">ROUND(MAX(0,AK310*(1+D$8)-BG311),2)</f>
        <v>0</v>
      </c>
      <c r="AL311" s="27" t="n">
        <f aca="false">ROUND(MAX(0,AL310*(1+E$8)-BH311),2)</f>
        <v>0</v>
      </c>
      <c r="AM311" s="27" t="n">
        <f aca="false">ROUND(MAX(0,AM310*(1+F$8)-BI311),2)</f>
        <v>0</v>
      </c>
      <c r="AN311" s="27" t="n">
        <f aca="false">ROUND(MAX(0,AN310*(1+G$8)-BJ311),2)</f>
        <v>0</v>
      </c>
      <c r="AO311" s="27" t="n">
        <f aca="false">ROUND(MAX(0,AO310*(1+H$8)-BK311),2)</f>
        <v>0</v>
      </c>
      <c r="AP311" s="27" t="n">
        <f aca="false">ROUND(MAX(0,AP310*(1+I$8)-BL311),2)</f>
        <v>0</v>
      </c>
      <c r="AQ311" s="27" t="n">
        <f aca="false">ROUND(MAX(0,AQ310*(1+J$8)-BM311),2)</f>
        <v>0</v>
      </c>
      <c r="AR311" s="27" t="n">
        <f aca="false">ROUND(MAX(0,AR310*(1+K$8)-BN311),2)</f>
        <v>0</v>
      </c>
      <c r="AS311" s="27" t="n">
        <f aca="false">SUM(AI311:AR311)</f>
        <v>0</v>
      </c>
      <c r="AT311" s="27" t="n">
        <f aca="false">SUMPRODUCT(AI310:AR310,$B$8:$K$8)</f>
        <v>0</v>
      </c>
      <c r="AU311" s="27" t="n">
        <f aca="false">MIN(AI310*(1+B$8),B$9)</f>
        <v>0</v>
      </c>
      <c r="AV311" s="27" t="n">
        <f aca="false">MIN(AJ310*(1+C$8),C$9)</f>
        <v>0</v>
      </c>
      <c r="AW311" s="27" t="n">
        <f aca="false">MIN(AK310*(1+D$8),D$9)</f>
        <v>0</v>
      </c>
      <c r="AX311" s="27" t="n">
        <f aca="false">MIN(AL310*(1+E$8),E$9)</f>
        <v>0</v>
      </c>
      <c r="AY311" s="27" t="n">
        <f aca="false">MIN(AM310*(1+F$8),F$9)</f>
        <v>0</v>
      </c>
      <c r="AZ311" s="27" t="n">
        <f aca="false">MIN(AN310*(1+G$8),G$9)</f>
        <v>0</v>
      </c>
      <c r="BA311" s="27" t="n">
        <f aca="false">MIN(AO310*(1+H$8),H$9)</f>
        <v>0</v>
      </c>
      <c r="BB311" s="27" t="n">
        <f aca="false">MIN(AP310*(1+I$8),I$9)</f>
        <v>0</v>
      </c>
      <c r="BC311" s="27" t="n">
        <f aca="false">MIN(AQ310*(1+J$8),J$9)</f>
        <v>0</v>
      </c>
      <c r="BD311" s="27" t="n">
        <f aca="false">MIN(AR310*(1+K$8),K$9)</f>
        <v>0</v>
      </c>
      <c r="BE311" s="27" t="n">
        <f aca="false">MIN(AI310*(1+B$8),MAX(AU311,$B$12-SUM(AV311:BD311)))</f>
        <v>0</v>
      </c>
      <c r="BF311" s="27" t="n">
        <f aca="false">MIN(AJ310*(1+C$8),MAX(AV311,$B$12-SUM(BE311:BE311)-SUM(AW311:BD311)))</f>
        <v>0</v>
      </c>
      <c r="BG311" s="27" t="n">
        <f aca="false">MIN(AK310*(1+D$8),MAX(AW311,$B$12-SUM(BE311:BF311)-SUM(AX311:BD311)))</f>
        <v>0</v>
      </c>
      <c r="BH311" s="27" t="n">
        <f aca="false">MIN(AL310*(1+E$8),MAX(AX311,$B$12-SUM(BE311:BG311)-SUM(AY311:BD311)))</f>
        <v>0</v>
      </c>
      <c r="BI311" s="27" t="n">
        <f aca="false">MIN(AM310*(1+F$8),MAX(AY311,$B$12-SUM(BE311:BH311)-SUM(AZ311:BD311)))</f>
        <v>0</v>
      </c>
      <c r="BJ311" s="27" t="n">
        <f aca="false">MIN(AN310*(1+G$8),MAX(AZ311,$B$12-SUM(BE311:BI311)-SUM(BA311:BD311)))</f>
        <v>0</v>
      </c>
      <c r="BK311" s="27" t="n">
        <f aca="false">MIN(AO310*(1+H$8),MAX(BA311,$B$12-SUM(BE311:BJ311)-SUM(BB311:BD311)))</f>
        <v>0</v>
      </c>
      <c r="BL311" s="27" t="n">
        <f aca="false">MIN(AP310*(1+I$8),MAX(BB311,$B$12-SUM(BE311:BK311)-SUM(BC311:BD311)))</f>
        <v>0</v>
      </c>
      <c r="BM311" s="27" t="n">
        <f aca="false">MIN(AQ310*(1+J$8),MAX(BC311,$B$12-SUM(BE311:BL311)-SUM(BD311:BD311)))</f>
        <v>0</v>
      </c>
      <c r="BN311" s="27" t="n">
        <f aca="false">MIN(AR310*(1+K$8),MAX(BD311,$B$12-SUM(BE311:BM311)))</f>
        <v>0</v>
      </c>
    </row>
    <row r="312" customFormat="false" ht="15" hidden="false" customHeight="false" outlineLevel="0" collapsed="false">
      <c r="A312" s="0" t="n">
        <v>298</v>
      </c>
      <c r="B312" s="27" t="n">
        <f aca="false">ROUND(MAX(0,B311*(1+B$8)-X312),2)</f>
        <v>0</v>
      </c>
      <c r="C312" s="27" t="n">
        <f aca="false">ROUND(MAX(0,C311*(1+C$8)-Y312),2)</f>
        <v>0</v>
      </c>
      <c r="D312" s="27" t="n">
        <f aca="false">ROUND(MAX(0,D311*(1+D$8)-Z312),2)</f>
        <v>0</v>
      </c>
      <c r="E312" s="27" t="n">
        <f aca="false">ROUND(MAX(0,E311*(1+E$8)-AA312),2)</f>
        <v>0</v>
      </c>
      <c r="F312" s="27" t="n">
        <f aca="false">ROUND(MAX(0,F311*(1+F$8)-AB312),2)</f>
        <v>0</v>
      </c>
      <c r="G312" s="27" t="n">
        <f aca="false">ROUND(MAX(0,G311*(1+G$8)-AC312),2)</f>
        <v>0</v>
      </c>
      <c r="H312" s="27" t="n">
        <f aca="false">ROUND(MAX(0,H311*(1+H$8)-AD312),2)</f>
        <v>0</v>
      </c>
      <c r="I312" s="27" t="n">
        <f aca="false">ROUND(MAX(0,I311*(1+I$8)-AE312),2)</f>
        <v>0</v>
      </c>
      <c r="J312" s="27" t="n">
        <f aca="false">ROUND(MAX(0,J311*(1+J$8)-AF312),2)</f>
        <v>0</v>
      </c>
      <c r="K312" s="27" t="n">
        <f aca="false">ROUND(MAX(0,K311*(1+K$8)-AG312),2)</f>
        <v>0</v>
      </c>
      <c r="L312" s="30" t="n">
        <f aca="false">SUM(B312:K312)</f>
        <v>0</v>
      </c>
      <c r="M312" s="27" t="n">
        <f aca="false">SUMPRODUCT(B311:K311,$B$8:$K$8)</f>
        <v>0</v>
      </c>
      <c r="N312" s="27" t="n">
        <f aca="false">MIN(B311*(1+B$8),B$9)</f>
        <v>0</v>
      </c>
      <c r="O312" s="27" t="n">
        <f aca="false">MIN(C311*(1+C$8),C$9)</f>
        <v>0</v>
      </c>
      <c r="P312" s="27" t="n">
        <f aca="false">MIN(D311*(1+D$8),D$9)</f>
        <v>0</v>
      </c>
      <c r="Q312" s="27" t="n">
        <f aca="false">MIN(E311*(1+E$8),E$9)</f>
        <v>0</v>
      </c>
      <c r="R312" s="27" t="n">
        <f aca="false">MIN(F311*(1+F$8),F$9)</f>
        <v>0</v>
      </c>
      <c r="S312" s="27" t="n">
        <f aca="false">MIN(G311*(1+G$8),G$9)</f>
        <v>0</v>
      </c>
      <c r="T312" s="27" t="n">
        <f aca="false">MIN(H311*(1+H$8),H$9)</f>
        <v>0</v>
      </c>
      <c r="U312" s="27" t="n">
        <f aca="false">MIN(I311*(1+I$8),I$9)</f>
        <v>0</v>
      </c>
      <c r="V312" s="27" t="n">
        <f aca="false">MIN(J311*(1+J$8),J$9)</f>
        <v>0</v>
      </c>
      <c r="W312" s="27" t="n">
        <f aca="false">MIN(K311*(1+K$8),K$9)</f>
        <v>0</v>
      </c>
      <c r="X312" s="27" t="n">
        <f aca="false">MIN(B311*(1+B$8),MAX(N312,$B$11-SUM(O312:W312)))</f>
        <v>0</v>
      </c>
      <c r="Y312" s="27" t="n">
        <f aca="false">MIN(C311*(1+C$8),MAX(O312,$B$11-SUM(X312:X312)-SUM(P312:W312)))</f>
        <v>0</v>
      </c>
      <c r="Z312" s="27" t="n">
        <f aca="false">MIN(D311*(1+D$8),MAX(P312,$B$11-SUM(X312:Y312)-SUM(Q312:W312)))</f>
        <v>0</v>
      </c>
      <c r="AA312" s="27" t="n">
        <f aca="false">MIN(E311*(1+E$8),MAX(Q312,$B$11-SUM(X312:Z312)-SUM(R312:W312)))</f>
        <v>0</v>
      </c>
      <c r="AB312" s="27" t="n">
        <f aca="false">MIN(F311*(1+F$8),MAX(R312,$B$11-SUM(X312:AA312)-SUM(S312:W312)))</f>
        <v>0</v>
      </c>
      <c r="AC312" s="27" t="n">
        <f aca="false">MIN(G311*(1+G$8),MAX(S312,$B$11-SUM(X312:AB312)-SUM(T312:W312)))</f>
        <v>0</v>
      </c>
      <c r="AD312" s="27" t="n">
        <f aca="false">MIN(H311*(1+H$8),MAX(T312,$B$11-SUM(X312:AC312)-SUM(U312:W312)))</f>
        <v>0</v>
      </c>
      <c r="AE312" s="27" t="n">
        <f aca="false">MIN(I311*(1+I$8),MAX(U312,$B$11-SUM(X312:AD312)-SUM(V312:W312)))</f>
        <v>0</v>
      </c>
      <c r="AF312" s="27" t="n">
        <f aca="false">MIN(J311*(1+J$8),MAX(V312,$B$11-SUM(X312:AE312)-SUM(W312:W312)))</f>
        <v>0</v>
      </c>
      <c r="AG312" s="27" t="n">
        <f aca="false">MIN(K311*(1+K$8),MAX(W312,$B$11-SUM(X312:AF312)))</f>
        <v>0</v>
      </c>
      <c r="AI312" s="27" t="n">
        <f aca="false">ROUND(MAX(0,AI311*(1+B$8)-BE312),2)</f>
        <v>0</v>
      </c>
      <c r="AJ312" s="27" t="n">
        <f aca="false">ROUND(MAX(0,AJ311*(1+C$8)-BF312),2)</f>
        <v>0</v>
      </c>
      <c r="AK312" s="27" t="n">
        <f aca="false">ROUND(MAX(0,AK311*(1+D$8)-BG312),2)</f>
        <v>0</v>
      </c>
      <c r="AL312" s="27" t="n">
        <f aca="false">ROUND(MAX(0,AL311*(1+E$8)-BH312),2)</f>
        <v>0</v>
      </c>
      <c r="AM312" s="27" t="n">
        <f aca="false">ROUND(MAX(0,AM311*(1+F$8)-BI312),2)</f>
        <v>0</v>
      </c>
      <c r="AN312" s="27" t="n">
        <f aca="false">ROUND(MAX(0,AN311*(1+G$8)-BJ312),2)</f>
        <v>0</v>
      </c>
      <c r="AO312" s="27" t="n">
        <f aca="false">ROUND(MAX(0,AO311*(1+H$8)-BK312),2)</f>
        <v>0</v>
      </c>
      <c r="AP312" s="27" t="n">
        <f aca="false">ROUND(MAX(0,AP311*(1+I$8)-BL312),2)</f>
        <v>0</v>
      </c>
      <c r="AQ312" s="27" t="n">
        <f aca="false">ROUND(MAX(0,AQ311*(1+J$8)-BM312),2)</f>
        <v>0</v>
      </c>
      <c r="AR312" s="27" t="n">
        <f aca="false">ROUND(MAX(0,AR311*(1+K$8)-BN312),2)</f>
        <v>0</v>
      </c>
      <c r="AS312" s="27" t="n">
        <f aca="false">SUM(AI312:AR312)</f>
        <v>0</v>
      </c>
      <c r="AT312" s="27" t="n">
        <f aca="false">SUMPRODUCT(AI311:AR311,$B$8:$K$8)</f>
        <v>0</v>
      </c>
      <c r="AU312" s="27" t="n">
        <f aca="false">MIN(AI311*(1+B$8),B$9)</f>
        <v>0</v>
      </c>
      <c r="AV312" s="27" t="n">
        <f aca="false">MIN(AJ311*(1+C$8),C$9)</f>
        <v>0</v>
      </c>
      <c r="AW312" s="27" t="n">
        <f aca="false">MIN(AK311*(1+D$8),D$9)</f>
        <v>0</v>
      </c>
      <c r="AX312" s="27" t="n">
        <f aca="false">MIN(AL311*(1+E$8),E$9)</f>
        <v>0</v>
      </c>
      <c r="AY312" s="27" t="n">
        <f aca="false">MIN(AM311*(1+F$8),F$9)</f>
        <v>0</v>
      </c>
      <c r="AZ312" s="27" t="n">
        <f aca="false">MIN(AN311*(1+G$8),G$9)</f>
        <v>0</v>
      </c>
      <c r="BA312" s="27" t="n">
        <f aca="false">MIN(AO311*(1+H$8),H$9)</f>
        <v>0</v>
      </c>
      <c r="BB312" s="27" t="n">
        <f aca="false">MIN(AP311*(1+I$8),I$9)</f>
        <v>0</v>
      </c>
      <c r="BC312" s="27" t="n">
        <f aca="false">MIN(AQ311*(1+J$8),J$9)</f>
        <v>0</v>
      </c>
      <c r="BD312" s="27" t="n">
        <f aca="false">MIN(AR311*(1+K$8),K$9)</f>
        <v>0</v>
      </c>
      <c r="BE312" s="27" t="n">
        <f aca="false">MIN(AI311*(1+B$8),MAX(AU312,$B$12-SUM(AV312:BD312)))</f>
        <v>0</v>
      </c>
      <c r="BF312" s="27" t="n">
        <f aca="false">MIN(AJ311*(1+C$8),MAX(AV312,$B$12-SUM(BE312:BE312)-SUM(AW312:BD312)))</f>
        <v>0</v>
      </c>
      <c r="BG312" s="27" t="n">
        <f aca="false">MIN(AK311*(1+D$8),MAX(AW312,$B$12-SUM(BE312:BF312)-SUM(AX312:BD312)))</f>
        <v>0</v>
      </c>
      <c r="BH312" s="27" t="n">
        <f aca="false">MIN(AL311*(1+E$8),MAX(AX312,$B$12-SUM(BE312:BG312)-SUM(AY312:BD312)))</f>
        <v>0</v>
      </c>
      <c r="BI312" s="27" t="n">
        <f aca="false">MIN(AM311*(1+F$8),MAX(AY312,$B$12-SUM(BE312:BH312)-SUM(AZ312:BD312)))</f>
        <v>0</v>
      </c>
      <c r="BJ312" s="27" t="n">
        <f aca="false">MIN(AN311*(1+G$8),MAX(AZ312,$B$12-SUM(BE312:BI312)-SUM(BA312:BD312)))</f>
        <v>0</v>
      </c>
      <c r="BK312" s="27" t="n">
        <f aca="false">MIN(AO311*(1+H$8),MAX(BA312,$B$12-SUM(BE312:BJ312)-SUM(BB312:BD312)))</f>
        <v>0</v>
      </c>
      <c r="BL312" s="27" t="n">
        <f aca="false">MIN(AP311*(1+I$8),MAX(BB312,$B$12-SUM(BE312:BK312)-SUM(BC312:BD312)))</f>
        <v>0</v>
      </c>
      <c r="BM312" s="27" t="n">
        <f aca="false">MIN(AQ311*(1+J$8),MAX(BC312,$B$12-SUM(BE312:BL312)-SUM(BD312:BD312)))</f>
        <v>0</v>
      </c>
      <c r="BN312" s="27" t="n">
        <f aca="false">MIN(AR311*(1+K$8),MAX(BD312,$B$12-SUM(BE312:BM312)))</f>
        <v>0</v>
      </c>
    </row>
    <row r="313" customFormat="false" ht="15" hidden="false" customHeight="false" outlineLevel="0" collapsed="false">
      <c r="A313" s="0" t="n">
        <v>299</v>
      </c>
      <c r="B313" s="27" t="n">
        <f aca="false">ROUND(MAX(0,B312*(1+B$8)-X313),2)</f>
        <v>0</v>
      </c>
      <c r="C313" s="27" t="n">
        <f aca="false">ROUND(MAX(0,C312*(1+C$8)-Y313),2)</f>
        <v>0</v>
      </c>
      <c r="D313" s="27" t="n">
        <f aca="false">ROUND(MAX(0,D312*(1+D$8)-Z313),2)</f>
        <v>0</v>
      </c>
      <c r="E313" s="27" t="n">
        <f aca="false">ROUND(MAX(0,E312*(1+E$8)-AA313),2)</f>
        <v>0</v>
      </c>
      <c r="F313" s="27" t="n">
        <f aca="false">ROUND(MAX(0,F312*(1+F$8)-AB313),2)</f>
        <v>0</v>
      </c>
      <c r="G313" s="27" t="n">
        <f aca="false">ROUND(MAX(0,G312*(1+G$8)-AC313),2)</f>
        <v>0</v>
      </c>
      <c r="H313" s="27" t="n">
        <f aca="false">ROUND(MAX(0,H312*(1+H$8)-AD313),2)</f>
        <v>0</v>
      </c>
      <c r="I313" s="27" t="n">
        <f aca="false">ROUND(MAX(0,I312*(1+I$8)-AE313),2)</f>
        <v>0</v>
      </c>
      <c r="J313" s="27" t="n">
        <f aca="false">ROUND(MAX(0,J312*(1+J$8)-AF313),2)</f>
        <v>0</v>
      </c>
      <c r="K313" s="27" t="n">
        <f aca="false">ROUND(MAX(0,K312*(1+K$8)-AG313),2)</f>
        <v>0</v>
      </c>
      <c r="L313" s="30" t="n">
        <f aca="false">SUM(B313:K313)</f>
        <v>0</v>
      </c>
      <c r="M313" s="27" t="n">
        <f aca="false">SUMPRODUCT(B312:K312,$B$8:$K$8)</f>
        <v>0</v>
      </c>
      <c r="N313" s="27" t="n">
        <f aca="false">MIN(B312*(1+B$8),B$9)</f>
        <v>0</v>
      </c>
      <c r="O313" s="27" t="n">
        <f aca="false">MIN(C312*(1+C$8),C$9)</f>
        <v>0</v>
      </c>
      <c r="P313" s="27" t="n">
        <f aca="false">MIN(D312*(1+D$8),D$9)</f>
        <v>0</v>
      </c>
      <c r="Q313" s="27" t="n">
        <f aca="false">MIN(E312*(1+E$8),E$9)</f>
        <v>0</v>
      </c>
      <c r="R313" s="27" t="n">
        <f aca="false">MIN(F312*(1+F$8),F$9)</f>
        <v>0</v>
      </c>
      <c r="S313" s="27" t="n">
        <f aca="false">MIN(G312*(1+G$8),G$9)</f>
        <v>0</v>
      </c>
      <c r="T313" s="27" t="n">
        <f aca="false">MIN(H312*(1+H$8),H$9)</f>
        <v>0</v>
      </c>
      <c r="U313" s="27" t="n">
        <f aca="false">MIN(I312*(1+I$8),I$9)</f>
        <v>0</v>
      </c>
      <c r="V313" s="27" t="n">
        <f aca="false">MIN(J312*(1+J$8),J$9)</f>
        <v>0</v>
      </c>
      <c r="W313" s="27" t="n">
        <f aca="false">MIN(K312*(1+K$8),K$9)</f>
        <v>0</v>
      </c>
      <c r="X313" s="27" t="n">
        <f aca="false">MIN(B312*(1+B$8),MAX(N313,$B$11-SUM(O313:W313)))</f>
        <v>0</v>
      </c>
      <c r="Y313" s="27" t="n">
        <f aca="false">MIN(C312*(1+C$8),MAX(O313,$B$11-SUM(X313:X313)-SUM(P313:W313)))</f>
        <v>0</v>
      </c>
      <c r="Z313" s="27" t="n">
        <f aca="false">MIN(D312*(1+D$8),MAX(P313,$B$11-SUM(X313:Y313)-SUM(Q313:W313)))</f>
        <v>0</v>
      </c>
      <c r="AA313" s="27" t="n">
        <f aca="false">MIN(E312*(1+E$8),MAX(Q313,$B$11-SUM(X313:Z313)-SUM(R313:W313)))</f>
        <v>0</v>
      </c>
      <c r="AB313" s="27" t="n">
        <f aca="false">MIN(F312*(1+F$8),MAX(R313,$B$11-SUM(X313:AA313)-SUM(S313:W313)))</f>
        <v>0</v>
      </c>
      <c r="AC313" s="27" t="n">
        <f aca="false">MIN(G312*(1+G$8),MAX(S313,$B$11-SUM(X313:AB313)-SUM(T313:W313)))</f>
        <v>0</v>
      </c>
      <c r="AD313" s="27" t="n">
        <f aca="false">MIN(H312*(1+H$8),MAX(T313,$B$11-SUM(X313:AC313)-SUM(U313:W313)))</f>
        <v>0</v>
      </c>
      <c r="AE313" s="27" t="n">
        <f aca="false">MIN(I312*(1+I$8),MAX(U313,$B$11-SUM(X313:AD313)-SUM(V313:W313)))</f>
        <v>0</v>
      </c>
      <c r="AF313" s="27" t="n">
        <f aca="false">MIN(J312*(1+J$8),MAX(V313,$B$11-SUM(X313:AE313)-SUM(W313:W313)))</f>
        <v>0</v>
      </c>
      <c r="AG313" s="27" t="n">
        <f aca="false">MIN(K312*(1+K$8),MAX(W313,$B$11-SUM(X313:AF313)))</f>
        <v>0</v>
      </c>
      <c r="AI313" s="27" t="n">
        <f aca="false">ROUND(MAX(0,AI312*(1+B$8)-BE313),2)</f>
        <v>0</v>
      </c>
      <c r="AJ313" s="27" t="n">
        <f aca="false">ROUND(MAX(0,AJ312*(1+C$8)-BF313),2)</f>
        <v>0</v>
      </c>
      <c r="AK313" s="27" t="n">
        <f aca="false">ROUND(MAX(0,AK312*(1+D$8)-BG313),2)</f>
        <v>0</v>
      </c>
      <c r="AL313" s="27" t="n">
        <f aca="false">ROUND(MAX(0,AL312*(1+E$8)-BH313),2)</f>
        <v>0</v>
      </c>
      <c r="AM313" s="27" t="n">
        <f aca="false">ROUND(MAX(0,AM312*(1+F$8)-BI313),2)</f>
        <v>0</v>
      </c>
      <c r="AN313" s="27" t="n">
        <f aca="false">ROUND(MAX(0,AN312*(1+G$8)-BJ313),2)</f>
        <v>0</v>
      </c>
      <c r="AO313" s="27" t="n">
        <f aca="false">ROUND(MAX(0,AO312*(1+H$8)-BK313),2)</f>
        <v>0</v>
      </c>
      <c r="AP313" s="27" t="n">
        <f aca="false">ROUND(MAX(0,AP312*(1+I$8)-BL313),2)</f>
        <v>0</v>
      </c>
      <c r="AQ313" s="27" t="n">
        <f aca="false">ROUND(MAX(0,AQ312*(1+J$8)-BM313),2)</f>
        <v>0</v>
      </c>
      <c r="AR313" s="27" t="n">
        <f aca="false">ROUND(MAX(0,AR312*(1+K$8)-BN313),2)</f>
        <v>0</v>
      </c>
      <c r="AS313" s="27" t="n">
        <f aca="false">SUM(AI313:AR313)</f>
        <v>0</v>
      </c>
      <c r="AT313" s="27" t="n">
        <f aca="false">SUMPRODUCT(AI312:AR312,$B$8:$K$8)</f>
        <v>0</v>
      </c>
      <c r="AU313" s="27" t="n">
        <f aca="false">MIN(AI312*(1+B$8),B$9)</f>
        <v>0</v>
      </c>
      <c r="AV313" s="27" t="n">
        <f aca="false">MIN(AJ312*(1+C$8),C$9)</f>
        <v>0</v>
      </c>
      <c r="AW313" s="27" t="n">
        <f aca="false">MIN(AK312*(1+D$8),D$9)</f>
        <v>0</v>
      </c>
      <c r="AX313" s="27" t="n">
        <f aca="false">MIN(AL312*(1+E$8),E$9)</f>
        <v>0</v>
      </c>
      <c r="AY313" s="27" t="n">
        <f aca="false">MIN(AM312*(1+F$8),F$9)</f>
        <v>0</v>
      </c>
      <c r="AZ313" s="27" t="n">
        <f aca="false">MIN(AN312*(1+G$8),G$9)</f>
        <v>0</v>
      </c>
      <c r="BA313" s="27" t="n">
        <f aca="false">MIN(AO312*(1+H$8),H$9)</f>
        <v>0</v>
      </c>
      <c r="BB313" s="27" t="n">
        <f aca="false">MIN(AP312*(1+I$8),I$9)</f>
        <v>0</v>
      </c>
      <c r="BC313" s="27" t="n">
        <f aca="false">MIN(AQ312*(1+J$8),J$9)</f>
        <v>0</v>
      </c>
      <c r="BD313" s="27" t="n">
        <f aca="false">MIN(AR312*(1+K$8),K$9)</f>
        <v>0</v>
      </c>
      <c r="BE313" s="27" t="n">
        <f aca="false">MIN(AI312*(1+B$8),MAX(AU313,$B$12-SUM(AV313:BD313)))</f>
        <v>0</v>
      </c>
      <c r="BF313" s="27" t="n">
        <f aca="false">MIN(AJ312*(1+C$8),MAX(AV313,$B$12-SUM(BE313:BE313)-SUM(AW313:BD313)))</f>
        <v>0</v>
      </c>
      <c r="BG313" s="27" t="n">
        <f aca="false">MIN(AK312*(1+D$8),MAX(AW313,$B$12-SUM(BE313:BF313)-SUM(AX313:BD313)))</f>
        <v>0</v>
      </c>
      <c r="BH313" s="27" t="n">
        <f aca="false">MIN(AL312*(1+E$8),MAX(AX313,$B$12-SUM(BE313:BG313)-SUM(AY313:BD313)))</f>
        <v>0</v>
      </c>
      <c r="BI313" s="27" t="n">
        <f aca="false">MIN(AM312*(1+F$8),MAX(AY313,$B$12-SUM(BE313:BH313)-SUM(AZ313:BD313)))</f>
        <v>0</v>
      </c>
      <c r="BJ313" s="27" t="n">
        <f aca="false">MIN(AN312*(1+G$8),MAX(AZ313,$B$12-SUM(BE313:BI313)-SUM(BA313:BD313)))</f>
        <v>0</v>
      </c>
      <c r="BK313" s="27" t="n">
        <f aca="false">MIN(AO312*(1+H$8),MAX(BA313,$B$12-SUM(BE313:BJ313)-SUM(BB313:BD313)))</f>
        <v>0</v>
      </c>
      <c r="BL313" s="27" t="n">
        <f aca="false">MIN(AP312*(1+I$8),MAX(BB313,$B$12-SUM(BE313:BK313)-SUM(BC313:BD313)))</f>
        <v>0</v>
      </c>
      <c r="BM313" s="27" t="n">
        <f aca="false">MIN(AQ312*(1+J$8),MAX(BC313,$B$12-SUM(BE313:BL313)-SUM(BD313:BD313)))</f>
        <v>0</v>
      </c>
      <c r="BN313" s="27" t="n">
        <f aca="false">MIN(AR312*(1+K$8),MAX(BD313,$B$12-SUM(BE313:BM313)))</f>
        <v>0</v>
      </c>
    </row>
    <row r="314" customFormat="false" ht="15" hidden="false" customHeight="false" outlineLevel="0" collapsed="false">
      <c r="A314" s="0" t="n">
        <v>300</v>
      </c>
      <c r="B314" s="27" t="n">
        <f aca="false">ROUND(MAX(0,B313*(1+B$8)-X314),2)</f>
        <v>0</v>
      </c>
      <c r="C314" s="27" t="n">
        <f aca="false">ROUND(MAX(0,C313*(1+C$8)-Y314),2)</f>
        <v>0</v>
      </c>
      <c r="D314" s="27" t="n">
        <f aca="false">ROUND(MAX(0,D313*(1+D$8)-Z314),2)</f>
        <v>0</v>
      </c>
      <c r="E314" s="27" t="n">
        <f aca="false">ROUND(MAX(0,E313*(1+E$8)-AA314),2)</f>
        <v>0</v>
      </c>
      <c r="F314" s="27" t="n">
        <f aca="false">ROUND(MAX(0,F313*(1+F$8)-AB314),2)</f>
        <v>0</v>
      </c>
      <c r="G314" s="27" t="n">
        <f aca="false">ROUND(MAX(0,G313*(1+G$8)-AC314),2)</f>
        <v>0</v>
      </c>
      <c r="H314" s="27" t="n">
        <f aca="false">ROUND(MAX(0,H313*(1+H$8)-AD314),2)</f>
        <v>0</v>
      </c>
      <c r="I314" s="27" t="n">
        <f aca="false">ROUND(MAX(0,I313*(1+I$8)-AE314),2)</f>
        <v>0</v>
      </c>
      <c r="J314" s="27" t="n">
        <f aca="false">ROUND(MAX(0,J313*(1+J$8)-AF314),2)</f>
        <v>0</v>
      </c>
      <c r="K314" s="27" t="n">
        <f aca="false">ROUND(MAX(0,K313*(1+K$8)-AG314),2)</f>
        <v>0</v>
      </c>
      <c r="L314" s="30" t="n">
        <f aca="false">SUM(B314:K314)</f>
        <v>0</v>
      </c>
      <c r="M314" s="27" t="n">
        <f aca="false">SUMPRODUCT(B313:K313,$B$8:$K$8)</f>
        <v>0</v>
      </c>
      <c r="N314" s="27" t="n">
        <f aca="false">MIN(B313*(1+B$8),B$9)</f>
        <v>0</v>
      </c>
      <c r="O314" s="27" t="n">
        <f aca="false">MIN(C313*(1+C$8),C$9)</f>
        <v>0</v>
      </c>
      <c r="P314" s="27" t="n">
        <f aca="false">MIN(D313*(1+D$8),D$9)</f>
        <v>0</v>
      </c>
      <c r="Q314" s="27" t="n">
        <f aca="false">MIN(E313*(1+E$8),E$9)</f>
        <v>0</v>
      </c>
      <c r="R314" s="27" t="n">
        <f aca="false">MIN(F313*(1+F$8),F$9)</f>
        <v>0</v>
      </c>
      <c r="S314" s="27" t="n">
        <f aca="false">MIN(G313*(1+G$8),G$9)</f>
        <v>0</v>
      </c>
      <c r="T314" s="27" t="n">
        <f aca="false">MIN(H313*(1+H$8),H$9)</f>
        <v>0</v>
      </c>
      <c r="U314" s="27" t="n">
        <f aca="false">MIN(I313*(1+I$8),I$9)</f>
        <v>0</v>
      </c>
      <c r="V314" s="27" t="n">
        <f aca="false">MIN(J313*(1+J$8),J$9)</f>
        <v>0</v>
      </c>
      <c r="W314" s="27" t="n">
        <f aca="false">MIN(K313*(1+K$8),K$9)</f>
        <v>0</v>
      </c>
      <c r="X314" s="27" t="n">
        <f aca="false">MIN(B313*(1+B$8),MAX(N314,$B$11-SUM(O314:W314)))</f>
        <v>0</v>
      </c>
      <c r="Y314" s="27" t="n">
        <f aca="false">MIN(C313*(1+C$8),MAX(O314,$B$11-SUM(X314:X314)-SUM(P314:W314)))</f>
        <v>0</v>
      </c>
      <c r="Z314" s="27" t="n">
        <f aca="false">MIN(D313*(1+D$8),MAX(P314,$B$11-SUM(X314:Y314)-SUM(Q314:W314)))</f>
        <v>0</v>
      </c>
      <c r="AA314" s="27" t="n">
        <f aca="false">MIN(E313*(1+E$8),MAX(Q314,$B$11-SUM(X314:Z314)-SUM(R314:W314)))</f>
        <v>0</v>
      </c>
      <c r="AB314" s="27" t="n">
        <f aca="false">MIN(F313*(1+F$8),MAX(R314,$B$11-SUM(X314:AA314)-SUM(S314:W314)))</f>
        <v>0</v>
      </c>
      <c r="AC314" s="27" t="n">
        <f aca="false">MIN(G313*(1+G$8),MAX(S314,$B$11-SUM(X314:AB314)-SUM(T314:W314)))</f>
        <v>0</v>
      </c>
      <c r="AD314" s="27" t="n">
        <f aca="false">MIN(H313*(1+H$8),MAX(T314,$B$11-SUM(X314:AC314)-SUM(U314:W314)))</f>
        <v>0</v>
      </c>
      <c r="AE314" s="27" t="n">
        <f aca="false">MIN(I313*(1+I$8),MAX(U314,$B$11-SUM(X314:AD314)-SUM(V314:W314)))</f>
        <v>0</v>
      </c>
      <c r="AF314" s="27" t="n">
        <f aca="false">MIN(J313*(1+J$8),MAX(V314,$B$11-SUM(X314:AE314)-SUM(W314:W314)))</f>
        <v>0</v>
      </c>
      <c r="AG314" s="27" t="n">
        <f aca="false">MIN(K313*(1+K$8),MAX(W314,$B$11-SUM(X314:AF314)))</f>
        <v>0</v>
      </c>
      <c r="AI314" s="27" t="n">
        <f aca="false">ROUND(MAX(0,AI313*(1+B$8)-BE314),2)</f>
        <v>0</v>
      </c>
      <c r="AJ314" s="27" t="n">
        <f aca="false">ROUND(MAX(0,AJ313*(1+C$8)-BF314),2)</f>
        <v>0</v>
      </c>
      <c r="AK314" s="27" t="n">
        <f aca="false">ROUND(MAX(0,AK313*(1+D$8)-BG314),2)</f>
        <v>0</v>
      </c>
      <c r="AL314" s="27" t="n">
        <f aca="false">ROUND(MAX(0,AL313*(1+E$8)-BH314),2)</f>
        <v>0</v>
      </c>
      <c r="AM314" s="27" t="n">
        <f aca="false">ROUND(MAX(0,AM313*(1+F$8)-BI314),2)</f>
        <v>0</v>
      </c>
      <c r="AN314" s="27" t="n">
        <f aca="false">ROUND(MAX(0,AN313*(1+G$8)-BJ314),2)</f>
        <v>0</v>
      </c>
      <c r="AO314" s="27" t="n">
        <f aca="false">ROUND(MAX(0,AO313*(1+H$8)-BK314),2)</f>
        <v>0</v>
      </c>
      <c r="AP314" s="27" t="n">
        <f aca="false">ROUND(MAX(0,AP313*(1+I$8)-BL314),2)</f>
        <v>0</v>
      </c>
      <c r="AQ314" s="27" t="n">
        <f aca="false">ROUND(MAX(0,AQ313*(1+J$8)-BM314),2)</f>
        <v>0</v>
      </c>
      <c r="AR314" s="27" t="n">
        <f aca="false">ROUND(MAX(0,AR313*(1+K$8)-BN314),2)</f>
        <v>0</v>
      </c>
      <c r="AS314" s="27" t="n">
        <f aca="false">SUM(AI314:AR314)</f>
        <v>0</v>
      </c>
      <c r="AT314" s="27" t="n">
        <f aca="false">SUMPRODUCT(AI313:AR313,$B$8:$K$8)</f>
        <v>0</v>
      </c>
      <c r="AU314" s="27" t="n">
        <f aca="false">MIN(AI313*(1+B$8),B$9)</f>
        <v>0</v>
      </c>
      <c r="AV314" s="27" t="n">
        <f aca="false">MIN(AJ313*(1+C$8),C$9)</f>
        <v>0</v>
      </c>
      <c r="AW314" s="27" t="n">
        <f aca="false">MIN(AK313*(1+D$8),D$9)</f>
        <v>0</v>
      </c>
      <c r="AX314" s="27" t="n">
        <f aca="false">MIN(AL313*(1+E$8),E$9)</f>
        <v>0</v>
      </c>
      <c r="AY314" s="27" t="n">
        <f aca="false">MIN(AM313*(1+F$8),F$9)</f>
        <v>0</v>
      </c>
      <c r="AZ314" s="27" t="n">
        <f aca="false">MIN(AN313*(1+G$8),G$9)</f>
        <v>0</v>
      </c>
      <c r="BA314" s="27" t="n">
        <f aca="false">MIN(AO313*(1+H$8),H$9)</f>
        <v>0</v>
      </c>
      <c r="BB314" s="27" t="n">
        <f aca="false">MIN(AP313*(1+I$8),I$9)</f>
        <v>0</v>
      </c>
      <c r="BC314" s="27" t="n">
        <f aca="false">MIN(AQ313*(1+J$8),J$9)</f>
        <v>0</v>
      </c>
      <c r="BD314" s="27" t="n">
        <f aca="false">MIN(AR313*(1+K$8),K$9)</f>
        <v>0</v>
      </c>
      <c r="BE314" s="27" t="n">
        <f aca="false">MIN(AI313*(1+B$8),MAX(AU314,$B$12-SUM(AV314:BD314)))</f>
        <v>0</v>
      </c>
      <c r="BF314" s="27" t="n">
        <f aca="false">MIN(AJ313*(1+C$8),MAX(AV314,$B$12-SUM(BE314:BE314)-SUM(AW314:BD314)))</f>
        <v>0</v>
      </c>
      <c r="BG314" s="27" t="n">
        <f aca="false">MIN(AK313*(1+D$8),MAX(AW314,$B$12-SUM(BE314:BF314)-SUM(AX314:BD314)))</f>
        <v>0</v>
      </c>
      <c r="BH314" s="27" t="n">
        <f aca="false">MIN(AL313*(1+E$8),MAX(AX314,$B$12-SUM(BE314:BG314)-SUM(AY314:BD314)))</f>
        <v>0</v>
      </c>
      <c r="BI314" s="27" t="n">
        <f aca="false">MIN(AM313*(1+F$8),MAX(AY314,$B$12-SUM(BE314:BH314)-SUM(AZ314:BD314)))</f>
        <v>0</v>
      </c>
      <c r="BJ314" s="27" t="n">
        <f aca="false">MIN(AN313*(1+G$8),MAX(AZ314,$B$12-SUM(BE314:BI314)-SUM(BA314:BD314)))</f>
        <v>0</v>
      </c>
      <c r="BK314" s="27" t="n">
        <f aca="false">MIN(AO313*(1+H$8),MAX(BA314,$B$12-SUM(BE314:BJ314)-SUM(BB314:BD314)))</f>
        <v>0</v>
      </c>
      <c r="BL314" s="27" t="n">
        <f aca="false">MIN(AP313*(1+I$8),MAX(BB314,$B$12-SUM(BE314:BK314)-SUM(BC314:BD314)))</f>
        <v>0</v>
      </c>
      <c r="BM314" s="27" t="n">
        <f aca="false">MIN(AQ313*(1+J$8),MAX(BC314,$B$12-SUM(BE314:BL314)-SUM(BD314:BD314)))</f>
        <v>0</v>
      </c>
      <c r="BN314" s="27" t="n">
        <f aca="false">MIN(AR313*(1+K$8),MAX(BD314,$B$12-SUM(BE314:BM314)))</f>
        <v>0</v>
      </c>
    </row>
    <row r="315" customFormat="false" ht="15" hidden="false" customHeight="false" outlineLevel="0" collapsed="false">
      <c r="A315" s="0" t="n">
        <v>301</v>
      </c>
      <c r="B315" s="27" t="n">
        <f aca="false">ROUND(MAX(0,B314*(1+B$8)-X315),2)</f>
        <v>0</v>
      </c>
      <c r="C315" s="27" t="n">
        <f aca="false">ROUND(MAX(0,C314*(1+C$8)-Y315),2)</f>
        <v>0</v>
      </c>
      <c r="D315" s="27" t="n">
        <f aca="false">ROUND(MAX(0,D314*(1+D$8)-Z315),2)</f>
        <v>0</v>
      </c>
      <c r="E315" s="27" t="n">
        <f aca="false">ROUND(MAX(0,E314*(1+E$8)-AA315),2)</f>
        <v>0</v>
      </c>
      <c r="F315" s="27" t="n">
        <f aca="false">ROUND(MAX(0,F314*(1+F$8)-AB315),2)</f>
        <v>0</v>
      </c>
      <c r="G315" s="27" t="n">
        <f aca="false">ROUND(MAX(0,G314*(1+G$8)-AC315),2)</f>
        <v>0</v>
      </c>
      <c r="H315" s="27" t="n">
        <f aca="false">ROUND(MAX(0,H314*(1+H$8)-AD315),2)</f>
        <v>0</v>
      </c>
      <c r="I315" s="27" t="n">
        <f aca="false">ROUND(MAX(0,I314*(1+I$8)-AE315),2)</f>
        <v>0</v>
      </c>
      <c r="J315" s="27" t="n">
        <f aca="false">ROUND(MAX(0,J314*(1+J$8)-AF315),2)</f>
        <v>0</v>
      </c>
      <c r="K315" s="27" t="n">
        <f aca="false">ROUND(MAX(0,K314*(1+K$8)-AG315),2)</f>
        <v>0</v>
      </c>
      <c r="L315" s="30" t="n">
        <f aca="false">SUM(B315:K315)</f>
        <v>0</v>
      </c>
      <c r="M315" s="27" t="n">
        <f aca="false">SUMPRODUCT(B314:K314,$B$8:$K$8)</f>
        <v>0</v>
      </c>
      <c r="N315" s="27" t="n">
        <f aca="false">MIN(B314*(1+B$8),B$9)</f>
        <v>0</v>
      </c>
      <c r="O315" s="27" t="n">
        <f aca="false">MIN(C314*(1+C$8),C$9)</f>
        <v>0</v>
      </c>
      <c r="P315" s="27" t="n">
        <f aca="false">MIN(D314*(1+D$8),D$9)</f>
        <v>0</v>
      </c>
      <c r="Q315" s="27" t="n">
        <f aca="false">MIN(E314*(1+E$8),E$9)</f>
        <v>0</v>
      </c>
      <c r="R315" s="27" t="n">
        <f aca="false">MIN(F314*(1+F$8),F$9)</f>
        <v>0</v>
      </c>
      <c r="S315" s="27" t="n">
        <f aca="false">MIN(G314*(1+G$8),G$9)</f>
        <v>0</v>
      </c>
      <c r="T315" s="27" t="n">
        <f aca="false">MIN(H314*(1+H$8),H$9)</f>
        <v>0</v>
      </c>
      <c r="U315" s="27" t="n">
        <f aca="false">MIN(I314*(1+I$8),I$9)</f>
        <v>0</v>
      </c>
      <c r="V315" s="27" t="n">
        <f aca="false">MIN(J314*(1+J$8),J$9)</f>
        <v>0</v>
      </c>
      <c r="W315" s="27" t="n">
        <f aca="false">MIN(K314*(1+K$8),K$9)</f>
        <v>0</v>
      </c>
      <c r="X315" s="27" t="n">
        <f aca="false">MIN(B314*(1+B$8),MAX(N315,$B$11-SUM(O315:W315)))</f>
        <v>0</v>
      </c>
      <c r="Y315" s="27" t="n">
        <f aca="false">MIN(C314*(1+C$8),MAX(O315,$B$11-SUM(X315:X315)-SUM(P315:W315)))</f>
        <v>0</v>
      </c>
      <c r="Z315" s="27" t="n">
        <f aca="false">MIN(D314*(1+D$8),MAX(P315,$B$11-SUM(X315:Y315)-SUM(Q315:W315)))</f>
        <v>0</v>
      </c>
      <c r="AA315" s="27" t="n">
        <f aca="false">MIN(E314*(1+E$8),MAX(Q315,$B$11-SUM(X315:Z315)-SUM(R315:W315)))</f>
        <v>0</v>
      </c>
      <c r="AB315" s="27" t="n">
        <f aca="false">MIN(F314*(1+F$8),MAX(R315,$B$11-SUM(X315:AA315)-SUM(S315:W315)))</f>
        <v>0</v>
      </c>
      <c r="AC315" s="27" t="n">
        <f aca="false">MIN(G314*(1+G$8),MAX(S315,$B$11-SUM(X315:AB315)-SUM(T315:W315)))</f>
        <v>0</v>
      </c>
      <c r="AD315" s="27" t="n">
        <f aca="false">MIN(H314*(1+H$8),MAX(T315,$B$11-SUM(X315:AC315)-SUM(U315:W315)))</f>
        <v>0</v>
      </c>
      <c r="AE315" s="27" t="n">
        <f aca="false">MIN(I314*(1+I$8),MAX(U315,$B$11-SUM(X315:AD315)-SUM(V315:W315)))</f>
        <v>0</v>
      </c>
      <c r="AF315" s="27" t="n">
        <f aca="false">MIN(J314*(1+J$8),MAX(V315,$B$11-SUM(X315:AE315)-SUM(W315:W315)))</f>
        <v>0</v>
      </c>
      <c r="AG315" s="27" t="n">
        <f aca="false">MIN(K314*(1+K$8),MAX(W315,$B$11-SUM(X315:AF315)))</f>
        <v>0</v>
      </c>
      <c r="AI315" s="27" t="n">
        <f aca="false">ROUND(MAX(0,AI314*(1+B$8)-BE315),2)</f>
        <v>0</v>
      </c>
      <c r="AJ315" s="27" t="n">
        <f aca="false">ROUND(MAX(0,AJ314*(1+C$8)-BF315),2)</f>
        <v>0</v>
      </c>
      <c r="AK315" s="27" t="n">
        <f aca="false">ROUND(MAX(0,AK314*(1+D$8)-BG315),2)</f>
        <v>0</v>
      </c>
      <c r="AL315" s="27" t="n">
        <f aca="false">ROUND(MAX(0,AL314*(1+E$8)-BH315),2)</f>
        <v>0</v>
      </c>
      <c r="AM315" s="27" t="n">
        <f aca="false">ROUND(MAX(0,AM314*(1+F$8)-BI315),2)</f>
        <v>0</v>
      </c>
      <c r="AN315" s="27" t="n">
        <f aca="false">ROUND(MAX(0,AN314*(1+G$8)-BJ315),2)</f>
        <v>0</v>
      </c>
      <c r="AO315" s="27" t="n">
        <f aca="false">ROUND(MAX(0,AO314*(1+H$8)-BK315),2)</f>
        <v>0</v>
      </c>
      <c r="AP315" s="27" t="n">
        <f aca="false">ROUND(MAX(0,AP314*(1+I$8)-BL315),2)</f>
        <v>0</v>
      </c>
      <c r="AQ315" s="27" t="n">
        <f aca="false">ROUND(MAX(0,AQ314*(1+J$8)-BM315),2)</f>
        <v>0</v>
      </c>
      <c r="AR315" s="27" t="n">
        <f aca="false">ROUND(MAX(0,AR314*(1+K$8)-BN315),2)</f>
        <v>0</v>
      </c>
      <c r="AS315" s="27" t="n">
        <f aca="false">SUM(AI315:AR315)</f>
        <v>0</v>
      </c>
      <c r="AT315" s="27" t="n">
        <f aca="false">SUMPRODUCT(AI314:AR314,$B$8:$K$8)</f>
        <v>0</v>
      </c>
      <c r="AU315" s="27" t="n">
        <f aca="false">MIN(AI314*(1+B$8),B$9)</f>
        <v>0</v>
      </c>
      <c r="AV315" s="27" t="n">
        <f aca="false">MIN(AJ314*(1+C$8),C$9)</f>
        <v>0</v>
      </c>
      <c r="AW315" s="27" t="n">
        <f aca="false">MIN(AK314*(1+D$8),D$9)</f>
        <v>0</v>
      </c>
      <c r="AX315" s="27" t="n">
        <f aca="false">MIN(AL314*(1+E$8),E$9)</f>
        <v>0</v>
      </c>
      <c r="AY315" s="27" t="n">
        <f aca="false">MIN(AM314*(1+F$8),F$9)</f>
        <v>0</v>
      </c>
      <c r="AZ315" s="27" t="n">
        <f aca="false">MIN(AN314*(1+G$8),G$9)</f>
        <v>0</v>
      </c>
      <c r="BA315" s="27" t="n">
        <f aca="false">MIN(AO314*(1+H$8),H$9)</f>
        <v>0</v>
      </c>
      <c r="BB315" s="27" t="n">
        <f aca="false">MIN(AP314*(1+I$8),I$9)</f>
        <v>0</v>
      </c>
      <c r="BC315" s="27" t="n">
        <f aca="false">MIN(AQ314*(1+J$8),J$9)</f>
        <v>0</v>
      </c>
      <c r="BD315" s="27" t="n">
        <f aca="false">MIN(AR314*(1+K$8),K$9)</f>
        <v>0</v>
      </c>
      <c r="BE315" s="27" t="n">
        <f aca="false">MIN(AI314*(1+B$8),MAX(AU315,$B$12-SUM(AV315:BD315)))</f>
        <v>0</v>
      </c>
      <c r="BF315" s="27" t="n">
        <f aca="false">MIN(AJ314*(1+C$8),MAX(AV315,$B$12-SUM(BE315:BE315)-SUM(AW315:BD315)))</f>
        <v>0</v>
      </c>
      <c r="BG315" s="27" t="n">
        <f aca="false">MIN(AK314*(1+D$8),MAX(AW315,$B$12-SUM(BE315:BF315)-SUM(AX315:BD315)))</f>
        <v>0</v>
      </c>
      <c r="BH315" s="27" t="n">
        <f aca="false">MIN(AL314*(1+E$8),MAX(AX315,$B$12-SUM(BE315:BG315)-SUM(AY315:BD315)))</f>
        <v>0</v>
      </c>
      <c r="BI315" s="27" t="n">
        <f aca="false">MIN(AM314*(1+F$8),MAX(AY315,$B$12-SUM(BE315:BH315)-SUM(AZ315:BD315)))</f>
        <v>0</v>
      </c>
      <c r="BJ315" s="27" t="n">
        <f aca="false">MIN(AN314*(1+G$8),MAX(AZ315,$B$12-SUM(BE315:BI315)-SUM(BA315:BD315)))</f>
        <v>0</v>
      </c>
      <c r="BK315" s="27" t="n">
        <f aca="false">MIN(AO314*(1+H$8),MAX(BA315,$B$12-SUM(BE315:BJ315)-SUM(BB315:BD315)))</f>
        <v>0</v>
      </c>
      <c r="BL315" s="27" t="n">
        <f aca="false">MIN(AP314*(1+I$8),MAX(BB315,$B$12-SUM(BE315:BK315)-SUM(BC315:BD315)))</f>
        <v>0</v>
      </c>
      <c r="BM315" s="27" t="n">
        <f aca="false">MIN(AQ314*(1+J$8),MAX(BC315,$B$12-SUM(BE315:BL315)-SUM(BD315:BD315)))</f>
        <v>0</v>
      </c>
      <c r="BN315" s="27" t="n">
        <f aca="false">MIN(AR314*(1+K$8),MAX(BD315,$B$12-SUM(BE315:BM315)))</f>
        <v>0</v>
      </c>
    </row>
    <row r="316" customFormat="false" ht="15" hidden="false" customHeight="false" outlineLevel="0" collapsed="false">
      <c r="A316" s="0" t="n">
        <v>302</v>
      </c>
      <c r="B316" s="27" t="n">
        <f aca="false">ROUND(MAX(0,B315*(1+B$8)-X316),2)</f>
        <v>0</v>
      </c>
      <c r="C316" s="27" t="n">
        <f aca="false">ROUND(MAX(0,C315*(1+C$8)-Y316),2)</f>
        <v>0</v>
      </c>
      <c r="D316" s="27" t="n">
        <f aca="false">ROUND(MAX(0,D315*(1+D$8)-Z316),2)</f>
        <v>0</v>
      </c>
      <c r="E316" s="27" t="n">
        <f aca="false">ROUND(MAX(0,E315*(1+E$8)-AA316),2)</f>
        <v>0</v>
      </c>
      <c r="F316" s="27" t="n">
        <f aca="false">ROUND(MAX(0,F315*(1+F$8)-AB316),2)</f>
        <v>0</v>
      </c>
      <c r="G316" s="27" t="n">
        <f aca="false">ROUND(MAX(0,G315*(1+G$8)-AC316),2)</f>
        <v>0</v>
      </c>
      <c r="H316" s="27" t="n">
        <f aca="false">ROUND(MAX(0,H315*(1+H$8)-AD316),2)</f>
        <v>0</v>
      </c>
      <c r="I316" s="27" t="n">
        <f aca="false">ROUND(MAX(0,I315*(1+I$8)-AE316),2)</f>
        <v>0</v>
      </c>
      <c r="J316" s="27" t="n">
        <f aca="false">ROUND(MAX(0,J315*(1+J$8)-AF316),2)</f>
        <v>0</v>
      </c>
      <c r="K316" s="27" t="n">
        <f aca="false">ROUND(MAX(0,K315*(1+K$8)-AG316),2)</f>
        <v>0</v>
      </c>
      <c r="L316" s="30" t="n">
        <f aca="false">SUM(B316:K316)</f>
        <v>0</v>
      </c>
      <c r="M316" s="27" t="n">
        <f aca="false">SUMPRODUCT(B315:K315,$B$8:$K$8)</f>
        <v>0</v>
      </c>
      <c r="N316" s="27" t="n">
        <f aca="false">MIN(B315*(1+B$8),B$9)</f>
        <v>0</v>
      </c>
      <c r="O316" s="27" t="n">
        <f aca="false">MIN(C315*(1+C$8),C$9)</f>
        <v>0</v>
      </c>
      <c r="P316" s="27" t="n">
        <f aca="false">MIN(D315*(1+D$8),D$9)</f>
        <v>0</v>
      </c>
      <c r="Q316" s="27" t="n">
        <f aca="false">MIN(E315*(1+E$8),E$9)</f>
        <v>0</v>
      </c>
      <c r="R316" s="27" t="n">
        <f aca="false">MIN(F315*(1+F$8),F$9)</f>
        <v>0</v>
      </c>
      <c r="S316" s="27" t="n">
        <f aca="false">MIN(G315*(1+G$8),G$9)</f>
        <v>0</v>
      </c>
      <c r="T316" s="27" t="n">
        <f aca="false">MIN(H315*(1+H$8),H$9)</f>
        <v>0</v>
      </c>
      <c r="U316" s="27" t="n">
        <f aca="false">MIN(I315*(1+I$8),I$9)</f>
        <v>0</v>
      </c>
      <c r="V316" s="27" t="n">
        <f aca="false">MIN(J315*(1+J$8),J$9)</f>
        <v>0</v>
      </c>
      <c r="W316" s="27" t="n">
        <f aca="false">MIN(K315*(1+K$8),K$9)</f>
        <v>0</v>
      </c>
      <c r="X316" s="27" t="n">
        <f aca="false">MIN(B315*(1+B$8),MAX(N316,$B$11-SUM(O316:W316)))</f>
        <v>0</v>
      </c>
      <c r="Y316" s="27" t="n">
        <f aca="false">MIN(C315*(1+C$8),MAX(O316,$B$11-SUM(X316:X316)-SUM(P316:W316)))</f>
        <v>0</v>
      </c>
      <c r="Z316" s="27" t="n">
        <f aca="false">MIN(D315*(1+D$8),MAX(P316,$B$11-SUM(X316:Y316)-SUM(Q316:W316)))</f>
        <v>0</v>
      </c>
      <c r="AA316" s="27" t="n">
        <f aca="false">MIN(E315*(1+E$8),MAX(Q316,$B$11-SUM(X316:Z316)-SUM(R316:W316)))</f>
        <v>0</v>
      </c>
      <c r="AB316" s="27" t="n">
        <f aca="false">MIN(F315*(1+F$8),MAX(R316,$B$11-SUM(X316:AA316)-SUM(S316:W316)))</f>
        <v>0</v>
      </c>
      <c r="AC316" s="27" t="n">
        <f aca="false">MIN(G315*(1+G$8),MAX(S316,$B$11-SUM(X316:AB316)-SUM(T316:W316)))</f>
        <v>0</v>
      </c>
      <c r="AD316" s="27" t="n">
        <f aca="false">MIN(H315*(1+H$8),MAX(T316,$B$11-SUM(X316:AC316)-SUM(U316:W316)))</f>
        <v>0</v>
      </c>
      <c r="AE316" s="27" t="n">
        <f aca="false">MIN(I315*(1+I$8),MAX(U316,$B$11-SUM(X316:AD316)-SUM(V316:W316)))</f>
        <v>0</v>
      </c>
      <c r="AF316" s="27" t="n">
        <f aca="false">MIN(J315*(1+J$8),MAX(V316,$B$11-SUM(X316:AE316)-SUM(W316:W316)))</f>
        <v>0</v>
      </c>
      <c r="AG316" s="27" t="n">
        <f aca="false">MIN(K315*(1+K$8),MAX(W316,$B$11-SUM(X316:AF316)))</f>
        <v>0</v>
      </c>
      <c r="AI316" s="27" t="n">
        <f aca="false">ROUND(MAX(0,AI315*(1+B$8)-BE316),2)</f>
        <v>0</v>
      </c>
      <c r="AJ316" s="27" t="n">
        <f aca="false">ROUND(MAX(0,AJ315*(1+C$8)-BF316),2)</f>
        <v>0</v>
      </c>
      <c r="AK316" s="27" t="n">
        <f aca="false">ROUND(MAX(0,AK315*(1+D$8)-BG316),2)</f>
        <v>0</v>
      </c>
      <c r="AL316" s="27" t="n">
        <f aca="false">ROUND(MAX(0,AL315*(1+E$8)-BH316),2)</f>
        <v>0</v>
      </c>
      <c r="AM316" s="27" t="n">
        <f aca="false">ROUND(MAX(0,AM315*(1+F$8)-BI316),2)</f>
        <v>0</v>
      </c>
      <c r="AN316" s="27" t="n">
        <f aca="false">ROUND(MAX(0,AN315*(1+G$8)-BJ316),2)</f>
        <v>0</v>
      </c>
      <c r="AO316" s="27" t="n">
        <f aca="false">ROUND(MAX(0,AO315*(1+H$8)-BK316),2)</f>
        <v>0</v>
      </c>
      <c r="AP316" s="27" t="n">
        <f aca="false">ROUND(MAX(0,AP315*(1+I$8)-BL316),2)</f>
        <v>0</v>
      </c>
      <c r="AQ316" s="27" t="n">
        <f aca="false">ROUND(MAX(0,AQ315*(1+J$8)-BM316),2)</f>
        <v>0</v>
      </c>
      <c r="AR316" s="27" t="n">
        <f aca="false">ROUND(MAX(0,AR315*(1+K$8)-BN316),2)</f>
        <v>0</v>
      </c>
      <c r="AS316" s="27" t="n">
        <f aca="false">SUM(AI316:AR316)</f>
        <v>0</v>
      </c>
      <c r="AT316" s="27" t="n">
        <f aca="false">SUMPRODUCT(AI315:AR315,$B$8:$K$8)</f>
        <v>0</v>
      </c>
      <c r="AU316" s="27" t="n">
        <f aca="false">MIN(AI315*(1+B$8),B$9)</f>
        <v>0</v>
      </c>
      <c r="AV316" s="27" t="n">
        <f aca="false">MIN(AJ315*(1+C$8),C$9)</f>
        <v>0</v>
      </c>
      <c r="AW316" s="27" t="n">
        <f aca="false">MIN(AK315*(1+D$8),D$9)</f>
        <v>0</v>
      </c>
      <c r="AX316" s="27" t="n">
        <f aca="false">MIN(AL315*(1+E$8),E$9)</f>
        <v>0</v>
      </c>
      <c r="AY316" s="27" t="n">
        <f aca="false">MIN(AM315*(1+F$8),F$9)</f>
        <v>0</v>
      </c>
      <c r="AZ316" s="27" t="n">
        <f aca="false">MIN(AN315*(1+G$8),G$9)</f>
        <v>0</v>
      </c>
      <c r="BA316" s="27" t="n">
        <f aca="false">MIN(AO315*(1+H$8),H$9)</f>
        <v>0</v>
      </c>
      <c r="BB316" s="27" t="n">
        <f aca="false">MIN(AP315*(1+I$8),I$9)</f>
        <v>0</v>
      </c>
      <c r="BC316" s="27" t="n">
        <f aca="false">MIN(AQ315*(1+J$8),J$9)</f>
        <v>0</v>
      </c>
      <c r="BD316" s="27" t="n">
        <f aca="false">MIN(AR315*(1+K$8),K$9)</f>
        <v>0</v>
      </c>
      <c r="BE316" s="27" t="n">
        <f aca="false">MIN(AI315*(1+B$8),MAX(AU316,$B$12-SUM(AV316:BD316)))</f>
        <v>0</v>
      </c>
      <c r="BF316" s="27" t="n">
        <f aca="false">MIN(AJ315*(1+C$8),MAX(AV316,$B$12-SUM(BE316:BE316)-SUM(AW316:BD316)))</f>
        <v>0</v>
      </c>
      <c r="BG316" s="27" t="n">
        <f aca="false">MIN(AK315*(1+D$8),MAX(AW316,$B$12-SUM(BE316:BF316)-SUM(AX316:BD316)))</f>
        <v>0</v>
      </c>
      <c r="BH316" s="27" t="n">
        <f aca="false">MIN(AL315*(1+E$8),MAX(AX316,$B$12-SUM(BE316:BG316)-SUM(AY316:BD316)))</f>
        <v>0</v>
      </c>
      <c r="BI316" s="27" t="n">
        <f aca="false">MIN(AM315*(1+F$8),MAX(AY316,$B$12-SUM(BE316:BH316)-SUM(AZ316:BD316)))</f>
        <v>0</v>
      </c>
      <c r="BJ316" s="27" t="n">
        <f aca="false">MIN(AN315*(1+G$8),MAX(AZ316,$B$12-SUM(BE316:BI316)-SUM(BA316:BD316)))</f>
        <v>0</v>
      </c>
      <c r="BK316" s="27" t="n">
        <f aca="false">MIN(AO315*(1+H$8),MAX(BA316,$B$12-SUM(BE316:BJ316)-SUM(BB316:BD316)))</f>
        <v>0</v>
      </c>
      <c r="BL316" s="27" t="n">
        <f aca="false">MIN(AP315*(1+I$8),MAX(BB316,$B$12-SUM(BE316:BK316)-SUM(BC316:BD316)))</f>
        <v>0</v>
      </c>
      <c r="BM316" s="27" t="n">
        <f aca="false">MIN(AQ315*(1+J$8),MAX(BC316,$B$12-SUM(BE316:BL316)-SUM(BD316:BD316)))</f>
        <v>0</v>
      </c>
      <c r="BN316" s="27" t="n">
        <f aca="false">MIN(AR315*(1+K$8),MAX(BD316,$B$12-SUM(BE316:BM316)))</f>
        <v>0</v>
      </c>
    </row>
    <row r="317" customFormat="false" ht="15" hidden="false" customHeight="false" outlineLevel="0" collapsed="false">
      <c r="A317" s="0" t="n">
        <v>303</v>
      </c>
      <c r="B317" s="27" t="n">
        <f aca="false">ROUND(MAX(0,B316*(1+B$8)-X317),2)</f>
        <v>0</v>
      </c>
      <c r="C317" s="27" t="n">
        <f aca="false">ROUND(MAX(0,C316*(1+C$8)-Y317),2)</f>
        <v>0</v>
      </c>
      <c r="D317" s="27" t="n">
        <f aca="false">ROUND(MAX(0,D316*(1+D$8)-Z317),2)</f>
        <v>0</v>
      </c>
      <c r="E317" s="27" t="n">
        <f aca="false">ROUND(MAX(0,E316*(1+E$8)-AA317),2)</f>
        <v>0</v>
      </c>
      <c r="F317" s="27" t="n">
        <f aca="false">ROUND(MAX(0,F316*(1+F$8)-AB317),2)</f>
        <v>0</v>
      </c>
      <c r="G317" s="27" t="n">
        <f aca="false">ROUND(MAX(0,G316*(1+G$8)-AC317),2)</f>
        <v>0</v>
      </c>
      <c r="H317" s="27" t="n">
        <f aca="false">ROUND(MAX(0,H316*(1+H$8)-AD317),2)</f>
        <v>0</v>
      </c>
      <c r="I317" s="27" t="n">
        <f aca="false">ROUND(MAX(0,I316*(1+I$8)-AE317),2)</f>
        <v>0</v>
      </c>
      <c r="J317" s="27" t="n">
        <f aca="false">ROUND(MAX(0,J316*(1+J$8)-AF317),2)</f>
        <v>0</v>
      </c>
      <c r="K317" s="27" t="n">
        <f aca="false">ROUND(MAX(0,K316*(1+K$8)-AG317),2)</f>
        <v>0</v>
      </c>
      <c r="L317" s="30" t="n">
        <f aca="false">SUM(B317:K317)</f>
        <v>0</v>
      </c>
      <c r="M317" s="27" t="n">
        <f aca="false">SUMPRODUCT(B316:K316,$B$8:$K$8)</f>
        <v>0</v>
      </c>
      <c r="N317" s="27" t="n">
        <f aca="false">MIN(B316*(1+B$8),B$9)</f>
        <v>0</v>
      </c>
      <c r="O317" s="27" t="n">
        <f aca="false">MIN(C316*(1+C$8),C$9)</f>
        <v>0</v>
      </c>
      <c r="P317" s="27" t="n">
        <f aca="false">MIN(D316*(1+D$8),D$9)</f>
        <v>0</v>
      </c>
      <c r="Q317" s="27" t="n">
        <f aca="false">MIN(E316*(1+E$8),E$9)</f>
        <v>0</v>
      </c>
      <c r="R317" s="27" t="n">
        <f aca="false">MIN(F316*(1+F$8),F$9)</f>
        <v>0</v>
      </c>
      <c r="S317" s="27" t="n">
        <f aca="false">MIN(G316*(1+G$8),G$9)</f>
        <v>0</v>
      </c>
      <c r="T317" s="27" t="n">
        <f aca="false">MIN(H316*(1+H$8),H$9)</f>
        <v>0</v>
      </c>
      <c r="U317" s="27" t="n">
        <f aca="false">MIN(I316*(1+I$8),I$9)</f>
        <v>0</v>
      </c>
      <c r="V317" s="27" t="n">
        <f aca="false">MIN(J316*(1+J$8),J$9)</f>
        <v>0</v>
      </c>
      <c r="W317" s="27" t="n">
        <f aca="false">MIN(K316*(1+K$8),K$9)</f>
        <v>0</v>
      </c>
      <c r="X317" s="27" t="n">
        <f aca="false">MIN(B316*(1+B$8),MAX(N317,$B$11-SUM(O317:W317)))</f>
        <v>0</v>
      </c>
      <c r="Y317" s="27" t="n">
        <f aca="false">MIN(C316*(1+C$8),MAX(O317,$B$11-SUM(X317:X317)-SUM(P317:W317)))</f>
        <v>0</v>
      </c>
      <c r="Z317" s="27" t="n">
        <f aca="false">MIN(D316*(1+D$8),MAX(P317,$B$11-SUM(X317:Y317)-SUM(Q317:W317)))</f>
        <v>0</v>
      </c>
      <c r="AA317" s="27" t="n">
        <f aca="false">MIN(E316*(1+E$8),MAX(Q317,$B$11-SUM(X317:Z317)-SUM(R317:W317)))</f>
        <v>0</v>
      </c>
      <c r="AB317" s="27" t="n">
        <f aca="false">MIN(F316*(1+F$8),MAX(R317,$B$11-SUM(X317:AA317)-SUM(S317:W317)))</f>
        <v>0</v>
      </c>
      <c r="AC317" s="27" t="n">
        <f aca="false">MIN(G316*(1+G$8),MAX(S317,$B$11-SUM(X317:AB317)-SUM(T317:W317)))</f>
        <v>0</v>
      </c>
      <c r="AD317" s="27" t="n">
        <f aca="false">MIN(H316*(1+H$8),MAX(T317,$B$11-SUM(X317:AC317)-SUM(U317:W317)))</f>
        <v>0</v>
      </c>
      <c r="AE317" s="27" t="n">
        <f aca="false">MIN(I316*(1+I$8),MAX(U317,$B$11-SUM(X317:AD317)-SUM(V317:W317)))</f>
        <v>0</v>
      </c>
      <c r="AF317" s="27" t="n">
        <f aca="false">MIN(J316*(1+J$8),MAX(V317,$B$11-SUM(X317:AE317)-SUM(W317:W317)))</f>
        <v>0</v>
      </c>
      <c r="AG317" s="27" t="n">
        <f aca="false">MIN(K316*(1+K$8),MAX(W317,$B$11-SUM(X317:AF317)))</f>
        <v>0</v>
      </c>
      <c r="AI317" s="27" t="n">
        <f aca="false">ROUND(MAX(0,AI316*(1+B$8)-BE317),2)</f>
        <v>0</v>
      </c>
      <c r="AJ317" s="27" t="n">
        <f aca="false">ROUND(MAX(0,AJ316*(1+C$8)-BF317),2)</f>
        <v>0</v>
      </c>
      <c r="AK317" s="27" t="n">
        <f aca="false">ROUND(MAX(0,AK316*(1+D$8)-BG317),2)</f>
        <v>0</v>
      </c>
      <c r="AL317" s="27" t="n">
        <f aca="false">ROUND(MAX(0,AL316*(1+E$8)-BH317),2)</f>
        <v>0</v>
      </c>
      <c r="AM317" s="27" t="n">
        <f aca="false">ROUND(MAX(0,AM316*(1+F$8)-BI317),2)</f>
        <v>0</v>
      </c>
      <c r="AN317" s="27" t="n">
        <f aca="false">ROUND(MAX(0,AN316*(1+G$8)-BJ317),2)</f>
        <v>0</v>
      </c>
      <c r="AO317" s="27" t="n">
        <f aca="false">ROUND(MAX(0,AO316*(1+H$8)-BK317),2)</f>
        <v>0</v>
      </c>
      <c r="AP317" s="27" t="n">
        <f aca="false">ROUND(MAX(0,AP316*(1+I$8)-BL317),2)</f>
        <v>0</v>
      </c>
      <c r="AQ317" s="27" t="n">
        <f aca="false">ROUND(MAX(0,AQ316*(1+J$8)-BM317),2)</f>
        <v>0</v>
      </c>
      <c r="AR317" s="27" t="n">
        <f aca="false">ROUND(MAX(0,AR316*(1+K$8)-BN317),2)</f>
        <v>0</v>
      </c>
      <c r="AS317" s="27" t="n">
        <f aca="false">SUM(AI317:AR317)</f>
        <v>0</v>
      </c>
      <c r="AT317" s="27" t="n">
        <f aca="false">SUMPRODUCT(AI316:AR316,$B$8:$K$8)</f>
        <v>0</v>
      </c>
      <c r="AU317" s="27" t="n">
        <f aca="false">MIN(AI316*(1+B$8),B$9)</f>
        <v>0</v>
      </c>
      <c r="AV317" s="27" t="n">
        <f aca="false">MIN(AJ316*(1+C$8),C$9)</f>
        <v>0</v>
      </c>
      <c r="AW317" s="27" t="n">
        <f aca="false">MIN(AK316*(1+D$8),D$9)</f>
        <v>0</v>
      </c>
      <c r="AX317" s="27" t="n">
        <f aca="false">MIN(AL316*(1+E$8),E$9)</f>
        <v>0</v>
      </c>
      <c r="AY317" s="27" t="n">
        <f aca="false">MIN(AM316*(1+F$8),F$9)</f>
        <v>0</v>
      </c>
      <c r="AZ317" s="27" t="n">
        <f aca="false">MIN(AN316*(1+G$8),G$9)</f>
        <v>0</v>
      </c>
      <c r="BA317" s="27" t="n">
        <f aca="false">MIN(AO316*(1+H$8),H$9)</f>
        <v>0</v>
      </c>
      <c r="BB317" s="27" t="n">
        <f aca="false">MIN(AP316*(1+I$8),I$9)</f>
        <v>0</v>
      </c>
      <c r="BC317" s="27" t="n">
        <f aca="false">MIN(AQ316*(1+J$8),J$9)</f>
        <v>0</v>
      </c>
      <c r="BD317" s="27" t="n">
        <f aca="false">MIN(AR316*(1+K$8),K$9)</f>
        <v>0</v>
      </c>
      <c r="BE317" s="27" t="n">
        <f aca="false">MIN(AI316*(1+B$8),MAX(AU317,$B$12-SUM(AV317:BD317)))</f>
        <v>0</v>
      </c>
      <c r="BF317" s="27" t="n">
        <f aca="false">MIN(AJ316*(1+C$8),MAX(AV317,$B$12-SUM(BE317:BE317)-SUM(AW317:BD317)))</f>
        <v>0</v>
      </c>
      <c r="BG317" s="27" t="n">
        <f aca="false">MIN(AK316*(1+D$8),MAX(AW317,$B$12-SUM(BE317:BF317)-SUM(AX317:BD317)))</f>
        <v>0</v>
      </c>
      <c r="BH317" s="27" t="n">
        <f aca="false">MIN(AL316*(1+E$8),MAX(AX317,$B$12-SUM(BE317:BG317)-SUM(AY317:BD317)))</f>
        <v>0</v>
      </c>
      <c r="BI317" s="27" t="n">
        <f aca="false">MIN(AM316*(1+F$8),MAX(AY317,$B$12-SUM(BE317:BH317)-SUM(AZ317:BD317)))</f>
        <v>0</v>
      </c>
      <c r="BJ317" s="27" t="n">
        <f aca="false">MIN(AN316*(1+G$8),MAX(AZ317,$B$12-SUM(BE317:BI317)-SUM(BA317:BD317)))</f>
        <v>0</v>
      </c>
      <c r="BK317" s="27" t="n">
        <f aca="false">MIN(AO316*(1+H$8),MAX(BA317,$B$12-SUM(BE317:BJ317)-SUM(BB317:BD317)))</f>
        <v>0</v>
      </c>
      <c r="BL317" s="27" t="n">
        <f aca="false">MIN(AP316*(1+I$8),MAX(BB317,$B$12-SUM(BE317:BK317)-SUM(BC317:BD317)))</f>
        <v>0</v>
      </c>
      <c r="BM317" s="27" t="n">
        <f aca="false">MIN(AQ316*(1+J$8),MAX(BC317,$B$12-SUM(BE317:BL317)-SUM(BD317:BD317)))</f>
        <v>0</v>
      </c>
      <c r="BN317" s="27" t="n">
        <f aca="false">MIN(AR316*(1+K$8),MAX(BD317,$B$12-SUM(BE317:BM317)))</f>
        <v>0</v>
      </c>
    </row>
    <row r="318" customFormat="false" ht="15" hidden="false" customHeight="false" outlineLevel="0" collapsed="false">
      <c r="A318" s="0" t="n">
        <v>304</v>
      </c>
      <c r="B318" s="27" t="n">
        <f aca="false">ROUND(MAX(0,B317*(1+B$8)-X318),2)</f>
        <v>0</v>
      </c>
      <c r="C318" s="27" t="n">
        <f aca="false">ROUND(MAX(0,C317*(1+C$8)-Y318),2)</f>
        <v>0</v>
      </c>
      <c r="D318" s="27" t="n">
        <f aca="false">ROUND(MAX(0,D317*(1+D$8)-Z318),2)</f>
        <v>0</v>
      </c>
      <c r="E318" s="27" t="n">
        <f aca="false">ROUND(MAX(0,E317*(1+E$8)-AA318),2)</f>
        <v>0</v>
      </c>
      <c r="F318" s="27" t="n">
        <f aca="false">ROUND(MAX(0,F317*(1+F$8)-AB318),2)</f>
        <v>0</v>
      </c>
      <c r="G318" s="27" t="n">
        <f aca="false">ROUND(MAX(0,G317*(1+G$8)-AC318),2)</f>
        <v>0</v>
      </c>
      <c r="H318" s="27" t="n">
        <f aca="false">ROUND(MAX(0,H317*(1+H$8)-AD318),2)</f>
        <v>0</v>
      </c>
      <c r="I318" s="27" t="n">
        <f aca="false">ROUND(MAX(0,I317*(1+I$8)-AE318),2)</f>
        <v>0</v>
      </c>
      <c r="J318" s="27" t="n">
        <f aca="false">ROUND(MAX(0,J317*(1+J$8)-AF318),2)</f>
        <v>0</v>
      </c>
      <c r="K318" s="27" t="n">
        <f aca="false">ROUND(MAX(0,K317*(1+K$8)-AG318),2)</f>
        <v>0</v>
      </c>
      <c r="L318" s="30" t="n">
        <f aca="false">SUM(B318:K318)</f>
        <v>0</v>
      </c>
      <c r="M318" s="27" t="n">
        <f aca="false">SUMPRODUCT(B317:K317,$B$8:$K$8)</f>
        <v>0</v>
      </c>
      <c r="N318" s="27" t="n">
        <f aca="false">MIN(B317*(1+B$8),B$9)</f>
        <v>0</v>
      </c>
      <c r="O318" s="27" t="n">
        <f aca="false">MIN(C317*(1+C$8),C$9)</f>
        <v>0</v>
      </c>
      <c r="P318" s="27" t="n">
        <f aca="false">MIN(D317*(1+D$8),D$9)</f>
        <v>0</v>
      </c>
      <c r="Q318" s="27" t="n">
        <f aca="false">MIN(E317*(1+E$8),E$9)</f>
        <v>0</v>
      </c>
      <c r="R318" s="27" t="n">
        <f aca="false">MIN(F317*(1+F$8),F$9)</f>
        <v>0</v>
      </c>
      <c r="S318" s="27" t="n">
        <f aca="false">MIN(G317*(1+G$8),G$9)</f>
        <v>0</v>
      </c>
      <c r="T318" s="27" t="n">
        <f aca="false">MIN(H317*(1+H$8),H$9)</f>
        <v>0</v>
      </c>
      <c r="U318" s="27" t="n">
        <f aca="false">MIN(I317*(1+I$8),I$9)</f>
        <v>0</v>
      </c>
      <c r="V318" s="27" t="n">
        <f aca="false">MIN(J317*(1+J$8),J$9)</f>
        <v>0</v>
      </c>
      <c r="W318" s="27" t="n">
        <f aca="false">MIN(K317*(1+K$8),K$9)</f>
        <v>0</v>
      </c>
      <c r="X318" s="27" t="n">
        <f aca="false">MIN(B317*(1+B$8),MAX(N318,$B$11-SUM(O318:W318)))</f>
        <v>0</v>
      </c>
      <c r="Y318" s="27" t="n">
        <f aca="false">MIN(C317*(1+C$8),MAX(O318,$B$11-SUM(X318:X318)-SUM(P318:W318)))</f>
        <v>0</v>
      </c>
      <c r="Z318" s="27" t="n">
        <f aca="false">MIN(D317*(1+D$8),MAX(P318,$B$11-SUM(X318:Y318)-SUM(Q318:W318)))</f>
        <v>0</v>
      </c>
      <c r="AA318" s="27" t="n">
        <f aca="false">MIN(E317*(1+E$8),MAX(Q318,$B$11-SUM(X318:Z318)-SUM(R318:W318)))</f>
        <v>0</v>
      </c>
      <c r="AB318" s="27" t="n">
        <f aca="false">MIN(F317*(1+F$8),MAX(R318,$B$11-SUM(X318:AA318)-SUM(S318:W318)))</f>
        <v>0</v>
      </c>
      <c r="AC318" s="27" t="n">
        <f aca="false">MIN(G317*(1+G$8),MAX(S318,$B$11-SUM(X318:AB318)-SUM(T318:W318)))</f>
        <v>0</v>
      </c>
      <c r="AD318" s="27" t="n">
        <f aca="false">MIN(H317*(1+H$8),MAX(T318,$B$11-SUM(X318:AC318)-SUM(U318:W318)))</f>
        <v>0</v>
      </c>
      <c r="AE318" s="27" t="n">
        <f aca="false">MIN(I317*(1+I$8),MAX(U318,$B$11-SUM(X318:AD318)-SUM(V318:W318)))</f>
        <v>0</v>
      </c>
      <c r="AF318" s="27" t="n">
        <f aca="false">MIN(J317*(1+J$8),MAX(V318,$B$11-SUM(X318:AE318)-SUM(W318:W318)))</f>
        <v>0</v>
      </c>
      <c r="AG318" s="27" t="n">
        <f aca="false">MIN(K317*(1+K$8),MAX(W318,$B$11-SUM(X318:AF318)))</f>
        <v>0</v>
      </c>
      <c r="AI318" s="27" t="n">
        <f aca="false">ROUND(MAX(0,AI317*(1+B$8)-BE318),2)</f>
        <v>0</v>
      </c>
      <c r="AJ318" s="27" t="n">
        <f aca="false">ROUND(MAX(0,AJ317*(1+C$8)-BF318),2)</f>
        <v>0</v>
      </c>
      <c r="AK318" s="27" t="n">
        <f aca="false">ROUND(MAX(0,AK317*(1+D$8)-BG318),2)</f>
        <v>0</v>
      </c>
      <c r="AL318" s="27" t="n">
        <f aca="false">ROUND(MAX(0,AL317*(1+E$8)-BH318),2)</f>
        <v>0</v>
      </c>
      <c r="AM318" s="27" t="n">
        <f aca="false">ROUND(MAX(0,AM317*(1+F$8)-BI318),2)</f>
        <v>0</v>
      </c>
      <c r="AN318" s="27" t="n">
        <f aca="false">ROUND(MAX(0,AN317*(1+G$8)-BJ318),2)</f>
        <v>0</v>
      </c>
      <c r="AO318" s="27" t="n">
        <f aca="false">ROUND(MAX(0,AO317*(1+H$8)-BK318),2)</f>
        <v>0</v>
      </c>
      <c r="AP318" s="27" t="n">
        <f aca="false">ROUND(MAX(0,AP317*(1+I$8)-BL318),2)</f>
        <v>0</v>
      </c>
      <c r="AQ318" s="27" t="n">
        <f aca="false">ROUND(MAX(0,AQ317*(1+J$8)-BM318),2)</f>
        <v>0</v>
      </c>
      <c r="AR318" s="27" t="n">
        <f aca="false">ROUND(MAX(0,AR317*(1+K$8)-BN318),2)</f>
        <v>0</v>
      </c>
      <c r="AS318" s="27" t="n">
        <f aca="false">SUM(AI318:AR318)</f>
        <v>0</v>
      </c>
      <c r="AT318" s="27" t="n">
        <f aca="false">SUMPRODUCT(AI317:AR317,$B$8:$K$8)</f>
        <v>0</v>
      </c>
      <c r="AU318" s="27" t="n">
        <f aca="false">MIN(AI317*(1+B$8),B$9)</f>
        <v>0</v>
      </c>
      <c r="AV318" s="27" t="n">
        <f aca="false">MIN(AJ317*(1+C$8),C$9)</f>
        <v>0</v>
      </c>
      <c r="AW318" s="27" t="n">
        <f aca="false">MIN(AK317*(1+D$8),D$9)</f>
        <v>0</v>
      </c>
      <c r="AX318" s="27" t="n">
        <f aca="false">MIN(AL317*(1+E$8),E$9)</f>
        <v>0</v>
      </c>
      <c r="AY318" s="27" t="n">
        <f aca="false">MIN(AM317*(1+F$8),F$9)</f>
        <v>0</v>
      </c>
      <c r="AZ318" s="27" t="n">
        <f aca="false">MIN(AN317*(1+G$8),G$9)</f>
        <v>0</v>
      </c>
      <c r="BA318" s="27" t="n">
        <f aca="false">MIN(AO317*(1+H$8),H$9)</f>
        <v>0</v>
      </c>
      <c r="BB318" s="27" t="n">
        <f aca="false">MIN(AP317*(1+I$8),I$9)</f>
        <v>0</v>
      </c>
      <c r="BC318" s="27" t="n">
        <f aca="false">MIN(AQ317*(1+J$8),J$9)</f>
        <v>0</v>
      </c>
      <c r="BD318" s="27" t="n">
        <f aca="false">MIN(AR317*(1+K$8),K$9)</f>
        <v>0</v>
      </c>
      <c r="BE318" s="27" t="n">
        <f aca="false">MIN(AI317*(1+B$8),MAX(AU318,$B$12-SUM(AV318:BD318)))</f>
        <v>0</v>
      </c>
      <c r="BF318" s="27" t="n">
        <f aca="false">MIN(AJ317*(1+C$8),MAX(AV318,$B$12-SUM(BE318:BE318)-SUM(AW318:BD318)))</f>
        <v>0</v>
      </c>
      <c r="BG318" s="27" t="n">
        <f aca="false">MIN(AK317*(1+D$8),MAX(AW318,$B$12-SUM(BE318:BF318)-SUM(AX318:BD318)))</f>
        <v>0</v>
      </c>
      <c r="BH318" s="27" t="n">
        <f aca="false">MIN(AL317*(1+E$8),MAX(AX318,$B$12-SUM(BE318:BG318)-SUM(AY318:BD318)))</f>
        <v>0</v>
      </c>
      <c r="BI318" s="27" t="n">
        <f aca="false">MIN(AM317*(1+F$8),MAX(AY318,$B$12-SUM(BE318:BH318)-SUM(AZ318:BD318)))</f>
        <v>0</v>
      </c>
      <c r="BJ318" s="27" t="n">
        <f aca="false">MIN(AN317*(1+G$8),MAX(AZ318,$B$12-SUM(BE318:BI318)-SUM(BA318:BD318)))</f>
        <v>0</v>
      </c>
      <c r="BK318" s="27" t="n">
        <f aca="false">MIN(AO317*(1+H$8),MAX(BA318,$B$12-SUM(BE318:BJ318)-SUM(BB318:BD318)))</f>
        <v>0</v>
      </c>
      <c r="BL318" s="27" t="n">
        <f aca="false">MIN(AP317*(1+I$8),MAX(BB318,$B$12-SUM(BE318:BK318)-SUM(BC318:BD318)))</f>
        <v>0</v>
      </c>
      <c r="BM318" s="27" t="n">
        <f aca="false">MIN(AQ317*(1+J$8),MAX(BC318,$B$12-SUM(BE318:BL318)-SUM(BD318:BD318)))</f>
        <v>0</v>
      </c>
      <c r="BN318" s="27" t="n">
        <f aca="false">MIN(AR317*(1+K$8),MAX(BD318,$B$12-SUM(BE318:BM318)))</f>
        <v>0</v>
      </c>
    </row>
    <row r="319" customFormat="false" ht="15" hidden="false" customHeight="false" outlineLevel="0" collapsed="false">
      <c r="A319" s="0" t="n">
        <v>305</v>
      </c>
      <c r="B319" s="27" t="n">
        <f aca="false">ROUND(MAX(0,B318*(1+B$8)-X319),2)</f>
        <v>0</v>
      </c>
      <c r="C319" s="27" t="n">
        <f aca="false">ROUND(MAX(0,C318*(1+C$8)-Y319),2)</f>
        <v>0</v>
      </c>
      <c r="D319" s="27" t="n">
        <f aca="false">ROUND(MAX(0,D318*(1+D$8)-Z319),2)</f>
        <v>0</v>
      </c>
      <c r="E319" s="27" t="n">
        <f aca="false">ROUND(MAX(0,E318*(1+E$8)-AA319),2)</f>
        <v>0</v>
      </c>
      <c r="F319" s="27" t="n">
        <f aca="false">ROUND(MAX(0,F318*(1+F$8)-AB319),2)</f>
        <v>0</v>
      </c>
      <c r="G319" s="27" t="n">
        <f aca="false">ROUND(MAX(0,G318*(1+G$8)-AC319),2)</f>
        <v>0</v>
      </c>
      <c r="H319" s="27" t="n">
        <f aca="false">ROUND(MAX(0,H318*(1+H$8)-AD319),2)</f>
        <v>0</v>
      </c>
      <c r="I319" s="27" t="n">
        <f aca="false">ROUND(MAX(0,I318*(1+I$8)-AE319),2)</f>
        <v>0</v>
      </c>
      <c r="J319" s="27" t="n">
        <f aca="false">ROUND(MAX(0,J318*(1+J$8)-AF319),2)</f>
        <v>0</v>
      </c>
      <c r="K319" s="27" t="n">
        <f aca="false">ROUND(MAX(0,K318*(1+K$8)-AG319),2)</f>
        <v>0</v>
      </c>
      <c r="L319" s="30" t="n">
        <f aca="false">SUM(B319:K319)</f>
        <v>0</v>
      </c>
      <c r="M319" s="27" t="n">
        <f aca="false">SUMPRODUCT(B318:K318,$B$8:$K$8)</f>
        <v>0</v>
      </c>
      <c r="N319" s="27" t="n">
        <f aca="false">MIN(B318*(1+B$8),B$9)</f>
        <v>0</v>
      </c>
      <c r="O319" s="27" t="n">
        <f aca="false">MIN(C318*(1+C$8),C$9)</f>
        <v>0</v>
      </c>
      <c r="P319" s="27" t="n">
        <f aca="false">MIN(D318*(1+D$8),D$9)</f>
        <v>0</v>
      </c>
      <c r="Q319" s="27" t="n">
        <f aca="false">MIN(E318*(1+E$8),E$9)</f>
        <v>0</v>
      </c>
      <c r="R319" s="27" t="n">
        <f aca="false">MIN(F318*(1+F$8),F$9)</f>
        <v>0</v>
      </c>
      <c r="S319" s="27" t="n">
        <f aca="false">MIN(G318*(1+G$8),G$9)</f>
        <v>0</v>
      </c>
      <c r="T319" s="27" t="n">
        <f aca="false">MIN(H318*(1+H$8),H$9)</f>
        <v>0</v>
      </c>
      <c r="U319" s="27" t="n">
        <f aca="false">MIN(I318*(1+I$8),I$9)</f>
        <v>0</v>
      </c>
      <c r="V319" s="27" t="n">
        <f aca="false">MIN(J318*(1+J$8),J$9)</f>
        <v>0</v>
      </c>
      <c r="W319" s="27" t="n">
        <f aca="false">MIN(K318*(1+K$8),K$9)</f>
        <v>0</v>
      </c>
      <c r="X319" s="27" t="n">
        <f aca="false">MIN(B318*(1+B$8),MAX(N319,$B$11-SUM(O319:W319)))</f>
        <v>0</v>
      </c>
      <c r="Y319" s="27" t="n">
        <f aca="false">MIN(C318*(1+C$8),MAX(O319,$B$11-SUM(X319:X319)-SUM(P319:W319)))</f>
        <v>0</v>
      </c>
      <c r="Z319" s="27" t="n">
        <f aca="false">MIN(D318*(1+D$8),MAX(P319,$B$11-SUM(X319:Y319)-SUM(Q319:W319)))</f>
        <v>0</v>
      </c>
      <c r="AA319" s="27" t="n">
        <f aca="false">MIN(E318*(1+E$8),MAX(Q319,$B$11-SUM(X319:Z319)-SUM(R319:W319)))</f>
        <v>0</v>
      </c>
      <c r="AB319" s="27" t="n">
        <f aca="false">MIN(F318*(1+F$8),MAX(R319,$B$11-SUM(X319:AA319)-SUM(S319:W319)))</f>
        <v>0</v>
      </c>
      <c r="AC319" s="27" t="n">
        <f aca="false">MIN(G318*(1+G$8),MAX(S319,$B$11-SUM(X319:AB319)-SUM(T319:W319)))</f>
        <v>0</v>
      </c>
      <c r="AD319" s="27" t="n">
        <f aca="false">MIN(H318*(1+H$8),MAX(T319,$B$11-SUM(X319:AC319)-SUM(U319:W319)))</f>
        <v>0</v>
      </c>
      <c r="AE319" s="27" t="n">
        <f aca="false">MIN(I318*(1+I$8),MAX(U319,$B$11-SUM(X319:AD319)-SUM(V319:W319)))</f>
        <v>0</v>
      </c>
      <c r="AF319" s="27" t="n">
        <f aca="false">MIN(J318*(1+J$8),MAX(V319,$B$11-SUM(X319:AE319)-SUM(W319:W319)))</f>
        <v>0</v>
      </c>
      <c r="AG319" s="27" t="n">
        <f aca="false">MIN(K318*(1+K$8),MAX(W319,$B$11-SUM(X319:AF319)))</f>
        <v>0</v>
      </c>
      <c r="AI319" s="27" t="n">
        <f aca="false">ROUND(MAX(0,AI318*(1+B$8)-BE319),2)</f>
        <v>0</v>
      </c>
      <c r="AJ319" s="27" t="n">
        <f aca="false">ROUND(MAX(0,AJ318*(1+C$8)-BF319),2)</f>
        <v>0</v>
      </c>
      <c r="AK319" s="27" t="n">
        <f aca="false">ROUND(MAX(0,AK318*(1+D$8)-BG319),2)</f>
        <v>0</v>
      </c>
      <c r="AL319" s="27" t="n">
        <f aca="false">ROUND(MAX(0,AL318*(1+E$8)-BH319),2)</f>
        <v>0</v>
      </c>
      <c r="AM319" s="27" t="n">
        <f aca="false">ROUND(MAX(0,AM318*(1+F$8)-BI319),2)</f>
        <v>0</v>
      </c>
      <c r="AN319" s="27" t="n">
        <f aca="false">ROUND(MAX(0,AN318*(1+G$8)-BJ319),2)</f>
        <v>0</v>
      </c>
      <c r="AO319" s="27" t="n">
        <f aca="false">ROUND(MAX(0,AO318*(1+H$8)-BK319),2)</f>
        <v>0</v>
      </c>
      <c r="AP319" s="27" t="n">
        <f aca="false">ROUND(MAX(0,AP318*(1+I$8)-BL319),2)</f>
        <v>0</v>
      </c>
      <c r="AQ319" s="27" t="n">
        <f aca="false">ROUND(MAX(0,AQ318*(1+J$8)-BM319),2)</f>
        <v>0</v>
      </c>
      <c r="AR319" s="27" t="n">
        <f aca="false">ROUND(MAX(0,AR318*(1+K$8)-BN319),2)</f>
        <v>0</v>
      </c>
      <c r="AS319" s="27" t="n">
        <f aca="false">SUM(AI319:AR319)</f>
        <v>0</v>
      </c>
      <c r="AT319" s="27" t="n">
        <f aca="false">SUMPRODUCT(AI318:AR318,$B$8:$K$8)</f>
        <v>0</v>
      </c>
      <c r="AU319" s="27" t="n">
        <f aca="false">MIN(AI318*(1+B$8),B$9)</f>
        <v>0</v>
      </c>
      <c r="AV319" s="27" t="n">
        <f aca="false">MIN(AJ318*(1+C$8),C$9)</f>
        <v>0</v>
      </c>
      <c r="AW319" s="27" t="n">
        <f aca="false">MIN(AK318*(1+D$8),D$9)</f>
        <v>0</v>
      </c>
      <c r="AX319" s="27" t="n">
        <f aca="false">MIN(AL318*(1+E$8),E$9)</f>
        <v>0</v>
      </c>
      <c r="AY319" s="27" t="n">
        <f aca="false">MIN(AM318*(1+F$8),F$9)</f>
        <v>0</v>
      </c>
      <c r="AZ319" s="27" t="n">
        <f aca="false">MIN(AN318*(1+G$8),G$9)</f>
        <v>0</v>
      </c>
      <c r="BA319" s="27" t="n">
        <f aca="false">MIN(AO318*(1+H$8),H$9)</f>
        <v>0</v>
      </c>
      <c r="BB319" s="27" t="n">
        <f aca="false">MIN(AP318*(1+I$8),I$9)</f>
        <v>0</v>
      </c>
      <c r="BC319" s="27" t="n">
        <f aca="false">MIN(AQ318*(1+J$8),J$9)</f>
        <v>0</v>
      </c>
      <c r="BD319" s="27" t="n">
        <f aca="false">MIN(AR318*(1+K$8),K$9)</f>
        <v>0</v>
      </c>
      <c r="BE319" s="27" t="n">
        <f aca="false">MIN(AI318*(1+B$8),MAX(AU319,$B$12-SUM(AV319:BD319)))</f>
        <v>0</v>
      </c>
      <c r="BF319" s="27" t="n">
        <f aca="false">MIN(AJ318*(1+C$8),MAX(AV319,$B$12-SUM(BE319:BE319)-SUM(AW319:BD319)))</f>
        <v>0</v>
      </c>
      <c r="BG319" s="27" t="n">
        <f aca="false">MIN(AK318*(1+D$8),MAX(AW319,$B$12-SUM(BE319:BF319)-SUM(AX319:BD319)))</f>
        <v>0</v>
      </c>
      <c r="BH319" s="27" t="n">
        <f aca="false">MIN(AL318*(1+E$8),MAX(AX319,$B$12-SUM(BE319:BG319)-SUM(AY319:BD319)))</f>
        <v>0</v>
      </c>
      <c r="BI319" s="27" t="n">
        <f aca="false">MIN(AM318*(1+F$8),MAX(AY319,$B$12-SUM(BE319:BH319)-SUM(AZ319:BD319)))</f>
        <v>0</v>
      </c>
      <c r="BJ319" s="27" t="n">
        <f aca="false">MIN(AN318*(1+G$8),MAX(AZ319,$B$12-SUM(BE319:BI319)-SUM(BA319:BD319)))</f>
        <v>0</v>
      </c>
      <c r="BK319" s="27" t="n">
        <f aca="false">MIN(AO318*(1+H$8),MAX(BA319,$B$12-SUM(BE319:BJ319)-SUM(BB319:BD319)))</f>
        <v>0</v>
      </c>
      <c r="BL319" s="27" t="n">
        <f aca="false">MIN(AP318*(1+I$8),MAX(BB319,$B$12-SUM(BE319:BK319)-SUM(BC319:BD319)))</f>
        <v>0</v>
      </c>
      <c r="BM319" s="27" t="n">
        <f aca="false">MIN(AQ318*(1+J$8),MAX(BC319,$B$12-SUM(BE319:BL319)-SUM(BD319:BD319)))</f>
        <v>0</v>
      </c>
      <c r="BN319" s="27" t="n">
        <f aca="false">MIN(AR318*(1+K$8),MAX(BD319,$B$12-SUM(BE319:BM319)))</f>
        <v>0</v>
      </c>
    </row>
    <row r="320" customFormat="false" ht="15" hidden="false" customHeight="false" outlineLevel="0" collapsed="false">
      <c r="A320" s="0" t="n">
        <v>306</v>
      </c>
      <c r="B320" s="27" t="n">
        <f aca="false">ROUND(MAX(0,B319*(1+B$8)-X320),2)</f>
        <v>0</v>
      </c>
      <c r="C320" s="27" t="n">
        <f aca="false">ROUND(MAX(0,C319*(1+C$8)-Y320),2)</f>
        <v>0</v>
      </c>
      <c r="D320" s="27" t="n">
        <f aca="false">ROUND(MAX(0,D319*(1+D$8)-Z320),2)</f>
        <v>0</v>
      </c>
      <c r="E320" s="27" t="n">
        <f aca="false">ROUND(MAX(0,E319*(1+E$8)-AA320),2)</f>
        <v>0</v>
      </c>
      <c r="F320" s="27" t="n">
        <f aca="false">ROUND(MAX(0,F319*(1+F$8)-AB320),2)</f>
        <v>0</v>
      </c>
      <c r="G320" s="27" t="n">
        <f aca="false">ROUND(MAX(0,G319*(1+G$8)-AC320),2)</f>
        <v>0</v>
      </c>
      <c r="H320" s="27" t="n">
        <f aca="false">ROUND(MAX(0,H319*(1+H$8)-AD320),2)</f>
        <v>0</v>
      </c>
      <c r="I320" s="27" t="n">
        <f aca="false">ROUND(MAX(0,I319*(1+I$8)-AE320),2)</f>
        <v>0</v>
      </c>
      <c r="J320" s="27" t="n">
        <f aca="false">ROUND(MAX(0,J319*(1+J$8)-AF320),2)</f>
        <v>0</v>
      </c>
      <c r="K320" s="27" t="n">
        <f aca="false">ROUND(MAX(0,K319*(1+K$8)-AG320),2)</f>
        <v>0</v>
      </c>
      <c r="L320" s="30" t="n">
        <f aca="false">SUM(B320:K320)</f>
        <v>0</v>
      </c>
      <c r="M320" s="27" t="n">
        <f aca="false">SUMPRODUCT(B319:K319,$B$8:$K$8)</f>
        <v>0</v>
      </c>
      <c r="N320" s="27" t="n">
        <f aca="false">MIN(B319*(1+B$8),B$9)</f>
        <v>0</v>
      </c>
      <c r="O320" s="27" t="n">
        <f aca="false">MIN(C319*(1+C$8),C$9)</f>
        <v>0</v>
      </c>
      <c r="P320" s="27" t="n">
        <f aca="false">MIN(D319*(1+D$8),D$9)</f>
        <v>0</v>
      </c>
      <c r="Q320" s="27" t="n">
        <f aca="false">MIN(E319*(1+E$8),E$9)</f>
        <v>0</v>
      </c>
      <c r="R320" s="27" t="n">
        <f aca="false">MIN(F319*(1+F$8),F$9)</f>
        <v>0</v>
      </c>
      <c r="S320" s="27" t="n">
        <f aca="false">MIN(G319*(1+G$8),G$9)</f>
        <v>0</v>
      </c>
      <c r="T320" s="27" t="n">
        <f aca="false">MIN(H319*(1+H$8),H$9)</f>
        <v>0</v>
      </c>
      <c r="U320" s="27" t="n">
        <f aca="false">MIN(I319*(1+I$8),I$9)</f>
        <v>0</v>
      </c>
      <c r="V320" s="27" t="n">
        <f aca="false">MIN(J319*(1+J$8),J$9)</f>
        <v>0</v>
      </c>
      <c r="W320" s="27" t="n">
        <f aca="false">MIN(K319*(1+K$8),K$9)</f>
        <v>0</v>
      </c>
      <c r="X320" s="27" t="n">
        <f aca="false">MIN(B319*(1+B$8),MAX(N320,$B$11-SUM(O320:W320)))</f>
        <v>0</v>
      </c>
      <c r="Y320" s="27" t="n">
        <f aca="false">MIN(C319*(1+C$8),MAX(O320,$B$11-SUM(X320:X320)-SUM(P320:W320)))</f>
        <v>0</v>
      </c>
      <c r="Z320" s="27" t="n">
        <f aca="false">MIN(D319*(1+D$8),MAX(P320,$B$11-SUM(X320:Y320)-SUM(Q320:W320)))</f>
        <v>0</v>
      </c>
      <c r="AA320" s="27" t="n">
        <f aca="false">MIN(E319*(1+E$8),MAX(Q320,$B$11-SUM(X320:Z320)-SUM(R320:W320)))</f>
        <v>0</v>
      </c>
      <c r="AB320" s="27" t="n">
        <f aca="false">MIN(F319*(1+F$8),MAX(R320,$B$11-SUM(X320:AA320)-SUM(S320:W320)))</f>
        <v>0</v>
      </c>
      <c r="AC320" s="27" t="n">
        <f aca="false">MIN(G319*(1+G$8),MAX(S320,$B$11-SUM(X320:AB320)-SUM(T320:W320)))</f>
        <v>0</v>
      </c>
      <c r="AD320" s="27" t="n">
        <f aca="false">MIN(H319*(1+H$8),MAX(T320,$B$11-SUM(X320:AC320)-SUM(U320:W320)))</f>
        <v>0</v>
      </c>
      <c r="AE320" s="27" t="n">
        <f aca="false">MIN(I319*(1+I$8),MAX(U320,$B$11-SUM(X320:AD320)-SUM(V320:W320)))</f>
        <v>0</v>
      </c>
      <c r="AF320" s="27" t="n">
        <f aca="false">MIN(J319*(1+J$8),MAX(V320,$B$11-SUM(X320:AE320)-SUM(W320:W320)))</f>
        <v>0</v>
      </c>
      <c r="AG320" s="27" t="n">
        <f aca="false">MIN(K319*(1+K$8),MAX(W320,$B$11-SUM(X320:AF320)))</f>
        <v>0</v>
      </c>
      <c r="AI320" s="27" t="n">
        <f aca="false">ROUND(MAX(0,AI319*(1+B$8)-BE320),2)</f>
        <v>0</v>
      </c>
      <c r="AJ320" s="27" t="n">
        <f aca="false">ROUND(MAX(0,AJ319*(1+C$8)-BF320),2)</f>
        <v>0</v>
      </c>
      <c r="AK320" s="27" t="n">
        <f aca="false">ROUND(MAX(0,AK319*(1+D$8)-BG320),2)</f>
        <v>0</v>
      </c>
      <c r="AL320" s="27" t="n">
        <f aca="false">ROUND(MAX(0,AL319*(1+E$8)-BH320),2)</f>
        <v>0</v>
      </c>
      <c r="AM320" s="27" t="n">
        <f aca="false">ROUND(MAX(0,AM319*(1+F$8)-BI320),2)</f>
        <v>0</v>
      </c>
      <c r="AN320" s="27" t="n">
        <f aca="false">ROUND(MAX(0,AN319*(1+G$8)-BJ320),2)</f>
        <v>0</v>
      </c>
      <c r="AO320" s="27" t="n">
        <f aca="false">ROUND(MAX(0,AO319*(1+H$8)-BK320),2)</f>
        <v>0</v>
      </c>
      <c r="AP320" s="27" t="n">
        <f aca="false">ROUND(MAX(0,AP319*(1+I$8)-BL320),2)</f>
        <v>0</v>
      </c>
      <c r="AQ320" s="27" t="n">
        <f aca="false">ROUND(MAX(0,AQ319*(1+J$8)-BM320),2)</f>
        <v>0</v>
      </c>
      <c r="AR320" s="27" t="n">
        <f aca="false">ROUND(MAX(0,AR319*(1+K$8)-BN320),2)</f>
        <v>0</v>
      </c>
      <c r="AS320" s="27" t="n">
        <f aca="false">SUM(AI320:AR320)</f>
        <v>0</v>
      </c>
      <c r="AT320" s="27" t="n">
        <f aca="false">SUMPRODUCT(AI319:AR319,$B$8:$K$8)</f>
        <v>0</v>
      </c>
      <c r="AU320" s="27" t="n">
        <f aca="false">MIN(AI319*(1+B$8),B$9)</f>
        <v>0</v>
      </c>
      <c r="AV320" s="27" t="n">
        <f aca="false">MIN(AJ319*(1+C$8),C$9)</f>
        <v>0</v>
      </c>
      <c r="AW320" s="27" t="n">
        <f aca="false">MIN(AK319*(1+D$8),D$9)</f>
        <v>0</v>
      </c>
      <c r="AX320" s="27" t="n">
        <f aca="false">MIN(AL319*(1+E$8),E$9)</f>
        <v>0</v>
      </c>
      <c r="AY320" s="27" t="n">
        <f aca="false">MIN(AM319*(1+F$8),F$9)</f>
        <v>0</v>
      </c>
      <c r="AZ320" s="27" t="n">
        <f aca="false">MIN(AN319*(1+G$8),G$9)</f>
        <v>0</v>
      </c>
      <c r="BA320" s="27" t="n">
        <f aca="false">MIN(AO319*(1+H$8),H$9)</f>
        <v>0</v>
      </c>
      <c r="BB320" s="27" t="n">
        <f aca="false">MIN(AP319*(1+I$8),I$9)</f>
        <v>0</v>
      </c>
      <c r="BC320" s="27" t="n">
        <f aca="false">MIN(AQ319*(1+J$8),J$9)</f>
        <v>0</v>
      </c>
      <c r="BD320" s="27" t="n">
        <f aca="false">MIN(AR319*(1+K$8),K$9)</f>
        <v>0</v>
      </c>
      <c r="BE320" s="27" t="n">
        <f aca="false">MIN(AI319*(1+B$8),MAX(AU320,$B$12-SUM(AV320:BD320)))</f>
        <v>0</v>
      </c>
      <c r="BF320" s="27" t="n">
        <f aca="false">MIN(AJ319*(1+C$8),MAX(AV320,$B$12-SUM(BE320:BE320)-SUM(AW320:BD320)))</f>
        <v>0</v>
      </c>
      <c r="BG320" s="27" t="n">
        <f aca="false">MIN(AK319*(1+D$8),MAX(AW320,$B$12-SUM(BE320:BF320)-SUM(AX320:BD320)))</f>
        <v>0</v>
      </c>
      <c r="BH320" s="27" t="n">
        <f aca="false">MIN(AL319*(1+E$8),MAX(AX320,$B$12-SUM(BE320:BG320)-SUM(AY320:BD320)))</f>
        <v>0</v>
      </c>
      <c r="BI320" s="27" t="n">
        <f aca="false">MIN(AM319*(1+F$8),MAX(AY320,$B$12-SUM(BE320:BH320)-SUM(AZ320:BD320)))</f>
        <v>0</v>
      </c>
      <c r="BJ320" s="27" t="n">
        <f aca="false">MIN(AN319*(1+G$8),MAX(AZ320,$B$12-SUM(BE320:BI320)-SUM(BA320:BD320)))</f>
        <v>0</v>
      </c>
      <c r="BK320" s="27" t="n">
        <f aca="false">MIN(AO319*(1+H$8),MAX(BA320,$B$12-SUM(BE320:BJ320)-SUM(BB320:BD320)))</f>
        <v>0</v>
      </c>
      <c r="BL320" s="27" t="n">
        <f aca="false">MIN(AP319*(1+I$8),MAX(BB320,$B$12-SUM(BE320:BK320)-SUM(BC320:BD320)))</f>
        <v>0</v>
      </c>
      <c r="BM320" s="27" t="n">
        <f aca="false">MIN(AQ319*(1+J$8),MAX(BC320,$B$12-SUM(BE320:BL320)-SUM(BD320:BD320)))</f>
        <v>0</v>
      </c>
      <c r="BN320" s="27" t="n">
        <f aca="false">MIN(AR319*(1+K$8),MAX(BD320,$B$12-SUM(BE320:BM320)))</f>
        <v>0</v>
      </c>
    </row>
    <row r="321" customFormat="false" ht="15" hidden="false" customHeight="false" outlineLevel="0" collapsed="false">
      <c r="A321" s="0" t="n">
        <v>307</v>
      </c>
      <c r="B321" s="27" t="n">
        <f aca="false">ROUND(MAX(0,B320*(1+B$8)-X321),2)</f>
        <v>0</v>
      </c>
      <c r="C321" s="27" t="n">
        <f aca="false">ROUND(MAX(0,C320*(1+C$8)-Y321),2)</f>
        <v>0</v>
      </c>
      <c r="D321" s="27" t="n">
        <f aca="false">ROUND(MAX(0,D320*(1+D$8)-Z321),2)</f>
        <v>0</v>
      </c>
      <c r="E321" s="27" t="n">
        <f aca="false">ROUND(MAX(0,E320*(1+E$8)-AA321),2)</f>
        <v>0</v>
      </c>
      <c r="F321" s="27" t="n">
        <f aca="false">ROUND(MAX(0,F320*(1+F$8)-AB321),2)</f>
        <v>0</v>
      </c>
      <c r="G321" s="27" t="n">
        <f aca="false">ROUND(MAX(0,G320*(1+G$8)-AC321),2)</f>
        <v>0</v>
      </c>
      <c r="H321" s="27" t="n">
        <f aca="false">ROUND(MAX(0,H320*(1+H$8)-AD321),2)</f>
        <v>0</v>
      </c>
      <c r="I321" s="27" t="n">
        <f aca="false">ROUND(MAX(0,I320*(1+I$8)-AE321),2)</f>
        <v>0</v>
      </c>
      <c r="J321" s="27" t="n">
        <f aca="false">ROUND(MAX(0,J320*(1+J$8)-AF321),2)</f>
        <v>0</v>
      </c>
      <c r="K321" s="27" t="n">
        <f aca="false">ROUND(MAX(0,K320*(1+K$8)-AG321),2)</f>
        <v>0</v>
      </c>
      <c r="L321" s="30" t="n">
        <f aca="false">SUM(B321:K321)</f>
        <v>0</v>
      </c>
      <c r="M321" s="27" t="n">
        <f aca="false">SUMPRODUCT(B320:K320,$B$8:$K$8)</f>
        <v>0</v>
      </c>
      <c r="N321" s="27" t="n">
        <f aca="false">MIN(B320*(1+B$8),B$9)</f>
        <v>0</v>
      </c>
      <c r="O321" s="27" t="n">
        <f aca="false">MIN(C320*(1+C$8),C$9)</f>
        <v>0</v>
      </c>
      <c r="P321" s="27" t="n">
        <f aca="false">MIN(D320*(1+D$8),D$9)</f>
        <v>0</v>
      </c>
      <c r="Q321" s="27" t="n">
        <f aca="false">MIN(E320*(1+E$8),E$9)</f>
        <v>0</v>
      </c>
      <c r="R321" s="27" t="n">
        <f aca="false">MIN(F320*(1+F$8),F$9)</f>
        <v>0</v>
      </c>
      <c r="S321" s="27" t="n">
        <f aca="false">MIN(G320*(1+G$8),G$9)</f>
        <v>0</v>
      </c>
      <c r="T321" s="27" t="n">
        <f aca="false">MIN(H320*(1+H$8),H$9)</f>
        <v>0</v>
      </c>
      <c r="U321" s="27" t="n">
        <f aca="false">MIN(I320*(1+I$8),I$9)</f>
        <v>0</v>
      </c>
      <c r="V321" s="27" t="n">
        <f aca="false">MIN(J320*(1+J$8),J$9)</f>
        <v>0</v>
      </c>
      <c r="W321" s="27" t="n">
        <f aca="false">MIN(K320*(1+K$8),K$9)</f>
        <v>0</v>
      </c>
      <c r="X321" s="27" t="n">
        <f aca="false">MIN(B320*(1+B$8),MAX(N321,$B$11-SUM(O321:W321)))</f>
        <v>0</v>
      </c>
      <c r="Y321" s="27" t="n">
        <f aca="false">MIN(C320*(1+C$8),MAX(O321,$B$11-SUM(X321:X321)-SUM(P321:W321)))</f>
        <v>0</v>
      </c>
      <c r="Z321" s="27" t="n">
        <f aca="false">MIN(D320*(1+D$8),MAX(P321,$B$11-SUM(X321:Y321)-SUM(Q321:W321)))</f>
        <v>0</v>
      </c>
      <c r="AA321" s="27" t="n">
        <f aca="false">MIN(E320*(1+E$8),MAX(Q321,$B$11-SUM(X321:Z321)-SUM(R321:W321)))</f>
        <v>0</v>
      </c>
      <c r="AB321" s="27" t="n">
        <f aca="false">MIN(F320*(1+F$8),MAX(R321,$B$11-SUM(X321:AA321)-SUM(S321:W321)))</f>
        <v>0</v>
      </c>
      <c r="AC321" s="27" t="n">
        <f aca="false">MIN(G320*(1+G$8),MAX(S321,$B$11-SUM(X321:AB321)-SUM(T321:W321)))</f>
        <v>0</v>
      </c>
      <c r="AD321" s="27" t="n">
        <f aca="false">MIN(H320*(1+H$8),MAX(T321,$B$11-SUM(X321:AC321)-SUM(U321:W321)))</f>
        <v>0</v>
      </c>
      <c r="AE321" s="27" t="n">
        <f aca="false">MIN(I320*(1+I$8),MAX(U321,$B$11-SUM(X321:AD321)-SUM(V321:W321)))</f>
        <v>0</v>
      </c>
      <c r="AF321" s="27" t="n">
        <f aca="false">MIN(J320*(1+J$8),MAX(V321,$B$11-SUM(X321:AE321)-SUM(W321:W321)))</f>
        <v>0</v>
      </c>
      <c r="AG321" s="27" t="n">
        <f aca="false">MIN(K320*(1+K$8),MAX(W321,$B$11-SUM(X321:AF321)))</f>
        <v>0</v>
      </c>
      <c r="AI321" s="27" t="n">
        <f aca="false">ROUND(MAX(0,AI320*(1+B$8)-BE321),2)</f>
        <v>0</v>
      </c>
      <c r="AJ321" s="27" t="n">
        <f aca="false">ROUND(MAX(0,AJ320*(1+C$8)-BF321),2)</f>
        <v>0</v>
      </c>
      <c r="AK321" s="27" t="n">
        <f aca="false">ROUND(MAX(0,AK320*(1+D$8)-BG321),2)</f>
        <v>0</v>
      </c>
      <c r="AL321" s="27" t="n">
        <f aca="false">ROUND(MAX(0,AL320*(1+E$8)-BH321),2)</f>
        <v>0</v>
      </c>
      <c r="AM321" s="27" t="n">
        <f aca="false">ROUND(MAX(0,AM320*(1+F$8)-BI321),2)</f>
        <v>0</v>
      </c>
      <c r="AN321" s="27" t="n">
        <f aca="false">ROUND(MAX(0,AN320*(1+G$8)-BJ321),2)</f>
        <v>0</v>
      </c>
      <c r="AO321" s="27" t="n">
        <f aca="false">ROUND(MAX(0,AO320*(1+H$8)-BK321),2)</f>
        <v>0</v>
      </c>
      <c r="AP321" s="27" t="n">
        <f aca="false">ROUND(MAX(0,AP320*(1+I$8)-BL321),2)</f>
        <v>0</v>
      </c>
      <c r="AQ321" s="27" t="n">
        <f aca="false">ROUND(MAX(0,AQ320*(1+J$8)-BM321),2)</f>
        <v>0</v>
      </c>
      <c r="AR321" s="27" t="n">
        <f aca="false">ROUND(MAX(0,AR320*(1+K$8)-BN321),2)</f>
        <v>0</v>
      </c>
      <c r="AS321" s="27" t="n">
        <f aca="false">SUM(AI321:AR321)</f>
        <v>0</v>
      </c>
      <c r="AT321" s="27" t="n">
        <f aca="false">SUMPRODUCT(AI320:AR320,$B$8:$K$8)</f>
        <v>0</v>
      </c>
      <c r="AU321" s="27" t="n">
        <f aca="false">MIN(AI320*(1+B$8),B$9)</f>
        <v>0</v>
      </c>
      <c r="AV321" s="27" t="n">
        <f aca="false">MIN(AJ320*(1+C$8),C$9)</f>
        <v>0</v>
      </c>
      <c r="AW321" s="27" t="n">
        <f aca="false">MIN(AK320*(1+D$8),D$9)</f>
        <v>0</v>
      </c>
      <c r="AX321" s="27" t="n">
        <f aca="false">MIN(AL320*(1+E$8),E$9)</f>
        <v>0</v>
      </c>
      <c r="AY321" s="27" t="n">
        <f aca="false">MIN(AM320*(1+F$8),F$9)</f>
        <v>0</v>
      </c>
      <c r="AZ321" s="27" t="n">
        <f aca="false">MIN(AN320*(1+G$8),G$9)</f>
        <v>0</v>
      </c>
      <c r="BA321" s="27" t="n">
        <f aca="false">MIN(AO320*(1+H$8),H$9)</f>
        <v>0</v>
      </c>
      <c r="BB321" s="27" t="n">
        <f aca="false">MIN(AP320*(1+I$8),I$9)</f>
        <v>0</v>
      </c>
      <c r="BC321" s="27" t="n">
        <f aca="false">MIN(AQ320*(1+J$8),J$9)</f>
        <v>0</v>
      </c>
      <c r="BD321" s="27" t="n">
        <f aca="false">MIN(AR320*(1+K$8),K$9)</f>
        <v>0</v>
      </c>
      <c r="BE321" s="27" t="n">
        <f aca="false">MIN(AI320*(1+B$8),MAX(AU321,$B$12-SUM(AV321:BD321)))</f>
        <v>0</v>
      </c>
      <c r="BF321" s="27" t="n">
        <f aca="false">MIN(AJ320*(1+C$8),MAX(AV321,$B$12-SUM(BE321:BE321)-SUM(AW321:BD321)))</f>
        <v>0</v>
      </c>
      <c r="BG321" s="27" t="n">
        <f aca="false">MIN(AK320*(1+D$8),MAX(AW321,$B$12-SUM(BE321:BF321)-SUM(AX321:BD321)))</f>
        <v>0</v>
      </c>
      <c r="BH321" s="27" t="n">
        <f aca="false">MIN(AL320*(1+E$8),MAX(AX321,$B$12-SUM(BE321:BG321)-SUM(AY321:BD321)))</f>
        <v>0</v>
      </c>
      <c r="BI321" s="27" t="n">
        <f aca="false">MIN(AM320*(1+F$8),MAX(AY321,$B$12-SUM(BE321:BH321)-SUM(AZ321:BD321)))</f>
        <v>0</v>
      </c>
      <c r="BJ321" s="27" t="n">
        <f aca="false">MIN(AN320*(1+G$8),MAX(AZ321,$B$12-SUM(BE321:BI321)-SUM(BA321:BD321)))</f>
        <v>0</v>
      </c>
      <c r="BK321" s="27" t="n">
        <f aca="false">MIN(AO320*(1+H$8),MAX(BA321,$B$12-SUM(BE321:BJ321)-SUM(BB321:BD321)))</f>
        <v>0</v>
      </c>
      <c r="BL321" s="27" t="n">
        <f aca="false">MIN(AP320*(1+I$8),MAX(BB321,$B$12-SUM(BE321:BK321)-SUM(BC321:BD321)))</f>
        <v>0</v>
      </c>
      <c r="BM321" s="27" t="n">
        <f aca="false">MIN(AQ320*(1+J$8),MAX(BC321,$B$12-SUM(BE321:BL321)-SUM(BD321:BD321)))</f>
        <v>0</v>
      </c>
      <c r="BN321" s="27" t="n">
        <f aca="false">MIN(AR320*(1+K$8),MAX(BD321,$B$12-SUM(BE321:BM321)))</f>
        <v>0</v>
      </c>
    </row>
    <row r="322" customFormat="false" ht="15" hidden="false" customHeight="false" outlineLevel="0" collapsed="false">
      <c r="A322" s="0" t="n">
        <v>308</v>
      </c>
      <c r="B322" s="27" t="n">
        <f aca="false">ROUND(MAX(0,B321*(1+B$8)-X322),2)</f>
        <v>0</v>
      </c>
      <c r="C322" s="27" t="n">
        <f aca="false">ROUND(MAX(0,C321*(1+C$8)-Y322),2)</f>
        <v>0</v>
      </c>
      <c r="D322" s="27" t="n">
        <f aca="false">ROUND(MAX(0,D321*(1+D$8)-Z322),2)</f>
        <v>0</v>
      </c>
      <c r="E322" s="27" t="n">
        <f aca="false">ROUND(MAX(0,E321*(1+E$8)-AA322),2)</f>
        <v>0</v>
      </c>
      <c r="F322" s="27" t="n">
        <f aca="false">ROUND(MAX(0,F321*(1+F$8)-AB322),2)</f>
        <v>0</v>
      </c>
      <c r="G322" s="27" t="n">
        <f aca="false">ROUND(MAX(0,G321*(1+G$8)-AC322),2)</f>
        <v>0</v>
      </c>
      <c r="H322" s="27" t="n">
        <f aca="false">ROUND(MAX(0,H321*(1+H$8)-AD322),2)</f>
        <v>0</v>
      </c>
      <c r="I322" s="27" t="n">
        <f aca="false">ROUND(MAX(0,I321*(1+I$8)-AE322),2)</f>
        <v>0</v>
      </c>
      <c r="J322" s="27" t="n">
        <f aca="false">ROUND(MAX(0,J321*(1+J$8)-AF322),2)</f>
        <v>0</v>
      </c>
      <c r="K322" s="27" t="n">
        <f aca="false">ROUND(MAX(0,K321*(1+K$8)-AG322),2)</f>
        <v>0</v>
      </c>
      <c r="L322" s="30" t="n">
        <f aca="false">SUM(B322:K322)</f>
        <v>0</v>
      </c>
      <c r="M322" s="27" t="n">
        <f aca="false">SUMPRODUCT(B321:K321,$B$8:$K$8)</f>
        <v>0</v>
      </c>
      <c r="N322" s="27" t="n">
        <f aca="false">MIN(B321*(1+B$8),B$9)</f>
        <v>0</v>
      </c>
      <c r="O322" s="27" t="n">
        <f aca="false">MIN(C321*(1+C$8),C$9)</f>
        <v>0</v>
      </c>
      <c r="P322" s="27" t="n">
        <f aca="false">MIN(D321*(1+D$8),D$9)</f>
        <v>0</v>
      </c>
      <c r="Q322" s="27" t="n">
        <f aca="false">MIN(E321*(1+E$8),E$9)</f>
        <v>0</v>
      </c>
      <c r="R322" s="27" t="n">
        <f aca="false">MIN(F321*(1+F$8),F$9)</f>
        <v>0</v>
      </c>
      <c r="S322" s="27" t="n">
        <f aca="false">MIN(G321*(1+G$8),G$9)</f>
        <v>0</v>
      </c>
      <c r="T322" s="27" t="n">
        <f aca="false">MIN(H321*(1+H$8),H$9)</f>
        <v>0</v>
      </c>
      <c r="U322" s="27" t="n">
        <f aca="false">MIN(I321*(1+I$8),I$9)</f>
        <v>0</v>
      </c>
      <c r="V322" s="27" t="n">
        <f aca="false">MIN(J321*(1+J$8),J$9)</f>
        <v>0</v>
      </c>
      <c r="W322" s="27" t="n">
        <f aca="false">MIN(K321*(1+K$8),K$9)</f>
        <v>0</v>
      </c>
      <c r="X322" s="27" t="n">
        <f aca="false">MIN(B321*(1+B$8),MAX(N322,$B$11-SUM(O322:W322)))</f>
        <v>0</v>
      </c>
      <c r="Y322" s="27" t="n">
        <f aca="false">MIN(C321*(1+C$8),MAX(O322,$B$11-SUM(X322:X322)-SUM(P322:W322)))</f>
        <v>0</v>
      </c>
      <c r="Z322" s="27" t="n">
        <f aca="false">MIN(D321*(1+D$8),MAX(P322,$B$11-SUM(X322:Y322)-SUM(Q322:W322)))</f>
        <v>0</v>
      </c>
      <c r="AA322" s="27" t="n">
        <f aca="false">MIN(E321*(1+E$8),MAX(Q322,$B$11-SUM(X322:Z322)-SUM(R322:W322)))</f>
        <v>0</v>
      </c>
      <c r="AB322" s="27" t="n">
        <f aca="false">MIN(F321*(1+F$8),MAX(R322,$B$11-SUM(X322:AA322)-SUM(S322:W322)))</f>
        <v>0</v>
      </c>
      <c r="AC322" s="27" t="n">
        <f aca="false">MIN(G321*(1+G$8),MAX(S322,$B$11-SUM(X322:AB322)-SUM(T322:W322)))</f>
        <v>0</v>
      </c>
      <c r="AD322" s="27" t="n">
        <f aca="false">MIN(H321*(1+H$8),MAX(T322,$B$11-SUM(X322:AC322)-SUM(U322:W322)))</f>
        <v>0</v>
      </c>
      <c r="AE322" s="27" t="n">
        <f aca="false">MIN(I321*(1+I$8),MAX(U322,$B$11-SUM(X322:AD322)-SUM(V322:W322)))</f>
        <v>0</v>
      </c>
      <c r="AF322" s="27" t="n">
        <f aca="false">MIN(J321*(1+J$8),MAX(V322,$B$11-SUM(X322:AE322)-SUM(W322:W322)))</f>
        <v>0</v>
      </c>
      <c r="AG322" s="27" t="n">
        <f aca="false">MIN(K321*(1+K$8),MAX(W322,$B$11-SUM(X322:AF322)))</f>
        <v>0</v>
      </c>
      <c r="AI322" s="27" t="n">
        <f aca="false">ROUND(MAX(0,AI321*(1+B$8)-BE322),2)</f>
        <v>0</v>
      </c>
      <c r="AJ322" s="27" t="n">
        <f aca="false">ROUND(MAX(0,AJ321*(1+C$8)-BF322),2)</f>
        <v>0</v>
      </c>
      <c r="AK322" s="27" t="n">
        <f aca="false">ROUND(MAX(0,AK321*(1+D$8)-BG322),2)</f>
        <v>0</v>
      </c>
      <c r="AL322" s="27" t="n">
        <f aca="false">ROUND(MAX(0,AL321*(1+E$8)-BH322),2)</f>
        <v>0</v>
      </c>
      <c r="AM322" s="27" t="n">
        <f aca="false">ROUND(MAX(0,AM321*(1+F$8)-BI322),2)</f>
        <v>0</v>
      </c>
      <c r="AN322" s="27" t="n">
        <f aca="false">ROUND(MAX(0,AN321*(1+G$8)-BJ322),2)</f>
        <v>0</v>
      </c>
      <c r="AO322" s="27" t="n">
        <f aca="false">ROUND(MAX(0,AO321*(1+H$8)-BK322),2)</f>
        <v>0</v>
      </c>
      <c r="AP322" s="27" t="n">
        <f aca="false">ROUND(MAX(0,AP321*(1+I$8)-BL322),2)</f>
        <v>0</v>
      </c>
      <c r="AQ322" s="27" t="n">
        <f aca="false">ROUND(MAX(0,AQ321*(1+J$8)-BM322),2)</f>
        <v>0</v>
      </c>
      <c r="AR322" s="27" t="n">
        <f aca="false">ROUND(MAX(0,AR321*(1+K$8)-BN322),2)</f>
        <v>0</v>
      </c>
      <c r="AS322" s="27" t="n">
        <f aca="false">SUM(AI322:AR322)</f>
        <v>0</v>
      </c>
      <c r="AT322" s="27" t="n">
        <f aca="false">SUMPRODUCT(AI321:AR321,$B$8:$K$8)</f>
        <v>0</v>
      </c>
      <c r="AU322" s="27" t="n">
        <f aca="false">MIN(AI321*(1+B$8),B$9)</f>
        <v>0</v>
      </c>
      <c r="AV322" s="27" t="n">
        <f aca="false">MIN(AJ321*(1+C$8),C$9)</f>
        <v>0</v>
      </c>
      <c r="AW322" s="27" t="n">
        <f aca="false">MIN(AK321*(1+D$8),D$9)</f>
        <v>0</v>
      </c>
      <c r="AX322" s="27" t="n">
        <f aca="false">MIN(AL321*(1+E$8),E$9)</f>
        <v>0</v>
      </c>
      <c r="AY322" s="27" t="n">
        <f aca="false">MIN(AM321*(1+F$8),F$9)</f>
        <v>0</v>
      </c>
      <c r="AZ322" s="27" t="n">
        <f aca="false">MIN(AN321*(1+G$8),G$9)</f>
        <v>0</v>
      </c>
      <c r="BA322" s="27" t="n">
        <f aca="false">MIN(AO321*(1+H$8),H$9)</f>
        <v>0</v>
      </c>
      <c r="BB322" s="27" t="n">
        <f aca="false">MIN(AP321*(1+I$8),I$9)</f>
        <v>0</v>
      </c>
      <c r="BC322" s="27" t="n">
        <f aca="false">MIN(AQ321*(1+J$8),J$9)</f>
        <v>0</v>
      </c>
      <c r="BD322" s="27" t="n">
        <f aca="false">MIN(AR321*(1+K$8),K$9)</f>
        <v>0</v>
      </c>
      <c r="BE322" s="27" t="n">
        <f aca="false">MIN(AI321*(1+B$8),MAX(AU322,$B$12-SUM(AV322:BD322)))</f>
        <v>0</v>
      </c>
      <c r="BF322" s="27" t="n">
        <f aca="false">MIN(AJ321*(1+C$8),MAX(AV322,$B$12-SUM(BE322:BE322)-SUM(AW322:BD322)))</f>
        <v>0</v>
      </c>
      <c r="BG322" s="27" t="n">
        <f aca="false">MIN(AK321*(1+D$8),MAX(AW322,$B$12-SUM(BE322:BF322)-SUM(AX322:BD322)))</f>
        <v>0</v>
      </c>
      <c r="BH322" s="27" t="n">
        <f aca="false">MIN(AL321*(1+E$8),MAX(AX322,$B$12-SUM(BE322:BG322)-SUM(AY322:BD322)))</f>
        <v>0</v>
      </c>
      <c r="BI322" s="27" t="n">
        <f aca="false">MIN(AM321*(1+F$8),MAX(AY322,$B$12-SUM(BE322:BH322)-SUM(AZ322:BD322)))</f>
        <v>0</v>
      </c>
      <c r="BJ322" s="27" t="n">
        <f aca="false">MIN(AN321*(1+G$8),MAX(AZ322,$B$12-SUM(BE322:BI322)-SUM(BA322:BD322)))</f>
        <v>0</v>
      </c>
      <c r="BK322" s="27" t="n">
        <f aca="false">MIN(AO321*(1+H$8),MAX(BA322,$B$12-SUM(BE322:BJ322)-SUM(BB322:BD322)))</f>
        <v>0</v>
      </c>
      <c r="BL322" s="27" t="n">
        <f aca="false">MIN(AP321*(1+I$8),MAX(BB322,$B$12-SUM(BE322:BK322)-SUM(BC322:BD322)))</f>
        <v>0</v>
      </c>
      <c r="BM322" s="27" t="n">
        <f aca="false">MIN(AQ321*(1+J$8),MAX(BC322,$B$12-SUM(BE322:BL322)-SUM(BD322:BD322)))</f>
        <v>0</v>
      </c>
      <c r="BN322" s="27" t="n">
        <f aca="false">MIN(AR321*(1+K$8),MAX(BD322,$B$12-SUM(BE322:BM322)))</f>
        <v>0</v>
      </c>
    </row>
    <row r="323" customFormat="false" ht="15" hidden="false" customHeight="false" outlineLevel="0" collapsed="false">
      <c r="A323" s="0" t="n">
        <v>309</v>
      </c>
      <c r="B323" s="27" t="n">
        <f aca="false">ROUND(MAX(0,B322*(1+B$8)-X323),2)</f>
        <v>0</v>
      </c>
      <c r="C323" s="27" t="n">
        <f aca="false">ROUND(MAX(0,C322*(1+C$8)-Y323),2)</f>
        <v>0</v>
      </c>
      <c r="D323" s="27" t="n">
        <f aca="false">ROUND(MAX(0,D322*(1+D$8)-Z323),2)</f>
        <v>0</v>
      </c>
      <c r="E323" s="27" t="n">
        <f aca="false">ROUND(MAX(0,E322*(1+E$8)-AA323),2)</f>
        <v>0</v>
      </c>
      <c r="F323" s="27" t="n">
        <f aca="false">ROUND(MAX(0,F322*(1+F$8)-AB323),2)</f>
        <v>0</v>
      </c>
      <c r="G323" s="27" t="n">
        <f aca="false">ROUND(MAX(0,G322*(1+G$8)-AC323),2)</f>
        <v>0</v>
      </c>
      <c r="H323" s="27" t="n">
        <f aca="false">ROUND(MAX(0,H322*(1+H$8)-AD323),2)</f>
        <v>0</v>
      </c>
      <c r="I323" s="27" t="n">
        <f aca="false">ROUND(MAX(0,I322*(1+I$8)-AE323),2)</f>
        <v>0</v>
      </c>
      <c r="J323" s="27" t="n">
        <f aca="false">ROUND(MAX(0,J322*(1+J$8)-AF323),2)</f>
        <v>0</v>
      </c>
      <c r="K323" s="27" t="n">
        <f aca="false">ROUND(MAX(0,K322*(1+K$8)-AG323),2)</f>
        <v>0</v>
      </c>
      <c r="L323" s="30" t="n">
        <f aca="false">SUM(B323:K323)</f>
        <v>0</v>
      </c>
      <c r="M323" s="27" t="n">
        <f aca="false">SUMPRODUCT(B322:K322,$B$8:$K$8)</f>
        <v>0</v>
      </c>
      <c r="N323" s="27" t="n">
        <f aca="false">MIN(B322*(1+B$8),B$9)</f>
        <v>0</v>
      </c>
      <c r="O323" s="27" t="n">
        <f aca="false">MIN(C322*(1+C$8),C$9)</f>
        <v>0</v>
      </c>
      <c r="P323" s="27" t="n">
        <f aca="false">MIN(D322*(1+D$8),D$9)</f>
        <v>0</v>
      </c>
      <c r="Q323" s="27" t="n">
        <f aca="false">MIN(E322*(1+E$8),E$9)</f>
        <v>0</v>
      </c>
      <c r="R323" s="27" t="n">
        <f aca="false">MIN(F322*(1+F$8),F$9)</f>
        <v>0</v>
      </c>
      <c r="S323" s="27" t="n">
        <f aca="false">MIN(G322*(1+G$8),G$9)</f>
        <v>0</v>
      </c>
      <c r="T323" s="27" t="n">
        <f aca="false">MIN(H322*(1+H$8),H$9)</f>
        <v>0</v>
      </c>
      <c r="U323" s="27" t="n">
        <f aca="false">MIN(I322*(1+I$8),I$9)</f>
        <v>0</v>
      </c>
      <c r="V323" s="27" t="n">
        <f aca="false">MIN(J322*(1+J$8),J$9)</f>
        <v>0</v>
      </c>
      <c r="W323" s="27" t="n">
        <f aca="false">MIN(K322*(1+K$8),K$9)</f>
        <v>0</v>
      </c>
      <c r="X323" s="27" t="n">
        <f aca="false">MIN(B322*(1+B$8),MAX(N323,$B$11-SUM(O323:W323)))</f>
        <v>0</v>
      </c>
      <c r="Y323" s="27" t="n">
        <f aca="false">MIN(C322*(1+C$8),MAX(O323,$B$11-SUM(X323:X323)-SUM(P323:W323)))</f>
        <v>0</v>
      </c>
      <c r="Z323" s="27" t="n">
        <f aca="false">MIN(D322*(1+D$8),MAX(P323,$B$11-SUM(X323:Y323)-SUM(Q323:W323)))</f>
        <v>0</v>
      </c>
      <c r="AA323" s="27" t="n">
        <f aca="false">MIN(E322*(1+E$8),MAX(Q323,$B$11-SUM(X323:Z323)-SUM(R323:W323)))</f>
        <v>0</v>
      </c>
      <c r="AB323" s="27" t="n">
        <f aca="false">MIN(F322*(1+F$8),MAX(R323,$B$11-SUM(X323:AA323)-SUM(S323:W323)))</f>
        <v>0</v>
      </c>
      <c r="AC323" s="27" t="n">
        <f aca="false">MIN(G322*(1+G$8),MAX(S323,$B$11-SUM(X323:AB323)-SUM(T323:W323)))</f>
        <v>0</v>
      </c>
      <c r="AD323" s="27" t="n">
        <f aca="false">MIN(H322*(1+H$8),MAX(T323,$B$11-SUM(X323:AC323)-SUM(U323:W323)))</f>
        <v>0</v>
      </c>
      <c r="AE323" s="27" t="n">
        <f aca="false">MIN(I322*(1+I$8),MAX(U323,$B$11-SUM(X323:AD323)-SUM(V323:W323)))</f>
        <v>0</v>
      </c>
      <c r="AF323" s="27" t="n">
        <f aca="false">MIN(J322*(1+J$8),MAX(V323,$B$11-SUM(X323:AE323)-SUM(W323:W323)))</f>
        <v>0</v>
      </c>
      <c r="AG323" s="27" t="n">
        <f aca="false">MIN(K322*(1+K$8),MAX(W323,$B$11-SUM(X323:AF323)))</f>
        <v>0</v>
      </c>
      <c r="AI323" s="27" t="n">
        <f aca="false">ROUND(MAX(0,AI322*(1+B$8)-BE323),2)</f>
        <v>0</v>
      </c>
      <c r="AJ323" s="27" t="n">
        <f aca="false">ROUND(MAX(0,AJ322*(1+C$8)-BF323),2)</f>
        <v>0</v>
      </c>
      <c r="AK323" s="27" t="n">
        <f aca="false">ROUND(MAX(0,AK322*(1+D$8)-BG323),2)</f>
        <v>0</v>
      </c>
      <c r="AL323" s="27" t="n">
        <f aca="false">ROUND(MAX(0,AL322*(1+E$8)-BH323),2)</f>
        <v>0</v>
      </c>
      <c r="AM323" s="27" t="n">
        <f aca="false">ROUND(MAX(0,AM322*(1+F$8)-BI323),2)</f>
        <v>0</v>
      </c>
      <c r="AN323" s="27" t="n">
        <f aca="false">ROUND(MAX(0,AN322*(1+G$8)-BJ323),2)</f>
        <v>0</v>
      </c>
      <c r="AO323" s="27" t="n">
        <f aca="false">ROUND(MAX(0,AO322*(1+H$8)-BK323),2)</f>
        <v>0</v>
      </c>
      <c r="AP323" s="27" t="n">
        <f aca="false">ROUND(MAX(0,AP322*(1+I$8)-BL323),2)</f>
        <v>0</v>
      </c>
      <c r="AQ323" s="27" t="n">
        <f aca="false">ROUND(MAX(0,AQ322*(1+J$8)-BM323),2)</f>
        <v>0</v>
      </c>
      <c r="AR323" s="27" t="n">
        <f aca="false">ROUND(MAX(0,AR322*(1+K$8)-BN323),2)</f>
        <v>0</v>
      </c>
      <c r="AS323" s="27" t="n">
        <f aca="false">SUM(AI323:AR323)</f>
        <v>0</v>
      </c>
      <c r="AT323" s="27" t="n">
        <f aca="false">SUMPRODUCT(AI322:AR322,$B$8:$K$8)</f>
        <v>0</v>
      </c>
      <c r="AU323" s="27" t="n">
        <f aca="false">MIN(AI322*(1+B$8),B$9)</f>
        <v>0</v>
      </c>
      <c r="AV323" s="27" t="n">
        <f aca="false">MIN(AJ322*(1+C$8),C$9)</f>
        <v>0</v>
      </c>
      <c r="AW323" s="27" t="n">
        <f aca="false">MIN(AK322*(1+D$8),D$9)</f>
        <v>0</v>
      </c>
      <c r="AX323" s="27" t="n">
        <f aca="false">MIN(AL322*(1+E$8),E$9)</f>
        <v>0</v>
      </c>
      <c r="AY323" s="27" t="n">
        <f aca="false">MIN(AM322*(1+F$8),F$9)</f>
        <v>0</v>
      </c>
      <c r="AZ323" s="27" t="n">
        <f aca="false">MIN(AN322*(1+G$8),G$9)</f>
        <v>0</v>
      </c>
      <c r="BA323" s="27" t="n">
        <f aca="false">MIN(AO322*(1+H$8),H$9)</f>
        <v>0</v>
      </c>
      <c r="BB323" s="27" t="n">
        <f aca="false">MIN(AP322*(1+I$8),I$9)</f>
        <v>0</v>
      </c>
      <c r="BC323" s="27" t="n">
        <f aca="false">MIN(AQ322*(1+J$8),J$9)</f>
        <v>0</v>
      </c>
      <c r="BD323" s="27" t="n">
        <f aca="false">MIN(AR322*(1+K$8),K$9)</f>
        <v>0</v>
      </c>
      <c r="BE323" s="27" t="n">
        <f aca="false">MIN(AI322*(1+B$8),MAX(AU323,$B$12-SUM(AV323:BD323)))</f>
        <v>0</v>
      </c>
      <c r="BF323" s="27" t="n">
        <f aca="false">MIN(AJ322*(1+C$8),MAX(AV323,$B$12-SUM(BE323:BE323)-SUM(AW323:BD323)))</f>
        <v>0</v>
      </c>
      <c r="BG323" s="27" t="n">
        <f aca="false">MIN(AK322*(1+D$8),MAX(AW323,$B$12-SUM(BE323:BF323)-SUM(AX323:BD323)))</f>
        <v>0</v>
      </c>
      <c r="BH323" s="27" t="n">
        <f aca="false">MIN(AL322*(1+E$8),MAX(AX323,$B$12-SUM(BE323:BG323)-SUM(AY323:BD323)))</f>
        <v>0</v>
      </c>
      <c r="BI323" s="27" t="n">
        <f aca="false">MIN(AM322*(1+F$8),MAX(AY323,$B$12-SUM(BE323:BH323)-SUM(AZ323:BD323)))</f>
        <v>0</v>
      </c>
      <c r="BJ323" s="27" t="n">
        <f aca="false">MIN(AN322*(1+G$8),MAX(AZ323,$B$12-SUM(BE323:BI323)-SUM(BA323:BD323)))</f>
        <v>0</v>
      </c>
      <c r="BK323" s="27" t="n">
        <f aca="false">MIN(AO322*(1+H$8),MAX(BA323,$B$12-SUM(BE323:BJ323)-SUM(BB323:BD323)))</f>
        <v>0</v>
      </c>
      <c r="BL323" s="27" t="n">
        <f aca="false">MIN(AP322*(1+I$8),MAX(BB323,$B$12-SUM(BE323:BK323)-SUM(BC323:BD323)))</f>
        <v>0</v>
      </c>
      <c r="BM323" s="27" t="n">
        <f aca="false">MIN(AQ322*(1+J$8),MAX(BC323,$B$12-SUM(BE323:BL323)-SUM(BD323:BD323)))</f>
        <v>0</v>
      </c>
      <c r="BN323" s="27" t="n">
        <f aca="false">MIN(AR322*(1+K$8),MAX(BD323,$B$12-SUM(BE323:BM323)))</f>
        <v>0</v>
      </c>
    </row>
    <row r="324" customFormat="false" ht="15" hidden="false" customHeight="false" outlineLevel="0" collapsed="false">
      <c r="A324" s="0" t="n">
        <v>310</v>
      </c>
      <c r="B324" s="27" t="n">
        <f aca="false">ROUND(MAX(0,B323*(1+B$8)-X324),2)</f>
        <v>0</v>
      </c>
      <c r="C324" s="27" t="n">
        <f aca="false">ROUND(MAX(0,C323*(1+C$8)-Y324),2)</f>
        <v>0</v>
      </c>
      <c r="D324" s="27" t="n">
        <f aca="false">ROUND(MAX(0,D323*(1+D$8)-Z324),2)</f>
        <v>0</v>
      </c>
      <c r="E324" s="27" t="n">
        <f aca="false">ROUND(MAX(0,E323*(1+E$8)-AA324),2)</f>
        <v>0</v>
      </c>
      <c r="F324" s="27" t="n">
        <f aca="false">ROUND(MAX(0,F323*(1+F$8)-AB324),2)</f>
        <v>0</v>
      </c>
      <c r="G324" s="27" t="n">
        <f aca="false">ROUND(MAX(0,G323*(1+G$8)-AC324),2)</f>
        <v>0</v>
      </c>
      <c r="H324" s="27" t="n">
        <f aca="false">ROUND(MAX(0,H323*(1+H$8)-AD324),2)</f>
        <v>0</v>
      </c>
      <c r="I324" s="27" t="n">
        <f aca="false">ROUND(MAX(0,I323*(1+I$8)-AE324),2)</f>
        <v>0</v>
      </c>
      <c r="J324" s="27" t="n">
        <f aca="false">ROUND(MAX(0,J323*(1+J$8)-AF324),2)</f>
        <v>0</v>
      </c>
      <c r="K324" s="27" t="n">
        <f aca="false">ROUND(MAX(0,K323*(1+K$8)-AG324),2)</f>
        <v>0</v>
      </c>
      <c r="L324" s="30" t="n">
        <f aca="false">SUM(B324:K324)</f>
        <v>0</v>
      </c>
      <c r="M324" s="27" t="n">
        <f aca="false">SUMPRODUCT(B323:K323,$B$8:$K$8)</f>
        <v>0</v>
      </c>
      <c r="N324" s="27" t="n">
        <f aca="false">MIN(B323*(1+B$8),B$9)</f>
        <v>0</v>
      </c>
      <c r="O324" s="27" t="n">
        <f aca="false">MIN(C323*(1+C$8),C$9)</f>
        <v>0</v>
      </c>
      <c r="P324" s="27" t="n">
        <f aca="false">MIN(D323*(1+D$8),D$9)</f>
        <v>0</v>
      </c>
      <c r="Q324" s="27" t="n">
        <f aca="false">MIN(E323*(1+E$8),E$9)</f>
        <v>0</v>
      </c>
      <c r="R324" s="27" t="n">
        <f aca="false">MIN(F323*(1+F$8),F$9)</f>
        <v>0</v>
      </c>
      <c r="S324" s="27" t="n">
        <f aca="false">MIN(G323*(1+G$8),G$9)</f>
        <v>0</v>
      </c>
      <c r="T324" s="27" t="n">
        <f aca="false">MIN(H323*(1+H$8),H$9)</f>
        <v>0</v>
      </c>
      <c r="U324" s="27" t="n">
        <f aca="false">MIN(I323*(1+I$8),I$9)</f>
        <v>0</v>
      </c>
      <c r="V324" s="27" t="n">
        <f aca="false">MIN(J323*(1+J$8),J$9)</f>
        <v>0</v>
      </c>
      <c r="W324" s="27" t="n">
        <f aca="false">MIN(K323*(1+K$8),K$9)</f>
        <v>0</v>
      </c>
      <c r="X324" s="27" t="n">
        <f aca="false">MIN(B323*(1+B$8),MAX(N324,$B$11-SUM(O324:W324)))</f>
        <v>0</v>
      </c>
      <c r="Y324" s="27" t="n">
        <f aca="false">MIN(C323*(1+C$8),MAX(O324,$B$11-SUM(X324:X324)-SUM(P324:W324)))</f>
        <v>0</v>
      </c>
      <c r="Z324" s="27" t="n">
        <f aca="false">MIN(D323*(1+D$8),MAX(P324,$B$11-SUM(X324:Y324)-SUM(Q324:W324)))</f>
        <v>0</v>
      </c>
      <c r="AA324" s="27" t="n">
        <f aca="false">MIN(E323*(1+E$8),MAX(Q324,$B$11-SUM(X324:Z324)-SUM(R324:W324)))</f>
        <v>0</v>
      </c>
      <c r="AB324" s="27" t="n">
        <f aca="false">MIN(F323*(1+F$8),MAX(R324,$B$11-SUM(X324:AA324)-SUM(S324:W324)))</f>
        <v>0</v>
      </c>
      <c r="AC324" s="27" t="n">
        <f aca="false">MIN(G323*(1+G$8),MAX(S324,$B$11-SUM(X324:AB324)-SUM(T324:W324)))</f>
        <v>0</v>
      </c>
      <c r="AD324" s="27" t="n">
        <f aca="false">MIN(H323*(1+H$8),MAX(T324,$B$11-SUM(X324:AC324)-SUM(U324:W324)))</f>
        <v>0</v>
      </c>
      <c r="AE324" s="27" t="n">
        <f aca="false">MIN(I323*(1+I$8),MAX(U324,$B$11-SUM(X324:AD324)-SUM(V324:W324)))</f>
        <v>0</v>
      </c>
      <c r="AF324" s="27" t="n">
        <f aca="false">MIN(J323*(1+J$8),MAX(V324,$B$11-SUM(X324:AE324)-SUM(W324:W324)))</f>
        <v>0</v>
      </c>
      <c r="AG324" s="27" t="n">
        <f aca="false">MIN(K323*(1+K$8),MAX(W324,$B$11-SUM(X324:AF324)))</f>
        <v>0</v>
      </c>
      <c r="AI324" s="27" t="n">
        <f aca="false">ROUND(MAX(0,AI323*(1+B$8)-BE324),2)</f>
        <v>0</v>
      </c>
      <c r="AJ324" s="27" t="n">
        <f aca="false">ROUND(MAX(0,AJ323*(1+C$8)-BF324),2)</f>
        <v>0</v>
      </c>
      <c r="AK324" s="27" t="n">
        <f aca="false">ROUND(MAX(0,AK323*(1+D$8)-BG324),2)</f>
        <v>0</v>
      </c>
      <c r="AL324" s="27" t="n">
        <f aca="false">ROUND(MAX(0,AL323*(1+E$8)-BH324),2)</f>
        <v>0</v>
      </c>
      <c r="AM324" s="27" t="n">
        <f aca="false">ROUND(MAX(0,AM323*(1+F$8)-BI324),2)</f>
        <v>0</v>
      </c>
      <c r="AN324" s="27" t="n">
        <f aca="false">ROUND(MAX(0,AN323*(1+G$8)-BJ324),2)</f>
        <v>0</v>
      </c>
      <c r="AO324" s="27" t="n">
        <f aca="false">ROUND(MAX(0,AO323*(1+H$8)-BK324),2)</f>
        <v>0</v>
      </c>
      <c r="AP324" s="27" t="n">
        <f aca="false">ROUND(MAX(0,AP323*(1+I$8)-BL324),2)</f>
        <v>0</v>
      </c>
      <c r="AQ324" s="27" t="n">
        <f aca="false">ROUND(MAX(0,AQ323*(1+J$8)-BM324),2)</f>
        <v>0</v>
      </c>
      <c r="AR324" s="27" t="n">
        <f aca="false">ROUND(MAX(0,AR323*(1+K$8)-BN324),2)</f>
        <v>0</v>
      </c>
      <c r="AS324" s="27" t="n">
        <f aca="false">SUM(AI324:AR324)</f>
        <v>0</v>
      </c>
      <c r="AT324" s="27" t="n">
        <f aca="false">SUMPRODUCT(AI323:AR323,$B$8:$K$8)</f>
        <v>0</v>
      </c>
      <c r="AU324" s="27" t="n">
        <f aca="false">MIN(AI323*(1+B$8),B$9)</f>
        <v>0</v>
      </c>
      <c r="AV324" s="27" t="n">
        <f aca="false">MIN(AJ323*(1+C$8),C$9)</f>
        <v>0</v>
      </c>
      <c r="AW324" s="27" t="n">
        <f aca="false">MIN(AK323*(1+D$8),D$9)</f>
        <v>0</v>
      </c>
      <c r="AX324" s="27" t="n">
        <f aca="false">MIN(AL323*(1+E$8),E$9)</f>
        <v>0</v>
      </c>
      <c r="AY324" s="27" t="n">
        <f aca="false">MIN(AM323*(1+F$8),F$9)</f>
        <v>0</v>
      </c>
      <c r="AZ324" s="27" t="n">
        <f aca="false">MIN(AN323*(1+G$8),G$9)</f>
        <v>0</v>
      </c>
      <c r="BA324" s="27" t="n">
        <f aca="false">MIN(AO323*(1+H$8),H$9)</f>
        <v>0</v>
      </c>
      <c r="BB324" s="27" t="n">
        <f aca="false">MIN(AP323*(1+I$8),I$9)</f>
        <v>0</v>
      </c>
      <c r="BC324" s="27" t="n">
        <f aca="false">MIN(AQ323*(1+J$8),J$9)</f>
        <v>0</v>
      </c>
      <c r="BD324" s="27" t="n">
        <f aca="false">MIN(AR323*(1+K$8),K$9)</f>
        <v>0</v>
      </c>
      <c r="BE324" s="27" t="n">
        <f aca="false">MIN(AI323*(1+B$8),MAX(AU324,$B$12-SUM(AV324:BD324)))</f>
        <v>0</v>
      </c>
      <c r="BF324" s="27" t="n">
        <f aca="false">MIN(AJ323*(1+C$8),MAX(AV324,$B$12-SUM(BE324:BE324)-SUM(AW324:BD324)))</f>
        <v>0</v>
      </c>
      <c r="BG324" s="27" t="n">
        <f aca="false">MIN(AK323*(1+D$8),MAX(AW324,$B$12-SUM(BE324:BF324)-SUM(AX324:BD324)))</f>
        <v>0</v>
      </c>
      <c r="BH324" s="27" t="n">
        <f aca="false">MIN(AL323*(1+E$8),MAX(AX324,$B$12-SUM(BE324:BG324)-SUM(AY324:BD324)))</f>
        <v>0</v>
      </c>
      <c r="BI324" s="27" t="n">
        <f aca="false">MIN(AM323*(1+F$8),MAX(AY324,$B$12-SUM(BE324:BH324)-SUM(AZ324:BD324)))</f>
        <v>0</v>
      </c>
      <c r="BJ324" s="27" t="n">
        <f aca="false">MIN(AN323*(1+G$8),MAX(AZ324,$B$12-SUM(BE324:BI324)-SUM(BA324:BD324)))</f>
        <v>0</v>
      </c>
      <c r="BK324" s="27" t="n">
        <f aca="false">MIN(AO323*(1+H$8),MAX(BA324,$B$12-SUM(BE324:BJ324)-SUM(BB324:BD324)))</f>
        <v>0</v>
      </c>
      <c r="BL324" s="27" t="n">
        <f aca="false">MIN(AP323*(1+I$8),MAX(BB324,$B$12-SUM(BE324:BK324)-SUM(BC324:BD324)))</f>
        <v>0</v>
      </c>
      <c r="BM324" s="27" t="n">
        <f aca="false">MIN(AQ323*(1+J$8),MAX(BC324,$B$12-SUM(BE324:BL324)-SUM(BD324:BD324)))</f>
        <v>0</v>
      </c>
      <c r="BN324" s="27" t="n">
        <f aca="false">MIN(AR323*(1+K$8),MAX(BD324,$B$12-SUM(BE324:BM324)))</f>
        <v>0</v>
      </c>
    </row>
    <row r="325" customFormat="false" ht="15" hidden="false" customHeight="false" outlineLevel="0" collapsed="false">
      <c r="A325" s="0" t="n">
        <v>311</v>
      </c>
      <c r="B325" s="27" t="n">
        <f aca="false">ROUND(MAX(0,B324*(1+B$8)-X325),2)</f>
        <v>0</v>
      </c>
      <c r="C325" s="27" t="n">
        <f aca="false">ROUND(MAX(0,C324*(1+C$8)-Y325),2)</f>
        <v>0</v>
      </c>
      <c r="D325" s="27" t="n">
        <f aca="false">ROUND(MAX(0,D324*(1+D$8)-Z325),2)</f>
        <v>0</v>
      </c>
      <c r="E325" s="27" t="n">
        <f aca="false">ROUND(MAX(0,E324*(1+E$8)-AA325),2)</f>
        <v>0</v>
      </c>
      <c r="F325" s="27" t="n">
        <f aca="false">ROUND(MAX(0,F324*(1+F$8)-AB325),2)</f>
        <v>0</v>
      </c>
      <c r="G325" s="27" t="n">
        <f aca="false">ROUND(MAX(0,G324*(1+G$8)-AC325),2)</f>
        <v>0</v>
      </c>
      <c r="H325" s="27" t="n">
        <f aca="false">ROUND(MAX(0,H324*(1+H$8)-AD325),2)</f>
        <v>0</v>
      </c>
      <c r="I325" s="27" t="n">
        <f aca="false">ROUND(MAX(0,I324*(1+I$8)-AE325),2)</f>
        <v>0</v>
      </c>
      <c r="J325" s="27" t="n">
        <f aca="false">ROUND(MAX(0,J324*(1+J$8)-AF325),2)</f>
        <v>0</v>
      </c>
      <c r="K325" s="27" t="n">
        <f aca="false">ROUND(MAX(0,K324*(1+K$8)-AG325),2)</f>
        <v>0</v>
      </c>
      <c r="L325" s="30" t="n">
        <f aca="false">SUM(B325:K325)</f>
        <v>0</v>
      </c>
      <c r="M325" s="27" t="n">
        <f aca="false">SUMPRODUCT(B324:K324,$B$8:$K$8)</f>
        <v>0</v>
      </c>
      <c r="N325" s="27" t="n">
        <f aca="false">MIN(B324*(1+B$8),B$9)</f>
        <v>0</v>
      </c>
      <c r="O325" s="27" t="n">
        <f aca="false">MIN(C324*(1+C$8),C$9)</f>
        <v>0</v>
      </c>
      <c r="P325" s="27" t="n">
        <f aca="false">MIN(D324*(1+D$8),D$9)</f>
        <v>0</v>
      </c>
      <c r="Q325" s="27" t="n">
        <f aca="false">MIN(E324*(1+E$8),E$9)</f>
        <v>0</v>
      </c>
      <c r="R325" s="27" t="n">
        <f aca="false">MIN(F324*(1+F$8),F$9)</f>
        <v>0</v>
      </c>
      <c r="S325" s="27" t="n">
        <f aca="false">MIN(G324*(1+G$8),G$9)</f>
        <v>0</v>
      </c>
      <c r="T325" s="27" t="n">
        <f aca="false">MIN(H324*(1+H$8),H$9)</f>
        <v>0</v>
      </c>
      <c r="U325" s="27" t="n">
        <f aca="false">MIN(I324*(1+I$8),I$9)</f>
        <v>0</v>
      </c>
      <c r="V325" s="27" t="n">
        <f aca="false">MIN(J324*(1+J$8),J$9)</f>
        <v>0</v>
      </c>
      <c r="W325" s="27" t="n">
        <f aca="false">MIN(K324*(1+K$8),K$9)</f>
        <v>0</v>
      </c>
      <c r="X325" s="27" t="n">
        <f aca="false">MIN(B324*(1+B$8),MAX(N325,$B$11-SUM(O325:W325)))</f>
        <v>0</v>
      </c>
      <c r="Y325" s="27" t="n">
        <f aca="false">MIN(C324*(1+C$8),MAX(O325,$B$11-SUM(X325:X325)-SUM(P325:W325)))</f>
        <v>0</v>
      </c>
      <c r="Z325" s="27" t="n">
        <f aca="false">MIN(D324*(1+D$8),MAX(P325,$B$11-SUM(X325:Y325)-SUM(Q325:W325)))</f>
        <v>0</v>
      </c>
      <c r="AA325" s="27" t="n">
        <f aca="false">MIN(E324*(1+E$8),MAX(Q325,$B$11-SUM(X325:Z325)-SUM(R325:W325)))</f>
        <v>0</v>
      </c>
      <c r="AB325" s="27" t="n">
        <f aca="false">MIN(F324*(1+F$8),MAX(R325,$B$11-SUM(X325:AA325)-SUM(S325:W325)))</f>
        <v>0</v>
      </c>
      <c r="AC325" s="27" t="n">
        <f aca="false">MIN(G324*(1+G$8),MAX(S325,$B$11-SUM(X325:AB325)-SUM(T325:W325)))</f>
        <v>0</v>
      </c>
      <c r="AD325" s="27" t="n">
        <f aca="false">MIN(H324*(1+H$8),MAX(T325,$B$11-SUM(X325:AC325)-SUM(U325:W325)))</f>
        <v>0</v>
      </c>
      <c r="AE325" s="27" t="n">
        <f aca="false">MIN(I324*(1+I$8),MAX(U325,$B$11-SUM(X325:AD325)-SUM(V325:W325)))</f>
        <v>0</v>
      </c>
      <c r="AF325" s="27" t="n">
        <f aca="false">MIN(J324*(1+J$8),MAX(V325,$B$11-SUM(X325:AE325)-SUM(W325:W325)))</f>
        <v>0</v>
      </c>
      <c r="AG325" s="27" t="n">
        <f aca="false">MIN(K324*(1+K$8),MAX(W325,$B$11-SUM(X325:AF325)))</f>
        <v>0</v>
      </c>
      <c r="AI325" s="27" t="n">
        <f aca="false">ROUND(MAX(0,AI324*(1+B$8)-BE325),2)</f>
        <v>0</v>
      </c>
      <c r="AJ325" s="27" t="n">
        <f aca="false">ROUND(MAX(0,AJ324*(1+C$8)-BF325),2)</f>
        <v>0</v>
      </c>
      <c r="AK325" s="27" t="n">
        <f aca="false">ROUND(MAX(0,AK324*(1+D$8)-BG325),2)</f>
        <v>0</v>
      </c>
      <c r="AL325" s="27" t="n">
        <f aca="false">ROUND(MAX(0,AL324*(1+E$8)-BH325),2)</f>
        <v>0</v>
      </c>
      <c r="AM325" s="27" t="n">
        <f aca="false">ROUND(MAX(0,AM324*(1+F$8)-BI325),2)</f>
        <v>0</v>
      </c>
      <c r="AN325" s="27" t="n">
        <f aca="false">ROUND(MAX(0,AN324*(1+G$8)-BJ325),2)</f>
        <v>0</v>
      </c>
      <c r="AO325" s="27" t="n">
        <f aca="false">ROUND(MAX(0,AO324*(1+H$8)-BK325),2)</f>
        <v>0</v>
      </c>
      <c r="AP325" s="27" t="n">
        <f aca="false">ROUND(MAX(0,AP324*(1+I$8)-BL325),2)</f>
        <v>0</v>
      </c>
      <c r="AQ325" s="27" t="n">
        <f aca="false">ROUND(MAX(0,AQ324*(1+J$8)-BM325),2)</f>
        <v>0</v>
      </c>
      <c r="AR325" s="27" t="n">
        <f aca="false">ROUND(MAX(0,AR324*(1+K$8)-BN325),2)</f>
        <v>0</v>
      </c>
      <c r="AS325" s="27" t="n">
        <f aca="false">SUM(AI325:AR325)</f>
        <v>0</v>
      </c>
      <c r="AT325" s="27" t="n">
        <f aca="false">SUMPRODUCT(AI324:AR324,$B$8:$K$8)</f>
        <v>0</v>
      </c>
      <c r="AU325" s="27" t="n">
        <f aca="false">MIN(AI324*(1+B$8),B$9)</f>
        <v>0</v>
      </c>
      <c r="AV325" s="27" t="n">
        <f aca="false">MIN(AJ324*(1+C$8),C$9)</f>
        <v>0</v>
      </c>
      <c r="AW325" s="27" t="n">
        <f aca="false">MIN(AK324*(1+D$8),D$9)</f>
        <v>0</v>
      </c>
      <c r="AX325" s="27" t="n">
        <f aca="false">MIN(AL324*(1+E$8),E$9)</f>
        <v>0</v>
      </c>
      <c r="AY325" s="27" t="n">
        <f aca="false">MIN(AM324*(1+F$8),F$9)</f>
        <v>0</v>
      </c>
      <c r="AZ325" s="27" t="n">
        <f aca="false">MIN(AN324*(1+G$8),G$9)</f>
        <v>0</v>
      </c>
      <c r="BA325" s="27" t="n">
        <f aca="false">MIN(AO324*(1+H$8),H$9)</f>
        <v>0</v>
      </c>
      <c r="BB325" s="27" t="n">
        <f aca="false">MIN(AP324*(1+I$8),I$9)</f>
        <v>0</v>
      </c>
      <c r="BC325" s="27" t="n">
        <f aca="false">MIN(AQ324*(1+J$8),J$9)</f>
        <v>0</v>
      </c>
      <c r="BD325" s="27" t="n">
        <f aca="false">MIN(AR324*(1+K$8),K$9)</f>
        <v>0</v>
      </c>
      <c r="BE325" s="27" t="n">
        <f aca="false">MIN(AI324*(1+B$8),MAX(AU325,$B$12-SUM(AV325:BD325)))</f>
        <v>0</v>
      </c>
      <c r="BF325" s="27" t="n">
        <f aca="false">MIN(AJ324*(1+C$8),MAX(AV325,$B$12-SUM(BE325:BE325)-SUM(AW325:BD325)))</f>
        <v>0</v>
      </c>
      <c r="BG325" s="27" t="n">
        <f aca="false">MIN(AK324*(1+D$8),MAX(AW325,$B$12-SUM(BE325:BF325)-SUM(AX325:BD325)))</f>
        <v>0</v>
      </c>
      <c r="BH325" s="27" t="n">
        <f aca="false">MIN(AL324*(1+E$8),MAX(AX325,$B$12-SUM(BE325:BG325)-SUM(AY325:BD325)))</f>
        <v>0</v>
      </c>
      <c r="BI325" s="27" t="n">
        <f aca="false">MIN(AM324*(1+F$8),MAX(AY325,$B$12-SUM(BE325:BH325)-SUM(AZ325:BD325)))</f>
        <v>0</v>
      </c>
      <c r="BJ325" s="27" t="n">
        <f aca="false">MIN(AN324*(1+G$8),MAX(AZ325,$B$12-SUM(BE325:BI325)-SUM(BA325:BD325)))</f>
        <v>0</v>
      </c>
      <c r="BK325" s="27" t="n">
        <f aca="false">MIN(AO324*(1+H$8),MAX(BA325,$B$12-SUM(BE325:BJ325)-SUM(BB325:BD325)))</f>
        <v>0</v>
      </c>
      <c r="BL325" s="27" t="n">
        <f aca="false">MIN(AP324*(1+I$8),MAX(BB325,$B$12-SUM(BE325:BK325)-SUM(BC325:BD325)))</f>
        <v>0</v>
      </c>
      <c r="BM325" s="27" t="n">
        <f aca="false">MIN(AQ324*(1+J$8),MAX(BC325,$B$12-SUM(BE325:BL325)-SUM(BD325:BD325)))</f>
        <v>0</v>
      </c>
      <c r="BN325" s="27" t="n">
        <f aca="false">MIN(AR324*(1+K$8),MAX(BD325,$B$12-SUM(BE325:BM325)))</f>
        <v>0</v>
      </c>
    </row>
    <row r="326" customFormat="false" ht="15" hidden="false" customHeight="false" outlineLevel="0" collapsed="false">
      <c r="A326" s="0" t="n">
        <v>312</v>
      </c>
      <c r="B326" s="27" t="n">
        <f aca="false">ROUND(MAX(0,B325*(1+B$8)-X326),2)</f>
        <v>0</v>
      </c>
      <c r="C326" s="27" t="n">
        <f aca="false">ROUND(MAX(0,C325*(1+C$8)-Y326),2)</f>
        <v>0</v>
      </c>
      <c r="D326" s="27" t="n">
        <f aca="false">ROUND(MAX(0,D325*(1+D$8)-Z326),2)</f>
        <v>0</v>
      </c>
      <c r="E326" s="27" t="n">
        <f aca="false">ROUND(MAX(0,E325*(1+E$8)-AA326),2)</f>
        <v>0</v>
      </c>
      <c r="F326" s="27" t="n">
        <f aca="false">ROUND(MAX(0,F325*(1+F$8)-AB326),2)</f>
        <v>0</v>
      </c>
      <c r="G326" s="27" t="n">
        <f aca="false">ROUND(MAX(0,G325*(1+G$8)-AC326),2)</f>
        <v>0</v>
      </c>
      <c r="H326" s="27" t="n">
        <f aca="false">ROUND(MAX(0,H325*(1+H$8)-AD326),2)</f>
        <v>0</v>
      </c>
      <c r="I326" s="27" t="n">
        <f aca="false">ROUND(MAX(0,I325*(1+I$8)-AE326),2)</f>
        <v>0</v>
      </c>
      <c r="J326" s="27" t="n">
        <f aca="false">ROUND(MAX(0,J325*(1+J$8)-AF326),2)</f>
        <v>0</v>
      </c>
      <c r="K326" s="27" t="n">
        <f aca="false">ROUND(MAX(0,K325*(1+K$8)-AG326),2)</f>
        <v>0</v>
      </c>
      <c r="L326" s="30" t="n">
        <f aca="false">SUM(B326:K326)</f>
        <v>0</v>
      </c>
      <c r="M326" s="27" t="n">
        <f aca="false">SUMPRODUCT(B325:K325,$B$8:$K$8)</f>
        <v>0</v>
      </c>
      <c r="N326" s="27" t="n">
        <f aca="false">MIN(B325*(1+B$8),B$9)</f>
        <v>0</v>
      </c>
      <c r="O326" s="27" t="n">
        <f aca="false">MIN(C325*(1+C$8),C$9)</f>
        <v>0</v>
      </c>
      <c r="P326" s="27" t="n">
        <f aca="false">MIN(D325*(1+D$8),D$9)</f>
        <v>0</v>
      </c>
      <c r="Q326" s="27" t="n">
        <f aca="false">MIN(E325*(1+E$8),E$9)</f>
        <v>0</v>
      </c>
      <c r="R326" s="27" t="n">
        <f aca="false">MIN(F325*(1+F$8),F$9)</f>
        <v>0</v>
      </c>
      <c r="S326" s="27" t="n">
        <f aca="false">MIN(G325*(1+G$8),G$9)</f>
        <v>0</v>
      </c>
      <c r="T326" s="27" t="n">
        <f aca="false">MIN(H325*(1+H$8),H$9)</f>
        <v>0</v>
      </c>
      <c r="U326" s="27" t="n">
        <f aca="false">MIN(I325*(1+I$8),I$9)</f>
        <v>0</v>
      </c>
      <c r="V326" s="27" t="n">
        <f aca="false">MIN(J325*(1+J$8),J$9)</f>
        <v>0</v>
      </c>
      <c r="W326" s="27" t="n">
        <f aca="false">MIN(K325*(1+K$8),K$9)</f>
        <v>0</v>
      </c>
      <c r="X326" s="27" t="n">
        <f aca="false">MIN(B325*(1+B$8),MAX(N326,$B$11-SUM(O326:W326)))</f>
        <v>0</v>
      </c>
      <c r="Y326" s="27" t="n">
        <f aca="false">MIN(C325*(1+C$8),MAX(O326,$B$11-SUM(X326:X326)-SUM(P326:W326)))</f>
        <v>0</v>
      </c>
      <c r="Z326" s="27" t="n">
        <f aca="false">MIN(D325*(1+D$8),MAX(P326,$B$11-SUM(X326:Y326)-SUM(Q326:W326)))</f>
        <v>0</v>
      </c>
      <c r="AA326" s="27" t="n">
        <f aca="false">MIN(E325*(1+E$8),MAX(Q326,$B$11-SUM(X326:Z326)-SUM(R326:W326)))</f>
        <v>0</v>
      </c>
      <c r="AB326" s="27" t="n">
        <f aca="false">MIN(F325*(1+F$8),MAX(R326,$B$11-SUM(X326:AA326)-SUM(S326:W326)))</f>
        <v>0</v>
      </c>
      <c r="AC326" s="27" t="n">
        <f aca="false">MIN(G325*(1+G$8),MAX(S326,$B$11-SUM(X326:AB326)-SUM(T326:W326)))</f>
        <v>0</v>
      </c>
      <c r="AD326" s="27" t="n">
        <f aca="false">MIN(H325*(1+H$8),MAX(T326,$B$11-SUM(X326:AC326)-SUM(U326:W326)))</f>
        <v>0</v>
      </c>
      <c r="AE326" s="27" t="n">
        <f aca="false">MIN(I325*(1+I$8),MAX(U326,$B$11-SUM(X326:AD326)-SUM(V326:W326)))</f>
        <v>0</v>
      </c>
      <c r="AF326" s="27" t="n">
        <f aca="false">MIN(J325*(1+J$8),MAX(V326,$B$11-SUM(X326:AE326)-SUM(W326:W326)))</f>
        <v>0</v>
      </c>
      <c r="AG326" s="27" t="n">
        <f aca="false">MIN(K325*(1+K$8),MAX(W326,$B$11-SUM(X326:AF326)))</f>
        <v>0</v>
      </c>
      <c r="AI326" s="27" t="n">
        <f aca="false">ROUND(MAX(0,AI325*(1+B$8)-BE326),2)</f>
        <v>0</v>
      </c>
      <c r="AJ326" s="27" t="n">
        <f aca="false">ROUND(MAX(0,AJ325*(1+C$8)-BF326),2)</f>
        <v>0</v>
      </c>
      <c r="AK326" s="27" t="n">
        <f aca="false">ROUND(MAX(0,AK325*(1+D$8)-BG326),2)</f>
        <v>0</v>
      </c>
      <c r="AL326" s="27" t="n">
        <f aca="false">ROUND(MAX(0,AL325*(1+E$8)-BH326),2)</f>
        <v>0</v>
      </c>
      <c r="AM326" s="27" t="n">
        <f aca="false">ROUND(MAX(0,AM325*(1+F$8)-BI326),2)</f>
        <v>0</v>
      </c>
      <c r="AN326" s="27" t="n">
        <f aca="false">ROUND(MAX(0,AN325*(1+G$8)-BJ326),2)</f>
        <v>0</v>
      </c>
      <c r="AO326" s="27" t="n">
        <f aca="false">ROUND(MAX(0,AO325*(1+H$8)-BK326),2)</f>
        <v>0</v>
      </c>
      <c r="AP326" s="27" t="n">
        <f aca="false">ROUND(MAX(0,AP325*(1+I$8)-BL326),2)</f>
        <v>0</v>
      </c>
      <c r="AQ326" s="27" t="n">
        <f aca="false">ROUND(MAX(0,AQ325*(1+J$8)-BM326),2)</f>
        <v>0</v>
      </c>
      <c r="AR326" s="27" t="n">
        <f aca="false">ROUND(MAX(0,AR325*(1+K$8)-BN326),2)</f>
        <v>0</v>
      </c>
      <c r="AS326" s="27" t="n">
        <f aca="false">SUM(AI326:AR326)</f>
        <v>0</v>
      </c>
      <c r="AT326" s="27" t="n">
        <f aca="false">SUMPRODUCT(AI325:AR325,$B$8:$K$8)</f>
        <v>0</v>
      </c>
      <c r="AU326" s="27" t="n">
        <f aca="false">MIN(AI325*(1+B$8),B$9)</f>
        <v>0</v>
      </c>
      <c r="AV326" s="27" t="n">
        <f aca="false">MIN(AJ325*(1+C$8),C$9)</f>
        <v>0</v>
      </c>
      <c r="AW326" s="27" t="n">
        <f aca="false">MIN(AK325*(1+D$8),D$9)</f>
        <v>0</v>
      </c>
      <c r="AX326" s="27" t="n">
        <f aca="false">MIN(AL325*(1+E$8),E$9)</f>
        <v>0</v>
      </c>
      <c r="AY326" s="27" t="n">
        <f aca="false">MIN(AM325*(1+F$8),F$9)</f>
        <v>0</v>
      </c>
      <c r="AZ326" s="27" t="n">
        <f aca="false">MIN(AN325*(1+G$8),G$9)</f>
        <v>0</v>
      </c>
      <c r="BA326" s="27" t="n">
        <f aca="false">MIN(AO325*(1+H$8),H$9)</f>
        <v>0</v>
      </c>
      <c r="BB326" s="27" t="n">
        <f aca="false">MIN(AP325*(1+I$8),I$9)</f>
        <v>0</v>
      </c>
      <c r="BC326" s="27" t="n">
        <f aca="false">MIN(AQ325*(1+J$8),J$9)</f>
        <v>0</v>
      </c>
      <c r="BD326" s="27" t="n">
        <f aca="false">MIN(AR325*(1+K$8),K$9)</f>
        <v>0</v>
      </c>
      <c r="BE326" s="27" t="n">
        <f aca="false">MIN(AI325*(1+B$8),MAX(AU326,$B$12-SUM(AV326:BD326)))</f>
        <v>0</v>
      </c>
      <c r="BF326" s="27" t="n">
        <f aca="false">MIN(AJ325*(1+C$8),MAX(AV326,$B$12-SUM(BE326:BE326)-SUM(AW326:BD326)))</f>
        <v>0</v>
      </c>
      <c r="BG326" s="27" t="n">
        <f aca="false">MIN(AK325*(1+D$8),MAX(AW326,$B$12-SUM(BE326:BF326)-SUM(AX326:BD326)))</f>
        <v>0</v>
      </c>
      <c r="BH326" s="27" t="n">
        <f aca="false">MIN(AL325*(1+E$8),MAX(AX326,$B$12-SUM(BE326:BG326)-SUM(AY326:BD326)))</f>
        <v>0</v>
      </c>
      <c r="BI326" s="27" t="n">
        <f aca="false">MIN(AM325*(1+F$8),MAX(AY326,$B$12-SUM(BE326:BH326)-SUM(AZ326:BD326)))</f>
        <v>0</v>
      </c>
      <c r="BJ326" s="27" t="n">
        <f aca="false">MIN(AN325*(1+G$8),MAX(AZ326,$B$12-SUM(BE326:BI326)-SUM(BA326:BD326)))</f>
        <v>0</v>
      </c>
      <c r="BK326" s="27" t="n">
        <f aca="false">MIN(AO325*(1+H$8),MAX(BA326,$B$12-SUM(BE326:BJ326)-SUM(BB326:BD326)))</f>
        <v>0</v>
      </c>
      <c r="BL326" s="27" t="n">
        <f aca="false">MIN(AP325*(1+I$8),MAX(BB326,$B$12-SUM(BE326:BK326)-SUM(BC326:BD326)))</f>
        <v>0</v>
      </c>
      <c r="BM326" s="27" t="n">
        <f aca="false">MIN(AQ325*(1+J$8),MAX(BC326,$B$12-SUM(BE326:BL326)-SUM(BD326:BD326)))</f>
        <v>0</v>
      </c>
      <c r="BN326" s="27" t="n">
        <f aca="false">MIN(AR325*(1+K$8),MAX(BD326,$B$12-SUM(BE326:BM326)))</f>
        <v>0</v>
      </c>
    </row>
    <row r="327" customFormat="false" ht="15" hidden="false" customHeight="false" outlineLevel="0" collapsed="false">
      <c r="A327" s="0" t="n">
        <v>313</v>
      </c>
      <c r="B327" s="27" t="n">
        <f aca="false">ROUND(MAX(0,B326*(1+B$8)-X327),2)</f>
        <v>0</v>
      </c>
      <c r="C327" s="27" t="n">
        <f aca="false">ROUND(MAX(0,C326*(1+C$8)-Y327),2)</f>
        <v>0</v>
      </c>
      <c r="D327" s="27" t="n">
        <f aca="false">ROUND(MAX(0,D326*(1+D$8)-Z327),2)</f>
        <v>0</v>
      </c>
      <c r="E327" s="27" t="n">
        <f aca="false">ROUND(MAX(0,E326*(1+E$8)-AA327),2)</f>
        <v>0</v>
      </c>
      <c r="F327" s="27" t="n">
        <f aca="false">ROUND(MAX(0,F326*(1+F$8)-AB327),2)</f>
        <v>0</v>
      </c>
      <c r="G327" s="27" t="n">
        <f aca="false">ROUND(MAX(0,G326*(1+G$8)-AC327),2)</f>
        <v>0</v>
      </c>
      <c r="H327" s="27" t="n">
        <f aca="false">ROUND(MAX(0,H326*(1+H$8)-AD327),2)</f>
        <v>0</v>
      </c>
      <c r="I327" s="27" t="n">
        <f aca="false">ROUND(MAX(0,I326*(1+I$8)-AE327),2)</f>
        <v>0</v>
      </c>
      <c r="J327" s="27" t="n">
        <f aca="false">ROUND(MAX(0,J326*(1+J$8)-AF327),2)</f>
        <v>0</v>
      </c>
      <c r="K327" s="27" t="n">
        <f aca="false">ROUND(MAX(0,K326*(1+K$8)-AG327),2)</f>
        <v>0</v>
      </c>
      <c r="L327" s="30" t="n">
        <f aca="false">SUM(B327:K327)</f>
        <v>0</v>
      </c>
      <c r="M327" s="27" t="n">
        <f aca="false">SUMPRODUCT(B326:K326,$B$8:$K$8)</f>
        <v>0</v>
      </c>
      <c r="N327" s="27" t="n">
        <f aca="false">MIN(B326*(1+B$8),B$9)</f>
        <v>0</v>
      </c>
      <c r="O327" s="27" t="n">
        <f aca="false">MIN(C326*(1+C$8),C$9)</f>
        <v>0</v>
      </c>
      <c r="P327" s="27" t="n">
        <f aca="false">MIN(D326*(1+D$8),D$9)</f>
        <v>0</v>
      </c>
      <c r="Q327" s="27" t="n">
        <f aca="false">MIN(E326*(1+E$8),E$9)</f>
        <v>0</v>
      </c>
      <c r="R327" s="27" t="n">
        <f aca="false">MIN(F326*(1+F$8),F$9)</f>
        <v>0</v>
      </c>
      <c r="S327" s="27" t="n">
        <f aca="false">MIN(G326*(1+G$8),G$9)</f>
        <v>0</v>
      </c>
      <c r="T327" s="27" t="n">
        <f aca="false">MIN(H326*(1+H$8),H$9)</f>
        <v>0</v>
      </c>
      <c r="U327" s="27" t="n">
        <f aca="false">MIN(I326*(1+I$8),I$9)</f>
        <v>0</v>
      </c>
      <c r="V327" s="27" t="n">
        <f aca="false">MIN(J326*(1+J$8),J$9)</f>
        <v>0</v>
      </c>
      <c r="W327" s="27" t="n">
        <f aca="false">MIN(K326*(1+K$8),K$9)</f>
        <v>0</v>
      </c>
      <c r="X327" s="27" t="n">
        <f aca="false">MIN(B326*(1+B$8),MAX(N327,$B$11-SUM(O327:W327)))</f>
        <v>0</v>
      </c>
      <c r="Y327" s="27" t="n">
        <f aca="false">MIN(C326*(1+C$8),MAX(O327,$B$11-SUM(X327:X327)-SUM(P327:W327)))</f>
        <v>0</v>
      </c>
      <c r="Z327" s="27" t="n">
        <f aca="false">MIN(D326*(1+D$8),MAX(P327,$B$11-SUM(X327:Y327)-SUM(Q327:W327)))</f>
        <v>0</v>
      </c>
      <c r="AA327" s="27" t="n">
        <f aca="false">MIN(E326*(1+E$8),MAX(Q327,$B$11-SUM(X327:Z327)-SUM(R327:W327)))</f>
        <v>0</v>
      </c>
      <c r="AB327" s="27" t="n">
        <f aca="false">MIN(F326*(1+F$8),MAX(R327,$B$11-SUM(X327:AA327)-SUM(S327:W327)))</f>
        <v>0</v>
      </c>
      <c r="AC327" s="27" t="n">
        <f aca="false">MIN(G326*(1+G$8),MAX(S327,$B$11-SUM(X327:AB327)-SUM(T327:W327)))</f>
        <v>0</v>
      </c>
      <c r="AD327" s="27" t="n">
        <f aca="false">MIN(H326*(1+H$8),MAX(T327,$B$11-SUM(X327:AC327)-SUM(U327:W327)))</f>
        <v>0</v>
      </c>
      <c r="AE327" s="27" t="n">
        <f aca="false">MIN(I326*(1+I$8),MAX(U327,$B$11-SUM(X327:AD327)-SUM(V327:W327)))</f>
        <v>0</v>
      </c>
      <c r="AF327" s="27" t="n">
        <f aca="false">MIN(J326*(1+J$8),MAX(V327,$B$11-SUM(X327:AE327)-SUM(W327:W327)))</f>
        <v>0</v>
      </c>
      <c r="AG327" s="27" t="n">
        <f aca="false">MIN(K326*(1+K$8),MAX(W327,$B$11-SUM(X327:AF327)))</f>
        <v>0</v>
      </c>
      <c r="AI327" s="27" t="n">
        <f aca="false">ROUND(MAX(0,AI326*(1+B$8)-BE327),2)</f>
        <v>0</v>
      </c>
      <c r="AJ327" s="27" t="n">
        <f aca="false">ROUND(MAX(0,AJ326*(1+C$8)-BF327),2)</f>
        <v>0</v>
      </c>
      <c r="AK327" s="27" t="n">
        <f aca="false">ROUND(MAX(0,AK326*(1+D$8)-BG327),2)</f>
        <v>0</v>
      </c>
      <c r="AL327" s="27" t="n">
        <f aca="false">ROUND(MAX(0,AL326*(1+E$8)-BH327),2)</f>
        <v>0</v>
      </c>
      <c r="AM327" s="27" t="n">
        <f aca="false">ROUND(MAX(0,AM326*(1+F$8)-BI327),2)</f>
        <v>0</v>
      </c>
      <c r="AN327" s="27" t="n">
        <f aca="false">ROUND(MAX(0,AN326*(1+G$8)-BJ327),2)</f>
        <v>0</v>
      </c>
      <c r="AO327" s="27" t="n">
        <f aca="false">ROUND(MAX(0,AO326*(1+H$8)-BK327),2)</f>
        <v>0</v>
      </c>
      <c r="AP327" s="27" t="n">
        <f aca="false">ROUND(MAX(0,AP326*(1+I$8)-BL327),2)</f>
        <v>0</v>
      </c>
      <c r="AQ327" s="27" t="n">
        <f aca="false">ROUND(MAX(0,AQ326*(1+J$8)-BM327),2)</f>
        <v>0</v>
      </c>
      <c r="AR327" s="27" t="n">
        <f aca="false">ROUND(MAX(0,AR326*(1+K$8)-BN327),2)</f>
        <v>0</v>
      </c>
      <c r="AS327" s="27" t="n">
        <f aca="false">SUM(AI327:AR327)</f>
        <v>0</v>
      </c>
      <c r="AT327" s="27" t="n">
        <f aca="false">SUMPRODUCT(AI326:AR326,$B$8:$K$8)</f>
        <v>0</v>
      </c>
      <c r="AU327" s="27" t="n">
        <f aca="false">MIN(AI326*(1+B$8),B$9)</f>
        <v>0</v>
      </c>
      <c r="AV327" s="27" t="n">
        <f aca="false">MIN(AJ326*(1+C$8),C$9)</f>
        <v>0</v>
      </c>
      <c r="AW327" s="27" t="n">
        <f aca="false">MIN(AK326*(1+D$8),D$9)</f>
        <v>0</v>
      </c>
      <c r="AX327" s="27" t="n">
        <f aca="false">MIN(AL326*(1+E$8),E$9)</f>
        <v>0</v>
      </c>
      <c r="AY327" s="27" t="n">
        <f aca="false">MIN(AM326*(1+F$8),F$9)</f>
        <v>0</v>
      </c>
      <c r="AZ327" s="27" t="n">
        <f aca="false">MIN(AN326*(1+G$8),G$9)</f>
        <v>0</v>
      </c>
      <c r="BA327" s="27" t="n">
        <f aca="false">MIN(AO326*(1+H$8),H$9)</f>
        <v>0</v>
      </c>
      <c r="BB327" s="27" t="n">
        <f aca="false">MIN(AP326*(1+I$8),I$9)</f>
        <v>0</v>
      </c>
      <c r="BC327" s="27" t="n">
        <f aca="false">MIN(AQ326*(1+J$8),J$9)</f>
        <v>0</v>
      </c>
      <c r="BD327" s="27" t="n">
        <f aca="false">MIN(AR326*(1+K$8),K$9)</f>
        <v>0</v>
      </c>
      <c r="BE327" s="27" t="n">
        <f aca="false">MIN(AI326*(1+B$8),MAX(AU327,$B$12-SUM(AV327:BD327)))</f>
        <v>0</v>
      </c>
      <c r="BF327" s="27" t="n">
        <f aca="false">MIN(AJ326*(1+C$8),MAX(AV327,$B$12-SUM(BE327:BE327)-SUM(AW327:BD327)))</f>
        <v>0</v>
      </c>
      <c r="BG327" s="27" t="n">
        <f aca="false">MIN(AK326*(1+D$8),MAX(AW327,$B$12-SUM(BE327:BF327)-SUM(AX327:BD327)))</f>
        <v>0</v>
      </c>
      <c r="BH327" s="27" t="n">
        <f aca="false">MIN(AL326*(1+E$8),MAX(AX327,$B$12-SUM(BE327:BG327)-SUM(AY327:BD327)))</f>
        <v>0</v>
      </c>
      <c r="BI327" s="27" t="n">
        <f aca="false">MIN(AM326*(1+F$8),MAX(AY327,$B$12-SUM(BE327:BH327)-SUM(AZ327:BD327)))</f>
        <v>0</v>
      </c>
      <c r="BJ327" s="27" t="n">
        <f aca="false">MIN(AN326*(1+G$8),MAX(AZ327,$B$12-SUM(BE327:BI327)-SUM(BA327:BD327)))</f>
        <v>0</v>
      </c>
      <c r="BK327" s="27" t="n">
        <f aca="false">MIN(AO326*(1+H$8),MAX(BA327,$B$12-SUM(BE327:BJ327)-SUM(BB327:BD327)))</f>
        <v>0</v>
      </c>
      <c r="BL327" s="27" t="n">
        <f aca="false">MIN(AP326*(1+I$8),MAX(BB327,$B$12-SUM(BE327:BK327)-SUM(BC327:BD327)))</f>
        <v>0</v>
      </c>
      <c r="BM327" s="27" t="n">
        <f aca="false">MIN(AQ326*(1+J$8),MAX(BC327,$B$12-SUM(BE327:BL327)-SUM(BD327:BD327)))</f>
        <v>0</v>
      </c>
      <c r="BN327" s="27" t="n">
        <f aca="false">MIN(AR326*(1+K$8),MAX(BD327,$B$12-SUM(BE327:BM327)))</f>
        <v>0</v>
      </c>
    </row>
    <row r="328" customFormat="false" ht="15" hidden="false" customHeight="false" outlineLevel="0" collapsed="false">
      <c r="A328" s="0" t="n">
        <v>314</v>
      </c>
      <c r="B328" s="27" t="n">
        <f aca="false">ROUND(MAX(0,B327*(1+B$8)-X328),2)</f>
        <v>0</v>
      </c>
      <c r="C328" s="27" t="n">
        <f aca="false">ROUND(MAX(0,C327*(1+C$8)-Y328),2)</f>
        <v>0</v>
      </c>
      <c r="D328" s="27" t="n">
        <f aca="false">ROUND(MAX(0,D327*(1+D$8)-Z328),2)</f>
        <v>0</v>
      </c>
      <c r="E328" s="27" t="n">
        <f aca="false">ROUND(MAX(0,E327*(1+E$8)-AA328),2)</f>
        <v>0</v>
      </c>
      <c r="F328" s="27" t="n">
        <f aca="false">ROUND(MAX(0,F327*(1+F$8)-AB328),2)</f>
        <v>0</v>
      </c>
      <c r="G328" s="27" t="n">
        <f aca="false">ROUND(MAX(0,G327*(1+G$8)-AC328),2)</f>
        <v>0</v>
      </c>
      <c r="H328" s="27" t="n">
        <f aca="false">ROUND(MAX(0,H327*(1+H$8)-AD328),2)</f>
        <v>0</v>
      </c>
      <c r="I328" s="27" t="n">
        <f aca="false">ROUND(MAX(0,I327*(1+I$8)-AE328),2)</f>
        <v>0</v>
      </c>
      <c r="J328" s="27" t="n">
        <f aca="false">ROUND(MAX(0,J327*(1+J$8)-AF328),2)</f>
        <v>0</v>
      </c>
      <c r="K328" s="27" t="n">
        <f aca="false">ROUND(MAX(0,K327*(1+K$8)-AG328),2)</f>
        <v>0</v>
      </c>
      <c r="L328" s="30" t="n">
        <f aca="false">SUM(B328:K328)</f>
        <v>0</v>
      </c>
      <c r="M328" s="27" t="n">
        <f aca="false">SUMPRODUCT(B327:K327,$B$8:$K$8)</f>
        <v>0</v>
      </c>
      <c r="N328" s="27" t="n">
        <f aca="false">MIN(B327*(1+B$8),B$9)</f>
        <v>0</v>
      </c>
      <c r="O328" s="27" t="n">
        <f aca="false">MIN(C327*(1+C$8),C$9)</f>
        <v>0</v>
      </c>
      <c r="P328" s="27" t="n">
        <f aca="false">MIN(D327*(1+D$8),D$9)</f>
        <v>0</v>
      </c>
      <c r="Q328" s="27" t="n">
        <f aca="false">MIN(E327*(1+E$8),E$9)</f>
        <v>0</v>
      </c>
      <c r="R328" s="27" t="n">
        <f aca="false">MIN(F327*(1+F$8),F$9)</f>
        <v>0</v>
      </c>
      <c r="S328" s="27" t="n">
        <f aca="false">MIN(G327*(1+G$8),G$9)</f>
        <v>0</v>
      </c>
      <c r="T328" s="27" t="n">
        <f aca="false">MIN(H327*(1+H$8),H$9)</f>
        <v>0</v>
      </c>
      <c r="U328" s="27" t="n">
        <f aca="false">MIN(I327*(1+I$8),I$9)</f>
        <v>0</v>
      </c>
      <c r="V328" s="27" t="n">
        <f aca="false">MIN(J327*(1+J$8),J$9)</f>
        <v>0</v>
      </c>
      <c r="W328" s="27" t="n">
        <f aca="false">MIN(K327*(1+K$8),K$9)</f>
        <v>0</v>
      </c>
      <c r="X328" s="27" t="n">
        <f aca="false">MIN(B327*(1+B$8),MAX(N328,$B$11-SUM(O328:W328)))</f>
        <v>0</v>
      </c>
      <c r="Y328" s="27" t="n">
        <f aca="false">MIN(C327*(1+C$8),MAX(O328,$B$11-SUM(X328:X328)-SUM(P328:W328)))</f>
        <v>0</v>
      </c>
      <c r="Z328" s="27" t="n">
        <f aca="false">MIN(D327*(1+D$8),MAX(P328,$B$11-SUM(X328:Y328)-SUM(Q328:W328)))</f>
        <v>0</v>
      </c>
      <c r="AA328" s="27" t="n">
        <f aca="false">MIN(E327*(1+E$8),MAX(Q328,$B$11-SUM(X328:Z328)-SUM(R328:W328)))</f>
        <v>0</v>
      </c>
      <c r="AB328" s="27" t="n">
        <f aca="false">MIN(F327*(1+F$8),MAX(R328,$B$11-SUM(X328:AA328)-SUM(S328:W328)))</f>
        <v>0</v>
      </c>
      <c r="AC328" s="27" t="n">
        <f aca="false">MIN(G327*(1+G$8),MAX(S328,$B$11-SUM(X328:AB328)-SUM(T328:W328)))</f>
        <v>0</v>
      </c>
      <c r="AD328" s="27" t="n">
        <f aca="false">MIN(H327*(1+H$8),MAX(T328,$B$11-SUM(X328:AC328)-SUM(U328:W328)))</f>
        <v>0</v>
      </c>
      <c r="AE328" s="27" t="n">
        <f aca="false">MIN(I327*(1+I$8),MAX(U328,$B$11-SUM(X328:AD328)-SUM(V328:W328)))</f>
        <v>0</v>
      </c>
      <c r="AF328" s="27" t="n">
        <f aca="false">MIN(J327*(1+J$8),MAX(V328,$B$11-SUM(X328:AE328)-SUM(W328:W328)))</f>
        <v>0</v>
      </c>
      <c r="AG328" s="27" t="n">
        <f aca="false">MIN(K327*(1+K$8),MAX(W328,$B$11-SUM(X328:AF328)))</f>
        <v>0</v>
      </c>
      <c r="AI328" s="27" t="n">
        <f aca="false">ROUND(MAX(0,AI327*(1+B$8)-BE328),2)</f>
        <v>0</v>
      </c>
      <c r="AJ328" s="27" t="n">
        <f aca="false">ROUND(MAX(0,AJ327*(1+C$8)-BF328),2)</f>
        <v>0</v>
      </c>
      <c r="AK328" s="27" t="n">
        <f aca="false">ROUND(MAX(0,AK327*(1+D$8)-BG328),2)</f>
        <v>0</v>
      </c>
      <c r="AL328" s="27" t="n">
        <f aca="false">ROUND(MAX(0,AL327*(1+E$8)-BH328),2)</f>
        <v>0</v>
      </c>
      <c r="AM328" s="27" t="n">
        <f aca="false">ROUND(MAX(0,AM327*(1+F$8)-BI328),2)</f>
        <v>0</v>
      </c>
      <c r="AN328" s="27" t="n">
        <f aca="false">ROUND(MAX(0,AN327*(1+G$8)-BJ328),2)</f>
        <v>0</v>
      </c>
      <c r="AO328" s="27" t="n">
        <f aca="false">ROUND(MAX(0,AO327*(1+H$8)-BK328),2)</f>
        <v>0</v>
      </c>
      <c r="AP328" s="27" t="n">
        <f aca="false">ROUND(MAX(0,AP327*(1+I$8)-BL328),2)</f>
        <v>0</v>
      </c>
      <c r="AQ328" s="27" t="n">
        <f aca="false">ROUND(MAX(0,AQ327*(1+J$8)-BM328),2)</f>
        <v>0</v>
      </c>
      <c r="AR328" s="27" t="n">
        <f aca="false">ROUND(MAX(0,AR327*(1+K$8)-BN328),2)</f>
        <v>0</v>
      </c>
      <c r="AS328" s="27" t="n">
        <f aca="false">SUM(AI328:AR328)</f>
        <v>0</v>
      </c>
      <c r="AT328" s="27" t="n">
        <f aca="false">SUMPRODUCT(AI327:AR327,$B$8:$K$8)</f>
        <v>0</v>
      </c>
      <c r="AU328" s="27" t="n">
        <f aca="false">MIN(AI327*(1+B$8),B$9)</f>
        <v>0</v>
      </c>
      <c r="AV328" s="27" t="n">
        <f aca="false">MIN(AJ327*(1+C$8),C$9)</f>
        <v>0</v>
      </c>
      <c r="AW328" s="27" t="n">
        <f aca="false">MIN(AK327*(1+D$8),D$9)</f>
        <v>0</v>
      </c>
      <c r="AX328" s="27" t="n">
        <f aca="false">MIN(AL327*(1+E$8),E$9)</f>
        <v>0</v>
      </c>
      <c r="AY328" s="27" t="n">
        <f aca="false">MIN(AM327*(1+F$8),F$9)</f>
        <v>0</v>
      </c>
      <c r="AZ328" s="27" t="n">
        <f aca="false">MIN(AN327*(1+G$8),G$9)</f>
        <v>0</v>
      </c>
      <c r="BA328" s="27" t="n">
        <f aca="false">MIN(AO327*(1+H$8),H$9)</f>
        <v>0</v>
      </c>
      <c r="BB328" s="27" t="n">
        <f aca="false">MIN(AP327*(1+I$8),I$9)</f>
        <v>0</v>
      </c>
      <c r="BC328" s="27" t="n">
        <f aca="false">MIN(AQ327*(1+J$8),J$9)</f>
        <v>0</v>
      </c>
      <c r="BD328" s="27" t="n">
        <f aca="false">MIN(AR327*(1+K$8),K$9)</f>
        <v>0</v>
      </c>
      <c r="BE328" s="27" t="n">
        <f aca="false">MIN(AI327*(1+B$8),MAX(AU328,$B$12-SUM(AV328:BD328)))</f>
        <v>0</v>
      </c>
      <c r="BF328" s="27" t="n">
        <f aca="false">MIN(AJ327*(1+C$8),MAX(AV328,$B$12-SUM(BE328:BE328)-SUM(AW328:BD328)))</f>
        <v>0</v>
      </c>
      <c r="BG328" s="27" t="n">
        <f aca="false">MIN(AK327*(1+D$8),MAX(AW328,$B$12-SUM(BE328:BF328)-SUM(AX328:BD328)))</f>
        <v>0</v>
      </c>
      <c r="BH328" s="27" t="n">
        <f aca="false">MIN(AL327*(1+E$8),MAX(AX328,$B$12-SUM(BE328:BG328)-SUM(AY328:BD328)))</f>
        <v>0</v>
      </c>
      <c r="BI328" s="27" t="n">
        <f aca="false">MIN(AM327*(1+F$8),MAX(AY328,$B$12-SUM(BE328:BH328)-SUM(AZ328:BD328)))</f>
        <v>0</v>
      </c>
      <c r="BJ328" s="27" t="n">
        <f aca="false">MIN(AN327*(1+G$8),MAX(AZ328,$B$12-SUM(BE328:BI328)-SUM(BA328:BD328)))</f>
        <v>0</v>
      </c>
      <c r="BK328" s="27" t="n">
        <f aca="false">MIN(AO327*(1+H$8),MAX(BA328,$B$12-SUM(BE328:BJ328)-SUM(BB328:BD328)))</f>
        <v>0</v>
      </c>
      <c r="BL328" s="27" t="n">
        <f aca="false">MIN(AP327*(1+I$8),MAX(BB328,$B$12-SUM(BE328:BK328)-SUM(BC328:BD328)))</f>
        <v>0</v>
      </c>
      <c r="BM328" s="27" t="n">
        <f aca="false">MIN(AQ327*(1+J$8),MAX(BC328,$B$12-SUM(BE328:BL328)-SUM(BD328:BD328)))</f>
        <v>0</v>
      </c>
      <c r="BN328" s="27" t="n">
        <f aca="false">MIN(AR327*(1+K$8),MAX(BD328,$B$12-SUM(BE328:BM328)))</f>
        <v>0</v>
      </c>
    </row>
    <row r="329" customFormat="false" ht="15" hidden="false" customHeight="false" outlineLevel="0" collapsed="false">
      <c r="A329" s="0" t="n">
        <v>315</v>
      </c>
      <c r="B329" s="27" t="n">
        <f aca="false">ROUND(MAX(0,B328*(1+B$8)-X329),2)</f>
        <v>0</v>
      </c>
      <c r="C329" s="27" t="n">
        <f aca="false">ROUND(MAX(0,C328*(1+C$8)-Y329),2)</f>
        <v>0</v>
      </c>
      <c r="D329" s="27" t="n">
        <f aca="false">ROUND(MAX(0,D328*(1+D$8)-Z329),2)</f>
        <v>0</v>
      </c>
      <c r="E329" s="27" t="n">
        <f aca="false">ROUND(MAX(0,E328*(1+E$8)-AA329),2)</f>
        <v>0</v>
      </c>
      <c r="F329" s="27" t="n">
        <f aca="false">ROUND(MAX(0,F328*(1+F$8)-AB329),2)</f>
        <v>0</v>
      </c>
      <c r="G329" s="27" t="n">
        <f aca="false">ROUND(MAX(0,G328*(1+G$8)-AC329),2)</f>
        <v>0</v>
      </c>
      <c r="H329" s="27" t="n">
        <f aca="false">ROUND(MAX(0,H328*(1+H$8)-AD329),2)</f>
        <v>0</v>
      </c>
      <c r="I329" s="27" t="n">
        <f aca="false">ROUND(MAX(0,I328*(1+I$8)-AE329),2)</f>
        <v>0</v>
      </c>
      <c r="J329" s="27" t="n">
        <f aca="false">ROUND(MAX(0,J328*(1+J$8)-AF329),2)</f>
        <v>0</v>
      </c>
      <c r="K329" s="27" t="n">
        <f aca="false">ROUND(MAX(0,K328*(1+K$8)-AG329),2)</f>
        <v>0</v>
      </c>
      <c r="L329" s="30" t="n">
        <f aca="false">SUM(B329:K329)</f>
        <v>0</v>
      </c>
      <c r="M329" s="27" t="n">
        <f aca="false">SUMPRODUCT(B328:K328,$B$8:$K$8)</f>
        <v>0</v>
      </c>
      <c r="N329" s="27" t="n">
        <f aca="false">MIN(B328*(1+B$8),B$9)</f>
        <v>0</v>
      </c>
      <c r="O329" s="27" t="n">
        <f aca="false">MIN(C328*(1+C$8),C$9)</f>
        <v>0</v>
      </c>
      <c r="P329" s="27" t="n">
        <f aca="false">MIN(D328*(1+D$8),D$9)</f>
        <v>0</v>
      </c>
      <c r="Q329" s="27" t="n">
        <f aca="false">MIN(E328*(1+E$8),E$9)</f>
        <v>0</v>
      </c>
      <c r="R329" s="27" t="n">
        <f aca="false">MIN(F328*(1+F$8),F$9)</f>
        <v>0</v>
      </c>
      <c r="S329" s="27" t="n">
        <f aca="false">MIN(G328*(1+G$8),G$9)</f>
        <v>0</v>
      </c>
      <c r="T329" s="27" t="n">
        <f aca="false">MIN(H328*(1+H$8),H$9)</f>
        <v>0</v>
      </c>
      <c r="U329" s="27" t="n">
        <f aca="false">MIN(I328*(1+I$8),I$9)</f>
        <v>0</v>
      </c>
      <c r="V329" s="27" t="n">
        <f aca="false">MIN(J328*(1+J$8),J$9)</f>
        <v>0</v>
      </c>
      <c r="W329" s="27" t="n">
        <f aca="false">MIN(K328*(1+K$8),K$9)</f>
        <v>0</v>
      </c>
      <c r="X329" s="27" t="n">
        <f aca="false">MIN(B328*(1+B$8),MAX(N329,$B$11-SUM(O329:W329)))</f>
        <v>0</v>
      </c>
      <c r="Y329" s="27" t="n">
        <f aca="false">MIN(C328*(1+C$8),MAX(O329,$B$11-SUM(X329:X329)-SUM(P329:W329)))</f>
        <v>0</v>
      </c>
      <c r="Z329" s="27" t="n">
        <f aca="false">MIN(D328*(1+D$8),MAX(P329,$B$11-SUM(X329:Y329)-SUM(Q329:W329)))</f>
        <v>0</v>
      </c>
      <c r="AA329" s="27" t="n">
        <f aca="false">MIN(E328*(1+E$8),MAX(Q329,$B$11-SUM(X329:Z329)-SUM(R329:W329)))</f>
        <v>0</v>
      </c>
      <c r="AB329" s="27" t="n">
        <f aca="false">MIN(F328*(1+F$8),MAX(R329,$B$11-SUM(X329:AA329)-SUM(S329:W329)))</f>
        <v>0</v>
      </c>
      <c r="AC329" s="27" t="n">
        <f aca="false">MIN(G328*(1+G$8),MAX(S329,$B$11-SUM(X329:AB329)-SUM(T329:W329)))</f>
        <v>0</v>
      </c>
      <c r="AD329" s="27" t="n">
        <f aca="false">MIN(H328*(1+H$8),MAX(T329,$B$11-SUM(X329:AC329)-SUM(U329:W329)))</f>
        <v>0</v>
      </c>
      <c r="AE329" s="27" t="n">
        <f aca="false">MIN(I328*(1+I$8),MAX(U329,$B$11-SUM(X329:AD329)-SUM(V329:W329)))</f>
        <v>0</v>
      </c>
      <c r="AF329" s="27" t="n">
        <f aca="false">MIN(J328*(1+J$8),MAX(V329,$B$11-SUM(X329:AE329)-SUM(W329:W329)))</f>
        <v>0</v>
      </c>
      <c r="AG329" s="27" t="n">
        <f aca="false">MIN(K328*(1+K$8),MAX(W329,$B$11-SUM(X329:AF329)))</f>
        <v>0</v>
      </c>
      <c r="AI329" s="27" t="n">
        <f aca="false">ROUND(MAX(0,AI328*(1+B$8)-BE329),2)</f>
        <v>0</v>
      </c>
      <c r="AJ329" s="27" t="n">
        <f aca="false">ROUND(MAX(0,AJ328*(1+C$8)-BF329),2)</f>
        <v>0</v>
      </c>
      <c r="AK329" s="27" t="n">
        <f aca="false">ROUND(MAX(0,AK328*(1+D$8)-BG329),2)</f>
        <v>0</v>
      </c>
      <c r="AL329" s="27" t="n">
        <f aca="false">ROUND(MAX(0,AL328*(1+E$8)-BH329),2)</f>
        <v>0</v>
      </c>
      <c r="AM329" s="27" t="n">
        <f aca="false">ROUND(MAX(0,AM328*(1+F$8)-BI329),2)</f>
        <v>0</v>
      </c>
      <c r="AN329" s="27" t="n">
        <f aca="false">ROUND(MAX(0,AN328*(1+G$8)-BJ329),2)</f>
        <v>0</v>
      </c>
      <c r="AO329" s="27" t="n">
        <f aca="false">ROUND(MAX(0,AO328*(1+H$8)-BK329),2)</f>
        <v>0</v>
      </c>
      <c r="AP329" s="27" t="n">
        <f aca="false">ROUND(MAX(0,AP328*(1+I$8)-BL329),2)</f>
        <v>0</v>
      </c>
      <c r="AQ329" s="27" t="n">
        <f aca="false">ROUND(MAX(0,AQ328*(1+J$8)-BM329),2)</f>
        <v>0</v>
      </c>
      <c r="AR329" s="27" t="n">
        <f aca="false">ROUND(MAX(0,AR328*(1+K$8)-BN329),2)</f>
        <v>0</v>
      </c>
      <c r="AS329" s="27" t="n">
        <f aca="false">SUM(AI329:AR329)</f>
        <v>0</v>
      </c>
      <c r="AT329" s="27" t="n">
        <f aca="false">SUMPRODUCT(AI328:AR328,$B$8:$K$8)</f>
        <v>0</v>
      </c>
      <c r="AU329" s="27" t="n">
        <f aca="false">MIN(AI328*(1+B$8),B$9)</f>
        <v>0</v>
      </c>
      <c r="AV329" s="27" t="n">
        <f aca="false">MIN(AJ328*(1+C$8),C$9)</f>
        <v>0</v>
      </c>
      <c r="AW329" s="27" t="n">
        <f aca="false">MIN(AK328*(1+D$8),D$9)</f>
        <v>0</v>
      </c>
      <c r="AX329" s="27" t="n">
        <f aca="false">MIN(AL328*(1+E$8),E$9)</f>
        <v>0</v>
      </c>
      <c r="AY329" s="27" t="n">
        <f aca="false">MIN(AM328*(1+F$8),F$9)</f>
        <v>0</v>
      </c>
      <c r="AZ329" s="27" t="n">
        <f aca="false">MIN(AN328*(1+G$8),G$9)</f>
        <v>0</v>
      </c>
      <c r="BA329" s="27" t="n">
        <f aca="false">MIN(AO328*(1+H$8),H$9)</f>
        <v>0</v>
      </c>
      <c r="BB329" s="27" t="n">
        <f aca="false">MIN(AP328*(1+I$8),I$9)</f>
        <v>0</v>
      </c>
      <c r="BC329" s="27" t="n">
        <f aca="false">MIN(AQ328*(1+J$8),J$9)</f>
        <v>0</v>
      </c>
      <c r="BD329" s="27" t="n">
        <f aca="false">MIN(AR328*(1+K$8),K$9)</f>
        <v>0</v>
      </c>
      <c r="BE329" s="27" t="n">
        <f aca="false">MIN(AI328*(1+B$8),MAX(AU329,$B$12-SUM(AV329:BD329)))</f>
        <v>0</v>
      </c>
      <c r="BF329" s="27" t="n">
        <f aca="false">MIN(AJ328*(1+C$8),MAX(AV329,$B$12-SUM(BE329:BE329)-SUM(AW329:BD329)))</f>
        <v>0</v>
      </c>
      <c r="BG329" s="27" t="n">
        <f aca="false">MIN(AK328*(1+D$8),MAX(AW329,$B$12-SUM(BE329:BF329)-SUM(AX329:BD329)))</f>
        <v>0</v>
      </c>
      <c r="BH329" s="27" t="n">
        <f aca="false">MIN(AL328*(1+E$8),MAX(AX329,$B$12-SUM(BE329:BG329)-SUM(AY329:BD329)))</f>
        <v>0</v>
      </c>
      <c r="BI329" s="27" t="n">
        <f aca="false">MIN(AM328*(1+F$8),MAX(AY329,$B$12-SUM(BE329:BH329)-SUM(AZ329:BD329)))</f>
        <v>0</v>
      </c>
      <c r="BJ329" s="27" t="n">
        <f aca="false">MIN(AN328*(1+G$8),MAX(AZ329,$B$12-SUM(BE329:BI329)-SUM(BA329:BD329)))</f>
        <v>0</v>
      </c>
      <c r="BK329" s="27" t="n">
        <f aca="false">MIN(AO328*(1+H$8),MAX(BA329,$B$12-SUM(BE329:BJ329)-SUM(BB329:BD329)))</f>
        <v>0</v>
      </c>
      <c r="BL329" s="27" t="n">
        <f aca="false">MIN(AP328*(1+I$8),MAX(BB329,$B$12-SUM(BE329:BK329)-SUM(BC329:BD329)))</f>
        <v>0</v>
      </c>
      <c r="BM329" s="27" t="n">
        <f aca="false">MIN(AQ328*(1+J$8),MAX(BC329,$B$12-SUM(BE329:BL329)-SUM(BD329:BD329)))</f>
        <v>0</v>
      </c>
      <c r="BN329" s="27" t="n">
        <f aca="false">MIN(AR328*(1+K$8),MAX(BD329,$B$12-SUM(BE329:BM329)))</f>
        <v>0</v>
      </c>
    </row>
    <row r="330" customFormat="false" ht="15" hidden="false" customHeight="false" outlineLevel="0" collapsed="false">
      <c r="A330" s="0" t="n">
        <v>316</v>
      </c>
      <c r="B330" s="27" t="n">
        <f aca="false">ROUND(MAX(0,B329*(1+B$8)-X330),2)</f>
        <v>0</v>
      </c>
      <c r="C330" s="27" t="n">
        <f aca="false">ROUND(MAX(0,C329*(1+C$8)-Y330),2)</f>
        <v>0</v>
      </c>
      <c r="D330" s="27" t="n">
        <f aca="false">ROUND(MAX(0,D329*(1+D$8)-Z330),2)</f>
        <v>0</v>
      </c>
      <c r="E330" s="27" t="n">
        <f aca="false">ROUND(MAX(0,E329*(1+E$8)-AA330),2)</f>
        <v>0</v>
      </c>
      <c r="F330" s="27" t="n">
        <f aca="false">ROUND(MAX(0,F329*(1+F$8)-AB330),2)</f>
        <v>0</v>
      </c>
      <c r="G330" s="27" t="n">
        <f aca="false">ROUND(MAX(0,G329*(1+G$8)-AC330),2)</f>
        <v>0</v>
      </c>
      <c r="H330" s="27" t="n">
        <f aca="false">ROUND(MAX(0,H329*(1+H$8)-AD330),2)</f>
        <v>0</v>
      </c>
      <c r="I330" s="27" t="n">
        <f aca="false">ROUND(MAX(0,I329*(1+I$8)-AE330),2)</f>
        <v>0</v>
      </c>
      <c r="J330" s="27" t="n">
        <f aca="false">ROUND(MAX(0,J329*(1+J$8)-AF330),2)</f>
        <v>0</v>
      </c>
      <c r="K330" s="27" t="n">
        <f aca="false">ROUND(MAX(0,K329*(1+K$8)-AG330),2)</f>
        <v>0</v>
      </c>
      <c r="L330" s="30" t="n">
        <f aca="false">SUM(B330:K330)</f>
        <v>0</v>
      </c>
      <c r="M330" s="27" t="n">
        <f aca="false">SUMPRODUCT(B329:K329,$B$8:$K$8)</f>
        <v>0</v>
      </c>
      <c r="N330" s="27" t="n">
        <f aca="false">MIN(B329*(1+B$8),B$9)</f>
        <v>0</v>
      </c>
      <c r="O330" s="27" t="n">
        <f aca="false">MIN(C329*(1+C$8),C$9)</f>
        <v>0</v>
      </c>
      <c r="P330" s="27" t="n">
        <f aca="false">MIN(D329*(1+D$8),D$9)</f>
        <v>0</v>
      </c>
      <c r="Q330" s="27" t="n">
        <f aca="false">MIN(E329*(1+E$8),E$9)</f>
        <v>0</v>
      </c>
      <c r="R330" s="27" t="n">
        <f aca="false">MIN(F329*(1+F$8),F$9)</f>
        <v>0</v>
      </c>
      <c r="S330" s="27" t="n">
        <f aca="false">MIN(G329*(1+G$8),G$9)</f>
        <v>0</v>
      </c>
      <c r="T330" s="27" t="n">
        <f aca="false">MIN(H329*(1+H$8),H$9)</f>
        <v>0</v>
      </c>
      <c r="U330" s="27" t="n">
        <f aca="false">MIN(I329*(1+I$8),I$9)</f>
        <v>0</v>
      </c>
      <c r="V330" s="27" t="n">
        <f aca="false">MIN(J329*(1+J$8),J$9)</f>
        <v>0</v>
      </c>
      <c r="W330" s="27" t="n">
        <f aca="false">MIN(K329*(1+K$8),K$9)</f>
        <v>0</v>
      </c>
      <c r="X330" s="27" t="n">
        <f aca="false">MIN(B329*(1+B$8),MAX(N330,$B$11-SUM(O330:W330)))</f>
        <v>0</v>
      </c>
      <c r="Y330" s="27" t="n">
        <f aca="false">MIN(C329*(1+C$8),MAX(O330,$B$11-SUM(X330:X330)-SUM(P330:W330)))</f>
        <v>0</v>
      </c>
      <c r="Z330" s="27" t="n">
        <f aca="false">MIN(D329*(1+D$8),MAX(P330,$B$11-SUM(X330:Y330)-SUM(Q330:W330)))</f>
        <v>0</v>
      </c>
      <c r="AA330" s="27" t="n">
        <f aca="false">MIN(E329*(1+E$8),MAX(Q330,$B$11-SUM(X330:Z330)-SUM(R330:W330)))</f>
        <v>0</v>
      </c>
      <c r="AB330" s="27" t="n">
        <f aca="false">MIN(F329*(1+F$8),MAX(R330,$B$11-SUM(X330:AA330)-SUM(S330:W330)))</f>
        <v>0</v>
      </c>
      <c r="AC330" s="27" t="n">
        <f aca="false">MIN(G329*(1+G$8),MAX(S330,$B$11-SUM(X330:AB330)-SUM(T330:W330)))</f>
        <v>0</v>
      </c>
      <c r="AD330" s="27" t="n">
        <f aca="false">MIN(H329*(1+H$8),MAX(T330,$B$11-SUM(X330:AC330)-SUM(U330:W330)))</f>
        <v>0</v>
      </c>
      <c r="AE330" s="27" t="n">
        <f aca="false">MIN(I329*(1+I$8),MAX(U330,$B$11-SUM(X330:AD330)-SUM(V330:W330)))</f>
        <v>0</v>
      </c>
      <c r="AF330" s="27" t="n">
        <f aca="false">MIN(J329*(1+J$8),MAX(V330,$B$11-SUM(X330:AE330)-SUM(W330:W330)))</f>
        <v>0</v>
      </c>
      <c r="AG330" s="27" t="n">
        <f aca="false">MIN(K329*(1+K$8),MAX(W330,$B$11-SUM(X330:AF330)))</f>
        <v>0</v>
      </c>
      <c r="AI330" s="27" t="n">
        <f aca="false">ROUND(MAX(0,AI329*(1+B$8)-BE330),2)</f>
        <v>0</v>
      </c>
      <c r="AJ330" s="27" t="n">
        <f aca="false">ROUND(MAX(0,AJ329*(1+C$8)-BF330),2)</f>
        <v>0</v>
      </c>
      <c r="AK330" s="27" t="n">
        <f aca="false">ROUND(MAX(0,AK329*(1+D$8)-BG330),2)</f>
        <v>0</v>
      </c>
      <c r="AL330" s="27" t="n">
        <f aca="false">ROUND(MAX(0,AL329*(1+E$8)-BH330),2)</f>
        <v>0</v>
      </c>
      <c r="AM330" s="27" t="n">
        <f aca="false">ROUND(MAX(0,AM329*(1+F$8)-BI330),2)</f>
        <v>0</v>
      </c>
      <c r="AN330" s="27" t="n">
        <f aca="false">ROUND(MAX(0,AN329*(1+G$8)-BJ330),2)</f>
        <v>0</v>
      </c>
      <c r="AO330" s="27" t="n">
        <f aca="false">ROUND(MAX(0,AO329*(1+H$8)-BK330),2)</f>
        <v>0</v>
      </c>
      <c r="AP330" s="27" t="n">
        <f aca="false">ROUND(MAX(0,AP329*(1+I$8)-BL330),2)</f>
        <v>0</v>
      </c>
      <c r="AQ330" s="27" t="n">
        <f aca="false">ROUND(MAX(0,AQ329*(1+J$8)-BM330),2)</f>
        <v>0</v>
      </c>
      <c r="AR330" s="27" t="n">
        <f aca="false">ROUND(MAX(0,AR329*(1+K$8)-BN330),2)</f>
        <v>0</v>
      </c>
      <c r="AS330" s="27" t="n">
        <f aca="false">SUM(AI330:AR330)</f>
        <v>0</v>
      </c>
      <c r="AT330" s="27" t="n">
        <f aca="false">SUMPRODUCT(AI329:AR329,$B$8:$K$8)</f>
        <v>0</v>
      </c>
      <c r="AU330" s="27" t="n">
        <f aca="false">MIN(AI329*(1+B$8),B$9)</f>
        <v>0</v>
      </c>
      <c r="AV330" s="27" t="n">
        <f aca="false">MIN(AJ329*(1+C$8),C$9)</f>
        <v>0</v>
      </c>
      <c r="AW330" s="27" t="n">
        <f aca="false">MIN(AK329*(1+D$8),D$9)</f>
        <v>0</v>
      </c>
      <c r="AX330" s="27" t="n">
        <f aca="false">MIN(AL329*(1+E$8),E$9)</f>
        <v>0</v>
      </c>
      <c r="AY330" s="27" t="n">
        <f aca="false">MIN(AM329*(1+F$8),F$9)</f>
        <v>0</v>
      </c>
      <c r="AZ330" s="27" t="n">
        <f aca="false">MIN(AN329*(1+G$8),G$9)</f>
        <v>0</v>
      </c>
      <c r="BA330" s="27" t="n">
        <f aca="false">MIN(AO329*(1+H$8),H$9)</f>
        <v>0</v>
      </c>
      <c r="BB330" s="27" t="n">
        <f aca="false">MIN(AP329*(1+I$8),I$9)</f>
        <v>0</v>
      </c>
      <c r="BC330" s="27" t="n">
        <f aca="false">MIN(AQ329*(1+J$8),J$9)</f>
        <v>0</v>
      </c>
      <c r="BD330" s="27" t="n">
        <f aca="false">MIN(AR329*(1+K$8),K$9)</f>
        <v>0</v>
      </c>
      <c r="BE330" s="27" t="n">
        <f aca="false">MIN(AI329*(1+B$8),MAX(AU330,$B$12-SUM(AV330:BD330)))</f>
        <v>0</v>
      </c>
      <c r="BF330" s="27" t="n">
        <f aca="false">MIN(AJ329*(1+C$8),MAX(AV330,$B$12-SUM(BE330:BE330)-SUM(AW330:BD330)))</f>
        <v>0</v>
      </c>
      <c r="BG330" s="27" t="n">
        <f aca="false">MIN(AK329*(1+D$8),MAX(AW330,$B$12-SUM(BE330:BF330)-SUM(AX330:BD330)))</f>
        <v>0</v>
      </c>
      <c r="BH330" s="27" t="n">
        <f aca="false">MIN(AL329*(1+E$8),MAX(AX330,$B$12-SUM(BE330:BG330)-SUM(AY330:BD330)))</f>
        <v>0</v>
      </c>
      <c r="BI330" s="27" t="n">
        <f aca="false">MIN(AM329*(1+F$8),MAX(AY330,$B$12-SUM(BE330:BH330)-SUM(AZ330:BD330)))</f>
        <v>0</v>
      </c>
      <c r="BJ330" s="27" t="n">
        <f aca="false">MIN(AN329*(1+G$8),MAX(AZ330,$B$12-SUM(BE330:BI330)-SUM(BA330:BD330)))</f>
        <v>0</v>
      </c>
      <c r="BK330" s="27" t="n">
        <f aca="false">MIN(AO329*(1+H$8),MAX(BA330,$B$12-SUM(BE330:BJ330)-SUM(BB330:BD330)))</f>
        <v>0</v>
      </c>
      <c r="BL330" s="27" t="n">
        <f aca="false">MIN(AP329*(1+I$8),MAX(BB330,$B$12-SUM(BE330:BK330)-SUM(BC330:BD330)))</f>
        <v>0</v>
      </c>
      <c r="BM330" s="27" t="n">
        <f aca="false">MIN(AQ329*(1+J$8),MAX(BC330,$B$12-SUM(BE330:BL330)-SUM(BD330:BD330)))</f>
        <v>0</v>
      </c>
      <c r="BN330" s="27" t="n">
        <f aca="false">MIN(AR329*(1+K$8),MAX(BD330,$B$12-SUM(BE330:BM330)))</f>
        <v>0</v>
      </c>
    </row>
    <row r="331" customFormat="false" ht="15" hidden="false" customHeight="false" outlineLevel="0" collapsed="false">
      <c r="A331" s="0" t="n">
        <v>317</v>
      </c>
      <c r="B331" s="27" t="n">
        <f aca="false">ROUND(MAX(0,B330*(1+B$8)-X331),2)</f>
        <v>0</v>
      </c>
      <c r="C331" s="27" t="n">
        <f aca="false">ROUND(MAX(0,C330*(1+C$8)-Y331),2)</f>
        <v>0</v>
      </c>
      <c r="D331" s="27" t="n">
        <f aca="false">ROUND(MAX(0,D330*(1+D$8)-Z331),2)</f>
        <v>0</v>
      </c>
      <c r="E331" s="27" t="n">
        <f aca="false">ROUND(MAX(0,E330*(1+E$8)-AA331),2)</f>
        <v>0</v>
      </c>
      <c r="F331" s="27" t="n">
        <f aca="false">ROUND(MAX(0,F330*(1+F$8)-AB331),2)</f>
        <v>0</v>
      </c>
      <c r="G331" s="27" t="n">
        <f aca="false">ROUND(MAX(0,G330*(1+G$8)-AC331),2)</f>
        <v>0</v>
      </c>
      <c r="H331" s="27" t="n">
        <f aca="false">ROUND(MAX(0,H330*(1+H$8)-AD331),2)</f>
        <v>0</v>
      </c>
      <c r="I331" s="27" t="n">
        <f aca="false">ROUND(MAX(0,I330*(1+I$8)-AE331),2)</f>
        <v>0</v>
      </c>
      <c r="J331" s="27" t="n">
        <f aca="false">ROUND(MAX(0,J330*(1+J$8)-AF331),2)</f>
        <v>0</v>
      </c>
      <c r="K331" s="27" t="n">
        <f aca="false">ROUND(MAX(0,K330*(1+K$8)-AG331),2)</f>
        <v>0</v>
      </c>
      <c r="L331" s="30" t="n">
        <f aca="false">SUM(B331:K331)</f>
        <v>0</v>
      </c>
      <c r="M331" s="27" t="n">
        <f aca="false">SUMPRODUCT(B330:K330,$B$8:$K$8)</f>
        <v>0</v>
      </c>
      <c r="N331" s="27" t="n">
        <f aca="false">MIN(B330*(1+B$8),B$9)</f>
        <v>0</v>
      </c>
      <c r="O331" s="27" t="n">
        <f aca="false">MIN(C330*(1+C$8),C$9)</f>
        <v>0</v>
      </c>
      <c r="P331" s="27" t="n">
        <f aca="false">MIN(D330*(1+D$8),D$9)</f>
        <v>0</v>
      </c>
      <c r="Q331" s="27" t="n">
        <f aca="false">MIN(E330*(1+E$8),E$9)</f>
        <v>0</v>
      </c>
      <c r="R331" s="27" t="n">
        <f aca="false">MIN(F330*(1+F$8),F$9)</f>
        <v>0</v>
      </c>
      <c r="S331" s="27" t="n">
        <f aca="false">MIN(G330*(1+G$8),G$9)</f>
        <v>0</v>
      </c>
      <c r="T331" s="27" t="n">
        <f aca="false">MIN(H330*(1+H$8),H$9)</f>
        <v>0</v>
      </c>
      <c r="U331" s="27" t="n">
        <f aca="false">MIN(I330*(1+I$8),I$9)</f>
        <v>0</v>
      </c>
      <c r="V331" s="27" t="n">
        <f aca="false">MIN(J330*(1+J$8),J$9)</f>
        <v>0</v>
      </c>
      <c r="W331" s="27" t="n">
        <f aca="false">MIN(K330*(1+K$8),K$9)</f>
        <v>0</v>
      </c>
      <c r="X331" s="27" t="n">
        <f aca="false">MIN(B330*(1+B$8),MAX(N331,$B$11-SUM(O331:W331)))</f>
        <v>0</v>
      </c>
      <c r="Y331" s="27" t="n">
        <f aca="false">MIN(C330*(1+C$8),MAX(O331,$B$11-SUM(X331:X331)-SUM(P331:W331)))</f>
        <v>0</v>
      </c>
      <c r="Z331" s="27" t="n">
        <f aca="false">MIN(D330*(1+D$8),MAX(P331,$B$11-SUM(X331:Y331)-SUM(Q331:W331)))</f>
        <v>0</v>
      </c>
      <c r="AA331" s="27" t="n">
        <f aca="false">MIN(E330*(1+E$8),MAX(Q331,$B$11-SUM(X331:Z331)-SUM(R331:W331)))</f>
        <v>0</v>
      </c>
      <c r="AB331" s="27" t="n">
        <f aca="false">MIN(F330*(1+F$8),MAX(R331,$B$11-SUM(X331:AA331)-SUM(S331:W331)))</f>
        <v>0</v>
      </c>
      <c r="AC331" s="27" t="n">
        <f aca="false">MIN(G330*(1+G$8),MAX(S331,$B$11-SUM(X331:AB331)-SUM(T331:W331)))</f>
        <v>0</v>
      </c>
      <c r="AD331" s="27" t="n">
        <f aca="false">MIN(H330*(1+H$8),MAX(T331,$B$11-SUM(X331:AC331)-SUM(U331:W331)))</f>
        <v>0</v>
      </c>
      <c r="AE331" s="27" t="n">
        <f aca="false">MIN(I330*(1+I$8),MAX(U331,$B$11-SUM(X331:AD331)-SUM(V331:W331)))</f>
        <v>0</v>
      </c>
      <c r="AF331" s="27" t="n">
        <f aca="false">MIN(J330*(1+J$8),MAX(V331,$B$11-SUM(X331:AE331)-SUM(W331:W331)))</f>
        <v>0</v>
      </c>
      <c r="AG331" s="27" t="n">
        <f aca="false">MIN(K330*(1+K$8),MAX(W331,$B$11-SUM(X331:AF331)))</f>
        <v>0</v>
      </c>
      <c r="AI331" s="27" t="n">
        <f aca="false">ROUND(MAX(0,AI330*(1+B$8)-BE331),2)</f>
        <v>0</v>
      </c>
      <c r="AJ331" s="27" t="n">
        <f aca="false">ROUND(MAX(0,AJ330*(1+C$8)-BF331),2)</f>
        <v>0</v>
      </c>
      <c r="AK331" s="27" t="n">
        <f aca="false">ROUND(MAX(0,AK330*(1+D$8)-BG331),2)</f>
        <v>0</v>
      </c>
      <c r="AL331" s="27" t="n">
        <f aca="false">ROUND(MAX(0,AL330*(1+E$8)-BH331),2)</f>
        <v>0</v>
      </c>
      <c r="AM331" s="27" t="n">
        <f aca="false">ROUND(MAX(0,AM330*(1+F$8)-BI331),2)</f>
        <v>0</v>
      </c>
      <c r="AN331" s="27" t="n">
        <f aca="false">ROUND(MAX(0,AN330*(1+G$8)-BJ331),2)</f>
        <v>0</v>
      </c>
      <c r="AO331" s="27" t="n">
        <f aca="false">ROUND(MAX(0,AO330*(1+H$8)-BK331),2)</f>
        <v>0</v>
      </c>
      <c r="AP331" s="27" t="n">
        <f aca="false">ROUND(MAX(0,AP330*(1+I$8)-BL331),2)</f>
        <v>0</v>
      </c>
      <c r="AQ331" s="27" t="n">
        <f aca="false">ROUND(MAX(0,AQ330*(1+J$8)-BM331),2)</f>
        <v>0</v>
      </c>
      <c r="AR331" s="27" t="n">
        <f aca="false">ROUND(MAX(0,AR330*(1+K$8)-BN331),2)</f>
        <v>0</v>
      </c>
      <c r="AS331" s="27" t="n">
        <f aca="false">SUM(AI331:AR331)</f>
        <v>0</v>
      </c>
      <c r="AT331" s="27" t="n">
        <f aca="false">SUMPRODUCT(AI330:AR330,$B$8:$K$8)</f>
        <v>0</v>
      </c>
      <c r="AU331" s="27" t="n">
        <f aca="false">MIN(AI330*(1+B$8),B$9)</f>
        <v>0</v>
      </c>
      <c r="AV331" s="27" t="n">
        <f aca="false">MIN(AJ330*(1+C$8),C$9)</f>
        <v>0</v>
      </c>
      <c r="AW331" s="27" t="n">
        <f aca="false">MIN(AK330*(1+D$8),D$9)</f>
        <v>0</v>
      </c>
      <c r="AX331" s="27" t="n">
        <f aca="false">MIN(AL330*(1+E$8),E$9)</f>
        <v>0</v>
      </c>
      <c r="AY331" s="27" t="n">
        <f aca="false">MIN(AM330*(1+F$8),F$9)</f>
        <v>0</v>
      </c>
      <c r="AZ331" s="27" t="n">
        <f aca="false">MIN(AN330*(1+G$8),G$9)</f>
        <v>0</v>
      </c>
      <c r="BA331" s="27" t="n">
        <f aca="false">MIN(AO330*(1+H$8),H$9)</f>
        <v>0</v>
      </c>
      <c r="BB331" s="27" t="n">
        <f aca="false">MIN(AP330*(1+I$8),I$9)</f>
        <v>0</v>
      </c>
      <c r="BC331" s="27" t="n">
        <f aca="false">MIN(AQ330*(1+J$8),J$9)</f>
        <v>0</v>
      </c>
      <c r="BD331" s="27" t="n">
        <f aca="false">MIN(AR330*(1+K$8),K$9)</f>
        <v>0</v>
      </c>
      <c r="BE331" s="27" t="n">
        <f aca="false">MIN(AI330*(1+B$8),MAX(AU331,$B$12-SUM(AV331:BD331)))</f>
        <v>0</v>
      </c>
      <c r="BF331" s="27" t="n">
        <f aca="false">MIN(AJ330*(1+C$8),MAX(AV331,$B$12-SUM(BE331:BE331)-SUM(AW331:BD331)))</f>
        <v>0</v>
      </c>
      <c r="BG331" s="27" t="n">
        <f aca="false">MIN(AK330*(1+D$8),MAX(AW331,$B$12-SUM(BE331:BF331)-SUM(AX331:BD331)))</f>
        <v>0</v>
      </c>
      <c r="BH331" s="27" t="n">
        <f aca="false">MIN(AL330*(1+E$8),MAX(AX331,$B$12-SUM(BE331:BG331)-SUM(AY331:BD331)))</f>
        <v>0</v>
      </c>
      <c r="BI331" s="27" t="n">
        <f aca="false">MIN(AM330*(1+F$8),MAX(AY331,$B$12-SUM(BE331:BH331)-SUM(AZ331:BD331)))</f>
        <v>0</v>
      </c>
      <c r="BJ331" s="27" t="n">
        <f aca="false">MIN(AN330*(1+G$8),MAX(AZ331,$B$12-SUM(BE331:BI331)-SUM(BA331:BD331)))</f>
        <v>0</v>
      </c>
      <c r="BK331" s="27" t="n">
        <f aca="false">MIN(AO330*(1+H$8),MAX(BA331,$B$12-SUM(BE331:BJ331)-SUM(BB331:BD331)))</f>
        <v>0</v>
      </c>
      <c r="BL331" s="27" t="n">
        <f aca="false">MIN(AP330*(1+I$8),MAX(BB331,$B$12-SUM(BE331:BK331)-SUM(BC331:BD331)))</f>
        <v>0</v>
      </c>
      <c r="BM331" s="27" t="n">
        <f aca="false">MIN(AQ330*(1+J$8),MAX(BC331,$B$12-SUM(BE331:BL331)-SUM(BD331:BD331)))</f>
        <v>0</v>
      </c>
      <c r="BN331" s="27" t="n">
        <f aca="false">MIN(AR330*(1+K$8),MAX(BD331,$B$12-SUM(BE331:BM331)))</f>
        <v>0</v>
      </c>
    </row>
    <row r="332" customFormat="false" ht="15" hidden="false" customHeight="false" outlineLevel="0" collapsed="false">
      <c r="A332" s="0" t="n">
        <v>318</v>
      </c>
      <c r="B332" s="27" t="n">
        <f aca="false">ROUND(MAX(0,B331*(1+B$8)-X332),2)</f>
        <v>0</v>
      </c>
      <c r="C332" s="27" t="n">
        <f aca="false">ROUND(MAX(0,C331*(1+C$8)-Y332),2)</f>
        <v>0</v>
      </c>
      <c r="D332" s="27" t="n">
        <f aca="false">ROUND(MAX(0,D331*(1+D$8)-Z332),2)</f>
        <v>0</v>
      </c>
      <c r="E332" s="27" t="n">
        <f aca="false">ROUND(MAX(0,E331*(1+E$8)-AA332),2)</f>
        <v>0</v>
      </c>
      <c r="F332" s="27" t="n">
        <f aca="false">ROUND(MAX(0,F331*(1+F$8)-AB332),2)</f>
        <v>0</v>
      </c>
      <c r="G332" s="27" t="n">
        <f aca="false">ROUND(MAX(0,G331*(1+G$8)-AC332),2)</f>
        <v>0</v>
      </c>
      <c r="H332" s="27" t="n">
        <f aca="false">ROUND(MAX(0,H331*(1+H$8)-AD332),2)</f>
        <v>0</v>
      </c>
      <c r="I332" s="27" t="n">
        <f aca="false">ROUND(MAX(0,I331*(1+I$8)-AE332),2)</f>
        <v>0</v>
      </c>
      <c r="J332" s="27" t="n">
        <f aca="false">ROUND(MAX(0,J331*(1+J$8)-AF332),2)</f>
        <v>0</v>
      </c>
      <c r="K332" s="27" t="n">
        <f aca="false">ROUND(MAX(0,K331*(1+K$8)-AG332),2)</f>
        <v>0</v>
      </c>
      <c r="L332" s="30" t="n">
        <f aca="false">SUM(B332:K332)</f>
        <v>0</v>
      </c>
      <c r="M332" s="27" t="n">
        <f aca="false">SUMPRODUCT(B331:K331,$B$8:$K$8)</f>
        <v>0</v>
      </c>
      <c r="N332" s="27" t="n">
        <f aca="false">MIN(B331*(1+B$8),B$9)</f>
        <v>0</v>
      </c>
      <c r="O332" s="27" t="n">
        <f aca="false">MIN(C331*(1+C$8),C$9)</f>
        <v>0</v>
      </c>
      <c r="P332" s="27" t="n">
        <f aca="false">MIN(D331*(1+D$8),D$9)</f>
        <v>0</v>
      </c>
      <c r="Q332" s="27" t="n">
        <f aca="false">MIN(E331*(1+E$8),E$9)</f>
        <v>0</v>
      </c>
      <c r="R332" s="27" t="n">
        <f aca="false">MIN(F331*(1+F$8),F$9)</f>
        <v>0</v>
      </c>
      <c r="S332" s="27" t="n">
        <f aca="false">MIN(G331*(1+G$8),G$9)</f>
        <v>0</v>
      </c>
      <c r="T332" s="27" t="n">
        <f aca="false">MIN(H331*(1+H$8),H$9)</f>
        <v>0</v>
      </c>
      <c r="U332" s="27" t="n">
        <f aca="false">MIN(I331*(1+I$8),I$9)</f>
        <v>0</v>
      </c>
      <c r="V332" s="27" t="n">
        <f aca="false">MIN(J331*(1+J$8),J$9)</f>
        <v>0</v>
      </c>
      <c r="W332" s="27" t="n">
        <f aca="false">MIN(K331*(1+K$8),K$9)</f>
        <v>0</v>
      </c>
      <c r="X332" s="27" t="n">
        <f aca="false">MIN(B331*(1+B$8),MAX(N332,$B$11-SUM(O332:W332)))</f>
        <v>0</v>
      </c>
      <c r="Y332" s="27" t="n">
        <f aca="false">MIN(C331*(1+C$8),MAX(O332,$B$11-SUM(X332:X332)-SUM(P332:W332)))</f>
        <v>0</v>
      </c>
      <c r="Z332" s="27" t="n">
        <f aca="false">MIN(D331*(1+D$8),MAX(P332,$B$11-SUM(X332:Y332)-SUM(Q332:W332)))</f>
        <v>0</v>
      </c>
      <c r="AA332" s="27" t="n">
        <f aca="false">MIN(E331*(1+E$8),MAX(Q332,$B$11-SUM(X332:Z332)-SUM(R332:W332)))</f>
        <v>0</v>
      </c>
      <c r="AB332" s="27" t="n">
        <f aca="false">MIN(F331*(1+F$8),MAX(R332,$B$11-SUM(X332:AA332)-SUM(S332:W332)))</f>
        <v>0</v>
      </c>
      <c r="AC332" s="27" t="n">
        <f aca="false">MIN(G331*(1+G$8),MAX(S332,$B$11-SUM(X332:AB332)-SUM(T332:W332)))</f>
        <v>0</v>
      </c>
      <c r="AD332" s="27" t="n">
        <f aca="false">MIN(H331*(1+H$8),MAX(T332,$B$11-SUM(X332:AC332)-SUM(U332:W332)))</f>
        <v>0</v>
      </c>
      <c r="AE332" s="27" t="n">
        <f aca="false">MIN(I331*(1+I$8),MAX(U332,$B$11-SUM(X332:AD332)-SUM(V332:W332)))</f>
        <v>0</v>
      </c>
      <c r="AF332" s="27" t="n">
        <f aca="false">MIN(J331*(1+J$8),MAX(V332,$B$11-SUM(X332:AE332)-SUM(W332:W332)))</f>
        <v>0</v>
      </c>
      <c r="AG332" s="27" t="n">
        <f aca="false">MIN(K331*(1+K$8),MAX(W332,$B$11-SUM(X332:AF332)))</f>
        <v>0</v>
      </c>
      <c r="AI332" s="27" t="n">
        <f aca="false">ROUND(MAX(0,AI331*(1+B$8)-BE332),2)</f>
        <v>0</v>
      </c>
      <c r="AJ332" s="27" t="n">
        <f aca="false">ROUND(MAX(0,AJ331*(1+C$8)-BF332),2)</f>
        <v>0</v>
      </c>
      <c r="AK332" s="27" t="n">
        <f aca="false">ROUND(MAX(0,AK331*(1+D$8)-BG332),2)</f>
        <v>0</v>
      </c>
      <c r="AL332" s="27" t="n">
        <f aca="false">ROUND(MAX(0,AL331*(1+E$8)-BH332),2)</f>
        <v>0</v>
      </c>
      <c r="AM332" s="27" t="n">
        <f aca="false">ROUND(MAX(0,AM331*(1+F$8)-BI332),2)</f>
        <v>0</v>
      </c>
      <c r="AN332" s="27" t="n">
        <f aca="false">ROUND(MAX(0,AN331*(1+G$8)-BJ332),2)</f>
        <v>0</v>
      </c>
      <c r="AO332" s="27" t="n">
        <f aca="false">ROUND(MAX(0,AO331*(1+H$8)-BK332),2)</f>
        <v>0</v>
      </c>
      <c r="AP332" s="27" t="n">
        <f aca="false">ROUND(MAX(0,AP331*(1+I$8)-BL332),2)</f>
        <v>0</v>
      </c>
      <c r="AQ332" s="27" t="n">
        <f aca="false">ROUND(MAX(0,AQ331*(1+J$8)-BM332),2)</f>
        <v>0</v>
      </c>
      <c r="AR332" s="27" t="n">
        <f aca="false">ROUND(MAX(0,AR331*(1+K$8)-BN332),2)</f>
        <v>0</v>
      </c>
      <c r="AS332" s="27" t="n">
        <f aca="false">SUM(AI332:AR332)</f>
        <v>0</v>
      </c>
      <c r="AT332" s="27" t="n">
        <f aca="false">SUMPRODUCT(AI331:AR331,$B$8:$K$8)</f>
        <v>0</v>
      </c>
      <c r="AU332" s="27" t="n">
        <f aca="false">MIN(AI331*(1+B$8),B$9)</f>
        <v>0</v>
      </c>
      <c r="AV332" s="27" t="n">
        <f aca="false">MIN(AJ331*(1+C$8),C$9)</f>
        <v>0</v>
      </c>
      <c r="AW332" s="27" t="n">
        <f aca="false">MIN(AK331*(1+D$8),D$9)</f>
        <v>0</v>
      </c>
      <c r="AX332" s="27" t="n">
        <f aca="false">MIN(AL331*(1+E$8),E$9)</f>
        <v>0</v>
      </c>
      <c r="AY332" s="27" t="n">
        <f aca="false">MIN(AM331*(1+F$8),F$9)</f>
        <v>0</v>
      </c>
      <c r="AZ332" s="27" t="n">
        <f aca="false">MIN(AN331*(1+G$8),G$9)</f>
        <v>0</v>
      </c>
      <c r="BA332" s="27" t="n">
        <f aca="false">MIN(AO331*(1+H$8),H$9)</f>
        <v>0</v>
      </c>
      <c r="BB332" s="27" t="n">
        <f aca="false">MIN(AP331*(1+I$8),I$9)</f>
        <v>0</v>
      </c>
      <c r="BC332" s="27" t="n">
        <f aca="false">MIN(AQ331*(1+J$8),J$9)</f>
        <v>0</v>
      </c>
      <c r="BD332" s="27" t="n">
        <f aca="false">MIN(AR331*(1+K$8),K$9)</f>
        <v>0</v>
      </c>
      <c r="BE332" s="27" t="n">
        <f aca="false">MIN(AI331*(1+B$8),MAX(AU332,$B$12-SUM(AV332:BD332)))</f>
        <v>0</v>
      </c>
      <c r="BF332" s="27" t="n">
        <f aca="false">MIN(AJ331*(1+C$8),MAX(AV332,$B$12-SUM(BE332:BE332)-SUM(AW332:BD332)))</f>
        <v>0</v>
      </c>
      <c r="BG332" s="27" t="n">
        <f aca="false">MIN(AK331*(1+D$8),MAX(AW332,$B$12-SUM(BE332:BF332)-SUM(AX332:BD332)))</f>
        <v>0</v>
      </c>
      <c r="BH332" s="27" t="n">
        <f aca="false">MIN(AL331*(1+E$8),MAX(AX332,$B$12-SUM(BE332:BG332)-SUM(AY332:BD332)))</f>
        <v>0</v>
      </c>
      <c r="BI332" s="27" t="n">
        <f aca="false">MIN(AM331*(1+F$8),MAX(AY332,$B$12-SUM(BE332:BH332)-SUM(AZ332:BD332)))</f>
        <v>0</v>
      </c>
      <c r="BJ332" s="27" t="n">
        <f aca="false">MIN(AN331*(1+G$8),MAX(AZ332,$B$12-SUM(BE332:BI332)-SUM(BA332:BD332)))</f>
        <v>0</v>
      </c>
      <c r="BK332" s="27" t="n">
        <f aca="false">MIN(AO331*(1+H$8),MAX(BA332,$B$12-SUM(BE332:BJ332)-SUM(BB332:BD332)))</f>
        <v>0</v>
      </c>
      <c r="BL332" s="27" t="n">
        <f aca="false">MIN(AP331*(1+I$8),MAX(BB332,$B$12-SUM(BE332:BK332)-SUM(BC332:BD332)))</f>
        <v>0</v>
      </c>
      <c r="BM332" s="27" t="n">
        <f aca="false">MIN(AQ331*(1+J$8),MAX(BC332,$B$12-SUM(BE332:BL332)-SUM(BD332:BD332)))</f>
        <v>0</v>
      </c>
      <c r="BN332" s="27" t="n">
        <f aca="false">MIN(AR331*(1+K$8),MAX(BD332,$B$12-SUM(BE332:BM332)))</f>
        <v>0</v>
      </c>
    </row>
    <row r="333" customFormat="false" ht="15" hidden="false" customHeight="false" outlineLevel="0" collapsed="false">
      <c r="A333" s="0" t="n">
        <v>319</v>
      </c>
      <c r="B333" s="27" t="n">
        <f aca="false">ROUND(MAX(0,B332*(1+B$8)-X333),2)</f>
        <v>0</v>
      </c>
      <c r="C333" s="27" t="n">
        <f aca="false">ROUND(MAX(0,C332*(1+C$8)-Y333),2)</f>
        <v>0</v>
      </c>
      <c r="D333" s="27" t="n">
        <f aca="false">ROUND(MAX(0,D332*(1+D$8)-Z333),2)</f>
        <v>0</v>
      </c>
      <c r="E333" s="27" t="n">
        <f aca="false">ROUND(MAX(0,E332*(1+E$8)-AA333),2)</f>
        <v>0</v>
      </c>
      <c r="F333" s="27" t="n">
        <f aca="false">ROUND(MAX(0,F332*(1+F$8)-AB333),2)</f>
        <v>0</v>
      </c>
      <c r="G333" s="27" t="n">
        <f aca="false">ROUND(MAX(0,G332*(1+G$8)-AC333),2)</f>
        <v>0</v>
      </c>
      <c r="H333" s="27" t="n">
        <f aca="false">ROUND(MAX(0,H332*(1+H$8)-AD333),2)</f>
        <v>0</v>
      </c>
      <c r="I333" s="27" t="n">
        <f aca="false">ROUND(MAX(0,I332*(1+I$8)-AE333),2)</f>
        <v>0</v>
      </c>
      <c r="J333" s="27" t="n">
        <f aca="false">ROUND(MAX(0,J332*(1+J$8)-AF333),2)</f>
        <v>0</v>
      </c>
      <c r="K333" s="27" t="n">
        <f aca="false">ROUND(MAX(0,K332*(1+K$8)-AG333),2)</f>
        <v>0</v>
      </c>
      <c r="L333" s="30" t="n">
        <f aca="false">SUM(B333:K333)</f>
        <v>0</v>
      </c>
      <c r="M333" s="27" t="n">
        <f aca="false">SUMPRODUCT(B332:K332,$B$8:$K$8)</f>
        <v>0</v>
      </c>
      <c r="N333" s="27" t="n">
        <f aca="false">MIN(B332*(1+B$8),B$9)</f>
        <v>0</v>
      </c>
      <c r="O333" s="27" t="n">
        <f aca="false">MIN(C332*(1+C$8),C$9)</f>
        <v>0</v>
      </c>
      <c r="P333" s="27" t="n">
        <f aca="false">MIN(D332*(1+D$8),D$9)</f>
        <v>0</v>
      </c>
      <c r="Q333" s="27" t="n">
        <f aca="false">MIN(E332*(1+E$8),E$9)</f>
        <v>0</v>
      </c>
      <c r="R333" s="27" t="n">
        <f aca="false">MIN(F332*(1+F$8),F$9)</f>
        <v>0</v>
      </c>
      <c r="S333" s="27" t="n">
        <f aca="false">MIN(G332*(1+G$8),G$9)</f>
        <v>0</v>
      </c>
      <c r="T333" s="27" t="n">
        <f aca="false">MIN(H332*(1+H$8),H$9)</f>
        <v>0</v>
      </c>
      <c r="U333" s="27" t="n">
        <f aca="false">MIN(I332*(1+I$8),I$9)</f>
        <v>0</v>
      </c>
      <c r="V333" s="27" t="n">
        <f aca="false">MIN(J332*(1+J$8),J$9)</f>
        <v>0</v>
      </c>
      <c r="W333" s="27" t="n">
        <f aca="false">MIN(K332*(1+K$8),K$9)</f>
        <v>0</v>
      </c>
      <c r="X333" s="27" t="n">
        <f aca="false">MIN(B332*(1+B$8),MAX(N333,$B$11-SUM(O333:W333)))</f>
        <v>0</v>
      </c>
      <c r="Y333" s="27" t="n">
        <f aca="false">MIN(C332*(1+C$8),MAX(O333,$B$11-SUM(X333:X333)-SUM(P333:W333)))</f>
        <v>0</v>
      </c>
      <c r="Z333" s="27" t="n">
        <f aca="false">MIN(D332*(1+D$8),MAX(P333,$B$11-SUM(X333:Y333)-SUM(Q333:W333)))</f>
        <v>0</v>
      </c>
      <c r="AA333" s="27" t="n">
        <f aca="false">MIN(E332*(1+E$8),MAX(Q333,$B$11-SUM(X333:Z333)-SUM(R333:W333)))</f>
        <v>0</v>
      </c>
      <c r="AB333" s="27" t="n">
        <f aca="false">MIN(F332*(1+F$8),MAX(R333,$B$11-SUM(X333:AA333)-SUM(S333:W333)))</f>
        <v>0</v>
      </c>
      <c r="AC333" s="27" t="n">
        <f aca="false">MIN(G332*(1+G$8),MAX(S333,$B$11-SUM(X333:AB333)-SUM(T333:W333)))</f>
        <v>0</v>
      </c>
      <c r="AD333" s="27" t="n">
        <f aca="false">MIN(H332*(1+H$8),MAX(T333,$B$11-SUM(X333:AC333)-SUM(U333:W333)))</f>
        <v>0</v>
      </c>
      <c r="AE333" s="27" t="n">
        <f aca="false">MIN(I332*(1+I$8),MAX(U333,$B$11-SUM(X333:AD333)-SUM(V333:W333)))</f>
        <v>0</v>
      </c>
      <c r="AF333" s="27" t="n">
        <f aca="false">MIN(J332*(1+J$8),MAX(V333,$B$11-SUM(X333:AE333)-SUM(W333:W333)))</f>
        <v>0</v>
      </c>
      <c r="AG333" s="27" t="n">
        <f aca="false">MIN(K332*(1+K$8),MAX(W333,$B$11-SUM(X333:AF333)))</f>
        <v>0</v>
      </c>
      <c r="AI333" s="27" t="n">
        <f aca="false">ROUND(MAX(0,AI332*(1+B$8)-BE333),2)</f>
        <v>0</v>
      </c>
      <c r="AJ333" s="27" t="n">
        <f aca="false">ROUND(MAX(0,AJ332*(1+C$8)-BF333),2)</f>
        <v>0</v>
      </c>
      <c r="AK333" s="27" t="n">
        <f aca="false">ROUND(MAX(0,AK332*(1+D$8)-BG333),2)</f>
        <v>0</v>
      </c>
      <c r="AL333" s="27" t="n">
        <f aca="false">ROUND(MAX(0,AL332*(1+E$8)-BH333),2)</f>
        <v>0</v>
      </c>
      <c r="AM333" s="27" t="n">
        <f aca="false">ROUND(MAX(0,AM332*(1+F$8)-BI333),2)</f>
        <v>0</v>
      </c>
      <c r="AN333" s="27" t="n">
        <f aca="false">ROUND(MAX(0,AN332*(1+G$8)-BJ333),2)</f>
        <v>0</v>
      </c>
      <c r="AO333" s="27" t="n">
        <f aca="false">ROUND(MAX(0,AO332*(1+H$8)-BK333),2)</f>
        <v>0</v>
      </c>
      <c r="AP333" s="27" t="n">
        <f aca="false">ROUND(MAX(0,AP332*(1+I$8)-BL333),2)</f>
        <v>0</v>
      </c>
      <c r="AQ333" s="27" t="n">
        <f aca="false">ROUND(MAX(0,AQ332*(1+J$8)-BM333),2)</f>
        <v>0</v>
      </c>
      <c r="AR333" s="27" t="n">
        <f aca="false">ROUND(MAX(0,AR332*(1+K$8)-BN333),2)</f>
        <v>0</v>
      </c>
      <c r="AS333" s="27" t="n">
        <f aca="false">SUM(AI333:AR333)</f>
        <v>0</v>
      </c>
      <c r="AT333" s="27" t="n">
        <f aca="false">SUMPRODUCT(AI332:AR332,$B$8:$K$8)</f>
        <v>0</v>
      </c>
      <c r="AU333" s="27" t="n">
        <f aca="false">MIN(AI332*(1+B$8),B$9)</f>
        <v>0</v>
      </c>
      <c r="AV333" s="27" t="n">
        <f aca="false">MIN(AJ332*(1+C$8),C$9)</f>
        <v>0</v>
      </c>
      <c r="AW333" s="27" t="n">
        <f aca="false">MIN(AK332*(1+D$8),D$9)</f>
        <v>0</v>
      </c>
      <c r="AX333" s="27" t="n">
        <f aca="false">MIN(AL332*(1+E$8),E$9)</f>
        <v>0</v>
      </c>
      <c r="AY333" s="27" t="n">
        <f aca="false">MIN(AM332*(1+F$8),F$9)</f>
        <v>0</v>
      </c>
      <c r="AZ333" s="27" t="n">
        <f aca="false">MIN(AN332*(1+G$8),G$9)</f>
        <v>0</v>
      </c>
      <c r="BA333" s="27" t="n">
        <f aca="false">MIN(AO332*(1+H$8),H$9)</f>
        <v>0</v>
      </c>
      <c r="BB333" s="27" t="n">
        <f aca="false">MIN(AP332*(1+I$8),I$9)</f>
        <v>0</v>
      </c>
      <c r="BC333" s="27" t="n">
        <f aca="false">MIN(AQ332*(1+J$8),J$9)</f>
        <v>0</v>
      </c>
      <c r="BD333" s="27" t="n">
        <f aca="false">MIN(AR332*(1+K$8),K$9)</f>
        <v>0</v>
      </c>
      <c r="BE333" s="27" t="n">
        <f aca="false">MIN(AI332*(1+B$8),MAX(AU333,$B$12-SUM(AV333:BD333)))</f>
        <v>0</v>
      </c>
      <c r="BF333" s="27" t="n">
        <f aca="false">MIN(AJ332*(1+C$8),MAX(AV333,$B$12-SUM(BE333:BE333)-SUM(AW333:BD333)))</f>
        <v>0</v>
      </c>
      <c r="BG333" s="27" t="n">
        <f aca="false">MIN(AK332*(1+D$8),MAX(AW333,$B$12-SUM(BE333:BF333)-SUM(AX333:BD333)))</f>
        <v>0</v>
      </c>
      <c r="BH333" s="27" t="n">
        <f aca="false">MIN(AL332*(1+E$8),MAX(AX333,$B$12-SUM(BE333:BG333)-SUM(AY333:BD333)))</f>
        <v>0</v>
      </c>
      <c r="BI333" s="27" t="n">
        <f aca="false">MIN(AM332*(1+F$8),MAX(AY333,$B$12-SUM(BE333:BH333)-SUM(AZ333:BD333)))</f>
        <v>0</v>
      </c>
      <c r="BJ333" s="27" t="n">
        <f aca="false">MIN(AN332*(1+G$8),MAX(AZ333,$B$12-SUM(BE333:BI333)-SUM(BA333:BD333)))</f>
        <v>0</v>
      </c>
      <c r="BK333" s="27" t="n">
        <f aca="false">MIN(AO332*(1+H$8),MAX(BA333,$B$12-SUM(BE333:BJ333)-SUM(BB333:BD333)))</f>
        <v>0</v>
      </c>
      <c r="BL333" s="27" t="n">
        <f aca="false">MIN(AP332*(1+I$8),MAX(BB333,$B$12-SUM(BE333:BK333)-SUM(BC333:BD333)))</f>
        <v>0</v>
      </c>
      <c r="BM333" s="27" t="n">
        <f aca="false">MIN(AQ332*(1+J$8),MAX(BC333,$B$12-SUM(BE333:BL333)-SUM(BD333:BD333)))</f>
        <v>0</v>
      </c>
      <c r="BN333" s="27" t="n">
        <f aca="false">MIN(AR332*(1+K$8),MAX(BD333,$B$12-SUM(BE333:BM333)))</f>
        <v>0</v>
      </c>
    </row>
    <row r="334" customFormat="false" ht="15" hidden="false" customHeight="false" outlineLevel="0" collapsed="false">
      <c r="A334" s="0" t="n">
        <v>320</v>
      </c>
      <c r="B334" s="27" t="n">
        <f aca="false">ROUND(MAX(0,B333*(1+B$8)-X334),2)</f>
        <v>0</v>
      </c>
      <c r="C334" s="27" t="n">
        <f aca="false">ROUND(MAX(0,C333*(1+C$8)-Y334),2)</f>
        <v>0</v>
      </c>
      <c r="D334" s="27" t="n">
        <f aca="false">ROUND(MAX(0,D333*(1+D$8)-Z334),2)</f>
        <v>0</v>
      </c>
      <c r="E334" s="27" t="n">
        <f aca="false">ROUND(MAX(0,E333*(1+E$8)-AA334),2)</f>
        <v>0</v>
      </c>
      <c r="F334" s="27" t="n">
        <f aca="false">ROUND(MAX(0,F333*(1+F$8)-AB334),2)</f>
        <v>0</v>
      </c>
      <c r="G334" s="27" t="n">
        <f aca="false">ROUND(MAX(0,G333*(1+G$8)-AC334),2)</f>
        <v>0</v>
      </c>
      <c r="H334" s="27" t="n">
        <f aca="false">ROUND(MAX(0,H333*(1+H$8)-AD334),2)</f>
        <v>0</v>
      </c>
      <c r="I334" s="27" t="n">
        <f aca="false">ROUND(MAX(0,I333*(1+I$8)-AE334),2)</f>
        <v>0</v>
      </c>
      <c r="J334" s="27" t="n">
        <f aca="false">ROUND(MAX(0,J333*(1+J$8)-AF334),2)</f>
        <v>0</v>
      </c>
      <c r="K334" s="27" t="n">
        <f aca="false">ROUND(MAX(0,K333*(1+K$8)-AG334),2)</f>
        <v>0</v>
      </c>
      <c r="L334" s="30" t="n">
        <f aca="false">SUM(B334:K334)</f>
        <v>0</v>
      </c>
      <c r="M334" s="27" t="n">
        <f aca="false">SUMPRODUCT(B333:K333,$B$8:$K$8)</f>
        <v>0</v>
      </c>
      <c r="N334" s="27" t="n">
        <f aca="false">MIN(B333*(1+B$8),B$9)</f>
        <v>0</v>
      </c>
      <c r="O334" s="27" t="n">
        <f aca="false">MIN(C333*(1+C$8),C$9)</f>
        <v>0</v>
      </c>
      <c r="P334" s="27" t="n">
        <f aca="false">MIN(D333*(1+D$8),D$9)</f>
        <v>0</v>
      </c>
      <c r="Q334" s="27" t="n">
        <f aca="false">MIN(E333*(1+E$8),E$9)</f>
        <v>0</v>
      </c>
      <c r="R334" s="27" t="n">
        <f aca="false">MIN(F333*(1+F$8),F$9)</f>
        <v>0</v>
      </c>
      <c r="S334" s="27" t="n">
        <f aca="false">MIN(G333*(1+G$8),G$9)</f>
        <v>0</v>
      </c>
      <c r="T334" s="27" t="n">
        <f aca="false">MIN(H333*(1+H$8),H$9)</f>
        <v>0</v>
      </c>
      <c r="U334" s="27" t="n">
        <f aca="false">MIN(I333*(1+I$8),I$9)</f>
        <v>0</v>
      </c>
      <c r="V334" s="27" t="n">
        <f aca="false">MIN(J333*(1+J$8),J$9)</f>
        <v>0</v>
      </c>
      <c r="W334" s="27" t="n">
        <f aca="false">MIN(K333*(1+K$8),K$9)</f>
        <v>0</v>
      </c>
      <c r="X334" s="27" t="n">
        <f aca="false">MIN(B333*(1+B$8),MAX(N334,$B$11-SUM(O334:W334)))</f>
        <v>0</v>
      </c>
      <c r="Y334" s="27" t="n">
        <f aca="false">MIN(C333*(1+C$8),MAX(O334,$B$11-SUM(X334:X334)-SUM(P334:W334)))</f>
        <v>0</v>
      </c>
      <c r="Z334" s="27" t="n">
        <f aca="false">MIN(D333*(1+D$8),MAX(P334,$B$11-SUM(X334:Y334)-SUM(Q334:W334)))</f>
        <v>0</v>
      </c>
      <c r="AA334" s="27" t="n">
        <f aca="false">MIN(E333*(1+E$8),MAX(Q334,$B$11-SUM(X334:Z334)-SUM(R334:W334)))</f>
        <v>0</v>
      </c>
      <c r="AB334" s="27" t="n">
        <f aca="false">MIN(F333*(1+F$8),MAX(R334,$B$11-SUM(X334:AA334)-SUM(S334:W334)))</f>
        <v>0</v>
      </c>
      <c r="AC334" s="27" t="n">
        <f aca="false">MIN(G333*(1+G$8),MAX(S334,$B$11-SUM(X334:AB334)-SUM(T334:W334)))</f>
        <v>0</v>
      </c>
      <c r="AD334" s="27" t="n">
        <f aca="false">MIN(H333*(1+H$8),MAX(T334,$B$11-SUM(X334:AC334)-SUM(U334:W334)))</f>
        <v>0</v>
      </c>
      <c r="AE334" s="27" t="n">
        <f aca="false">MIN(I333*(1+I$8),MAX(U334,$B$11-SUM(X334:AD334)-SUM(V334:W334)))</f>
        <v>0</v>
      </c>
      <c r="AF334" s="27" t="n">
        <f aca="false">MIN(J333*(1+J$8),MAX(V334,$B$11-SUM(X334:AE334)-SUM(W334:W334)))</f>
        <v>0</v>
      </c>
      <c r="AG334" s="27" t="n">
        <f aca="false">MIN(K333*(1+K$8),MAX(W334,$B$11-SUM(X334:AF334)))</f>
        <v>0</v>
      </c>
      <c r="AI334" s="27" t="n">
        <f aca="false">ROUND(MAX(0,AI333*(1+B$8)-BE334),2)</f>
        <v>0</v>
      </c>
      <c r="AJ334" s="27" t="n">
        <f aca="false">ROUND(MAX(0,AJ333*(1+C$8)-BF334),2)</f>
        <v>0</v>
      </c>
      <c r="AK334" s="27" t="n">
        <f aca="false">ROUND(MAX(0,AK333*(1+D$8)-BG334),2)</f>
        <v>0</v>
      </c>
      <c r="AL334" s="27" t="n">
        <f aca="false">ROUND(MAX(0,AL333*(1+E$8)-BH334),2)</f>
        <v>0</v>
      </c>
      <c r="AM334" s="27" t="n">
        <f aca="false">ROUND(MAX(0,AM333*(1+F$8)-BI334),2)</f>
        <v>0</v>
      </c>
      <c r="AN334" s="27" t="n">
        <f aca="false">ROUND(MAX(0,AN333*(1+G$8)-BJ334),2)</f>
        <v>0</v>
      </c>
      <c r="AO334" s="27" t="n">
        <f aca="false">ROUND(MAX(0,AO333*(1+H$8)-BK334),2)</f>
        <v>0</v>
      </c>
      <c r="AP334" s="27" t="n">
        <f aca="false">ROUND(MAX(0,AP333*(1+I$8)-BL334),2)</f>
        <v>0</v>
      </c>
      <c r="AQ334" s="27" t="n">
        <f aca="false">ROUND(MAX(0,AQ333*(1+J$8)-BM334),2)</f>
        <v>0</v>
      </c>
      <c r="AR334" s="27" t="n">
        <f aca="false">ROUND(MAX(0,AR333*(1+K$8)-BN334),2)</f>
        <v>0</v>
      </c>
      <c r="AS334" s="27" t="n">
        <f aca="false">SUM(AI334:AR334)</f>
        <v>0</v>
      </c>
      <c r="AT334" s="27" t="n">
        <f aca="false">SUMPRODUCT(AI333:AR333,$B$8:$K$8)</f>
        <v>0</v>
      </c>
      <c r="AU334" s="27" t="n">
        <f aca="false">MIN(AI333*(1+B$8),B$9)</f>
        <v>0</v>
      </c>
      <c r="AV334" s="27" t="n">
        <f aca="false">MIN(AJ333*(1+C$8),C$9)</f>
        <v>0</v>
      </c>
      <c r="AW334" s="27" t="n">
        <f aca="false">MIN(AK333*(1+D$8),D$9)</f>
        <v>0</v>
      </c>
      <c r="AX334" s="27" t="n">
        <f aca="false">MIN(AL333*(1+E$8),E$9)</f>
        <v>0</v>
      </c>
      <c r="AY334" s="27" t="n">
        <f aca="false">MIN(AM333*(1+F$8),F$9)</f>
        <v>0</v>
      </c>
      <c r="AZ334" s="27" t="n">
        <f aca="false">MIN(AN333*(1+G$8),G$9)</f>
        <v>0</v>
      </c>
      <c r="BA334" s="27" t="n">
        <f aca="false">MIN(AO333*(1+H$8),H$9)</f>
        <v>0</v>
      </c>
      <c r="BB334" s="27" t="n">
        <f aca="false">MIN(AP333*(1+I$8),I$9)</f>
        <v>0</v>
      </c>
      <c r="BC334" s="27" t="n">
        <f aca="false">MIN(AQ333*(1+J$8),J$9)</f>
        <v>0</v>
      </c>
      <c r="BD334" s="27" t="n">
        <f aca="false">MIN(AR333*(1+K$8),K$9)</f>
        <v>0</v>
      </c>
      <c r="BE334" s="27" t="n">
        <f aca="false">MIN(AI333*(1+B$8),MAX(AU334,$B$12-SUM(AV334:BD334)))</f>
        <v>0</v>
      </c>
      <c r="BF334" s="27" t="n">
        <f aca="false">MIN(AJ333*(1+C$8),MAX(AV334,$B$12-SUM(BE334:BE334)-SUM(AW334:BD334)))</f>
        <v>0</v>
      </c>
      <c r="BG334" s="27" t="n">
        <f aca="false">MIN(AK333*(1+D$8),MAX(AW334,$B$12-SUM(BE334:BF334)-SUM(AX334:BD334)))</f>
        <v>0</v>
      </c>
      <c r="BH334" s="27" t="n">
        <f aca="false">MIN(AL333*(1+E$8),MAX(AX334,$B$12-SUM(BE334:BG334)-SUM(AY334:BD334)))</f>
        <v>0</v>
      </c>
      <c r="BI334" s="27" t="n">
        <f aca="false">MIN(AM333*(1+F$8),MAX(AY334,$B$12-SUM(BE334:BH334)-SUM(AZ334:BD334)))</f>
        <v>0</v>
      </c>
      <c r="BJ334" s="27" t="n">
        <f aca="false">MIN(AN333*(1+G$8),MAX(AZ334,$B$12-SUM(BE334:BI334)-SUM(BA334:BD334)))</f>
        <v>0</v>
      </c>
      <c r="BK334" s="27" t="n">
        <f aca="false">MIN(AO333*(1+H$8),MAX(BA334,$B$12-SUM(BE334:BJ334)-SUM(BB334:BD334)))</f>
        <v>0</v>
      </c>
      <c r="BL334" s="27" t="n">
        <f aca="false">MIN(AP333*(1+I$8),MAX(BB334,$B$12-SUM(BE334:BK334)-SUM(BC334:BD334)))</f>
        <v>0</v>
      </c>
      <c r="BM334" s="27" t="n">
        <f aca="false">MIN(AQ333*(1+J$8),MAX(BC334,$B$12-SUM(BE334:BL334)-SUM(BD334:BD334)))</f>
        <v>0</v>
      </c>
      <c r="BN334" s="27" t="n">
        <f aca="false">MIN(AR333*(1+K$8),MAX(BD334,$B$12-SUM(BE334:BM334)))</f>
        <v>0</v>
      </c>
    </row>
    <row r="335" customFormat="false" ht="15" hidden="false" customHeight="false" outlineLevel="0" collapsed="false">
      <c r="A335" s="0" t="n">
        <v>321</v>
      </c>
      <c r="B335" s="27" t="n">
        <f aca="false">ROUND(MAX(0,B334*(1+B$8)-X335),2)</f>
        <v>0</v>
      </c>
      <c r="C335" s="27" t="n">
        <f aca="false">ROUND(MAX(0,C334*(1+C$8)-Y335),2)</f>
        <v>0</v>
      </c>
      <c r="D335" s="27" t="n">
        <f aca="false">ROUND(MAX(0,D334*(1+D$8)-Z335),2)</f>
        <v>0</v>
      </c>
      <c r="E335" s="27" t="n">
        <f aca="false">ROUND(MAX(0,E334*(1+E$8)-AA335),2)</f>
        <v>0</v>
      </c>
      <c r="F335" s="27" t="n">
        <f aca="false">ROUND(MAX(0,F334*(1+F$8)-AB335),2)</f>
        <v>0</v>
      </c>
      <c r="G335" s="27" t="n">
        <f aca="false">ROUND(MAX(0,G334*(1+G$8)-AC335),2)</f>
        <v>0</v>
      </c>
      <c r="H335" s="27" t="n">
        <f aca="false">ROUND(MAX(0,H334*(1+H$8)-AD335),2)</f>
        <v>0</v>
      </c>
      <c r="I335" s="27" t="n">
        <f aca="false">ROUND(MAX(0,I334*(1+I$8)-AE335),2)</f>
        <v>0</v>
      </c>
      <c r="J335" s="27" t="n">
        <f aca="false">ROUND(MAX(0,J334*(1+J$8)-AF335),2)</f>
        <v>0</v>
      </c>
      <c r="K335" s="27" t="n">
        <f aca="false">ROUND(MAX(0,K334*(1+K$8)-AG335),2)</f>
        <v>0</v>
      </c>
      <c r="L335" s="30" t="n">
        <f aca="false">SUM(B335:K335)</f>
        <v>0</v>
      </c>
      <c r="M335" s="27" t="n">
        <f aca="false">SUMPRODUCT(B334:K334,$B$8:$K$8)</f>
        <v>0</v>
      </c>
      <c r="N335" s="27" t="n">
        <f aca="false">MIN(B334*(1+B$8),B$9)</f>
        <v>0</v>
      </c>
      <c r="O335" s="27" t="n">
        <f aca="false">MIN(C334*(1+C$8),C$9)</f>
        <v>0</v>
      </c>
      <c r="P335" s="27" t="n">
        <f aca="false">MIN(D334*(1+D$8),D$9)</f>
        <v>0</v>
      </c>
      <c r="Q335" s="27" t="n">
        <f aca="false">MIN(E334*(1+E$8),E$9)</f>
        <v>0</v>
      </c>
      <c r="R335" s="27" t="n">
        <f aca="false">MIN(F334*(1+F$8),F$9)</f>
        <v>0</v>
      </c>
      <c r="S335" s="27" t="n">
        <f aca="false">MIN(G334*(1+G$8),G$9)</f>
        <v>0</v>
      </c>
      <c r="T335" s="27" t="n">
        <f aca="false">MIN(H334*(1+H$8),H$9)</f>
        <v>0</v>
      </c>
      <c r="U335" s="27" t="n">
        <f aca="false">MIN(I334*(1+I$8),I$9)</f>
        <v>0</v>
      </c>
      <c r="V335" s="27" t="n">
        <f aca="false">MIN(J334*(1+J$8),J$9)</f>
        <v>0</v>
      </c>
      <c r="W335" s="27" t="n">
        <f aca="false">MIN(K334*(1+K$8),K$9)</f>
        <v>0</v>
      </c>
      <c r="X335" s="27" t="n">
        <f aca="false">MIN(B334*(1+B$8),MAX(N335,$B$11-SUM(O335:W335)))</f>
        <v>0</v>
      </c>
      <c r="Y335" s="27" t="n">
        <f aca="false">MIN(C334*(1+C$8),MAX(O335,$B$11-SUM(X335:X335)-SUM(P335:W335)))</f>
        <v>0</v>
      </c>
      <c r="Z335" s="27" t="n">
        <f aca="false">MIN(D334*(1+D$8),MAX(P335,$B$11-SUM(X335:Y335)-SUM(Q335:W335)))</f>
        <v>0</v>
      </c>
      <c r="AA335" s="27" t="n">
        <f aca="false">MIN(E334*(1+E$8),MAX(Q335,$B$11-SUM(X335:Z335)-SUM(R335:W335)))</f>
        <v>0</v>
      </c>
      <c r="AB335" s="27" t="n">
        <f aca="false">MIN(F334*(1+F$8),MAX(R335,$B$11-SUM(X335:AA335)-SUM(S335:W335)))</f>
        <v>0</v>
      </c>
      <c r="AC335" s="27" t="n">
        <f aca="false">MIN(G334*(1+G$8),MAX(S335,$B$11-SUM(X335:AB335)-SUM(T335:W335)))</f>
        <v>0</v>
      </c>
      <c r="AD335" s="27" t="n">
        <f aca="false">MIN(H334*(1+H$8),MAX(T335,$B$11-SUM(X335:AC335)-SUM(U335:W335)))</f>
        <v>0</v>
      </c>
      <c r="AE335" s="27" t="n">
        <f aca="false">MIN(I334*(1+I$8),MAX(U335,$B$11-SUM(X335:AD335)-SUM(V335:W335)))</f>
        <v>0</v>
      </c>
      <c r="AF335" s="27" t="n">
        <f aca="false">MIN(J334*(1+J$8),MAX(V335,$B$11-SUM(X335:AE335)-SUM(W335:W335)))</f>
        <v>0</v>
      </c>
      <c r="AG335" s="27" t="n">
        <f aca="false">MIN(K334*(1+K$8),MAX(W335,$B$11-SUM(X335:AF335)))</f>
        <v>0</v>
      </c>
      <c r="AI335" s="27" t="n">
        <f aca="false">ROUND(MAX(0,AI334*(1+B$8)-BE335),2)</f>
        <v>0</v>
      </c>
      <c r="AJ335" s="27" t="n">
        <f aca="false">ROUND(MAX(0,AJ334*(1+C$8)-BF335),2)</f>
        <v>0</v>
      </c>
      <c r="AK335" s="27" t="n">
        <f aca="false">ROUND(MAX(0,AK334*(1+D$8)-BG335),2)</f>
        <v>0</v>
      </c>
      <c r="AL335" s="27" t="n">
        <f aca="false">ROUND(MAX(0,AL334*(1+E$8)-BH335),2)</f>
        <v>0</v>
      </c>
      <c r="AM335" s="27" t="n">
        <f aca="false">ROUND(MAX(0,AM334*(1+F$8)-BI335),2)</f>
        <v>0</v>
      </c>
      <c r="AN335" s="27" t="n">
        <f aca="false">ROUND(MAX(0,AN334*(1+G$8)-BJ335),2)</f>
        <v>0</v>
      </c>
      <c r="AO335" s="27" t="n">
        <f aca="false">ROUND(MAX(0,AO334*(1+H$8)-BK335),2)</f>
        <v>0</v>
      </c>
      <c r="AP335" s="27" t="n">
        <f aca="false">ROUND(MAX(0,AP334*(1+I$8)-BL335),2)</f>
        <v>0</v>
      </c>
      <c r="AQ335" s="27" t="n">
        <f aca="false">ROUND(MAX(0,AQ334*(1+J$8)-BM335),2)</f>
        <v>0</v>
      </c>
      <c r="AR335" s="27" t="n">
        <f aca="false">ROUND(MAX(0,AR334*(1+K$8)-BN335),2)</f>
        <v>0</v>
      </c>
      <c r="AS335" s="27" t="n">
        <f aca="false">SUM(AI335:AR335)</f>
        <v>0</v>
      </c>
      <c r="AT335" s="27" t="n">
        <f aca="false">SUMPRODUCT(AI334:AR334,$B$8:$K$8)</f>
        <v>0</v>
      </c>
      <c r="AU335" s="27" t="n">
        <f aca="false">MIN(AI334*(1+B$8),B$9)</f>
        <v>0</v>
      </c>
      <c r="AV335" s="27" t="n">
        <f aca="false">MIN(AJ334*(1+C$8),C$9)</f>
        <v>0</v>
      </c>
      <c r="AW335" s="27" t="n">
        <f aca="false">MIN(AK334*(1+D$8),D$9)</f>
        <v>0</v>
      </c>
      <c r="AX335" s="27" t="n">
        <f aca="false">MIN(AL334*(1+E$8),E$9)</f>
        <v>0</v>
      </c>
      <c r="AY335" s="27" t="n">
        <f aca="false">MIN(AM334*(1+F$8),F$9)</f>
        <v>0</v>
      </c>
      <c r="AZ335" s="27" t="n">
        <f aca="false">MIN(AN334*(1+G$8),G$9)</f>
        <v>0</v>
      </c>
      <c r="BA335" s="27" t="n">
        <f aca="false">MIN(AO334*(1+H$8),H$9)</f>
        <v>0</v>
      </c>
      <c r="BB335" s="27" t="n">
        <f aca="false">MIN(AP334*(1+I$8),I$9)</f>
        <v>0</v>
      </c>
      <c r="BC335" s="27" t="n">
        <f aca="false">MIN(AQ334*(1+J$8),J$9)</f>
        <v>0</v>
      </c>
      <c r="BD335" s="27" t="n">
        <f aca="false">MIN(AR334*(1+K$8),K$9)</f>
        <v>0</v>
      </c>
      <c r="BE335" s="27" t="n">
        <f aca="false">MIN(AI334*(1+B$8),MAX(AU335,$B$12-SUM(AV335:BD335)))</f>
        <v>0</v>
      </c>
      <c r="BF335" s="27" t="n">
        <f aca="false">MIN(AJ334*(1+C$8),MAX(AV335,$B$12-SUM(BE335:BE335)-SUM(AW335:BD335)))</f>
        <v>0</v>
      </c>
      <c r="BG335" s="27" t="n">
        <f aca="false">MIN(AK334*(1+D$8),MAX(AW335,$B$12-SUM(BE335:BF335)-SUM(AX335:BD335)))</f>
        <v>0</v>
      </c>
      <c r="BH335" s="27" t="n">
        <f aca="false">MIN(AL334*(1+E$8),MAX(AX335,$B$12-SUM(BE335:BG335)-SUM(AY335:BD335)))</f>
        <v>0</v>
      </c>
      <c r="BI335" s="27" t="n">
        <f aca="false">MIN(AM334*(1+F$8),MAX(AY335,$B$12-SUM(BE335:BH335)-SUM(AZ335:BD335)))</f>
        <v>0</v>
      </c>
      <c r="BJ335" s="27" t="n">
        <f aca="false">MIN(AN334*(1+G$8),MAX(AZ335,$B$12-SUM(BE335:BI335)-SUM(BA335:BD335)))</f>
        <v>0</v>
      </c>
      <c r="BK335" s="27" t="n">
        <f aca="false">MIN(AO334*(1+H$8),MAX(BA335,$B$12-SUM(BE335:BJ335)-SUM(BB335:BD335)))</f>
        <v>0</v>
      </c>
      <c r="BL335" s="27" t="n">
        <f aca="false">MIN(AP334*(1+I$8),MAX(BB335,$B$12-SUM(BE335:BK335)-SUM(BC335:BD335)))</f>
        <v>0</v>
      </c>
      <c r="BM335" s="27" t="n">
        <f aca="false">MIN(AQ334*(1+J$8),MAX(BC335,$B$12-SUM(BE335:BL335)-SUM(BD335:BD335)))</f>
        <v>0</v>
      </c>
      <c r="BN335" s="27" t="n">
        <f aca="false">MIN(AR334*(1+K$8),MAX(BD335,$B$12-SUM(BE335:BM335)))</f>
        <v>0</v>
      </c>
    </row>
    <row r="336" customFormat="false" ht="15" hidden="false" customHeight="false" outlineLevel="0" collapsed="false">
      <c r="A336" s="0" t="n">
        <v>322</v>
      </c>
      <c r="B336" s="27" t="n">
        <f aca="false">ROUND(MAX(0,B335*(1+B$8)-X336),2)</f>
        <v>0</v>
      </c>
      <c r="C336" s="27" t="n">
        <f aca="false">ROUND(MAX(0,C335*(1+C$8)-Y336),2)</f>
        <v>0</v>
      </c>
      <c r="D336" s="27" t="n">
        <f aca="false">ROUND(MAX(0,D335*(1+D$8)-Z336),2)</f>
        <v>0</v>
      </c>
      <c r="E336" s="27" t="n">
        <f aca="false">ROUND(MAX(0,E335*(1+E$8)-AA336),2)</f>
        <v>0</v>
      </c>
      <c r="F336" s="27" t="n">
        <f aca="false">ROUND(MAX(0,F335*(1+F$8)-AB336),2)</f>
        <v>0</v>
      </c>
      <c r="G336" s="27" t="n">
        <f aca="false">ROUND(MAX(0,G335*(1+G$8)-AC336),2)</f>
        <v>0</v>
      </c>
      <c r="H336" s="27" t="n">
        <f aca="false">ROUND(MAX(0,H335*(1+H$8)-AD336),2)</f>
        <v>0</v>
      </c>
      <c r="I336" s="27" t="n">
        <f aca="false">ROUND(MAX(0,I335*(1+I$8)-AE336),2)</f>
        <v>0</v>
      </c>
      <c r="J336" s="27" t="n">
        <f aca="false">ROUND(MAX(0,J335*(1+J$8)-AF336),2)</f>
        <v>0</v>
      </c>
      <c r="K336" s="27" t="n">
        <f aca="false">ROUND(MAX(0,K335*(1+K$8)-AG336),2)</f>
        <v>0</v>
      </c>
      <c r="L336" s="30" t="n">
        <f aca="false">SUM(B336:K336)</f>
        <v>0</v>
      </c>
      <c r="M336" s="27" t="n">
        <f aca="false">SUMPRODUCT(B335:K335,$B$8:$K$8)</f>
        <v>0</v>
      </c>
      <c r="N336" s="27" t="n">
        <f aca="false">MIN(B335*(1+B$8),B$9)</f>
        <v>0</v>
      </c>
      <c r="O336" s="27" t="n">
        <f aca="false">MIN(C335*(1+C$8),C$9)</f>
        <v>0</v>
      </c>
      <c r="P336" s="27" t="n">
        <f aca="false">MIN(D335*(1+D$8),D$9)</f>
        <v>0</v>
      </c>
      <c r="Q336" s="27" t="n">
        <f aca="false">MIN(E335*(1+E$8),E$9)</f>
        <v>0</v>
      </c>
      <c r="R336" s="27" t="n">
        <f aca="false">MIN(F335*(1+F$8),F$9)</f>
        <v>0</v>
      </c>
      <c r="S336" s="27" t="n">
        <f aca="false">MIN(G335*(1+G$8),G$9)</f>
        <v>0</v>
      </c>
      <c r="T336" s="27" t="n">
        <f aca="false">MIN(H335*(1+H$8),H$9)</f>
        <v>0</v>
      </c>
      <c r="U336" s="27" t="n">
        <f aca="false">MIN(I335*(1+I$8),I$9)</f>
        <v>0</v>
      </c>
      <c r="V336" s="27" t="n">
        <f aca="false">MIN(J335*(1+J$8),J$9)</f>
        <v>0</v>
      </c>
      <c r="W336" s="27" t="n">
        <f aca="false">MIN(K335*(1+K$8),K$9)</f>
        <v>0</v>
      </c>
      <c r="X336" s="27" t="n">
        <f aca="false">MIN(B335*(1+B$8),MAX(N336,$B$11-SUM(O336:W336)))</f>
        <v>0</v>
      </c>
      <c r="Y336" s="27" t="n">
        <f aca="false">MIN(C335*(1+C$8),MAX(O336,$B$11-SUM(X336:X336)-SUM(P336:W336)))</f>
        <v>0</v>
      </c>
      <c r="Z336" s="27" t="n">
        <f aca="false">MIN(D335*(1+D$8),MAX(P336,$B$11-SUM(X336:Y336)-SUM(Q336:W336)))</f>
        <v>0</v>
      </c>
      <c r="AA336" s="27" t="n">
        <f aca="false">MIN(E335*(1+E$8),MAX(Q336,$B$11-SUM(X336:Z336)-SUM(R336:W336)))</f>
        <v>0</v>
      </c>
      <c r="AB336" s="27" t="n">
        <f aca="false">MIN(F335*(1+F$8),MAX(R336,$B$11-SUM(X336:AA336)-SUM(S336:W336)))</f>
        <v>0</v>
      </c>
      <c r="AC336" s="27" t="n">
        <f aca="false">MIN(G335*(1+G$8),MAX(S336,$B$11-SUM(X336:AB336)-SUM(T336:W336)))</f>
        <v>0</v>
      </c>
      <c r="AD336" s="27" t="n">
        <f aca="false">MIN(H335*(1+H$8),MAX(T336,$B$11-SUM(X336:AC336)-SUM(U336:W336)))</f>
        <v>0</v>
      </c>
      <c r="AE336" s="27" t="n">
        <f aca="false">MIN(I335*(1+I$8),MAX(U336,$B$11-SUM(X336:AD336)-SUM(V336:W336)))</f>
        <v>0</v>
      </c>
      <c r="AF336" s="27" t="n">
        <f aca="false">MIN(J335*(1+J$8),MAX(V336,$B$11-SUM(X336:AE336)-SUM(W336:W336)))</f>
        <v>0</v>
      </c>
      <c r="AG336" s="27" t="n">
        <f aca="false">MIN(K335*(1+K$8),MAX(W336,$B$11-SUM(X336:AF336)))</f>
        <v>0</v>
      </c>
      <c r="AI336" s="27" t="n">
        <f aca="false">ROUND(MAX(0,AI335*(1+B$8)-BE336),2)</f>
        <v>0</v>
      </c>
      <c r="AJ336" s="27" t="n">
        <f aca="false">ROUND(MAX(0,AJ335*(1+C$8)-BF336),2)</f>
        <v>0</v>
      </c>
      <c r="AK336" s="27" t="n">
        <f aca="false">ROUND(MAX(0,AK335*(1+D$8)-BG336),2)</f>
        <v>0</v>
      </c>
      <c r="AL336" s="27" t="n">
        <f aca="false">ROUND(MAX(0,AL335*(1+E$8)-BH336),2)</f>
        <v>0</v>
      </c>
      <c r="AM336" s="27" t="n">
        <f aca="false">ROUND(MAX(0,AM335*(1+F$8)-BI336),2)</f>
        <v>0</v>
      </c>
      <c r="AN336" s="27" t="n">
        <f aca="false">ROUND(MAX(0,AN335*(1+G$8)-BJ336),2)</f>
        <v>0</v>
      </c>
      <c r="AO336" s="27" t="n">
        <f aca="false">ROUND(MAX(0,AO335*(1+H$8)-BK336),2)</f>
        <v>0</v>
      </c>
      <c r="AP336" s="27" t="n">
        <f aca="false">ROUND(MAX(0,AP335*(1+I$8)-BL336),2)</f>
        <v>0</v>
      </c>
      <c r="AQ336" s="27" t="n">
        <f aca="false">ROUND(MAX(0,AQ335*(1+J$8)-BM336),2)</f>
        <v>0</v>
      </c>
      <c r="AR336" s="27" t="n">
        <f aca="false">ROUND(MAX(0,AR335*(1+K$8)-BN336),2)</f>
        <v>0</v>
      </c>
      <c r="AS336" s="27" t="n">
        <f aca="false">SUM(AI336:AR336)</f>
        <v>0</v>
      </c>
      <c r="AT336" s="27" t="n">
        <f aca="false">SUMPRODUCT(AI335:AR335,$B$8:$K$8)</f>
        <v>0</v>
      </c>
      <c r="AU336" s="27" t="n">
        <f aca="false">MIN(AI335*(1+B$8),B$9)</f>
        <v>0</v>
      </c>
      <c r="AV336" s="27" t="n">
        <f aca="false">MIN(AJ335*(1+C$8),C$9)</f>
        <v>0</v>
      </c>
      <c r="AW336" s="27" t="n">
        <f aca="false">MIN(AK335*(1+D$8),D$9)</f>
        <v>0</v>
      </c>
      <c r="AX336" s="27" t="n">
        <f aca="false">MIN(AL335*(1+E$8),E$9)</f>
        <v>0</v>
      </c>
      <c r="AY336" s="27" t="n">
        <f aca="false">MIN(AM335*(1+F$8),F$9)</f>
        <v>0</v>
      </c>
      <c r="AZ336" s="27" t="n">
        <f aca="false">MIN(AN335*(1+G$8),G$9)</f>
        <v>0</v>
      </c>
      <c r="BA336" s="27" t="n">
        <f aca="false">MIN(AO335*(1+H$8),H$9)</f>
        <v>0</v>
      </c>
      <c r="BB336" s="27" t="n">
        <f aca="false">MIN(AP335*(1+I$8),I$9)</f>
        <v>0</v>
      </c>
      <c r="BC336" s="27" t="n">
        <f aca="false">MIN(AQ335*(1+J$8),J$9)</f>
        <v>0</v>
      </c>
      <c r="BD336" s="27" t="n">
        <f aca="false">MIN(AR335*(1+K$8),K$9)</f>
        <v>0</v>
      </c>
      <c r="BE336" s="27" t="n">
        <f aca="false">MIN(AI335*(1+B$8),MAX(AU336,$B$12-SUM(AV336:BD336)))</f>
        <v>0</v>
      </c>
      <c r="BF336" s="27" t="n">
        <f aca="false">MIN(AJ335*(1+C$8),MAX(AV336,$B$12-SUM(BE336:BE336)-SUM(AW336:BD336)))</f>
        <v>0</v>
      </c>
      <c r="BG336" s="27" t="n">
        <f aca="false">MIN(AK335*(1+D$8),MAX(AW336,$B$12-SUM(BE336:BF336)-SUM(AX336:BD336)))</f>
        <v>0</v>
      </c>
      <c r="BH336" s="27" t="n">
        <f aca="false">MIN(AL335*(1+E$8),MAX(AX336,$B$12-SUM(BE336:BG336)-SUM(AY336:BD336)))</f>
        <v>0</v>
      </c>
      <c r="BI336" s="27" t="n">
        <f aca="false">MIN(AM335*(1+F$8),MAX(AY336,$B$12-SUM(BE336:BH336)-SUM(AZ336:BD336)))</f>
        <v>0</v>
      </c>
      <c r="BJ336" s="27" t="n">
        <f aca="false">MIN(AN335*(1+G$8),MAX(AZ336,$B$12-SUM(BE336:BI336)-SUM(BA336:BD336)))</f>
        <v>0</v>
      </c>
      <c r="BK336" s="27" t="n">
        <f aca="false">MIN(AO335*(1+H$8),MAX(BA336,$B$12-SUM(BE336:BJ336)-SUM(BB336:BD336)))</f>
        <v>0</v>
      </c>
      <c r="BL336" s="27" t="n">
        <f aca="false">MIN(AP335*(1+I$8),MAX(BB336,$B$12-SUM(BE336:BK336)-SUM(BC336:BD336)))</f>
        <v>0</v>
      </c>
      <c r="BM336" s="27" t="n">
        <f aca="false">MIN(AQ335*(1+J$8),MAX(BC336,$B$12-SUM(BE336:BL336)-SUM(BD336:BD336)))</f>
        <v>0</v>
      </c>
      <c r="BN336" s="27" t="n">
        <f aca="false">MIN(AR335*(1+K$8),MAX(BD336,$B$12-SUM(BE336:BM336)))</f>
        <v>0</v>
      </c>
    </row>
    <row r="337" customFormat="false" ht="15" hidden="false" customHeight="false" outlineLevel="0" collapsed="false">
      <c r="A337" s="0" t="n">
        <v>323</v>
      </c>
      <c r="B337" s="27" t="n">
        <f aca="false">ROUND(MAX(0,B336*(1+B$8)-X337),2)</f>
        <v>0</v>
      </c>
      <c r="C337" s="27" t="n">
        <f aca="false">ROUND(MAX(0,C336*(1+C$8)-Y337),2)</f>
        <v>0</v>
      </c>
      <c r="D337" s="27" t="n">
        <f aca="false">ROUND(MAX(0,D336*(1+D$8)-Z337),2)</f>
        <v>0</v>
      </c>
      <c r="E337" s="27" t="n">
        <f aca="false">ROUND(MAX(0,E336*(1+E$8)-AA337),2)</f>
        <v>0</v>
      </c>
      <c r="F337" s="27" t="n">
        <f aca="false">ROUND(MAX(0,F336*(1+F$8)-AB337),2)</f>
        <v>0</v>
      </c>
      <c r="G337" s="27" t="n">
        <f aca="false">ROUND(MAX(0,G336*(1+G$8)-AC337),2)</f>
        <v>0</v>
      </c>
      <c r="H337" s="27" t="n">
        <f aca="false">ROUND(MAX(0,H336*(1+H$8)-AD337),2)</f>
        <v>0</v>
      </c>
      <c r="I337" s="27" t="n">
        <f aca="false">ROUND(MAX(0,I336*(1+I$8)-AE337),2)</f>
        <v>0</v>
      </c>
      <c r="J337" s="27" t="n">
        <f aca="false">ROUND(MAX(0,J336*(1+J$8)-AF337),2)</f>
        <v>0</v>
      </c>
      <c r="K337" s="27" t="n">
        <f aca="false">ROUND(MAX(0,K336*(1+K$8)-AG337),2)</f>
        <v>0</v>
      </c>
      <c r="L337" s="30" t="n">
        <f aca="false">SUM(B337:K337)</f>
        <v>0</v>
      </c>
      <c r="M337" s="27" t="n">
        <f aca="false">SUMPRODUCT(B336:K336,$B$8:$K$8)</f>
        <v>0</v>
      </c>
      <c r="N337" s="27" t="n">
        <f aca="false">MIN(B336*(1+B$8),B$9)</f>
        <v>0</v>
      </c>
      <c r="O337" s="27" t="n">
        <f aca="false">MIN(C336*(1+C$8),C$9)</f>
        <v>0</v>
      </c>
      <c r="P337" s="27" t="n">
        <f aca="false">MIN(D336*(1+D$8),D$9)</f>
        <v>0</v>
      </c>
      <c r="Q337" s="27" t="n">
        <f aca="false">MIN(E336*(1+E$8),E$9)</f>
        <v>0</v>
      </c>
      <c r="R337" s="27" t="n">
        <f aca="false">MIN(F336*(1+F$8),F$9)</f>
        <v>0</v>
      </c>
      <c r="S337" s="27" t="n">
        <f aca="false">MIN(G336*(1+G$8),G$9)</f>
        <v>0</v>
      </c>
      <c r="T337" s="27" t="n">
        <f aca="false">MIN(H336*(1+H$8),H$9)</f>
        <v>0</v>
      </c>
      <c r="U337" s="27" t="n">
        <f aca="false">MIN(I336*(1+I$8),I$9)</f>
        <v>0</v>
      </c>
      <c r="V337" s="27" t="n">
        <f aca="false">MIN(J336*(1+J$8),J$9)</f>
        <v>0</v>
      </c>
      <c r="W337" s="27" t="n">
        <f aca="false">MIN(K336*(1+K$8),K$9)</f>
        <v>0</v>
      </c>
      <c r="X337" s="27" t="n">
        <f aca="false">MIN(B336*(1+B$8),MAX(N337,$B$11-SUM(O337:W337)))</f>
        <v>0</v>
      </c>
      <c r="Y337" s="27" t="n">
        <f aca="false">MIN(C336*(1+C$8),MAX(O337,$B$11-SUM(X337:X337)-SUM(P337:W337)))</f>
        <v>0</v>
      </c>
      <c r="Z337" s="27" t="n">
        <f aca="false">MIN(D336*(1+D$8),MAX(P337,$B$11-SUM(X337:Y337)-SUM(Q337:W337)))</f>
        <v>0</v>
      </c>
      <c r="AA337" s="27" t="n">
        <f aca="false">MIN(E336*(1+E$8),MAX(Q337,$B$11-SUM(X337:Z337)-SUM(R337:W337)))</f>
        <v>0</v>
      </c>
      <c r="AB337" s="27" t="n">
        <f aca="false">MIN(F336*(1+F$8),MAX(R337,$B$11-SUM(X337:AA337)-SUM(S337:W337)))</f>
        <v>0</v>
      </c>
      <c r="AC337" s="27" t="n">
        <f aca="false">MIN(G336*(1+G$8),MAX(S337,$B$11-SUM(X337:AB337)-SUM(T337:W337)))</f>
        <v>0</v>
      </c>
      <c r="AD337" s="27" t="n">
        <f aca="false">MIN(H336*(1+H$8),MAX(T337,$B$11-SUM(X337:AC337)-SUM(U337:W337)))</f>
        <v>0</v>
      </c>
      <c r="AE337" s="27" t="n">
        <f aca="false">MIN(I336*(1+I$8),MAX(U337,$B$11-SUM(X337:AD337)-SUM(V337:W337)))</f>
        <v>0</v>
      </c>
      <c r="AF337" s="27" t="n">
        <f aca="false">MIN(J336*(1+J$8),MAX(V337,$B$11-SUM(X337:AE337)-SUM(W337:W337)))</f>
        <v>0</v>
      </c>
      <c r="AG337" s="27" t="n">
        <f aca="false">MIN(K336*(1+K$8),MAX(W337,$B$11-SUM(X337:AF337)))</f>
        <v>0</v>
      </c>
      <c r="AI337" s="27" t="n">
        <f aca="false">ROUND(MAX(0,AI336*(1+B$8)-BE337),2)</f>
        <v>0</v>
      </c>
      <c r="AJ337" s="27" t="n">
        <f aca="false">ROUND(MAX(0,AJ336*(1+C$8)-BF337),2)</f>
        <v>0</v>
      </c>
      <c r="AK337" s="27" t="n">
        <f aca="false">ROUND(MAX(0,AK336*(1+D$8)-BG337),2)</f>
        <v>0</v>
      </c>
      <c r="AL337" s="27" t="n">
        <f aca="false">ROUND(MAX(0,AL336*(1+E$8)-BH337),2)</f>
        <v>0</v>
      </c>
      <c r="AM337" s="27" t="n">
        <f aca="false">ROUND(MAX(0,AM336*(1+F$8)-BI337),2)</f>
        <v>0</v>
      </c>
      <c r="AN337" s="27" t="n">
        <f aca="false">ROUND(MAX(0,AN336*(1+G$8)-BJ337),2)</f>
        <v>0</v>
      </c>
      <c r="AO337" s="27" t="n">
        <f aca="false">ROUND(MAX(0,AO336*(1+H$8)-BK337),2)</f>
        <v>0</v>
      </c>
      <c r="AP337" s="27" t="n">
        <f aca="false">ROUND(MAX(0,AP336*(1+I$8)-BL337),2)</f>
        <v>0</v>
      </c>
      <c r="AQ337" s="27" t="n">
        <f aca="false">ROUND(MAX(0,AQ336*(1+J$8)-BM337),2)</f>
        <v>0</v>
      </c>
      <c r="AR337" s="27" t="n">
        <f aca="false">ROUND(MAX(0,AR336*(1+K$8)-BN337),2)</f>
        <v>0</v>
      </c>
      <c r="AS337" s="27" t="n">
        <f aca="false">SUM(AI337:AR337)</f>
        <v>0</v>
      </c>
      <c r="AT337" s="27" t="n">
        <f aca="false">SUMPRODUCT(AI336:AR336,$B$8:$K$8)</f>
        <v>0</v>
      </c>
      <c r="AU337" s="27" t="n">
        <f aca="false">MIN(AI336*(1+B$8),B$9)</f>
        <v>0</v>
      </c>
      <c r="AV337" s="27" t="n">
        <f aca="false">MIN(AJ336*(1+C$8),C$9)</f>
        <v>0</v>
      </c>
      <c r="AW337" s="27" t="n">
        <f aca="false">MIN(AK336*(1+D$8),D$9)</f>
        <v>0</v>
      </c>
      <c r="AX337" s="27" t="n">
        <f aca="false">MIN(AL336*(1+E$8),E$9)</f>
        <v>0</v>
      </c>
      <c r="AY337" s="27" t="n">
        <f aca="false">MIN(AM336*(1+F$8),F$9)</f>
        <v>0</v>
      </c>
      <c r="AZ337" s="27" t="n">
        <f aca="false">MIN(AN336*(1+G$8),G$9)</f>
        <v>0</v>
      </c>
      <c r="BA337" s="27" t="n">
        <f aca="false">MIN(AO336*(1+H$8),H$9)</f>
        <v>0</v>
      </c>
      <c r="BB337" s="27" t="n">
        <f aca="false">MIN(AP336*(1+I$8),I$9)</f>
        <v>0</v>
      </c>
      <c r="BC337" s="27" t="n">
        <f aca="false">MIN(AQ336*(1+J$8),J$9)</f>
        <v>0</v>
      </c>
      <c r="BD337" s="27" t="n">
        <f aca="false">MIN(AR336*(1+K$8),K$9)</f>
        <v>0</v>
      </c>
      <c r="BE337" s="27" t="n">
        <f aca="false">MIN(AI336*(1+B$8),MAX(AU337,$B$12-SUM(AV337:BD337)))</f>
        <v>0</v>
      </c>
      <c r="BF337" s="27" t="n">
        <f aca="false">MIN(AJ336*(1+C$8),MAX(AV337,$B$12-SUM(BE337:BE337)-SUM(AW337:BD337)))</f>
        <v>0</v>
      </c>
      <c r="BG337" s="27" t="n">
        <f aca="false">MIN(AK336*(1+D$8),MAX(AW337,$B$12-SUM(BE337:BF337)-SUM(AX337:BD337)))</f>
        <v>0</v>
      </c>
      <c r="BH337" s="27" t="n">
        <f aca="false">MIN(AL336*(1+E$8),MAX(AX337,$B$12-SUM(BE337:BG337)-SUM(AY337:BD337)))</f>
        <v>0</v>
      </c>
      <c r="BI337" s="27" t="n">
        <f aca="false">MIN(AM336*(1+F$8),MAX(AY337,$B$12-SUM(BE337:BH337)-SUM(AZ337:BD337)))</f>
        <v>0</v>
      </c>
      <c r="BJ337" s="27" t="n">
        <f aca="false">MIN(AN336*(1+G$8),MAX(AZ337,$B$12-SUM(BE337:BI337)-SUM(BA337:BD337)))</f>
        <v>0</v>
      </c>
      <c r="BK337" s="27" t="n">
        <f aca="false">MIN(AO336*(1+H$8),MAX(BA337,$B$12-SUM(BE337:BJ337)-SUM(BB337:BD337)))</f>
        <v>0</v>
      </c>
      <c r="BL337" s="27" t="n">
        <f aca="false">MIN(AP336*(1+I$8),MAX(BB337,$B$12-SUM(BE337:BK337)-SUM(BC337:BD337)))</f>
        <v>0</v>
      </c>
      <c r="BM337" s="27" t="n">
        <f aca="false">MIN(AQ336*(1+J$8),MAX(BC337,$B$12-SUM(BE337:BL337)-SUM(BD337:BD337)))</f>
        <v>0</v>
      </c>
      <c r="BN337" s="27" t="n">
        <f aca="false">MIN(AR336*(1+K$8),MAX(BD337,$B$12-SUM(BE337:BM337)))</f>
        <v>0</v>
      </c>
    </row>
    <row r="338" customFormat="false" ht="15" hidden="false" customHeight="false" outlineLevel="0" collapsed="false">
      <c r="A338" s="0" t="n">
        <v>324</v>
      </c>
      <c r="B338" s="27" t="n">
        <f aca="false">ROUND(MAX(0,B337*(1+B$8)-X338),2)</f>
        <v>0</v>
      </c>
      <c r="C338" s="27" t="n">
        <f aca="false">ROUND(MAX(0,C337*(1+C$8)-Y338),2)</f>
        <v>0</v>
      </c>
      <c r="D338" s="27" t="n">
        <f aca="false">ROUND(MAX(0,D337*(1+D$8)-Z338),2)</f>
        <v>0</v>
      </c>
      <c r="E338" s="27" t="n">
        <f aca="false">ROUND(MAX(0,E337*(1+E$8)-AA338),2)</f>
        <v>0</v>
      </c>
      <c r="F338" s="27" t="n">
        <f aca="false">ROUND(MAX(0,F337*(1+F$8)-AB338),2)</f>
        <v>0</v>
      </c>
      <c r="G338" s="27" t="n">
        <f aca="false">ROUND(MAX(0,G337*(1+G$8)-AC338),2)</f>
        <v>0</v>
      </c>
      <c r="H338" s="27" t="n">
        <f aca="false">ROUND(MAX(0,H337*(1+H$8)-AD338),2)</f>
        <v>0</v>
      </c>
      <c r="I338" s="27" t="n">
        <f aca="false">ROUND(MAX(0,I337*(1+I$8)-AE338),2)</f>
        <v>0</v>
      </c>
      <c r="J338" s="27" t="n">
        <f aca="false">ROUND(MAX(0,J337*(1+J$8)-AF338),2)</f>
        <v>0</v>
      </c>
      <c r="K338" s="27" t="n">
        <f aca="false">ROUND(MAX(0,K337*(1+K$8)-AG338),2)</f>
        <v>0</v>
      </c>
      <c r="L338" s="30" t="n">
        <f aca="false">SUM(B338:K338)</f>
        <v>0</v>
      </c>
      <c r="M338" s="27" t="n">
        <f aca="false">SUMPRODUCT(B337:K337,$B$8:$K$8)</f>
        <v>0</v>
      </c>
      <c r="N338" s="27" t="n">
        <f aca="false">MIN(B337*(1+B$8),B$9)</f>
        <v>0</v>
      </c>
      <c r="O338" s="27" t="n">
        <f aca="false">MIN(C337*(1+C$8),C$9)</f>
        <v>0</v>
      </c>
      <c r="P338" s="27" t="n">
        <f aca="false">MIN(D337*(1+D$8),D$9)</f>
        <v>0</v>
      </c>
      <c r="Q338" s="27" t="n">
        <f aca="false">MIN(E337*(1+E$8),E$9)</f>
        <v>0</v>
      </c>
      <c r="R338" s="27" t="n">
        <f aca="false">MIN(F337*(1+F$8),F$9)</f>
        <v>0</v>
      </c>
      <c r="S338" s="27" t="n">
        <f aca="false">MIN(G337*(1+G$8),G$9)</f>
        <v>0</v>
      </c>
      <c r="T338" s="27" t="n">
        <f aca="false">MIN(H337*(1+H$8),H$9)</f>
        <v>0</v>
      </c>
      <c r="U338" s="27" t="n">
        <f aca="false">MIN(I337*(1+I$8),I$9)</f>
        <v>0</v>
      </c>
      <c r="V338" s="27" t="n">
        <f aca="false">MIN(J337*(1+J$8),J$9)</f>
        <v>0</v>
      </c>
      <c r="W338" s="27" t="n">
        <f aca="false">MIN(K337*(1+K$8),K$9)</f>
        <v>0</v>
      </c>
      <c r="X338" s="27" t="n">
        <f aca="false">MIN(B337*(1+B$8),MAX(N338,$B$11-SUM(O338:W338)))</f>
        <v>0</v>
      </c>
      <c r="Y338" s="27" t="n">
        <f aca="false">MIN(C337*(1+C$8),MAX(O338,$B$11-SUM(X338:X338)-SUM(P338:W338)))</f>
        <v>0</v>
      </c>
      <c r="Z338" s="27" t="n">
        <f aca="false">MIN(D337*(1+D$8),MAX(P338,$B$11-SUM(X338:Y338)-SUM(Q338:W338)))</f>
        <v>0</v>
      </c>
      <c r="AA338" s="27" t="n">
        <f aca="false">MIN(E337*(1+E$8),MAX(Q338,$B$11-SUM(X338:Z338)-SUM(R338:W338)))</f>
        <v>0</v>
      </c>
      <c r="AB338" s="27" t="n">
        <f aca="false">MIN(F337*(1+F$8),MAX(R338,$B$11-SUM(X338:AA338)-SUM(S338:W338)))</f>
        <v>0</v>
      </c>
      <c r="AC338" s="27" t="n">
        <f aca="false">MIN(G337*(1+G$8),MAX(S338,$B$11-SUM(X338:AB338)-SUM(T338:W338)))</f>
        <v>0</v>
      </c>
      <c r="AD338" s="27" t="n">
        <f aca="false">MIN(H337*(1+H$8),MAX(T338,$B$11-SUM(X338:AC338)-SUM(U338:W338)))</f>
        <v>0</v>
      </c>
      <c r="AE338" s="27" t="n">
        <f aca="false">MIN(I337*(1+I$8),MAX(U338,$B$11-SUM(X338:AD338)-SUM(V338:W338)))</f>
        <v>0</v>
      </c>
      <c r="AF338" s="27" t="n">
        <f aca="false">MIN(J337*(1+J$8),MAX(V338,$B$11-SUM(X338:AE338)-SUM(W338:W338)))</f>
        <v>0</v>
      </c>
      <c r="AG338" s="27" t="n">
        <f aca="false">MIN(K337*(1+K$8),MAX(W338,$B$11-SUM(X338:AF338)))</f>
        <v>0</v>
      </c>
      <c r="AI338" s="27" t="n">
        <f aca="false">ROUND(MAX(0,AI337*(1+B$8)-BE338),2)</f>
        <v>0</v>
      </c>
      <c r="AJ338" s="27" t="n">
        <f aca="false">ROUND(MAX(0,AJ337*(1+C$8)-BF338),2)</f>
        <v>0</v>
      </c>
      <c r="AK338" s="27" t="n">
        <f aca="false">ROUND(MAX(0,AK337*(1+D$8)-BG338),2)</f>
        <v>0</v>
      </c>
      <c r="AL338" s="27" t="n">
        <f aca="false">ROUND(MAX(0,AL337*(1+E$8)-BH338),2)</f>
        <v>0</v>
      </c>
      <c r="AM338" s="27" t="n">
        <f aca="false">ROUND(MAX(0,AM337*(1+F$8)-BI338),2)</f>
        <v>0</v>
      </c>
      <c r="AN338" s="27" t="n">
        <f aca="false">ROUND(MAX(0,AN337*(1+G$8)-BJ338),2)</f>
        <v>0</v>
      </c>
      <c r="AO338" s="27" t="n">
        <f aca="false">ROUND(MAX(0,AO337*(1+H$8)-BK338),2)</f>
        <v>0</v>
      </c>
      <c r="AP338" s="27" t="n">
        <f aca="false">ROUND(MAX(0,AP337*(1+I$8)-BL338),2)</f>
        <v>0</v>
      </c>
      <c r="AQ338" s="27" t="n">
        <f aca="false">ROUND(MAX(0,AQ337*(1+J$8)-BM338),2)</f>
        <v>0</v>
      </c>
      <c r="AR338" s="27" t="n">
        <f aca="false">ROUND(MAX(0,AR337*(1+K$8)-BN338),2)</f>
        <v>0</v>
      </c>
      <c r="AS338" s="27" t="n">
        <f aca="false">SUM(AI338:AR338)</f>
        <v>0</v>
      </c>
      <c r="AT338" s="27" t="n">
        <f aca="false">SUMPRODUCT(AI337:AR337,$B$8:$K$8)</f>
        <v>0</v>
      </c>
      <c r="AU338" s="27" t="n">
        <f aca="false">MIN(AI337*(1+B$8),B$9)</f>
        <v>0</v>
      </c>
      <c r="AV338" s="27" t="n">
        <f aca="false">MIN(AJ337*(1+C$8),C$9)</f>
        <v>0</v>
      </c>
      <c r="AW338" s="27" t="n">
        <f aca="false">MIN(AK337*(1+D$8),D$9)</f>
        <v>0</v>
      </c>
      <c r="AX338" s="27" t="n">
        <f aca="false">MIN(AL337*(1+E$8),E$9)</f>
        <v>0</v>
      </c>
      <c r="AY338" s="27" t="n">
        <f aca="false">MIN(AM337*(1+F$8),F$9)</f>
        <v>0</v>
      </c>
      <c r="AZ338" s="27" t="n">
        <f aca="false">MIN(AN337*(1+G$8),G$9)</f>
        <v>0</v>
      </c>
      <c r="BA338" s="27" t="n">
        <f aca="false">MIN(AO337*(1+H$8),H$9)</f>
        <v>0</v>
      </c>
      <c r="BB338" s="27" t="n">
        <f aca="false">MIN(AP337*(1+I$8),I$9)</f>
        <v>0</v>
      </c>
      <c r="BC338" s="27" t="n">
        <f aca="false">MIN(AQ337*(1+J$8),J$9)</f>
        <v>0</v>
      </c>
      <c r="BD338" s="27" t="n">
        <f aca="false">MIN(AR337*(1+K$8),K$9)</f>
        <v>0</v>
      </c>
      <c r="BE338" s="27" t="n">
        <f aca="false">MIN(AI337*(1+B$8),MAX(AU338,$B$12-SUM(AV338:BD338)))</f>
        <v>0</v>
      </c>
      <c r="BF338" s="27" t="n">
        <f aca="false">MIN(AJ337*(1+C$8),MAX(AV338,$B$12-SUM(BE338:BE338)-SUM(AW338:BD338)))</f>
        <v>0</v>
      </c>
      <c r="BG338" s="27" t="n">
        <f aca="false">MIN(AK337*(1+D$8),MAX(AW338,$B$12-SUM(BE338:BF338)-SUM(AX338:BD338)))</f>
        <v>0</v>
      </c>
      <c r="BH338" s="27" t="n">
        <f aca="false">MIN(AL337*(1+E$8),MAX(AX338,$B$12-SUM(BE338:BG338)-SUM(AY338:BD338)))</f>
        <v>0</v>
      </c>
      <c r="BI338" s="27" t="n">
        <f aca="false">MIN(AM337*(1+F$8),MAX(AY338,$B$12-SUM(BE338:BH338)-SUM(AZ338:BD338)))</f>
        <v>0</v>
      </c>
      <c r="BJ338" s="27" t="n">
        <f aca="false">MIN(AN337*(1+G$8),MAX(AZ338,$B$12-SUM(BE338:BI338)-SUM(BA338:BD338)))</f>
        <v>0</v>
      </c>
      <c r="BK338" s="27" t="n">
        <f aca="false">MIN(AO337*(1+H$8),MAX(BA338,$B$12-SUM(BE338:BJ338)-SUM(BB338:BD338)))</f>
        <v>0</v>
      </c>
      <c r="BL338" s="27" t="n">
        <f aca="false">MIN(AP337*(1+I$8),MAX(BB338,$B$12-SUM(BE338:BK338)-SUM(BC338:BD338)))</f>
        <v>0</v>
      </c>
      <c r="BM338" s="27" t="n">
        <f aca="false">MIN(AQ337*(1+J$8),MAX(BC338,$B$12-SUM(BE338:BL338)-SUM(BD338:BD338)))</f>
        <v>0</v>
      </c>
      <c r="BN338" s="27" t="n">
        <f aca="false">MIN(AR337*(1+K$8),MAX(BD338,$B$12-SUM(BE338:BM338)))</f>
        <v>0</v>
      </c>
    </row>
    <row r="339" customFormat="false" ht="15" hidden="false" customHeight="false" outlineLevel="0" collapsed="false">
      <c r="A339" s="0" t="n">
        <v>325</v>
      </c>
      <c r="B339" s="27" t="n">
        <f aca="false">ROUND(MAX(0,B338*(1+B$8)-X339),2)</f>
        <v>0</v>
      </c>
      <c r="C339" s="27" t="n">
        <f aca="false">ROUND(MAX(0,C338*(1+C$8)-Y339),2)</f>
        <v>0</v>
      </c>
      <c r="D339" s="27" t="n">
        <f aca="false">ROUND(MAX(0,D338*(1+D$8)-Z339),2)</f>
        <v>0</v>
      </c>
      <c r="E339" s="27" t="n">
        <f aca="false">ROUND(MAX(0,E338*(1+E$8)-AA339),2)</f>
        <v>0</v>
      </c>
      <c r="F339" s="27" t="n">
        <f aca="false">ROUND(MAX(0,F338*(1+F$8)-AB339),2)</f>
        <v>0</v>
      </c>
      <c r="G339" s="27" t="n">
        <f aca="false">ROUND(MAX(0,G338*(1+G$8)-AC339),2)</f>
        <v>0</v>
      </c>
      <c r="H339" s="27" t="n">
        <f aca="false">ROUND(MAX(0,H338*(1+H$8)-AD339),2)</f>
        <v>0</v>
      </c>
      <c r="I339" s="27" t="n">
        <f aca="false">ROUND(MAX(0,I338*(1+I$8)-AE339),2)</f>
        <v>0</v>
      </c>
      <c r="J339" s="27" t="n">
        <f aca="false">ROUND(MAX(0,J338*(1+J$8)-AF339),2)</f>
        <v>0</v>
      </c>
      <c r="K339" s="27" t="n">
        <f aca="false">ROUND(MAX(0,K338*(1+K$8)-AG339),2)</f>
        <v>0</v>
      </c>
      <c r="L339" s="30" t="n">
        <f aca="false">SUM(B339:K339)</f>
        <v>0</v>
      </c>
      <c r="M339" s="27" t="n">
        <f aca="false">SUMPRODUCT(B338:K338,$B$8:$K$8)</f>
        <v>0</v>
      </c>
      <c r="N339" s="27" t="n">
        <f aca="false">MIN(B338*(1+B$8),B$9)</f>
        <v>0</v>
      </c>
      <c r="O339" s="27" t="n">
        <f aca="false">MIN(C338*(1+C$8),C$9)</f>
        <v>0</v>
      </c>
      <c r="P339" s="27" t="n">
        <f aca="false">MIN(D338*(1+D$8),D$9)</f>
        <v>0</v>
      </c>
      <c r="Q339" s="27" t="n">
        <f aca="false">MIN(E338*(1+E$8),E$9)</f>
        <v>0</v>
      </c>
      <c r="R339" s="27" t="n">
        <f aca="false">MIN(F338*(1+F$8),F$9)</f>
        <v>0</v>
      </c>
      <c r="S339" s="27" t="n">
        <f aca="false">MIN(G338*(1+G$8),G$9)</f>
        <v>0</v>
      </c>
      <c r="T339" s="27" t="n">
        <f aca="false">MIN(H338*(1+H$8),H$9)</f>
        <v>0</v>
      </c>
      <c r="U339" s="27" t="n">
        <f aca="false">MIN(I338*(1+I$8),I$9)</f>
        <v>0</v>
      </c>
      <c r="V339" s="27" t="n">
        <f aca="false">MIN(J338*(1+J$8),J$9)</f>
        <v>0</v>
      </c>
      <c r="W339" s="27" t="n">
        <f aca="false">MIN(K338*(1+K$8),K$9)</f>
        <v>0</v>
      </c>
      <c r="X339" s="27" t="n">
        <f aca="false">MIN(B338*(1+B$8),MAX(N339,$B$11-SUM(O339:W339)))</f>
        <v>0</v>
      </c>
      <c r="Y339" s="27" t="n">
        <f aca="false">MIN(C338*(1+C$8),MAX(O339,$B$11-SUM(X339:X339)-SUM(P339:W339)))</f>
        <v>0</v>
      </c>
      <c r="Z339" s="27" t="n">
        <f aca="false">MIN(D338*(1+D$8),MAX(P339,$B$11-SUM(X339:Y339)-SUM(Q339:W339)))</f>
        <v>0</v>
      </c>
      <c r="AA339" s="27" t="n">
        <f aca="false">MIN(E338*(1+E$8),MAX(Q339,$B$11-SUM(X339:Z339)-SUM(R339:W339)))</f>
        <v>0</v>
      </c>
      <c r="AB339" s="27" t="n">
        <f aca="false">MIN(F338*(1+F$8),MAX(R339,$B$11-SUM(X339:AA339)-SUM(S339:W339)))</f>
        <v>0</v>
      </c>
      <c r="AC339" s="27" t="n">
        <f aca="false">MIN(G338*(1+G$8),MAX(S339,$B$11-SUM(X339:AB339)-SUM(T339:W339)))</f>
        <v>0</v>
      </c>
      <c r="AD339" s="27" t="n">
        <f aca="false">MIN(H338*(1+H$8),MAX(T339,$B$11-SUM(X339:AC339)-SUM(U339:W339)))</f>
        <v>0</v>
      </c>
      <c r="AE339" s="27" t="n">
        <f aca="false">MIN(I338*(1+I$8),MAX(U339,$B$11-SUM(X339:AD339)-SUM(V339:W339)))</f>
        <v>0</v>
      </c>
      <c r="AF339" s="27" t="n">
        <f aca="false">MIN(J338*(1+J$8),MAX(V339,$B$11-SUM(X339:AE339)-SUM(W339:W339)))</f>
        <v>0</v>
      </c>
      <c r="AG339" s="27" t="n">
        <f aca="false">MIN(K338*(1+K$8),MAX(W339,$B$11-SUM(X339:AF339)))</f>
        <v>0</v>
      </c>
      <c r="AI339" s="27" t="n">
        <f aca="false">ROUND(MAX(0,AI338*(1+B$8)-BE339),2)</f>
        <v>0</v>
      </c>
      <c r="AJ339" s="27" t="n">
        <f aca="false">ROUND(MAX(0,AJ338*(1+C$8)-BF339),2)</f>
        <v>0</v>
      </c>
      <c r="AK339" s="27" t="n">
        <f aca="false">ROUND(MAX(0,AK338*(1+D$8)-BG339),2)</f>
        <v>0</v>
      </c>
      <c r="AL339" s="27" t="n">
        <f aca="false">ROUND(MAX(0,AL338*(1+E$8)-BH339),2)</f>
        <v>0</v>
      </c>
      <c r="AM339" s="27" t="n">
        <f aca="false">ROUND(MAX(0,AM338*(1+F$8)-BI339),2)</f>
        <v>0</v>
      </c>
      <c r="AN339" s="27" t="n">
        <f aca="false">ROUND(MAX(0,AN338*(1+G$8)-BJ339),2)</f>
        <v>0</v>
      </c>
      <c r="AO339" s="27" t="n">
        <f aca="false">ROUND(MAX(0,AO338*(1+H$8)-BK339),2)</f>
        <v>0</v>
      </c>
      <c r="AP339" s="27" t="n">
        <f aca="false">ROUND(MAX(0,AP338*(1+I$8)-BL339),2)</f>
        <v>0</v>
      </c>
      <c r="AQ339" s="27" t="n">
        <f aca="false">ROUND(MAX(0,AQ338*(1+J$8)-BM339),2)</f>
        <v>0</v>
      </c>
      <c r="AR339" s="27" t="n">
        <f aca="false">ROUND(MAX(0,AR338*(1+K$8)-BN339),2)</f>
        <v>0</v>
      </c>
      <c r="AS339" s="27" t="n">
        <f aca="false">SUM(AI339:AR339)</f>
        <v>0</v>
      </c>
      <c r="AT339" s="27" t="n">
        <f aca="false">SUMPRODUCT(AI338:AR338,$B$8:$K$8)</f>
        <v>0</v>
      </c>
      <c r="AU339" s="27" t="n">
        <f aca="false">MIN(AI338*(1+B$8),B$9)</f>
        <v>0</v>
      </c>
      <c r="AV339" s="27" t="n">
        <f aca="false">MIN(AJ338*(1+C$8),C$9)</f>
        <v>0</v>
      </c>
      <c r="AW339" s="27" t="n">
        <f aca="false">MIN(AK338*(1+D$8),D$9)</f>
        <v>0</v>
      </c>
      <c r="AX339" s="27" t="n">
        <f aca="false">MIN(AL338*(1+E$8),E$9)</f>
        <v>0</v>
      </c>
      <c r="AY339" s="27" t="n">
        <f aca="false">MIN(AM338*(1+F$8),F$9)</f>
        <v>0</v>
      </c>
      <c r="AZ339" s="27" t="n">
        <f aca="false">MIN(AN338*(1+G$8),G$9)</f>
        <v>0</v>
      </c>
      <c r="BA339" s="27" t="n">
        <f aca="false">MIN(AO338*(1+H$8),H$9)</f>
        <v>0</v>
      </c>
      <c r="BB339" s="27" t="n">
        <f aca="false">MIN(AP338*(1+I$8),I$9)</f>
        <v>0</v>
      </c>
      <c r="BC339" s="27" t="n">
        <f aca="false">MIN(AQ338*(1+J$8),J$9)</f>
        <v>0</v>
      </c>
      <c r="BD339" s="27" t="n">
        <f aca="false">MIN(AR338*(1+K$8),K$9)</f>
        <v>0</v>
      </c>
      <c r="BE339" s="27" t="n">
        <f aca="false">MIN(AI338*(1+B$8),MAX(AU339,$B$12-SUM(AV339:BD339)))</f>
        <v>0</v>
      </c>
      <c r="BF339" s="27" t="n">
        <f aca="false">MIN(AJ338*(1+C$8),MAX(AV339,$B$12-SUM(BE339:BE339)-SUM(AW339:BD339)))</f>
        <v>0</v>
      </c>
      <c r="BG339" s="27" t="n">
        <f aca="false">MIN(AK338*(1+D$8),MAX(AW339,$B$12-SUM(BE339:BF339)-SUM(AX339:BD339)))</f>
        <v>0</v>
      </c>
      <c r="BH339" s="27" t="n">
        <f aca="false">MIN(AL338*(1+E$8),MAX(AX339,$B$12-SUM(BE339:BG339)-SUM(AY339:BD339)))</f>
        <v>0</v>
      </c>
      <c r="BI339" s="27" t="n">
        <f aca="false">MIN(AM338*(1+F$8),MAX(AY339,$B$12-SUM(BE339:BH339)-SUM(AZ339:BD339)))</f>
        <v>0</v>
      </c>
      <c r="BJ339" s="27" t="n">
        <f aca="false">MIN(AN338*(1+G$8),MAX(AZ339,$B$12-SUM(BE339:BI339)-SUM(BA339:BD339)))</f>
        <v>0</v>
      </c>
      <c r="BK339" s="27" t="n">
        <f aca="false">MIN(AO338*(1+H$8),MAX(BA339,$B$12-SUM(BE339:BJ339)-SUM(BB339:BD339)))</f>
        <v>0</v>
      </c>
      <c r="BL339" s="27" t="n">
        <f aca="false">MIN(AP338*(1+I$8),MAX(BB339,$B$12-SUM(BE339:BK339)-SUM(BC339:BD339)))</f>
        <v>0</v>
      </c>
      <c r="BM339" s="27" t="n">
        <f aca="false">MIN(AQ338*(1+J$8),MAX(BC339,$B$12-SUM(BE339:BL339)-SUM(BD339:BD339)))</f>
        <v>0</v>
      </c>
      <c r="BN339" s="27" t="n">
        <f aca="false">MIN(AR338*(1+K$8),MAX(BD339,$B$12-SUM(BE339:BM339)))</f>
        <v>0</v>
      </c>
    </row>
    <row r="340" customFormat="false" ht="15" hidden="false" customHeight="false" outlineLevel="0" collapsed="false">
      <c r="A340" s="0" t="n">
        <v>326</v>
      </c>
      <c r="B340" s="27" t="n">
        <f aca="false">ROUND(MAX(0,B339*(1+B$8)-X340),2)</f>
        <v>0</v>
      </c>
      <c r="C340" s="27" t="n">
        <f aca="false">ROUND(MAX(0,C339*(1+C$8)-Y340),2)</f>
        <v>0</v>
      </c>
      <c r="D340" s="27" t="n">
        <f aca="false">ROUND(MAX(0,D339*(1+D$8)-Z340),2)</f>
        <v>0</v>
      </c>
      <c r="E340" s="27" t="n">
        <f aca="false">ROUND(MAX(0,E339*(1+E$8)-AA340),2)</f>
        <v>0</v>
      </c>
      <c r="F340" s="27" t="n">
        <f aca="false">ROUND(MAX(0,F339*(1+F$8)-AB340),2)</f>
        <v>0</v>
      </c>
      <c r="G340" s="27" t="n">
        <f aca="false">ROUND(MAX(0,G339*(1+G$8)-AC340),2)</f>
        <v>0</v>
      </c>
      <c r="H340" s="27" t="n">
        <f aca="false">ROUND(MAX(0,H339*(1+H$8)-AD340),2)</f>
        <v>0</v>
      </c>
      <c r="I340" s="27" t="n">
        <f aca="false">ROUND(MAX(0,I339*(1+I$8)-AE340),2)</f>
        <v>0</v>
      </c>
      <c r="J340" s="27" t="n">
        <f aca="false">ROUND(MAX(0,J339*(1+J$8)-AF340),2)</f>
        <v>0</v>
      </c>
      <c r="K340" s="27" t="n">
        <f aca="false">ROUND(MAX(0,K339*(1+K$8)-AG340),2)</f>
        <v>0</v>
      </c>
      <c r="L340" s="30" t="n">
        <f aca="false">SUM(B340:K340)</f>
        <v>0</v>
      </c>
      <c r="M340" s="27" t="n">
        <f aca="false">SUMPRODUCT(B339:K339,$B$8:$K$8)</f>
        <v>0</v>
      </c>
      <c r="N340" s="27" t="n">
        <f aca="false">MIN(B339*(1+B$8),B$9)</f>
        <v>0</v>
      </c>
      <c r="O340" s="27" t="n">
        <f aca="false">MIN(C339*(1+C$8),C$9)</f>
        <v>0</v>
      </c>
      <c r="P340" s="27" t="n">
        <f aca="false">MIN(D339*(1+D$8),D$9)</f>
        <v>0</v>
      </c>
      <c r="Q340" s="27" t="n">
        <f aca="false">MIN(E339*(1+E$8),E$9)</f>
        <v>0</v>
      </c>
      <c r="R340" s="27" t="n">
        <f aca="false">MIN(F339*(1+F$8),F$9)</f>
        <v>0</v>
      </c>
      <c r="S340" s="27" t="n">
        <f aca="false">MIN(G339*(1+G$8),G$9)</f>
        <v>0</v>
      </c>
      <c r="T340" s="27" t="n">
        <f aca="false">MIN(H339*(1+H$8),H$9)</f>
        <v>0</v>
      </c>
      <c r="U340" s="27" t="n">
        <f aca="false">MIN(I339*(1+I$8),I$9)</f>
        <v>0</v>
      </c>
      <c r="V340" s="27" t="n">
        <f aca="false">MIN(J339*(1+J$8),J$9)</f>
        <v>0</v>
      </c>
      <c r="W340" s="27" t="n">
        <f aca="false">MIN(K339*(1+K$8),K$9)</f>
        <v>0</v>
      </c>
      <c r="X340" s="27" t="n">
        <f aca="false">MIN(B339*(1+B$8),MAX(N340,$B$11-SUM(O340:W340)))</f>
        <v>0</v>
      </c>
      <c r="Y340" s="27" t="n">
        <f aca="false">MIN(C339*(1+C$8),MAX(O340,$B$11-SUM(X340:X340)-SUM(P340:W340)))</f>
        <v>0</v>
      </c>
      <c r="Z340" s="27" t="n">
        <f aca="false">MIN(D339*(1+D$8),MAX(P340,$B$11-SUM(X340:Y340)-SUM(Q340:W340)))</f>
        <v>0</v>
      </c>
      <c r="AA340" s="27" t="n">
        <f aca="false">MIN(E339*(1+E$8),MAX(Q340,$B$11-SUM(X340:Z340)-SUM(R340:W340)))</f>
        <v>0</v>
      </c>
      <c r="AB340" s="27" t="n">
        <f aca="false">MIN(F339*(1+F$8),MAX(R340,$B$11-SUM(X340:AA340)-SUM(S340:W340)))</f>
        <v>0</v>
      </c>
      <c r="AC340" s="27" t="n">
        <f aca="false">MIN(G339*(1+G$8),MAX(S340,$B$11-SUM(X340:AB340)-SUM(T340:W340)))</f>
        <v>0</v>
      </c>
      <c r="AD340" s="27" t="n">
        <f aca="false">MIN(H339*(1+H$8),MAX(T340,$B$11-SUM(X340:AC340)-SUM(U340:W340)))</f>
        <v>0</v>
      </c>
      <c r="AE340" s="27" t="n">
        <f aca="false">MIN(I339*(1+I$8),MAX(U340,$B$11-SUM(X340:AD340)-SUM(V340:W340)))</f>
        <v>0</v>
      </c>
      <c r="AF340" s="27" t="n">
        <f aca="false">MIN(J339*(1+J$8),MAX(V340,$B$11-SUM(X340:AE340)-SUM(W340:W340)))</f>
        <v>0</v>
      </c>
      <c r="AG340" s="27" t="n">
        <f aca="false">MIN(K339*(1+K$8),MAX(W340,$B$11-SUM(X340:AF340)))</f>
        <v>0</v>
      </c>
      <c r="AI340" s="27" t="n">
        <f aca="false">ROUND(MAX(0,AI339*(1+B$8)-BE340),2)</f>
        <v>0</v>
      </c>
      <c r="AJ340" s="27" t="n">
        <f aca="false">ROUND(MAX(0,AJ339*(1+C$8)-BF340),2)</f>
        <v>0</v>
      </c>
      <c r="AK340" s="27" t="n">
        <f aca="false">ROUND(MAX(0,AK339*(1+D$8)-BG340),2)</f>
        <v>0</v>
      </c>
      <c r="AL340" s="27" t="n">
        <f aca="false">ROUND(MAX(0,AL339*(1+E$8)-BH340),2)</f>
        <v>0</v>
      </c>
      <c r="AM340" s="27" t="n">
        <f aca="false">ROUND(MAX(0,AM339*(1+F$8)-BI340),2)</f>
        <v>0</v>
      </c>
      <c r="AN340" s="27" t="n">
        <f aca="false">ROUND(MAX(0,AN339*(1+G$8)-BJ340),2)</f>
        <v>0</v>
      </c>
      <c r="AO340" s="27" t="n">
        <f aca="false">ROUND(MAX(0,AO339*(1+H$8)-BK340),2)</f>
        <v>0</v>
      </c>
      <c r="AP340" s="27" t="n">
        <f aca="false">ROUND(MAX(0,AP339*(1+I$8)-BL340),2)</f>
        <v>0</v>
      </c>
      <c r="AQ340" s="27" t="n">
        <f aca="false">ROUND(MAX(0,AQ339*(1+J$8)-BM340),2)</f>
        <v>0</v>
      </c>
      <c r="AR340" s="27" t="n">
        <f aca="false">ROUND(MAX(0,AR339*(1+K$8)-BN340),2)</f>
        <v>0</v>
      </c>
      <c r="AS340" s="27" t="n">
        <f aca="false">SUM(AI340:AR340)</f>
        <v>0</v>
      </c>
      <c r="AT340" s="27" t="n">
        <f aca="false">SUMPRODUCT(AI339:AR339,$B$8:$K$8)</f>
        <v>0</v>
      </c>
      <c r="AU340" s="27" t="n">
        <f aca="false">MIN(AI339*(1+B$8),B$9)</f>
        <v>0</v>
      </c>
      <c r="AV340" s="27" t="n">
        <f aca="false">MIN(AJ339*(1+C$8),C$9)</f>
        <v>0</v>
      </c>
      <c r="AW340" s="27" t="n">
        <f aca="false">MIN(AK339*(1+D$8),D$9)</f>
        <v>0</v>
      </c>
      <c r="AX340" s="27" t="n">
        <f aca="false">MIN(AL339*(1+E$8),E$9)</f>
        <v>0</v>
      </c>
      <c r="AY340" s="27" t="n">
        <f aca="false">MIN(AM339*(1+F$8),F$9)</f>
        <v>0</v>
      </c>
      <c r="AZ340" s="27" t="n">
        <f aca="false">MIN(AN339*(1+G$8),G$9)</f>
        <v>0</v>
      </c>
      <c r="BA340" s="27" t="n">
        <f aca="false">MIN(AO339*(1+H$8),H$9)</f>
        <v>0</v>
      </c>
      <c r="BB340" s="27" t="n">
        <f aca="false">MIN(AP339*(1+I$8),I$9)</f>
        <v>0</v>
      </c>
      <c r="BC340" s="27" t="n">
        <f aca="false">MIN(AQ339*(1+J$8),J$9)</f>
        <v>0</v>
      </c>
      <c r="BD340" s="27" t="n">
        <f aca="false">MIN(AR339*(1+K$8),K$9)</f>
        <v>0</v>
      </c>
      <c r="BE340" s="27" t="n">
        <f aca="false">MIN(AI339*(1+B$8),MAX(AU340,$B$12-SUM(AV340:BD340)))</f>
        <v>0</v>
      </c>
      <c r="BF340" s="27" t="n">
        <f aca="false">MIN(AJ339*(1+C$8),MAX(AV340,$B$12-SUM(BE340:BE340)-SUM(AW340:BD340)))</f>
        <v>0</v>
      </c>
      <c r="BG340" s="27" t="n">
        <f aca="false">MIN(AK339*(1+D$8),MAX(AW340,$B$12-SUM(BE340:BF340)-SUM(AX340:BD340)))</f>
        <v>0</v>
      </c>
      <c r="BH340" s="27" t="n">
        <f aca="false">MIN(AL339*(1+E$8),MAX(AX340,$B$12-SUM(BE340:BG340)-SUM(AY340:BD340)))</f>
        <v>0</v>
      </c>
      <c r="BI340" s="27" t="n">
        <f aca="false">MIN(AM339*(1+F$8),MAX(AY340,$B$12-SUM(BE340:BH340)-SUM(AZ340:BD340)))</f>
        <v>0</v>
      </c>
      <c r="BJ340" s="27" t="n">
        <f aca="false">MIN(AN339*(1+G$8),MAX(AZ340,$B$12-SUM(BE340:BI340)-SUM(BA340:BD340)))</f>
        <v>0</v>
      </c>
      <c r="BK340" s="27" t="n">
        <f aca="false">MIN(AO339*(1+H$8),MAX(BA340,$B$12-SUM(BE340:BJ340)-SUM(BB340:BD340)))</f>
        <v>0</v>
      </c>
      <c r="BL340" s="27" t="n">
        <f aca="false">MIN(AP339*(1+I$8),MAX(BB340,$B$12-SUM(BE340:BK340)-SUM(BC340:BD340)))</f>
        <v>0</v>
      </c>
      <c r="BM340" s="27" t="n">
        <f aca="false">MIN(AQ339*(1+J$8),MAX(BC340,$B$12-SUM(BE340:BL340)-SUM(BD340:BD340)))</f>
        <v>0</v>
      </c>
      <c r="BN340" s="27" t="n">
        <f aca="false">MIN(AR339*(1+K$8),MAX(BD340,$B$12-SUM(BE340:BM340)))</f>
        <v>0</v>
      </c>
    </row>
    <row r="341" customFormat="false" ht="15" hidden="false" customHeight="false" outlineLevel="0" collapsed="false">
      <c r="A341" s="0" t="n">
        <v>327</v>
      </c>
      <c r="B341" s="27" t="n">
        <f aca="false">ROUND(MAX(0,B340*(1+B$8)-X341),2)</f>
        <v>0</v>
      </c>
      <c r="C341" s="27" t="n">
        <f aca="false">ROUND(MAX(0,C340*(1+C$8)-Y341),2)</f>
        <v>0</v>
      </c>
      <c r="D341" s="27" t="n">
        <f aca="false">ROUND(MAX(0,D340*(1+D$8)-Z341),2)</f>
        <v>0</v>
      </c>
      <c r="E341" s="27" t="n">
        <f aca="false">ROUND(MAX(0,E340*(1+E$8)-AA341),2)</f>
        <v>0</v>
      </c>
      <c r="F341" s="27" t="n">
        <f aca="false">ROUND(MAX(0,F340*(1+F$8)-AB341),2)</f>
        <v>0</v>
      </c>
      <c r="G341" s="27" t="n">
        <f aca="false">ROUND(MAX(0,G340*(1+G$8)-AC341),2)</f>
        <v>0</v>
      </c>
      <c r="H341" s="27" t="n">
        <f aca="false">ROUND(MAX(0,H340*(1+H$8)-AD341),2)</f>
        <v>0</v>
      </c>
      <c r="I341" s="27" t="n">
        <f aca="false">ROUND(MAX(0,I340*(1+I$8)-AE341),2)</f>
        <v>0</v>
      </c>
      <c r="J341" s="27" t="n">
        <f aca="false">ROUND(MAX(0,J340*(1+J$8)-AF341),2)</f>
        <v>0</v>
      </c>
      <c r="K341" s="27" t="n">
        <f aca="false">ROUND(MAX(0,K340*(1+K$8)-AG341),2)</f>
        <v>0</v>
      </c>
      <c r="L341" s="30" t="n">
        <f aca="false">SUM(B341:K341)</f>
        <v>0</v>
      </c>
      <c r="M341" s="27" t="n">
        <f aca="false">SUMPRODUCT(B340:K340,$B$8:$K$8)</f>
        <v>0</v>
      </c>
      <c r="N341" s="27" t="n">
        <f aca="false">MIN(B340*(1+B$8),B$9)</f>
        <v>0</v>
      </c>
      <c r="O341" s="27" t="n">
        <f aca="false">MIN(C340*(1+C$8),C$9)</f>
        <v>0</v>
      </c>
      <c r="P341" s="27" t="n">
        <f aca="false">MIN(D340*(1+D$8),D$9)</f>
        <v>0</v>
      </c>
      <c r="Q341" s="27" t="n">
        <f aca="false">MIN(E340*(1+E$8),E$9)</f>
        <v>0</v>
      </c>
      <c r="R341" s="27" t="n">
        <f aca="false">MIN(F340*(1+F$8),F$9)</f>
        <v>0</v>
      </c>
      <c r="S341" s="27" t="n">
        <f aca="false">MIN(G340*(1+G$8),G$9)</f>
        <v>0</v>
      </c>
      <c r="T341" s="27" t="n">
        <f aca="false">MIN(H340*(1+H$8),H$9)</f>
        <v>0</v>
      </c>
      <c r="U341" s="27" t="n">
        <f aca="false">MIN(I340*(1+I$8),I$9)</f>
        <v>0</v>
      </c>
      <c r="V341" s="27" t="n">
        <f aca="false">MIN(J340*(1+J$8),J$9)</f>
        <v>0</v>
      </c>
      <c r="W341" s="27" t="n">
        <f aca="false">MIN(K340*(1+K$8),K$9)</f>
        <v>0</v>
      </c>
      <c r="X341" s="27" t="n">
        <f aca="false">MIN(B340*(1+B$8),MAX(N341,$B$11-SUM(O341:W341)))</f>
        <v>0</v>
      </c>
      <c r="Y341" s="27" t="n">
        <f aca="false">MIN(C340*(1+C$8),MAX(O341,$B$11-SUM(X341:X341)-SUM(P341:W341)))</f>
        <v>0</v>
      </c>
      <c r="Z341" s="27" t="n">
        <f aca="false">MIN(D340*(1+D$8),MAX(P341,$B$11-SUM(X341:Y341)-SUM(Q341:W341)))</f>
        <v>0</v>
      </c>
      <c r="AA341" s="27" t="n">
        <f aca="false">MIN(E340*(1+E$8),MAX(Q341,$B$11-SUM(X341:Z341)-SUM(R341:W341)))</f>
        <v>0</v>
      </c>
      <c r="AB341" s="27" t="n">
        <f aca="false">MIN(F340*(1+F$8),MAX(R341,$B$11-SUM(X341:AA341)-SUM(S341:W341)))</f>
        <v>0</v>
      </c>
      <c r="AC341" s="27" t="n">
        <f aca="false">MIN(G340*(1+G$8),MAX(S341,$B$11-SUM(X341:AB341)-SUM(T341:W341)))</f>
        <v>0</v>
      </c>
      <c r="AD341" s="27" t="n">
        <f aca="false">MIN(H340*(1+H$8),MAX(T341,$B$11-SUM(X341:AC341)-SUM(U341:W341)))</f>
        <v>0</v>
      </c>
      <c r="AE341" s="27" t="n">
        <f aca="false">MIN(I340*(1+I$8),MAX(U341,$B$11-SUM(X341:AD341)-SUM(V341:W341)))</f>
        <v>0</v>
      </c>
      <c r="AF341" s="27" t="n">
        <f aca="false">MIN(J340*(1+J$8),MAX(V341,$B$11-SUM(X341:AE341)-SUM(W341:W341)))</f>
        <v>0</v>
      </c>
      <c r="AG341" s="27" t="n">
        <f aca="false">MIN(K340*(1+K$8),MAX(W341,$B$11-SUM(X341:AF341)))</f>
        <v>0</v>
      </c>
      <c r="AI341" s="27" t="n">
        <f aca="false">ROUND(MAX(0,AI340*(1+B$8)-BE341),2)</f>
        <v>0</v>
      </c>
      <c r="AJ341" s="27" t="n">
        <f aca="false">ROUND(MAX(0,AJ340*(1+C$8)-BF341),2)</f>
        <v>0</v>
      </c>
      <c r="AK341" s="27" t="n">
        <f aca="false">ROUND(MAX(0,AK340*(1+D$8)-BG341),2)</f>
        <v>0</v>
      </c>
      <c r="AL341" s="27" t="n">
        <f aca="false">ROUND(MAX(0,AL340*(1+E$8)-BH341),2)</f>
        <v>0</v>
      </c>
      <c r="AM341" s="27" t="n">
        <f aca="false">ROUND(MAX(0,AM340*(1+F$8)-BI341),2)</f>
        <v>0</v>
      </c>
      <c r="AN341" s="27" t="n">
        <f aca="false">ROUND(MAX(0,AN340*(1+G$8)-BJ341),2)</f>
        <v>0</v>
      </c>
      <c r="AO341" s="27" t="n">
        <f aca="false">ROUND(MAX(0,AO340*(1+H$8)-BK341),2)</f>
        <v>0</v>
      </c>
      <c r="AP341" s="27" t="n">
        <f aca="false">ROUND(MAX(0,AP340*(1+I$8)-BL341),2)</f>
        <v>0</v>
      </c>
      <c r="AQ341" s="27" t="n">
        <f aca="false">ROUND(MAX(0,AQ340*(1+J$8)-BM341),2)</f>
        <v>0</v>
      </c>
      <c r="AR341" s="27" t="n">
        <f aca="false">ROUND(MAX(0,AR340*(1+K$8)-BN341),2)</f>
        <v>0</v>
      </c>
      <c r="AS341" s="27" t="n">
        <f aca="false">SUM(AI341:AR341)</f>
        <v>0</v>
      </c>
      <c r="AT341" s="27" t="n">
        <f aca="false">SUMPRODUCT(AI340:AR340,$B$8:$K$8)</f>
        <v>0</v>
      </c>
      <c r="AU341" s="27" t="n">
        <f aca="false">MIN(AI340*(1+B$8),B$9)</f>
        <v>0</v>
      </c>
      <c r="AV341" s="27" t="n">
        <f aca="false">MIN(AJ340*(1+C$8),C$9)</f>
        <v>0</v>
      </c>
      <c r="AW341" s="27" t="n">
        <f aca="false">MIN(AK340*(1+D$8),D$9)</f>
        <v>0</v>
      </c>
      <c r="AX341" s="27" t="n">
        <f aca="false">MIN(AL340*(1+E$8),E$9)</f>
        <v>0</v>
      </c>
      <c r="AY341" s="27" t="n">
        <f aca="false">MIN(AM340*(1+F$8),F$9)</f>
        <v>0</v>
      </c>
      <c r="AZ341" s="27" t="n">
        <f aca="false">MIN(AN340*(1+G$8),G$9)</f>
        <v>0</v>
      </c>
      <c r="BA341" s="27" t="n">
        <f aca="false">MIN(AO340*(1+H$8),H$9)</f>
        <v>0</v>
      </c>
      <c r="BB341" s="27" t="n">
        <f aca="false">MIN(AP340*(1+I$8),I$9)</f>
        <v>0</v>
      </c>
      <c r="BC341" s="27" t="n">
        <f aca="false">MIN(AQ340*(1+J$8),J$9)</f>
        <v>0</v>
      </c>
      <c r="BD341" s="27" t="n">
        <f aca="false">MIN(AR340*(1+K$8),K$9)</f>
        <v>0</v>
      </c>
      <c r="BE341" s="27" t="n">
        <f aca="false">MIN(AI340*(1+B$8),MAX(AU341,$B$12-SUM(AV341:BD341)))</f>
        <v>0</v>
      </c>
      <c r="BF341" s="27" t="n">
        <f aca="false">MIN(AJ340*(1+C$8),MAX(AV341,$B$12-SUM(BE341:BE341)-SUM(AW341:BD341)))</f>
        <v>0</v>
      </c>
      <c r="BG341" s="27" t="n">
        <f aca="false">MIN(AK340*(1+D$8),MAX(AW341,$B$12-SUM(BE341:BF341)-SUM(AX341:BD341)))</f>
        <v>0</v>
      </c>
      <c r="BH341" s="27" t="n">
        <f aca="false">MIN(AL340*(1+E$8),MAX(AX341,$B$12-SUM(BE341:BG341)-SUM(AY341:BD341)))</f>
        <v>0</v>
      </c>
      <c r="BI341" s="27" t="n">
        <f aca="false">MIN(AM340*(1+F$8),MAX(AY341,$B$12-SUM(BE341:BH341)-SUM(AZ341:BD341)))</f>
        <v>0</v>
      </c>
      <c r="BJ341" s="27" t="n">
        <f aca="false">MIN(AN340*(1+G$8),MAX(AZ341,$B$12-SUM(BE341:BI341)-SUM(BA341:BD341)))</f>
        <v>0</v>
      </c>
      <c r="BK341" s="27" t="n">
        <f aca="false">MIN(AO340*(1+H$8),MAX(BA341,$B$12-SUM(BE341:BJ341)-SUM(BB341:BD341)))</f>
        <v>0</v>
      </c>
      <c r="BL341" s="27" t="n">
        <f aca="false">MIN(AP340*(1+I$8),MAX(BB341,$B$12-SUM(BE341:BK341)-SUM(BC341:BD341)))</f>
        <v>0</v>
      </c>
      <c r="BM341" s="27" t="n">
        <f aca="false">MIN(AQ340*(1+J$8),MAX(BC341,$B$12-SUM(BE341:BL341)-SUM(BD341:BD341)))</f>
        <v>0</v>
      </c>
      <c r="BN341" s="27" t="n">
        <f aca="false">MIN(AR340*(1+K$8),MAX(BD341,$B$12-SUM(BE341:BM341)))</f>
        <v>0</v>
      </c>
    </row>
    <row r="342" customFormat="false" ht="15" hidden="false" customHeight="false" outlineLevel="0" collapsed="false">
      <c r="A342" s="0" t="n">
        <v>328</v>
      </c>
      <c r="B342" s="27" t="n">
        <f aca="false">ROUND(MAX(0,B341*(1+B$8)-X342),2)</f>
        <v>0</v>
      </c>
      <c r="C342" s="27" t="n">
        <f aca="false">ROUND(MAX(0,C341*(1+C$8)-Y342),2)</f>
        <v>0</v>
      </c>
      <c r="D342" s="27" t="n">
        <f aca="false">ROUND(MAX(0,D341*(1+D$8)-Z342),2)</f>
        <v>0</v>
      </c>
      <c r="E342" s="27" t="n">
        <f aca="false">ROUND(MAX(0,E341*(1+E$8)-AA342),2)</f>
        <v>0</v>
      </c>
      <c r="F342" s="27" t="n">
        <f aca="false">ROUND(MAX(0,F341*(1+F$8)-AB342),2)</f>
        <v>0</v>
      </c>
      <c r="G342" s="27" t="n">
        <f aca="false">ROUND(MAX(0,G341*(1+G$8)-AC342),2)</f>
        <v>0</v>
      </c>
      <c r="H342" s="27" t="n">
        <f aca="false">ROUND(MAX(0,H341*(1+H$8)-AD342),2)</f>
        <v>0</v>
      </c>
      <c r="I342" s="27" t="n">
        <f aca="false">ROUND(MAX(0,I341*(1+I$8)-AE342),2)</f>
        <v>0</v>
      </c>
      <c r="J342" s="27" t="n">
        <f aca="false">ROUND(MAX(0,J341*(1+J$8)-AF342),2)</f>
        <v>0</v>
      </c>
      <c r="K342" s="27" t="n">
        <f aca="false">ROUND(MAX(0,K341*(1+K$8)-AG342),2)</f>
        <v>0</v>
      </c>
      <c r="L342" s="30" t="n">
        <f aca="false">SUM(B342:K342)</f>
        <v>0</v>
      </c>
      <c r="M342" s="27" t="n">
        <f aca="false">SUMPRODUCT(B341:K341,$B$8:$K$8)</f>
        <v>0</v>
      </c>
      <c r="N342" s="27" t="n">
        <f aca="false">MIN(B341*(1+B$8),B$9)</f>
        <v>0</v>
      </c>
      <c r="O342" s="27" t="n">
        <f aca="false">MIN(C341*(1+C$8),C$9)</f>
        <v>0</v>
      </c>
      <c r="P342" s="27" t="n">
        <f aca="false">MIN(D341*(1+D$8),D$9)</f>
        <v>0</v>
      </c>
      <c r="Q342" s="27" t="n">
        <f aca="false">MIN(E341*(1+E$8),E$9)</f>
        <v>0</v>
      </c>
      <c r="R342" s="27" t="n">
        <f aca="false">MIN(F341*(1+F$8),F$9)</f>
        <v>0</v>
      </c>
      <c r="S342" s="27" t="n">
        <f aca="false">MIN(G341*(1+G$8),G$9)</f>
        <v>0</v>
      </c>
      <c r="T342" s="27" t="n">
        <f aca="false">MIN(H341*(1+H$8),H$9)</f>
        <v>0</v>
      </c>
      <c r="U342" s="27" t="n">
        <f aca="false">MIN(I341*(1+I$8),I$9)</f>
        <v>0</v>
      </c>
      <c r="V342" s="27" t="n">
        <f aca="false">MIN(J341*(1+J$8),J$9)</f>
        <v>0</v>
      </c>
      <c r="W342" s="27" t="n">
        <f aca="false">MIN(K341*(1+K$8),K$9)</f>
        <v>0</v>
      </c>
      <c r="X342" s="27" t="n">
        <f aca="false">MIN(B341*(1+B$8),MAX(N342,$B$11-SUM(O342:W342)))</f>
        <v>0</v>
      </c>
      <c r="Y342" s="27" t="n">
        <f aca="false">MIN(C341*(1+C$8),MAX(O342,$B$11-SUM(X342:X342)-SUM(P342:W342)))</f>
        <v>0</v>
      </c>
      <c r="Z342" s="27" t="n">
        <f aca="false">MIN(D341*(1+D$8),MAX(P342,$B$11-SUM(X342:Y342)-SUM(Q342:W342)))</f>
        <v>0</v>
      </c>
      <c r="AA342" s="27" t="n">
        <f aca="false">MIN(E341*(1+E$8),MAX(Q342,$B$11-SUM(X342:Z342)-SUM(R342:W342)))</f>
        <v>0</v>
      </c>
      <c r="AB342" s="27" t="n">
        <f aca="false">MIN(F341*(1+F$8),MAX(R342,$B$11-SUM(X342:AA342)-SUM(S342:W342)))</f>
        <v>0</v>
      </c>
      <c r="AC342" s="27" t="n">
        <f aca="false">MIN(G341*(1+G$8),MAX(S342,$B$11-SUM(X342:AB342)-SUM(T342:W342)))</f>
        <v>0</v>
      </c>
      <c r="AD342" s="27" t="n">
        <f aca="false">MIN(H341*(1+H$8),MAX(T342,$B$11-SUM(X342:AC342)-SUM(U342:W342)))</f>
        <v>0</v>
      </c>
      <c r="AE342" s="27" t="n">
        <f aca="false">MIN(I341*(1+I$8),MAX(U342,$B$11-SUM(X342:AD342)-SUM(V342:W342)))</f>
        <v>0</v>
      </c>
      <c r="AF342" s="27" t="n">
        <f aca="false">MIN(J341*(1+J$8),MAX(V342,$B$11-SUM(X342:AE342)-SUM(W342:W342)))</f>
        <v>0</v>
      </c>
      <c r="AG342" s="27" t="n">
        <f aca="false">MIN(K341*(1+K$8),MAX(W342,$B$11-SUM(X342:AF342)))</f>
        <v>0</v>
      </c>
      <c r="AI342" s="27" t="n">
        <f aca="false">ROUND(MAX(0,AI341*(1+B$8)-BE342),2)</f>
        <v>0</v>
      </c>
      <c r="AJ342" s="27" t="n">
        <f aca="false">ROUND(MAX(0,AJ341*(1+C$8)-BF342),2)</f>
        <v>0</v>
      </c>
      <c r="AK342" s="27" t="n">
        <f aca="false">ROUND(MAX(0,AK341*(1+D$8)-BG342),2)</f>
        <v>0</v>
      </c>
      <c r="AL342" s="27" t="n">
        <f aca="false">ROUND(MAX(0,AL341*(1+E$8)-BH342),2)</f>
        <v>0</v>
      </c>
      <c r="AM342" s="27" t="n">
        <f aca="false">ROUND(MAX(0,AM341*(1+F$8)-BI342),2)</f>
        <v>0</v>
      </c>
      <c r="AN342" s="27" t="n">
        <f aca="false">ROUND(MAX(0,AN341*(1+G$8)-BJ342),2)</f>
        <v>0</v>
      </c>
      <c r="AO342" s="27" t="n">
        <f aca="false">ROUND(MAX(0,AO341*(1+H$8)-BK342),2)</f>
        <v>0</v>
      </c>
      <c r="AP342" s="27" t="n">
        <f aca="false">ROUND(MAX(0,AP341*(1+I$8)-BL342),2)</f>
        <v>0</v>
      </c>
      <c r="AQ342" s="27" t="n">
        <f aca="false">ROUND(MAX(0,AQ341*(1+J$8)-BM342),2)</f>
        <v>0</v>
      </c>
      <c r="AR342" s="27" t="n">
        <f aca="false">ROUND(MAX(0,AR341*(1+K$8)-BN342),2)</f>
        <v>0</v>
      </c>
      <c r="AS342" s="27" t="n">
        <f aca="false">SUM(AI342:AR342)</f>
        <v>0</v>
      </c>
      <c r="AT342" s="27" t="n">
        <f aca="false">SUMPRODUCT(AI341:AR341,$B$8:$K$8)</f>
        <v>0</v>
      </c>
      <c r="AU342" s="27" t="n">
        <f aca="false">MIN(AI341*(1+B$8),B$9)</f>
        <v>0</v>
      </c>
      <c r="AV342" s="27" t="n">
        <f aca="false">MIN(AJ341*(1+C$8),C$9)</f>
        <v>0</v>
      </c>
      <c r="AW342" s="27" t="n">
        <f aca="false">MIN(AK341*(1+D$8),D$9)</f>
        <v>0</v>
      </c>
      <c r="AX342" s="27" t="n">
        <f aca="false">MIN(AL341*(1+E$8),E$9)</f>
        <v>0</v>
      </c>
      <c r="AY342" s="27" t="n">
        <f aca="false">MIN(AM341*(1+F$8),F$9)</f>
        <v>0</v>
      </c>
      <c r="AZ342" s="27" t="n">
        <f aca="false">MIN(AN341*(1+G$8),G$9)</f>
        <v>0</v>
      </c>
      <c r="BA342" s="27" t="n">
        <f aca="false">MIN(AO341*(1+H$8),H$9)</f>
        <v>0</v>
      </c>
      <c r="BB342" s="27" t="n">
        <f aca="false">MIN(AP341*(1+I$8),I$9)</f>
        <v>0</v>
      </c>
      <c r="BC342" s="27" t="n">
        <f aca="false">MIN(AQ341*(1+J$8),J$9)</f>
        <v>0</v>
      </c>
      <c r="BD342" s="27" t="n">
        <f aca="false">MIN(AR341*(1+K$8),K$9)</f>
        <v>0</v>
      </c>
      <c r="BE342" s="27" t="n">
        <f aca="false">MIN(AI341*(1+B$8),MAX(AU342,$B$12-SUM(AV342:BD342)))</f>
        <v>0</v>
      </c>
      <c r="BF342" s="27" t="n">
        <f aca="false">MIN(AJ341*(1+C$8),MAX(AV342,$B$12-SUM(BE342:BE342)-SUM(AW342:BD342)))</f>
        <v>0</v>
      </c>
      <c r="BG342" s="27" t="n">
        <f aca="false">MIN(AK341*(1+D$8),MAX(AW342,$B$12-SUM(BE342:BF342)-SUM(AX342:BD342)))</f>
        <v>0</v>
      </c>
      <c r="BH342" s="27" t="n">
        <f aca="false">MIN(AL341*(1+E$8),MAX(AX342,$B$12-SUM(BE342:BG342)-SUM(AY342:BD342)))</f>
        <v>0</v>
      </c>
      <c r="BI342" s="27" t="n">
        <f aca="false">MIN(AM341*(1+F$8),MAX(AY342,$B$12-SUM(BE342:BH342)-SUM(AZ342:BD342)))</f>
        <v>0</v>
      </c>
      <c r="BJ342" s="27" t="n">
        <f aca="false">MIN(AN341*(1+G$8),MAX(AZ342,$B$12-SUM(BE342:BI342)-SUM(BA342:BD342)))</f>
        <v>0</v>
      </c>
      <c r="BK342" s="27" t="n">
        <f aca="false">MIN(AO341*(1+H$8),MAX(BA342,$B$12-SUM(BE342:BJ342)-SUM(BB342:BD342)))</f>
        <v>0</v>
      </c>
      <c r="BL342" s="27" t="n">
        <f aca="false">MIN(AP341*(1+I$8),MAX(BB342,$B$12-SUM(BE342:BK342)-SUM(BC342:BD342)))</f>
        <v>0</v>
      </c>
      <c r="BM342" s="27" t="n">
        <f aca="false">MIN(AQ341*(1+J$8),MAX(BC342,$B$12-SUM(BE342:BL342)-SUM(BD342:BD342)))</f>
        <v>0</v>
      </c>
      <c r="BN342" s="27" t="n">
        <f aca="false">MIN(AR341*(1+K$8),MAX(BD342,$B$12-SUM(BE342:BM342)))</f>
        <v>0</v>
      </c>
    </row>
    <row r="343" customFormat="false" ht="15" hidden="false" customHeight="false" outlineLevel="0" collapsed="false">
      <c r="A343" s="0" t="n">
        <v>329</v>
      </c>
      <c r="B343" s="27" t="n">
        <f aca="false">ROUND(MAX(0,B342*(1+B$8)-X343),2)</f>
        <v>0</v>
      </c>
      <c r="C343" s="27" t="n">
        <f aca="false">ROUND(MAX(0,C342*(1+C$8)-Y343),2)</f>
        <v>0</v>
      </c>
      <c r="D343" s="27" t="n">
        <f aca="false">ROUND(MAX(0,D342*(1+D$8)-Z343),2)</f>
        <v>0</v>
      </c>
      <c r="E343" s="27" t="n">
        <f aca="false">ROUND(MAX(0,E342*(1+E$8)-AA343),2)</f>
        <v>0</v>
      </c>
      <c r="F343" s="27" t="n">
        <f aca="false">ROUND(MAX(0,F342*(1+F$8)-AB343),2)</f>
        <v>0</v>
      </c>
      <c r="G343" s="27" t="n">
        <f aca="false">ROUND(MAX(0,G342*(1+G$8)-AC343),2)</f>
        <v>0</v>
      </c>
      <c r="H343" s="27" t="n">
        <f aca="false">ROUND(MAX(0,H342*(1+H$8)-AD343),2)</f>
        <v>0</v>
      </c>
      <c r="I343" s="27" t="n">
        <f aca="false">ROUND(MAX(0,I342*(1+I$8)-AE343),2)</f>
        <v>0</v>
      </c>
      <c r="J343" s="27" t="n">
        <f aca="false">ROUND(MAX(0,J342*(1+J$8)-AF343),2)</f>
        <v>0</v>
      </c>
      <c r="K343" s="27" t="n">
        <f aca="false">ROUND(MAX(0,K342*(1+K$8)-AG343),2)</f>
        <v>0</v>
      </c>
      <c r="L343" s="30" t="n">
        <f aca="false">SUM(B343:K343)</f>
        <v>0</v>
      </c>
      <c r="M343" s="27" t="n">
        <f aca="false">SUMPRODUCT(B342:K342,$B$8:$K$8)</f>
        <v>0</v>
      </c>
      <c r="N343" s="27" t="n">
        <f aca="false">MIN(B342*(1+B$8),B$9)</f>
        <v>0</v>
      </c>
      <c r="O343" s="27" t="n">
        <f aca="false">MIN(C342*(1+C$8),C$9)</f>
        <v>0</v>
      </c>
      <c r="P343" s="27" t="n">
        <f aca="false">MIN(D342*(1+D$8),D$9)</f>
        <v>0</v>
      </c>
      <c r="Q343" s="27" t="n">
        <f aca="false">MIN(E342*(1+E$8),E$9)</f>
        <v>0</v>
      </c>
      <c r="R343" s="27" t="n">
        <f aca="false">MIN(F342*(1+F$8),F$9)</f>
        <v>0</v>
      </c>
      <c r="S343" s="27" t="n">
        <f aca="false">MIN(G342*(1+G$8),G$9)</f>
        <v>0</v>
      </c>
      <c r="T343" s="27" t="n">
        <f aca="false">MIN(H342*(1+H$8),H$9)</f>
        <v>0</v>
      </c>
      <c r="U343" s="27" t="n">
        <f aca="false">MIN(I342*(1+I$8),I$9)</f>
        <v>0</v>
      </c>
      <c r="V343" s="27" t="n">
        <f aca="false">MIN(J342*(1+J$8),J$9)</f>
        <v>0</v>
      </c>
      <c r="W343" s="27" t="n">
        <f aca="false">MIN(K342*(1+K$8),K$9)</f>
        <v>0</v>
      </c>
      <c r="X343" s="27" t="n">
        <f aca="false">MIN(B342*(1+B$8),MAX(N343,$B$11-SUM(O343:W343)))</f>
        <v>0</v>
      </c>
      <c r="Y343" s="27" t="n">
        <f aca="false">MIN(C342*(1+C$8),MAX(O343,$B$11-SUM(X343:X343)-SUM(P343:W343)))</f>
        <v>0</v>
      </c>
      <c r="Z343" s="27" t="n">
        <f aca="false">MIN(D342*(1+D$8),MAX(P343,$B$11-SUM(X343:Y343)-SUM(Q343:W343)))</f>
        <v>0</v>
      </c>
      <c r="AA343" s="27" t="n">
        <f aca="false">MIN(E342*(1+E$8),MAX(Q343,$B$11-SUM(X343:Z343)-SUM(R343:W343)))</f>
        <v>0</v>
      </c>
      <c r="AB343" s="27" t="n">
        <f aca="false">MIN(F342*(1+F$8),MAX(R343,$B$11-SUM(X343:AA343)-SUM(S343:W343)))</f>
        <v>0</v>
      </c>
      <c r="AC343" s="27" t="n">
        <f aca="false">MIN(G342*(1+G$8),MAX(S343,$B$11-SUM(X343:AB343)-SUM(T343:W343)))</f>
        <v>0</v>
      </c>
      <c r="AD343" s="27" t="n">
        <f aca="false">MIN(H342*(1+H$8),MAX(T343,$B$11-SUM(X343:AC343)-SUM(U343:W343)))</f>
        <v>0</v>
      </c>
      <c r="AE343" s="27" t="n">
        <f aca="false">MIN(I342*(1+I$8),MAX(U343,$B$11-SUM(X343:AD343)-SUM(V343:W343)))</f>
        <v>0</v>
      </c>
      <c r="AF343" s="27" t="n">
        <f aca="false">MIN(J342*(1+J$8),MAX(V343,$B$11-SUM(X343:AE343)-SUM(W343:W343)))</f>
        <v>0</v>
      </c>
      <c r="AG343" s="27" t="n">
        <f aca="false">MIN(K342*(1+K$8),MAX(W343,$B$11-SUM(X343:AF343)))</f>
        <v>0</v>
      </c>
      <c r="AI343" s="27" t="n">
        <f aca="false">ROUND(MAX(0,AI342*(1+B$8)-BE343),2)</f>
        <v>0</v>
      </c>
      <c r="AJ343" s="27" t="n">
        <f aca="false">ROUND(MAX(0,AJ342*(1+C$8)-BF343),2)</f>
        <v>0</v>
      </c>
      <c r="AK343" s="27" t="n">
        <f aca="false">ROUND(MAX(0,AK342*(1+D$8)-BG343),2)</f>
        <v>0</v>
      </c>
      <c r="AL343" s="27" t="n">
        <f aca="false">ROUND(MAX(0,AL342*(1+E$8)-BH343),2)</f>
        <v>0</v>
      </c>
      <c r="AM343" s="27" t="n">
        <f aca="false">ROUND(MAX(0,AM342*(1+F$8)-BI343),2)</f>
        <v>0</v>
      </c>
      <c r="AN343" s="27" t="n">
        <f aca="false">ROUND(MAX(0,AN342*(1+G$8)-BJ343),2)</f>
        <v>0</v>
      </c>
      <c r="AO343" s="27" t="n">
        <f aca="false">ROUND(MAX(0,AO342*(1+H$8)-BK343),2)</f>
        <v>0</v>
      </c>
      <c r="AP343" s="27" t="n">
        <f aca="false">ROUND(MAX(0,AP342*(1+I$8)-BL343),2)</f>
        <v>0</v>
      </c>
      <c r="AQ343" s="27" t="n">
        <f aca="false">ROUND(MAX(0,AQ342*(1+J$8)-BM343),2)</f>
        <v>0</v>
      </c>
      <c r="AR343" s="27" t="n">
        <f aca="false">ROUND(MAX(0,AR342*(1+K$8)-BN343),2)</f>
        <v>0</v>
      </c>
      <c r="AS343" s="27" t="n">
        <f aca="false">SUM(AI343:AR343)</f>
        <v>0</v>
      </c>
      <c r="AT343" s="27" t="n">
        <f aca="false">SUMPRODUCT(AI342:AR342,$B$8:$K$8)</f>
        <v>0</v>
      </c>
      <c r="AU343" s="27" t="n">
        <f aca="false">MIN(AI342*(1+B$8),B$9)</f>
        <v>0</v>
      </c>
      <c r="AV343" s="27" t="n">
        <f aca="false">MIN(AJ342*(1+C$8),C$9)</f>
        <v>0</v>
      </c>
      <c r="AW343" s="27" t="n">
        <f aca="false">MIN(AK342*(1+D$8),D$9)</f>
        <v>0</v>
      </c>
      <c r="AX343" s="27" t="n">
        <f aca="false">MIN(AL342*(1+E$8),E$9)</f>
        <v>0</v>
      </c>
      <c r="AY343" s="27" t="n">
        <f aca="false">MIN(AM342*(1+F$8),F$9)</f>
        <v>0</v>
      </c>
      <c r="AZ343" s="27" t="n">
        <f aca="false">MIN(AN342*(1+G$8),G$9)</f>
        <v>0</v>
      </c>
      <c r="BA343" s="27" t="n">
        <f aca="false">MIN(AO342*(1+H$8),H$9)</f>
        <v>0</v>
      </c>
      <c r="BB343" s="27" t="n">
        <f aca="false">MIN(AP342*(1+I$8),I$9)</f>
        <v>0</v>
      </c>
      <c r="BC343" s="27" t="n">
        <f aca="false">MIN(AQ342*(1+J$8),J$9)</f>
        <v>0</v>
      </c>
      <c r="BD343" s="27" t="n">
        <f aca="false">MIN(AR342*(1+K$8),K$9)</f>
        <v>0</v>
      </c>
      <c r="BE343" s="27" t="n">
        <f aca="false">MIN(AI342*(1+B$8),MAX(AU343,$B$12-SUM(AV343:BD343)))</f>
        <v>0</v>
      </c>
      <c r="BF343" s="27" t="n">
        <f aca="false">MIN(AJ342*(1+C$8),MAX(AV343,$B$12-SUM(BE343:BE343)-SUM(AW343:BD343)))</f>
        <v>0</v>
      </c>
      <c r="BG343" s="27" t="n">
        <f aca="false">MIN(AK342*(1+D$8),MAX(AW343,$B$12-SUM(BE343:BF343)-SUM(AX343:BD343)))</f>
        <v>0</v>
      </c>
      <c r="BH343" s="27" t="n">
        <f aca="false">MIN(AL342*(1+E$8),MAX(AX343,$B$12-SUM(BE343:BG343)-SUM(AY343:BD343)))</f>
        <v>0</v>
      </c>
      <c r="BI343" s="27" t="n">
        <f aca="false">MIN(AM342*(1+F$8),MAX(AY343,$B$12-SUM(BE343:BH343)-SUM(AZ343:BD343)))</f>
        <v>0</v>
      </c>
      <c r="BJ343" s="27" t="n">
        <f aca="false">MIN(AN342*(1+G$8),MAX(AZ343,$B$12-SUM(BE343:BI343)-SUM(BA343:BD343)))</f>
        <v>0</v>
      </c>
      <c r="BK343" s="27" t="n">
        <f aca="false">MIN(AO342*(1+H$8),MAX(BA343,$B$12-SUM(BE343:BJ343)-SUM(BB343:BD343)))</f>
        <v>0</v>
      </c>
      <c r="BL343" s="27" t="n">
        <f aca="false">MIN(AP342*(1+I$8),MAX(BB343,$B$12-SUM(BE343:BK343)-SUM(BC343:BD343)))</f>
        <v>0</v>
      </c>
      <c r="BM343" s="27" t="n">
        <f aca="false">MIN(AQ342*(1+J$8),MAX(BC343,$B$12-SUM(BE343:BL343)-SUM(BD343:BD343)))</f>
        <v>0</v>
      </c>
      <c r="BN343" s="27" t="n">
        <f aca="false">MIN(AR342*(1+K$8),MAX(BD343,$B$12-SUM(BE343:BM343)))</f>
        <v>0</v>
      </c>
    </row>
    <row r="344" customFormat="false" ht="15" hidden="false" customHeight="false" outlineLevel="0" collapsed="false">
      <c r="A344" s="0" t="n">
        <v>330</v>
      </c>
      <c r="B344" s="27" t="n">
        <f aca="false">ROUND(MAX(0,B343*(1+B$8)-X344),2)</f>
        <v>0</v>
      </c>
      <c r="C344" s="27" t="n">
        <f aca="false">ROUND(MAX(0,C343*(1+C$8)-Y344),2)</f>
        <v>0</v>
      </c>
      <c r="D344" s="27" t="n">
        <f aca="false">ROUND(MAX(0,D343*(1+D$8)-Z344),2)</f>
        <v>0</v>
      </c>
      <c r="E344" s="27" t="n">
        <f aca="false">ROUND(MAX(0,E343*(1+E$8)-AA344),2)</f>
        <v>0</v>
      </c>
      <c r="F344" s="27" t="n">
        <f aca="false">ROUND(MAX(0,F343*(1+F$8)-AB344),2)</f>
        <v>0</v>
      </c>
      <c r="G344" s="27" t="n">
        <f aca="false">ROUND(MAX(0,G343*(1+G$8)-AC344),2)</f>
        <v>0</v>
      </c>
      <c r="H344" s="27" t="n">
        <f aca="false">ROUND(MAX(0,H343*(1+H$8)-AD344),2)</f>
        <v>0</v>
      </c>
      <c r="I344" s="27" t="n">
        <f aca="false">ROUND(MAX(0,I343*(1+I$8)-AE344),2)</f>
        <v>0</v>
      </c>
      <c r="J344" s="27" t="n">
        <f aca="false">ROUND(MAX(0,J343*(1+J$8)-AF344),2)</f>
        <v>0</v>
      </c>
      <c r="K344" s="27" t="n">
        <f aca="false">ROUND(MAX(0,K343*(1+K$8)-AG344),2)</f>
        <v>0</v>
      </c>
      <c r="L344" s="30" t="n">
        <f aca="false">SUM(B344:K344)</f>
        <v>0</v>
      </c>
      <c r="M344" s="27" t="n">
        <f aca="false">SUMPRODUCT(B343:K343,$B$8:$K$8)</f>
        <v>0</v>
      </c>
      <c r="N344" s="27" t="n">
        <f aca="false">MIN(B343*(1+B$8),B$9)</f>
        <v>0</v>
      </c>
      <c r="O344" s="27" t="n">
        <f aca="false">MIN(C343*(1+C$8),C$9)</f>
        <v>0</v>
      </c>
      <c r="P344" s="27" t="n">
        <f aca="false">MIN(D343*(1+D$8),D$9)</f>
        <v>0</v>
      </c>
      <c r="Q344" s="27" t="n">
        <f aca="false">MIN(E343*(1+E$8),E$9)</f>
        <v>0</v>
      </c>
      <c r="R344" s="27" t="n">
        <f aca="false">MIN(F343*(1+F$8),F$9)</f>
        <v>0</v>
      </c>
      <c r="S344" s="27" t="n">
        <f aca="false">MIN(G343*(1+G$8),G$9)</f>
        <v>0</v>
      </c>
      <c r="T344" s="27" t="n">
        <f aca="false">MIN(H343*(1+H$8),H$9)</f>
        <v>0</v>
      </c>
      <c r="U344" s="27" t="n">
        <f aca="false">MIN(I343*(1+I$8),I$9)</f>
        <v>0</v>
      </c>
      <c r="V344" s="27" t="n">
        <f aca="false">MIN(J343*(1+J$8),J$9)</f>
        <v>0</v>
      </c>
      <c r="W344" s="27" t="n">
        <f aca="false">MIN(K343*(1+K$8),K$9)</f>
        <v>0</v>
      </c>
      <c r="X344" s="27" t="n">
        <f aca="false">MIN(B343*(1+B$8),MAX(N344,$B$11-SUM(O344:W344)))</f>
        <v>0</v>
      </c>
      <c r="Y344" s="27" t="n">
        <f aca="false">MIN(C343*(1+C$8),MAX(O344,$B$11-SUM(X344:X344)-SUM(P344:W344)))</f>
        <v>0</v>
      </c>
      <c r="Z344" s="27" t="n">
        <f aca="false">MIN(D343*(1+D$8),MAX(P344,$B$11-SUM(X344:Y344)-SUM(Q344:W344)))</f>
        <v>0</v>
      </c>
      <c r="AA344" s="27" t="n">
        <f aca="false">MIN(E343*(1+E$8),MAX(Q344,$B$11-SUM(X344:Z344)-SUM(R344:W344)))</f>
        <v>0</v>
      </c>
      <c r="AB344" s="27" t="n">
        <f aca="false">MIN(F343*(1+F$8),MAX(R344,$B$11-SUM(X344:AA344)-SUM(S344:W344)))</f>
        <v>0</v>
      </c>
      <c r="AC344" s="27" t="n">
        <f aca="false">MIN(G343*(1+G$8),MAX(S344,$B$11-SUM(X344:AB344)-SUM(T344:W344)))</f>
        <v>0</v>
      </c>
      <c r="AD344" s="27" t="n">
        <f aca="false">MIN(H343*(1+H$8),MAX(T344,$B$11-SUM(X344:AC344)-SUM(U344:W344)))</f>
        <v>0</v>
      </c>
      <c r="AE344" s="27" t="n">
        <f aca="false">MIN(I343*(1+I$8),MAX(U344,$B$11-SUM(X344:AD344)-SUM(V344:W344)))</f>
        <v>0</v>
      </c>
      <c r="AF344" s="27" t="n">
        <f aca="false">MIN(J343*(1+J$8),MAX(V344,$B$11-SUM(X344:AE344)-SUM(W344:W344)))</f>
        <v>0</v>
      </c>
      <c r="AG344" s="27" t="n">
        <f aca="false">MIN(K343*(1+K$8),MAX(W344,$B$11-SUM(X344:AF344)))</f>
        <v>0</v>
      </c>
      <c r="AI344" s="27" t="n">
        <f aca="false">ROUND(MAX(0,AI343*(1+B$8)-BE344),2)</f>
        <v>0</v>
      </c>
      <c r="AJ344" s="27" t="n">
        <f aca="false">ROUND(MAX(0,AJ343*(1+C$8)-BF344),2)</f>
        <v>0</v>
      </c>
      <c r="AK344" s="27" t="n">
        <f aca="false">ROUND(MAX(0,AK343*(1+D$8)-BG344),2)</f>
        <v>0</v>
      </c>
      <c r="AL344" s="27" t="n">
        <f aca="false">ROUND(MAX(0,AL343*(1+E$8)-BH344),2)</f>
        <v>0</v>
      </c>
      <c r="AM344" s="27" t="n">
        <f aca="false">ROUND(MAX(0,AM343*(1+F$8)-BI344),2)</f>
        <v>0</v>
      </c>
      <c r="AN344" s="27" t="n">
        <f aca="false">ROUND(MAX(0,AN343*(1+G$8)-BJ344),2)</f>
        <v>0</v>
      </c>
      <c r="AO344" s="27" t="n">
        <f aca="false">ROUND(MAX(0,AO343*(1+H$8)-BK344),2)</f>
        <v>0</v>
      </c>
      <c r="AP344" s="27" t="n">
        <f aca="false">ROUND(MAX(0,AP343*(1+I$8)-BL344),2)</f>
        <v>0</v>
      </c>
      <c r="AQ344" s="27" t="n">
        <f aca="false">ROUND(MAX(0,AQ343*(1+J$8)-BM344),2)</f>
        <v>0</v>
      </c>
      <c r="AR344" s="27" t="n">
        <f aca="false">ROUND(MAX(0,AR343*(1+K$8)-BN344),2)</f>
        <v>0</v>
      </c>
      <c r="AS344" s="27" t="n">
        <f aca="false">SUM(AI344:AR344)</f>
        <v>0</v>
      </c>
      <c r="AT344" s="27" t="n">
        <f aca="false">SUMPRODUCT(AI343:AR343,$B$8:$K$8)</f>
        <v>0</v>
      </c>
      <c r="AU344" s="27" t="n">
        <f aca="false">MIN(AI343*(1+B$8),B$9)</f>
        <v>0</v>
      </c>
      <c r="AV344" s="27" t="n">
        <f aca="false">MIN(AJ343*(1+C$8),C$9)</f>
        <v>0</v>
      </c>
      <c r="AW344" s="27" t="n">
        <f aca="false">MIN(AK343*(1+D$8),D$9)</f>
        <v>0</v>
      </c>
      <c r="AX344" s="27" t="n">
        <f aca="false">MIN(AL343*(1+E$8),E$9)</f>
        <v>0</v>
      </c>
      <c r="AY344" s="27" t="n">
        <f aca="false">MIN(AM343*(1+F$8),F$9)</f>
        <v>0</v>
      </c>
      <c r="AZ344" s="27" t="n">
        <f aca="false">MIN(AN343*(1+G$8),G$9)</f>
        <v>0</v>
      </c>
      <c r="BA344" s="27" t="n">
        <f aca="false">MIN(AO343*(1+H$8),H$9)</f>
        <v>0</v>
      </c>
      <c r="BB344" s="27" t="n">
        <f aca="false">MIN(AP343*(1+I$8),I$9)</f>
        <v>0</v>
      </c>
      <c r="BC344" s="27" t="n">
        <f aca="false">MIN(AQ343*(1+J$8),J$9)</f>
        <v>0</v>
      </c>
      <c r="BD344" s="27" t="n">
        <f aca="false">MIN(AR343*(1+K$8),K$9)</f>
        <v>0</v>
      </c>
      <c r="BE344" s="27" t="n">
        <f aca="false">MIN(AI343*(1+B$8),MAX(AU344,$B$12-SUM(AV344:BD344)))</f>
        <v>0</v>
      </c>
      <c r="BF344" s="27" t="n">
        <f aca="false">MIN(AJ343*(1+C$8),MAX(AV344,$B$12-SUM(BE344:BE344)-SUM(AW344:BD344)))</f>
        <v>0</v>
      </c>
      <c r="BG344" s="27" t="n">
        <f aca="false">MIN(AK343*(1+D$8),MAX(AW344,$B$12-SUM(BE344:BF344)-SUM(AX344:BD344)))</f>
        <v>0</v>
      </c>
      <c r="BH344" s="27" t="n">
        <f aca="false">MIN(AL343*(1+E$8),MAX(AX344,$B$12-SUM(BE344:BG344)-SUM(AY344:BD344)))</f>
        <v>0</v>
      </c>
      <c r="BI344" s="27" t="n">
        <f aca="false">MIN(AM343*(1+F$8),MAX(AY344,$B$12-SUM(BE344:BH344)-SUM(AZ344:BD344)))</f>
        <v>0</v>
      </c>
      <c r="BJ344" s="27" t="n">
        <f aca="false">MIN(AN343*(1+G$8),MAX(AZ344,$B$12-SUM(BE344:BI344)-SUM(BA344:BD344)))</f>
        <v>0</v>
      </c>
      <c r="BK344" s="27" t="n">
        <f aca="false">MIN(AO343*(1+H$8),MAX(BA344,$B$12-SUM(BE344:BJ344)-SUM(BB344:BD344)))</f>
        <v>0</v>
      </c>
      <c r="BL344" s="27" t="n">
        <f aca="false">MIN(AP343*(1+I$8),MAX(BB344,$B$12-SUM(BE344:BK344)-SUM(BC344:BD344)))</f>
        <v>0</v>
      </c>
      <c r="BM344" s="27" t="n">
        <f aca="false">MIN(AQ343*(1+J$8),MAX(BC344,$B$12-SUM(BE344:BL344)-SUM(BD344:BD344)))</f>
        <v>0</v>
      </c>
      <c r="BN344" s="27" t="n">
        <f aca="false">MIN(AR343*(1+K$8),MAX(BD344,$B$12-SUM(BE344:BM344)))</f>
        <v>0</v>
      </c>
    </row>
    <row r="345" customFormat="false" ht="15" hidden="false" customHeight="false" outlineLevel="0" collapsed="false">
      <c r="A345" s="0" t="n">
        <v>331</v>
      </c>
      <c r="B345" s="27" t="n">
        <f aca="false">ROUND(MAX(0,B344*(1+B$8)-X345),2)</f>
        <v>0</v>
      </c>
      <c r="C345" s="27" t="n">
        <f aca="false">ROUND(MAX(0,C344*(1+C$8)-Y345),2)</f>
        <v>0</v>
      </c>
      <c r="D345" s="27" t="n">
        <f aca="false">ROUND(MAX(0,D344*(1+D$8)-Z345),2)</f>
        <v>0</v>
      </c>
      <c r="E345" s="27" t="n">
        <f aca="false">ROUND(MAX(0,E344*(1+E$8)-AA345),2)</f>
        <v>0</v>
      </c>
      <c r="F345" s="27" t="n">
        <f aca="false">ROUND(MAX(0,F344*(1+F$8)-AB345),2)</f>
        <v>0</v>
      </c>
      <c r="G345" s="27" t="n">
        <f aca="false">ROUND(MAX(0,G344*(1+G$8)-AC345),2)</f>
        <v>0</v>
      </c>
      <c r="H345" s="27" t="n">
        <f aca="false">ROUND(MAX(0,H344*(1+H$8)-AD345),2)</f>
        <v>0</v>
      </c>
      <c r="I345" s="27" t="n">
        <f aca="false">ROUND(MAX(0,I344*(1+I$8)-AE345),2)</f>
        <v>0</v>
      </c>
      <c r="J345" s="27" t="n">
        <f aca="false">ROUND(MAX(0,J344*(1+J$8)-AF345),2)</f>
        <v>0</v>
      </c>
      <c r="K345" s="27" t="n">
        <f aca="false">ROUND(MAX(0,K344*(1+K$8)-AG345),2)</f>
        <v>0</v>
      </c>
      <c r="L345" s="30" t="n">
        <f aca="false">SUM(B345:K345)</f>
        <v>0</v>
      </c>
      <c r="M345" s="27" t="n">
        <f aca="false">SUMPRODUCT(B344:K344,$B$8:$K$8)</f>
        <v>0</v>
      </c>
      <c r="N345" s="27" t="n">
        <f aca="false">MIN(B344*(1+B$8),B$9)</f>
        <v>0</v>
      </c>
      <c r="O345" s="27" t="n">
        <f aca="false">MIN(C344*(1+C$8),C$9)</f>
        <v>0</v>
      </c>
      <c r="P345" s="27" t="n">
        <f aca="false">MIN(D344*(1+D$8),D$9)</f>
        <v>0</v>
      </c>
      <c r="Q345" s="27" t="n">
        <f aca="false">MIN(E344*(1+E$8),E$9)</f>
        <v>0</v>
      </c>
      <c r="R345" s="27" t="n">
        <f aca="false">MIN(F344*(1+F$8),F$9)</f>
        <v>0</v>
      </c>
      <c r="S345" s="27" t="n">
        <f aca="false">MIN(G344*(1+G$8),G$9)</f>
        <v>0</v>
      </c>
      <c r="T345" s="27" t="n">
        <f aca="false">MIN(H344*(1+H$8),H$9)</f>
        <v>0</v>
      </c>
      <c r="U345" s="27" t="n">
        <f aca="false">MIN(I344*(1+I$8),I$9)</f>
        <v>0</v>
      </c>
      <c r="V345" s="27" t="n">
        <f aca="false">MIN(J344*(1+J$8),J$9)</f>
        <v>0</v>
      </c>
      <c r="W345" s="27" t="n">
        <f aca="false">MIN(K344*(1+K$8),K$9)</f>
        <v>0</v>
      </c>
      <c r="X345" s="27" t="n">
        <f aca="false">MIN(B344*(1+B$8),MAX(N345,$B$11-SUM(O345:W345)))</f>
        <v>0</v>
      </c>
      <c r="Y345" s="27" t="n">
        <f aca="false">MIN(C344*(1+C$8),MAX(O345,$B$11-SUM(X345:X345)-SUM(P345:W345)))</f>
        <v>0</v>
      </c>
      <c r="Z345" s="27" t="n">
        <f aca="false">MIN(D344*(1+D$8),MAX(P345,$B$11-SUM(X345:Y345)-SUM(Q345:W345)))</f>
        <v>0</v>
      </c>
      <c r="AA345" s="27" t="n">
        <f aca="false">MIN(E344*(1+E$8),MAX(Q345,$B$11-SUM(X345:Z345)-SUM(R345:W345)))</f>
        <v>0</v>
      </c>
      <c r="AB345" s="27" t="n">
        <f aca="false">MIN(F344*(1+F$8),MAX(R345,$B$11-SUM(X345:AA345)-SUM(S345:W345)))</f>
        <v>0</v>
      </c>
      <c r="AC345" s="27" t="n">
        <f aca="false">MIN(G344*(1+G$8),MAX(S345,$B$11-SUM(X345:AB345)-SUM(T345:W345)))</f>
        <v>0</v>
      </c>
      <c r="AD345" s="27" t="n">
        <f aca="false">MIN(H344*(1+H$8),MAX(T345,$B$11-SUM(X345:AC345)-SUM(U345:W345)))</f>
        <v>0</v>
      </c>
      <c r="AE345" s="27" t="n">
        <f aca="false">MIN(I344*(1+I$8),MAX(U345,$B$11-SUM(X345:AD345)-SUM(V345:W345)))</f>
        <v>0</v>
      </c>
      <c r="AF345" s="27" t="n">
        <f aca="false">MIN(J344*(1+J$8),MAX(V345,$B$11-SUM(X345:AE345)-SUM(W345:W345)))</f>
        <v>0</v>
      </c>
      <c r="AG345" s="27" t="n">
        <f aca="false">MIN(K344*(1+K$8),MAX(W345,$B$11-SUM(X345:AF345)))</f>
        <v>0</v>
      </c>
      <c r="AI345" s="27" t="n">
        <f aca="false">ROUND(MAX(0,AI344*(1+B$8)-BE345),2)</f>
        <v>0</v>
      </c>
      <c r="AJ345" s="27" t="n">
        <f aca="false">ROUND(MAX(0,AJ344*(1+C$8)-BF345),2)</f>
        <v>0</v>
      </c>
      <c r="AK345" s="27" t="n">
        <f aca="false">ROUND(MAX(0,AK344*(1+D$8)-BG345),2)</f>
        <v>0</v>
      </c>
      <c r="AL345" s="27" t="n">
        <f aca="false">ROUND(MAX(0,AL344*(1+E$8)-BH345),2)</f>
        <v>0</v>
      </c>
      <c r="AM345" s="27" t="n">
        <f aca="false">ROUND(MAX(0,AM344*(1+F$8)-BI345),2)</f>
        <v>0</v>
      </c>
      <c r="AN345" s="27" t="n">
        <f aca="false">ROUND(MAX(0,AN344*(1+G$8)-BJ345),2)</f>
        <v>0</v>
      </c>
      <c r="AO345" s="27" t="n">
        <f aca="false">ROUND(MAX(0,AO344*(1+H$8)-BK345),2)</f>
        <v>0</v>
      </c>
      <c r="AP345" s="27" t="n">
        <f aca="false">ROUND(MAX(0,AP344*(1+I$8)-BL345),2)</f>
        <v>0</v>
      </c>
      <c r="AQ345" s="27" t="n">
        <f aca="false">ROUND(MAX(0,AQ344*(1+J$8)-BM345),2)</f>
        <v>0</v>
      </c>
      <c r="AR345" s="27" t="n">
        <f aca="false">ROUND(MAX(0,AR344*(1+K$8)-BN345),2)</f>
        <v>0</v>
      </c>
      <c r="AS345" s="27" t="n">
        <f aca="false">SUM(AI345:AR345)</f>
        <v>0</v>
      </c>
      <c r="AT345" s="27" t="n">
        <f aca="false">SUMPRODUCT(AI344:AR344,$B$8:$K$8)</f>
        <v>0</v>
      </c>
      <c r="AU345" s="27" t="n">
        <f aca="false">MIN(AI344*(1+B$8),B$9)</f>
        <v>0</v>
      </c>
      <c r="AV345" s="27" t="n">
        <f aca="false">MIN(AJ344*(1+C$8),C$9)</f>
        <v>0</v>
      </c>
      <c r="AW345" s="27" t="n">
        <f aca="false">MIN(AK344*(1+D$8),D$9)</f>
        <v>0</v>
      </c>
      <c r="AX345" s="27" t="n">
        <f aca="false">MIN(AL344*(1+E$8),E$9)</f>
        <v>0</v>
      </c>
      <c r="AY345" s="27" t="n">
        <f aca="false">MIN(AM344*(1+F$8),F$9)</f>
        <v>0</v>
      </c>
      <c r="AZ345" s="27" t="n">
        <f aca="false">MIN(AN344*(1+G$8),G$9)</f>
        <v>0</v>
      </c>
      <c r="BA345" s="27" t="n">
        <f aca="false">MIN(AO344*(1+H$8),H$9)</f>
        <v>0</v>
      </c>
      <c r="BB345" s="27" t="n">
        <f aca="false">MIN(AP344*(1+I$8),I$9)</f>
        <v>0</v>
      </c>
      <c r="BC345" s="27" t="n">
        <f aca="false">MIN(AQ344*(1+J$8),J$9)</f>
        <v>0</v>
      </c>
      <c r="BD345" s="27" t="n">
        <f aca="false">MIN(AR344*(1+K$8),K$9)</f>
        <v>0</v>
      </c>
      <c r="BE345" s="27" t="n">
        <f aca="false">MIN(AI344*(1+B$8),MAX(AU345,$B$12-SUM(AV345:BD345)))</f>
        <v>0</v>
      </c>
      <c r="BF345" s="27" t="n">
        <f aca="false">MIN(AJ344*(1+C$8),MAX(AV345,$B$12-SUM(BE345:BE345)-SUM(AW345:BD345)))</f>
        <v>0</v>
      </c>
      <c r="BG345" s="27" t="n">
        <f aca="false">MIN(AK344*(1+D$8),MAX(AW345,$B$12-SUM(BE345:BF345)-SUM(AX345:BD345)))</f>
        <v>0</v>
      </c>
      <c r="BH345" s="27" t="n">
        <f aca="false">MIN(AL344*(1+E$8),MAX(AX345,$B$12-SUM(BE345:BG345)-SUM(AY345:BD345)))</f>
        <v>0</v>
      </c>
      <c r="BI345" s="27" t="n">
        <f aca="false">MIN(AM344*(1+F$8),MAX(AY345,$B$12-SUM(BE345:BH345)-SUM(AZ345:BD345)))</f>
        <v>0</v>
      </c>
      <c r="BJ345" s="27" t="n">
        <f aca="false">MIN(AN344*(1+G$8),MAX(AZ345,$B$12-SUM(BE345:BI345)-SUM(BA345:BD345)))</f>
        <v>0</v>
      </c>
      <c r="BK345" s="27" t="n">
        <f aca="false">MIN(AO344*(1+H$8),MAX(BA345,$B$12-SUM(BE345:BJ345)-SUM(BB345:BD345)))</f>
        <v>0</v>
      </c>
      <c r="BL345" s="27" t="n">
        <f aca="false">MIN(AP344*(1+I$8),MAX(BB345,$B$12-SUM(BE345:BK345)-SUM(BC345:BD345)))</f>
        <v>0</v>
      </c>
      <c r="BM345" s="27" t="n">
        <f aca="false">MIN(AQ344*(1+J$8),MAX(BC345,$B$12-SUM(BE345:BL345)-SUM(BD345:BD345)))</f>
        <v>0</v>
      </c>
      <c r="BN345" s="27" t="n">
        <f aca="false">MIN(AR344*(1+K$8),MAX(BD345,$B$12-SUM(BE345:BM345)))</f>
        <v>0</v>
      </c>
    </row>
    <row r="346" customFormat="false" ht="15" hidden="false" customHeight="false" outlineLevel="0" collapsed="false">
      <c r="A346" s="0" t="n">
        <v>332</v>
      </c>
      <c r="B346" s="27" t="n">
        <f aca="false">ROUND(MAX(0,B345*(1+B$8)-X346),2)</f>
        <v>0</v>
      </c>
      <c r="C346" s="27" t="n">
        <f aca="false">ROUND(MAX(0,C345*(1+C$8)-Y346),2)</f>
        <v>0</v>
      </c>
      <c r="D346" s="27" t="n">
        <f aca="false">ROUND(MAX(0,D345*(1+D$8)-Z346),2)</f>
        <v>0</v>
      </c>
      <c r="E346" s="27" t="n">
        <f aca="false">ROUND(MAX(0,E345*(1+E$8)-AA346),2)</f>
        <v>0</v>
      </c>
      <c r="F346" s="27" t="n">
        <f aca="false">ROUND(MAX(0,F345*(1+F$8)-AB346),2)</f>
        <v>0</v>
      </c>
      <c r="G346" s="27" t="n">
        <f aca="false">ROUND(MAX(0,G345*(1+G$8)-AC346),2)</f>
        <v>0</v>
      </c>
      <c r="H346" s="27" t="n">
        <f aca="false">ROUND(MAX(0,H345*(1+H$8)-AD346),2)</f>
        <v>0</v>
      </c>
      <c r="I346" s="27" t="n">
        <f aca="false">ROUND(MAX(0,I345*(1+I$8)-AE346),2)</f>
        <v>0</v>
      </c>
      <c r="J346" s="27" t="n">
        <f aca="false">ROUND(MAX(0,J345*(1+J$8)-AF346),2)</f>
        <v>0</v>
      </c>
      <c r="K346" s="27" t="n">
        <f aca="false">ROUND(MAX(0,K345*(1+K$8)-AG346),2)</f>
        <v>0</v>
      </c>
      <c r="L346" s="30" t="n">
        <f aca="false">SUM(B346:K346)</f>
        <v>0</v>
      </c>
      <c r="M346" s="27" t="n">
        <f aca="false">SUMPRODUCT(B345:K345,$B$8:$K$8)</f>
        <v>0</v>
      </c>
      <c r="N346" s="27" t="n">
        <f aca="false">MIN(B345*(1+B$8),B$9)</f>
        <v>0</v>
      </c>
      <c r="O346" s="27" t="n">
        <f aca="false">MIN(C345*(1+C$8),C$9)</f>
        <v>0</v>
      </c>
      <c r="P346" s="27" t="n">
        <f aca="false">MIN(D345*(1+D$8),D$9)</f>
        <v>0</v>
      </c>
      <c r="Q346" s="27" t="n">
        <f aca="false">MIN(E345*(1+E$8),E$9)</f>
        <v>0</v>
      </c>
      <c r="R346" s="27" t="n">
        <f aca="false">MIN(F345*(1+F$8),F$9)</f>
        <v>0</v>
      </c>
      <c r="S346" s="27" t="n">
        <f aca="false">MIN(G345*(1+G$8),G$9)</f>
        <v>0</v>
      </c>
      <c r="T346" s="27" t="n">
        <f aca="false">MIN(H345*(1+H$8),H$9)</f>
        <v>0</v>
      </c>
      <c r="U346" s="27" t="n">
        <f aca="false">MIN(I345*(1+I$8),I$9)</f>
        <v>0</v>
      </c>
      <c r="V346" s="27" t="n">
        <f aca="false">MIN(J345*(1+J$8),J$9)</f>
        <v>0</v>
      </c>
      <c r="W346" s="27" t="n">
        <f aca="false">MIN(K345*(1+K$8),K$9)</f>
        <v>0</v>
      </c>
      <c r="X346" s="27" t="n">
        <f aca="false">MIN(B345*(1+B$8),MAX(N346,$B$11-SUM(O346:W346)))</f>
        <v>0</v>
      </c>
      <c r="Y346" s="27" t="n">
        <f aca="false">MIN(C345*(1+C$8),MAX(O346,$B$11-SUM(X346:X346)-SUM(P346:W346)))</f>
        <v>0</v>
      </c>
      <c r="Z346" s="27" t="n">
        <f aca="false">MIN(D345*(1+D$8),MAX(P346,$B$11-SUM(X346:Y346)-SUM(Q346:W346)))</f>
        <v>0</v>
      </c>
      <c r="AA346" s="27" t="n">
        <f aca="false">MIN(E345*(1+E$8),MAX(Q346,$B$11-SUM(X346:Z346)-SUM(R346:W346)))</f>
        <v>0</v>
      </c>
      <c r="AB346" s="27" t="n">
        <f aca="false">MIN(F345*(1+F$8),MAX(R346,$B$11-SUM(X346:AA346)-SUM(S346:W346)))</f>
        <v>0</v>
      </c>
      <c r="AC346" s="27" t="n">
        <f aca="false">MIN(G345*(1+G$8),MAX(S346,$B$11-SUM(X346:AB346)-SUM(T346:W346)))</f>
        <v>0</v>
      </c>
      <c r="AD346" s="27" t="n">
        <f aca="false">MIN(H345*(1+H$8),MAX(T346,$B$11-SUM(X346:AC346)-SUM(U346:W346)))</f>
        <v>0</v>
      </c>
      <c r="AE346" s="27" t="n">
        <f aca="false">MIN(I345*(1+I$8),MAX(U346,$B$11-SUM(X346:AD346)-SUM(V346:W346)))</f>
        <v>0</v>
      </c>
      <c r="AF346" s="27" t="n">
        <f aca="false">MIN(J345*(1+J$8),MAX(V346,$B$11-SUM(X346:AE346)-SUM(W346:W346)))</f>
        <v>0</v>
      </c>
      <c r="AG346" s="27" t="n">
        <f aca="false">MIN(K345*(1+K$8),MAX(W346,$B$11-SUM(X346:AF346)))</f>
        <v>0</v>
      </c>
      <c r="AI346" s="27" t="n">
        <f aca="false">ROUND(MAX(0,AI345*(1+B$8)-BE346),2)</f>
        <v>0</v>
      </c>
      <c r="AJ346" s="27" t="n">
        <f aca="false">ROUND(MAX(0,AJ345*(1+C$8)-BF346),2)</f>
        <v>0</v>
      </c>
      <c r="AK346" s="27" t="n">
        <f aca="false">ROUND(MAX(0,AK345*(1+D$8)-BG346),2)</f>
        <v>0</v>
      </c>
      <c r="AL346" s="27" t="n">
        <f aca="false">ROUND(MAX(0,AL345*(1+E$8)-BH346),2)</f>
        <v>0</v>
      </c>
      <c r="AM346" s="27" t="n">
        <f aca="false">ROUND(MAX(0,AM345*(1+F$8)-BI346),2)</f>
        <v>0</v>
      </c>
      <c r="AN346" s="27" t="n">
        <f aca="false">ROUND(MAX(0,AN345*(1+G$8)-BJ346),2)</f>
        <v>0</v>
      </c>
      <c r="AO346" s="27" t="n">
        <f aca="false">ROUND(MAX(0,AO345*(1+H$8)-BK346),2)</f>
        <v>0</v>
      </c>
      <c r="AP346" s="27" t="n">
        <f aca="false">ROUND(MAX(0,AP345*(1+I$8)-BL346),2)</f>
        <v>0</v>
      </c>
      <c r="AQ346" s="27" t="n">
        <f aca="false">ROUND(MAX(0,AQ345*(1+J$8)-BM346),2)</f>
        <v>0</v>
      </c>
      <c r="AR346" s="27" t="n">
        <f aca="false">ROUND(MAX(0,AR345*(1+K$8)-BN346),2)</f>
        <v>0</v>
      </c>
      <c r="AS346" s="27" t="n">
        <f aca="false">SUM(AI346:AR346)</f>
        <v>0</v>
      </c>
      <c r="AT346" s="27" t="n">
        <f aca="false">SUMPRODUCT(AI345:AR345,$B$8:$K$8)</f>
        <v>0</v>
      </c>
      <c r="AU346" s="27" t="n">
        <f aca="false">MIN(AI345*(1+B$8),B$9)</f>
        <v>0</v>
      </c>
      <c r="AV346" s="27" t="n">
        <f aca="false">MIN(AJ345*(1+C$8),C$9)</f>
        <v>0</v>
      </c>
      <c r="AW346" s="27" t="n">
        <f aca="false">MIN(AK345*(1+D$8),D$9)</f>
        <v>0</v>
      </c>
      <c r="AX346" s="27" t="n">
        <f aca="false">MIN(AL345*(1+E$8),E$9)</f>
        <v>0</v>
      </c>
      <c r="AY346" s="27" t="n">
        <f aca="false">MIN(AM345*(1+F$8),F$9)</f>
        <v>0</v>
      </c>
      <c r="AZ346" s="27" t="n">
        <f aca="false">MIN(AN345*(1+G$8),G$9)</f>
        <v>0</v>
      </c>
      <c r="BA346" s="27" t="n">
        <f aca="false">MIN(AO345*(1+H$8),H$9)</f>
        <v>0</v>
      </c>
      <c r="BB346" s="27" t="n">
        <f aca="false">MIN(AP345*(1+I$8),I$9)</f>
        <v>0</v>
      </c>
      <c r="BC346" s="27" t="n">
        <f aca="false">MIN(AQ345*(1+J$8),J$9)</f>
        <v>0</v>
      </c>
      <c r="BD346" s="27" t="n">
        <f aca="false">MIN(AR345*(1+K$8),K$9)</f>
        <v>0</v>
      </c>
      <c r="BE346" s="27" t="n">
        <f aca="false">MIN(AI345*(1+B$8),MAX(AU346,$B$12-SUM(AV346:BD346)))</f>
        <v>0</v>
      </c>
      <c r="BF346" s="27" t="n">
        <f aca="false">MIN(AJ345*(1+C$8),MAX(AV346,$B$12-SUM(BE346:BE346)-SUM(AW346:BD346)))</f>
        <v>0</v>
      </c>
      <c r="BG346" s="27" t="n">
        <f aca="false">MIN(AK345*(1+D$8),MAX(AW346,$B$12-SUM(BE346:BF346)-SUM(AX346:BD346)))</f>
        <v>0</v>
      </c>
      <c r="BH346" s="27" t="n">
        <f aca="false">MIN(AL345*(1+E$8),MAX(AX346,$B$12-SUM(BE346:BG346)-SUM(AY346:BD346)))</f>
        <v>0</v>
      </c>
      <c r="BI346" s="27" t="n">
        <f aca="false">MIN(AM345*(1+F$8),MAX(AY346,$B$12-SUM(BE346:BH346)-SUM(AZ346:BD346)))</f>
        <v>0</v>
      </c>
      <c r="BJ346" s="27" t="n">
        <f aca="false">MIN(AN345*(1+G$8),MAX(AZ346,$B$12-SUM(BE346:BI346)-SUM(BA346:BD346)))</f>
        <v>0</v>
      </c>
      <c r="BK346" s="27" t="n">
        <f aca="false">MIN(AO345*(1+H$8),MAX(BA346,$B$12-SUM(BE346:BJ346)-SUM(BB346:BD346)))</f>
        <v>0</v>
      </c>
      <c r="BL346" s="27" t="n">
        <f aca="false">MIN(AP345*(1+I$8),MAX(BB346,$B$12-SUM(BE346:BK346)-SUM(BC346:BD346)))</f>
        <v>0</v>
      </c>
      <c r="BM346" s="27" t="n">
        <f aca="false">MIN(AQ345*(1+J$8),MAX(BC346,$B$12-SUM(BE346:BL346)-SUM(BD346:BD346)))</f>
        <v>0</v>
      </c>
      <c r="BN346" s="27" t="n">
        <f aca="false">MIN(AR345*(1+K$8),MAX(BD346,$B$12-SUM(BE346:BM346)))</f>
        <v>0</v>
      </c>
    </row>
    <row r="347" customFormat="false" ht="15" hidden="false" customHeight="false" outlineLevel="0" collapsed="false">
      <c r="A347" s="0" t="n">
        <v>333</v>
      </c>
      <c r="B347" s="27" t="n">
        <f aca="false">ROUND(MAX(0,B346*(1+B$8)-X347),2)</f>
        <v>0</v>
      </c>
      <c r="C347" s="27" t="n">
        <f aca="false">ROUND(MAX(0,C346*(1+C$8)-Y347),2)</f>
        <v>0</v>
      </c>
      <c r="D347" s="27" t="n">
        <f aca="false">ROUND(MAX(0,D346*(1+D$8)-Z347),2)</f>
        <v>0</v>
      </c>
      <c r="E347" s="27" t="n">
        <f aca="false">ROUND(MAX(0,E346*(1+E$8)-AA347),2)</f>
        <v>0</v>
      </c>
      <c r="F347" s="27" t="n">
        <f aca="false">ROUND(MAX(0,F346*(1+F$8)-AB347),2)</f>
        <v>0</v>
      </c>
      <c r="G347" s="27" t="n">
        <f aca="false">ROUND(MAX(0,G346*(1+G$8)-AC347),2)</f>
        <v>0</v>
      </c>
      <c r="H347" s="27" t="n">
        <f aca="false">ROUND(MAX(0,H346*(1+H$8)-AD347),2)</f>
        <v>0</v>
      </c>
      <c r="I347" s="27" t="n">
        <f aca="false">ROUND(MAX(0,I346*(1+I$8)-AE347),2)</f>
        <v>0</v>
      </c>
      <c r="J347" s="27" t="n">
        <f aca="false">ROUND(MAX(0,J346*(1+J$8)-AF347),2)</f>
        <v>0</v>
      </c>
      <c r="K347" s="27" t="n">
        <f aca="false">ROUND(MAX(0,K346*(1+K$8)-AG347),2)</f>
        <v>0</v>
      </c>
      <c r="L347" s="30" t="n">
        <f aca="false">SUM(B347:K347)</f>
        <v>0</v>
      </c>
      <c r="M347" s="27" t="n">
        <f aca="false">SUMPRODUCT(B346:K346,$B$8:$K$8)</f>
        <v>0</v>
      </c>
      <c r="N347" s="27" t="n">
        <f aca="false">MIN(B346*(1+B$8),B$9)</f>
        <v>0</v>
      </c>
      <c r="O347" s="27" t="n">
        <f aca="false">MIN(C346*(1+C$8),C$9)</f>
        <v>0</v>
      </c>
      <c r="P347" s="27" t="n">
        <f aca="false">MIN(D346*(1+D$8),D$9)</f>
        <v>0</v>
      </c>
      <c r="Q347" s="27" t="n">
        <f aca="false">MIN(E346*(1+E$8),E$9)</f>
        <v>0</v>
      </c>
      <c r="R347" s="27" t="n">
        <f aca="false">MIN(F346*(1+F$8),F$9)</f>
        <v>0</v>
      </c>
      <c r="S347" s="27" t="n">
        <f aca="false">MIN(G346*(1+G$8),G$9)</f>
        <v>0</v>
      </c>
      <c r="T347" s="27" t="n">
        <f aca="false">MIN(H346*(1+H$8),H$9)</f>
        <v>0</v>
      </c>
      <c r="U347" s="27" t="n">
        <f aca="false">MIN(I346*(1+I$8),I$9)</f>
        <v>0</v>
      </c>
      <c r="V347" s="27" t="n">
        <f aca="false">MIN(J346*(1+J$8),J$9)</f>
        <v>0</v>
      </c>
      <c r="W347" s="27" t="n">
        <f aca="false">MIN(K346*(1+K$8),K$9)</f>
        <v>0</v>
      </c>
      <c r="X347" s="27" t="n">
        <f aca="false">MIN(B346*(1+B$8),MAX(N347,$B$11-SUM(O347:W347)))</f>
        <v>0</v>
      </c>
      <c r="Y347" s="27" t="n">
        <f aca="false">MIN(C346*(1+C$8),MAX(O347,$B$11-SUM(X347:X347)-SUM(P347:W347)))</f>
        <v>0</v>
      </c>
      <c r="Z347" s="27" t="n">
        <f aca="false">MIN(D346*(1+D$8),MAX(P347,$B$11-SUM(X347:Y347)-SUM(Q347:W347)))</f>
        <v>0</v>
      </c>
      <c r="AA347" s="27" t="n">
        <f aca="false">MIN(E346*(1+E$8),MAX(Q347,$B$11-SUM(X347:Z347)-SUM(R347:W347)))</f>
        <v>0</v>
      </c>
      <c r="AB347" s="27" t="n">
        <f aca="false">MIN(F346*(1+F$8),MAX(R347,$B$11-SUM(X347:AA347)-SUM(S347:W347)))</f>
        <v>0</v>
      </c>
      <c r="AC347" s="27" t="n">
        <f aca="false">MIN(G346*(1+G$8),MAX(S347,$B$11-SUM(X347:AB347)-SUM(T347:W347)))</f>
        <v>0</v>
      </c>
      <c r="AD347" s="27" t="n">
        <f aca="false">MIN(H346*(1+H$8),MAX(T347,$B$11-SUM(X347:AC347)-SUM(U347:W347)))</f>
        <v>0</v>
      </c>
      <c r="AE347" s="27" t="n">
        <f aca="false">MIN(I346*(1+I$8),MAX(U347,$B$11-SUM(X347:AD347)-SUM(V347:W347)))</f>
        <v>0</v>
      </c>
      <c r="AF347" s="27" t="n">
        <f aca="false">MIN(J346*(1+J$8),MAX(V347,$B$11-SUM(X347:AE347)-SUM(W347:W347)))</f>
        <v>0</v>
      </c>
      <c r="AG347" s="27" t="n">
        <f aca="false">MIN(K346*(1+K$8),MAX(W347,$B$11-SUM(X347:AF347)))</f>
        <v>0</v>
      </c>
      <c r="AI347" s="27" t="n">
        <f aca="false">ROUND(MAX(0,AI346*(1+B$8)-BE347),2)</f>
        <v>0</v>
      </c>
      <c r="AJ347" s="27" t="n">
        <f aca="false">ROUND(MAX(0,AJ346*(1+C$8)-BF347),2)</f>
        <v>0</v>
      </c>
      <c r="AK347" s="27" t="n">
        <f aca="false">ROUND(MAX(0,AK346*(1+D$8)-BG347),2)</f>
        <v>0</v>
      </c>
      <c r="AL347" s="27" t="n">
        <f aca="false">ROUND(MAX(0,AL346*(1+E$8)-BH347),2)</f>
        <v>0</v>
      </c>
      <c r="AM347" s="27" t="n">
        <f aca="false">ROUND(MAX(0,AM346*(1+F$8)-BI347),2)</f>
        <v>0</v>
      </c>
      <c r="AN347" s="27" t="n">
        <f aca="false">ROUND(MAX(0,AN346*(1+G$8)-BJ347),2)</f>
        <v>0</v>
      </c>
      <c r="AO347" s="27" t="n">
        <f aca="false">ROUND(MAX(0,AO346*(1+H$8)-BK347),2)</f>
        <v>0</v>
      </c>
      <c r="AP347" s="27" t="n">
        <f aca="false">ROUND(MAX(0,AP346*(1+I$8)-BL347),2)</f>
        <v>0</v>
      </c>
      <c r="AQ347" s="27" t="n">
        <f aca="false">ROUND(MAX(0,AQ346*(1+J$8)-BM347),2)</f>
        <v>0</v>
      </c>
      <c r="AR347" s="27" t="n">
        <f aca="false">ROUND(MAX(0,AR346*(1+K$8)-BN347),2)</f>
        <v>0</v>
      </c>
      <c r="AS347" s="27" t="n">
        <f aca="false">SUM(AI347:AR347)</f>
        <v>0</v>
      </c>
      <c r="AT347" s="27" t="n">
        <f aca="false">SUMPRODUCT(AI346:AR346,$B$8:$K$8)</f>
        <v>0</v>
      </c>
      <c r="AU347" s="27" t="n">
        <f aca="false">MIN(AI346*(1+B$8),B$9)</f>
        <v>0</v>
      </c>
      <c r="AV347" s="27" t="n">
        <f aca="false">MIN(AJ346*(1+C$8),C$9)</f>
        <v>0</v>
      </c>
      <c r="AW347" s="27" t="n">
        <f aca="false">MIN(AK346*(1+D$8),D$9)</f>
        <v>0</v>
      </c>
      <c r="AX347" s="27" t="n">
        <f aca="false">MIN(AL346*(1+E$8),E$9)</f>
        <v>0</v>
      </c>
      <c r="AY347" s="27" t="n">
        <f aca="false">MIN(AM346*(1+F$8),F$9)</f>
        <v>0</v>
      </c>
      <c r="AZ347" s="27" t="n">
        <f aca="false">MIN(AN346*(1+G$8),G$9)</f>
        <v>0</v>
      </c>
      <c r="BA347" s="27" t="n">
        <f aca="false">MIN(AO346*(1+H$8),H$9)</f>
        <v>0</v>
      </c>
      <c r="BB347" s="27" t="n">
        <f aca="false">MIN(AP346*(1+I$8),I$9)</f>
        <v>0</v>
      </c>
      <c r="BC347" s="27" t="n">
        <f aca="false">MIN(AQ346*(1+J$8),J$9)</f>
        <v>0</v>
      </c>
      <c r="BD347" s="27" t="n">
        <f aca="false">MIN(AR346*(1+K$8),K$9)</f>
        <v>0</v>
      </c>
      <c r="BE347" s="27" t="n">
        <f aca="false">MIN(AI346*(1+B$8),MAX(AU347,$B$12-SUM(AV347:BD347)))</f>
        <v>0</v>
      </c>
      <c r="BF347" s="27" t="n">
        <f aca="false">MIN(AJ346*(1+C$8),MAX(AV347,$B$12-SUM(BE347:BE347)-SUM(AW347:BD347)))</f>
        <v>0</v>
      </c>
      <c r="BG347" s="27" t="n">
        <f aca="false">MIN(AK346*(1+D$8),MAX(AW347,$B$12-SUM(BE347:BF347)-SUM(AX347:BD347)))</f>
        <v>0</v>
      </c>
      <c r="BH347" s="27" t="n">
        <f aca="false">MIN(AL346*(1+E$8),MAX(AX347,$B$12-SUM(BE347:BG347)-SUM(AY347:BD347)))</f>
        <v>0</v>
      </c>
      <c r="BI347" s="27" t="n">
        <f aca="false">MIN(AM346*(1+F$8),MAX(AY347,$B$12-SUM(BE347:BH347)-SUM(AZ347:BD347)))</f>
        <v>0</v>
      </c>
      <c r="BJ347" s="27" t="n">
        <f aca="false">MIN(AN346*(1+G$8),MAX(AZ347,$B$12-SUM(BE347:BI347)-SUM(BA347:BD347)))</f>
        <v>0</v>
      </c>
      <c r="BK347" s="27" t="n">
        <f aca="false">MIN(AO346*(1+H$8),MAX(BA347,$B$12-SUM(BE347:BJ347)-SUM(BB347:BD347)))</f>
        <v>0</v>
      </c>
      <c r="BL347" s="27" t="n">
        <f aca="false">MIN(AP346*(1+I$8),MAX(BB347,$B$12-SUM(BE347:BK347)-SUM(BC347:BD347)))</f>
        <v>0</v>
      </c>
      <c r="BM347" s="27" t="n">
        <f aca="false">MIN(AQ346*(1+J$8),MAX(BC347,$B$12-SUM(BE347:BL347)-SUM(BD347:BD347)))</f>
        <v>0</v>
      </c>
      <c r="BN347" s="27" t="n">
        <f aca="false">MIN(AR346*(1+K$8),MAX(BD347,$B$12-SUM(BE347:BM347)))</f>
        <v>0</v>
      </c>
    </row>
    <row r="348" customFormat="false" ht="15" hidden="false" customHeight="false" outlineLevel="0" collapsed="false">
      <c r="A348" s="0" t="n">
        <v>334</v>
      </c>
      <c r="B348" s="27" t="n">
        <f aca="false">ROUND(MAX(0,B347*(1+B$8)-X348),2)</f>
        <v>0</v>
      </c>
      <c r="C348" s="27" t="n">
        <f aca="false">ROUND(MAX(0,C347*(1+C$8)-Y348),2)</f>
        <v>0</v>
      </c>
      <c r="D348" s="27" t="n">
        <f aca="false">ROUND(MAX(0,D347*(1+D$8)-Z348),2)</f>
        <v>0</v>
      </c>
      <c r="E348" s="27" t="n">
        <f aca="false">ROUND(MAX(0,E347*(1+E$8)-AA348),2)</f>
        <v>0</v>
      </c>
      <c r="F348" s="27" t="n">
        <f aca="false">ROUND(MAX(0,F347*(1+F$8)-AB348),2)</f>
        <v>0</v>
      </c>
      <c r="G348" s="27" t="n">
        <f aca="false">ROUND(MAX(0,G347*(1+G$8)-AC348),2)</f>
        <v>0</v>
      </c>
      <c r="H348" s="27" t="n">
        <f aca="false">ROUND(MAX(0,H347*(1+H$8)-AD348),2)</f>
        <v>0</v>
      </c>
      <c r="I348" s="27" t="n">
        <f aca="false">ROUND(MAX(0,I347*(1+I$8)-AE348),2)</f>
        <v>0</v>
      </c>
      <c r="J348" s="27" t="n">
        <f aca="false">ROUND(MAX(0,J347*(1+J$8)-AF348),2)</f>
        <v>0</v>
      </c>
      <c r="K348" s="27" t="n">
        <f aca="false">ROUND(MAX(0,K347*(1+K$8)-AG348),2)</f>
        <v>0</v>
      </c>
      <c r="L348" s="30" t="n">
        <f aca="false">SUM(B348:K348)</f>
        <v>0</v>
      </c>
      <c r="M348" s="27" t="n">
        <f aca="false">SUMPRODUCT(B347:K347,$B$8:$K$8)</f>
        <v>0</v>
      </c>
      <c r="N348" s="27" t="n">
        <f aca="false">MIN(B347*(1+B$8),B$9)</f>
        <v>0</v>
      </c>
      <c r="O348" s="27" t="n">
        <f aca="false">MIN(C347*(1+C$8),C$9)</f>
        <v>0</v>
      </c>
      <c r="P348" s="27" t="n">
        <f aca="false">MIN(D347*(1+D$8),D$9)</f>
        <v>0</v>
      </c>
      <c r="Q348" s="27" t="n">
        <f aca="false">MIN(E347*(1+E$8),E$9)</f>
        <v>0</v>
      </c>
      <c r="R348" s="27" t="n">
        <f aca="false">MIN(F347*(1+F$8),F$9)</f>
        <v>0</v>
      </c>
      <c r="S348" s="27" t="n">
        <f aca="false">MIN(G347*(1+G$8),G$9)</f>
        <v>0</v>
      </c>
      <c r="T348" s="27" t="n">
        <f aca="false">MIN(H347*(1+H$8),H$9)</f>
        <v>0</v>
      </c>
      <c r="U348" s="27" t="n">
        <f aca="false">MIN(I347*(1+I$8),I$9)</f>
        <v>0</v>
      </c>
      <c r="V348" s="27" t="n">
        <f aca="false">MIN(J347*(1+J$8),J$9)</f>
        <v>0</v>
      </c>
      <c r="W348" s="27" t="n">
        <f aca="false">MIN(K347*(1+K$8),K$9)</f>
        <v>0</v>
      </c>
      <c r="X348" s="27" t="n">
        <f aca="false">MIN(B347*(1+B$8),MAX(N348,$B$11-SUM(O348:W348)))</f>
        <v>0</v>
      </c>
      <c r="Y348" s="27" t="n">
        <f aca="false">MIN(C347*(1+C$8),MAX(O348,$B$11-SUM(X348:X348)-SUM(P348:W348)))</f>
        <v>0</v>
      </c>
      <c r="Z348" s="27" t="n">
        <f aca="false">MIN(D347*(1+D$8),MAX(P348,$B$11-SUM(X348:Y348)-SUM(Q348:W348)))</f>
        <v>0</v>
      </c>
      <c r="AA348" s="27" t="n">
        <f aca="false">MIN(E347*(1+E$8),MAX(Q348,$B$11-SUM(X348:Z348)-SUM(R348:W348)))</f>
        <v>0</v>
      </c>
      <c r="AB348" s="27" t="n">
        <f aca="false">MIN(F347*(1+F$8),MAX(R348,$B$11-SUM(X348:AA348)-SUM(S348:W348)))</f>
        <v>0</v>
      </c>
      <c r="AC348" s="27" t="n">
        <f aca="false">MIN(G347*(1+G$8),MAX(S348,$B$11-SUM(X348:AB348)-SUM(T348:W348)))</f>
        <v>0</v>
      </c>
      <c r="AD348" s="27" t="n">
        <f aca="false">MIN(H347*(1+H$8),MAX(T348,$B$11-SUM(X348:AC348)-SUM(U348:W348)))</f>
        <v>0</v>
      </c>
      <c r="AE348" s="27" t="n">
        <f aca="false">MIN(I347*(1+I$8),MAX(U348,$B$11-SUM(X348:AD348)-SUM(V348:W348)))</f>
        <v>0</v>
      </c>
      <c r="AF348" s="27" t="n">
        <f aca="false">MIN(J347*(1+J$8),MAX(V348,$B$11-SUM(X348:AE348)-SUM(W348:W348)))</f>
        <v>0</v>
      </c>
      <c r="AG348" s="27" t="n">
        <f aca="false">MIN(K347*(1+K$8),MAX(W348,$B$11-SUM(X348:AF348)))</f>
        <v>0</v>
      </c>
      <c r="AI348" s="27" t="n">
        <f aca="false">ROUND(MAX(0,AI347*(1+B$8)-BE348),2)</f>
        <v>0</v>
      </c>
      <c r="AJ348" s="27" t="n">
        <f aca="false">ROUND(MAX(0,AJ347*(1+C$8)-BF348),2)</f>
        <v>0</v>
      </c>
      <c r="AK348" s="27" t="n">
        <f aca="false">ROUND(MAX(0,AK347*(1+D$8)-BG348),2)</f>
        <v>0</v>
      </c>
      <c r="AL348" s="27" t="n">
        <f aca="false">ROUND(MAX(0,AL347*(1+E$8)-BH348),2)</f>
        <v>0</v>
      </c>
      <c r="AM348" s="27" t="n">
        <f aca="false">ROUND(MAX(0,AM347*(1+F$8)-BI348),2)</f>
        <v>0</v>
      </c>
      <c r="AN348" s="27" t="n">
        <f aca="false">ROUND(MAX(0,AN347*(1+G$8)-BJ348),2)</f>
        <v>0</v>
      </c>
      <c r="AO348" s="27" t="n">
        <f aca="false">ROUND(MAX(0,AO347*(1+H$8)-BK348),2)</f>
        <v>0</v>
      </c>
      <c r="AP348" s="27" t="n">
        <f aca="false">ROUND(MAX(0,AP347*(1+I$8)-BL348),2)</f>
        <v>0</v>
      </c>
      <c r="AQ348" s="27" t="n">
        <f aca="false">ROUND(MAX(0,AQ347*(1+J$8)-BM348),2)</f>
        <v>0</v>
      </c>
      <c r="AR348" s="27" t="n">
        <f aca="false">ROUND(MAX(0,AR347*(1+K$8)-BN348),2)</f>
        <v>0</v>
      </c>
      <c r="AS348" s="27" t="n">
        <f aca="false">SUM(AI348:AR348)</f>
        <v>0</v>
      </c>
      <c r="AT348" s="27" t="n">
        <f aca="false">SUMPRODUCT(AI347:AR347,$B$8:$K$8)</f>
        <v>0</v>
      </c>
      <c r="AU348" s="27" t="n">
        <f aca="false">MIN(AI347*(1+B$8),B$9)</f>
        <v>0</v>
      </c>
      <c r="AV348" s="27" t="n">
        <f aca="false">MIN(AJ347*(1+C$8),C$9)</f>
        <v>0</v>
      </c>
      <c r="AW348" s="27" t="n">
        <f aca="false">MIN(AK347*(1+D$8),D$9)</f>
        <v>0</v>
      </c>
      <c r="AX348" s="27" t="n">
        <f aca="false">MIN(AL347*(1+E$8),E$9)</f>
        <v>0</v>
      </c>
      <c r="AY348" s="27" t="n">
        <f aca="false">MIN(AM347*(1+F$8),F$9)</f>
        <v>0</v>
      </c>
      <c r="AZ348" s="27" t="n">
        <f aca="false">MIN(AN347*(1+G$8),G$9)</f>
        <v>0</v>
      </c>
      <c r="BA348" s="27" t="n">
        <f aca="false">MIN(AO347*(1+H$8),H$9)</f>
        <v>0</v>
      </c>
      <c r="BB348" s="27" t="n">
        <f aca="false">MIN(AP347*(1+I$8),I$9)</f>
        <v>0</v>
      </c>
      <c r="BC348" s="27" t="n">
        <f aca="false">MIN(AQ347*(1+J$8),J$9)</f>
        <v>0</v>
      </c>
      <c r="BD348" s="27" t="n">
        <f aca="false">MIN(AR347*(1+K$8),K$9)</f>
        <v>0</v>
      </c>
      <c r="BE348" s="27" t="n">
        <f aca="false">MIN(AI347*(1+B$8),MAX(AU348,$B$12-SUM(AV348:BD348)))</f>
        <v>0</v>
      </c>
      <c r="BF348" s="27" t="n">
        <f aca="false">MIN(AJ347*(1+C$8),MAX(AV348,$B$12-SUM(BE348:BE348)-SUM(AW348:BD348)))</f>
        <v>0</v>
      </c>
      <c r="BG348" s="27" t="n">
        <f aca="false">MIN(AK347*(1+D$8),MAX(AW348,$B$12-SUM(BE348:BF348)-SUM(AX348:BD348)))</f>
        <v>0</v>
      </c>
      <c r="BH348" s="27" t="n">
        <f aca="false">MIN(AL347*(1+E$8),MAX(AX348,$B$12-SUM(BE348:BG348)-SUM(AY348:BD348)))</f>
        <v>0</v>
      </c>
      <c r="BI348" s="27" t="n">
        <f aca="false">MIN(AM347*(1+F$8),MAX(AY348,$B$12-SUM(BE348:BH348)-SUM(AZ348:BD348)))</f>
        <v>0</v>
      </c>
      <c r="BJ348" s="27" t="n">
        <f aca="false">MIN(AN347*(1+G$8),MAX(AZ348,$B$12-SUM(BE348:BI348)-SUM(BA348:BD348)))</f>
        <v>0</v>
      </c>
      <c r="BK348" s="27" t="n">
        <f aca="false">MIN(AO347*(1+H$8),MAX(BA348,$B$12-SUM(BE348:BJ348)-SUM(BB348:BD348)))</f>
        <v>0</v>
      </c>
      <c r="BL348" s="27" t="n">
        <f aca="false">MIN(AP347*(1+I$8),MAX(BB348,$B$12-SUM(BE348:BK348)-SUM(BC348:BD348)))</f>
        <v>0</v>
      </c>
      <c r="BM348" s="27" t="n">
        <f aca="false">MIN(AQ347*(1+J$8),MAX(BC348,$B$12-SUM(BE348:BL348)-SUM(BD348:BD348)))</f>
        <v>0</v>
      </c>
      <c r="BN348" s="27" t="n">
        <f aca="false">MIN(AR347*(1+K$8),MAX(BD348,$B$12-SUM(BE348:BM348)))</f>
        <v>0</v>
      </c>
    </row>
    <row r="349" customFormat="false" ht="15" hidden="false" customHeight="false" outlineLevel="0" collapsed="false">
      <c r="A349" s="0" t="n">
        <v>335</v>
      </c>
      <c r="B349" s="27" t="n">
        <f aca="false">ROUND(MAX(0,B348*(1+B$8)-X349),2)</f>
        <v>0</v>
      </c>
      <c r="C349" s="27" t="n">
        <f aca="false">ROUND(MAX(0,C348*(1+C$8)-Y349),2)</f>
        <v>0</v>
      </c>
      <c r="D349" s="27" t="n">
        <f aca="false">ROUND(MAX(0,D348*(1+D$8)-Z349),2)</f>
        <v>0</v>
      </c>
      <c r="E349" s="27" t="n">
        <f aca="false">ROUND(MAX(0,E348*(1+E$8)-AA349),2)</f>
        <v>0</v>
      </c>
      <c r="F349" s="27" t="n">
        <f aca="false">ROUND(MAX(0,F348*(1+F$8)-AB349),2)</f>
        <v>0</v>
      </c>
      <c r="G349" s="27" t="n">
        <f aca="false">ROUND(MAX(0,G348*(1+G$8)-AC349),2)</f>
        <v>0</v>
      </c>
      <c r="H349" s="27" t="n">
        <f aca="false">ROUND(MAX(0,H348*(1+H$8)-AD349),2)</f>
        <v>0</v>
      </c>
      <c r="I349" s="27" t="n">
        <f aca="false">ROUND(MAX(0,I348*(1+I$8)-AE349),2)</f>
        <v>0</v>
      </c>
      <c r="J349" s="27" t="n">
        <f aca="false">ROUND(MAX(0,J348*(1+J$8)-AF349),2)</f>
        <v>0</v>
      </c>
      <c r="K349" s="27" t="n">
        <f aca="false">ROUND(MAX(0,K348*(1+K$8)-AG349),2)</f>
        <v>0</v>
      </c>
      <c r="L349" s="30" t="n">
        <f aca="false">SUM(B349:K349)</f>
        <v>0</v>
      </c>
      <c r="M349" s="27" t="n">
        <f aca="false">SUMPRODUCT(B348:K348,$B$8:$K$8)</f>
        <v>0</v>
      </c>
      <c r="N349" s="27" t="n">
        <f aca="false">MIN(B348*(1+B$8),B$9)</f>
        <v>0</v>
      </c>
      <c r="O349" s="27" t="n">
        <f aca="false">MIN(C348*(1+C$8),C$9)</f>
        <v>0</v>
      </c>
      <c r="P349" s="27" t="n">
        <f aca="false">MIN(D348*(1+D$8),D$9)</f>
        <v>0</v>
      </c>
      <c r="Q349" s="27" t="n">
        <f aca="false">MIN(E348*(1+E$8),E$9)</f>
        <v>0</v>
      </c>
      <c r="R349" s="27" t="n">
        <f aca="false">MIN(F348*(1+F$8),F$9)</f>
        <v>0</v>
      </c>
      <c r="S349" s="27" t="n">
        <f aca="false">MIN(G348*(1+G$8),G$9)</f>
        <v>0</v>
      </c>
      <c r="T349" s="27" t="n">
        <f aca="false">MIN(H348*(1+H$8),H$9)</f>
        <v>0</v>
      </c>
      <c r="U349" s="27" t="n">
        <f aca="false">MIN(I348*(1+I$8),I$9)</f>
        <v>0</v>
      </c>
      <c r="V349" s="27" t="n">
        <f aca="false">MIN(J348*(1+J$8),J$9)</f>
        <v>0</v>
      </c>
      <c r="W349" s="27" t="n">
        <f aca="false">MIN(K348*(1+K$8),K$9)</f>
        <v>0</v>
      </c>
      <c r="X349" s="27" t="n">
        <f aca="false">MIN(B348*(1+B$8),MAX(N349,$B$11-SUM(O349:W349)))</f>
        <v>0</v>
      </c>
      <c r="Y349" s="27" t="n">
        <f aca="false">MIN(C348*(1+C$8),MAX(O349,$B$11-SUM(X349:X349)-SUM(P349:W349)))</f>
        <v>0</v>
      </c>
      <c r="Z349" s="27" t="n">
        <f aca="false">MIN(D348*(1+D$8),MAX(P349,$B$11-SUM(X349:Y349)-SUM(Q349:W349)))</f>
        <v>0</v>
      </c>
      <c r="AA349" s="27" t="n">
        <f aca="false">MIN(E348*(1+E$8),MAX(Q349,$B$11-SUM(X349:Z349)-SUM(R349:W349)))</f>
        <v>0</v>
      </c>
      <c r="AB349" s="27" t="n">
        <f aca="false">MIN(F348*(1+F$8),MAX(R349,$B$11-SUM(X349:AA349)-SUM(S349:W349)))</f>
        <v>0</v>
      </c>
      <c r="AC349" s="27" t="n">
        <f aca="false">MIN(G348*(1+G$8),MAX(S349,$B$11-SUM(X349:AB349)-SUM(T349:W349)))</f>
        <v>0</v>
      </c>
      <c r="AD349" s="27" t="n">
        <f aca="false">MIN(H348*(1+H$8),MAX(T349,$B$11-SUM(X349:AC349)-SUM(U349:W349)))</f>
        <v>0</v>
      </c>
      <c r="AE349" s="27" t="n">
        <f aca="false">MIN(I348*(1+I$8),MAX(U349,$B$11-SUM(X349:AD349)-SUM(V349:W349)))</f>
        <v>0</v>
      </c>
      <c r="AF349" s="27" t="n">
        <f aca="false">MIN(J348*(1+J$8),MAX(V349,$B$11-SUM(X349:AE349)-SUM(W349:W349)))</f>
        <v>0</v>
      </c>
      <c r="AG349" s="27" t="n">
        <f aca="false">MIN(K348*(1+K$8),MAX(W349,$B$11-SUM(X349:AF349)))</f>
        <v>0</v>
      </c>
      <c r="AI349" s="27" t="n">
        <f aca="false">ROUND(MAX(0,AI348*(1+B$8)-BE349),2)</f>
        <v>0</v>
      </c>
      <c r="AJ349" s="27" t="n">
        <f aca="false">ROUND(MAX(0,AJ348*(1+C$8)-BF349),2)</f>
        <v>0</v>
      </c>
      <c r="AK349" s="27" t="n">
        <f aca="false">ROUND(MAX(0,AK348*(1+D$8)-BG349),2)</f>
        <v>0</v>
      </c>
      <c r="AL349" s="27" t="n">
        <f aca="false">ROUND(MAX(0,AL348*(1+E$8)-BH349),2)</f>
        <v>0</v>
      </c>
      <c r="AM349" s="27" t="n">
        <f aca="false">ROUND(MAX(0,AM348*(1+F$8)-BI349),2)</f>
        <v>0</v>
      </c>
      <c r="AN349" s="27" t="n">
        <f aca="false">ROUND(MAX(0,AN348*(1+G$8)-BJ349),2)</f>
        <v>0</v>
      </c>
      <c r="AO349" s="27" t="n">
        <f aca="false">ROUND(MAX(0,AO348*(1+H$8)-BK349),2)</f>
        <v>0</v>
      </c>
      <c r="AP349" s="27" t="n">
        <f aca="false">ROUND(MAX(0,AP348*(1+I$8)-BL349),2)</f>
        <v>0</v>
      </c>
      <c r="AQ349" s="27" t="n">
        <f aca="false">ROUND(MAX(0,AQ348*(1+J$8)-BM349),2)</f>
        <v>0</v>
      </c>
      <c r="AR349" s="27" t="n">
        <f aca="false">ROUND(MAX(0,AR348*(1+K$8)-BN349),2)</f>
        <v>0</v>
      </c>
      <c r="AS349" s="27" t="n">
        <f aca="false">SUM(AI349:AR349)</f>
        <v>0</v>
      </c>
      <c r="AT349" s="27" t="n">
        <f aca="false">SUMPRODUCT(AI348:AR348,$B$8:$K$8)</f>
        <v>0</v>
      </c>
      <c r="AU349" s="27" t="n">
        <f aca="false">MIN(AI348*(1+B$8),B$9)</f>
        <v>0</v>
      </c>
      <c r="AV349" s="27" t="n">
        <f aca="false">MIN(AJ348*(1+C$8),C$9)</f>
        <v>0</v>
      </c>
      <c r="AW349" s="27" t="n">
        <f aca="false">MIN(AK348*(1+D$8),D$9)</f>
        <v>0</v>
      </c>
      <c r="AX349" s="27" t="n">
        <f aca="false">MIN(AL348*(1+E$8),E$9)</f>
        <v>0</v>
      </c>
      <c r="AY349" s="27" t="n">
        <f aca="false">MIN(AM348*(1+F$8),F$9)</f>
        <v>0</v>
      </c>
      <c r="AZ349" s="27" t="n">
        <f aca="false">MIN(AN348*(1+G$8),G$9)</f>
        <v>0</v>
      </c>
      <c r="BA349" s="27" t="n">
        <f aca="false">MIN(AO348*(1+H$8),H$9)</f>
        <v>0</v>
      </c>
      <c r="BB349" s="27" t="n">
        <f aca="false">MIN(AP348*(1+I$8),I$9)</f>
        <v>0</v>
      </c>
      <c r="BC349" s="27" t="n">
        <f aca="false">MIN(AQ348*(1+J$8),J$9)</f>
        <v>0</v>
      </c>
      <c r="BD349" s="27" t="n">
        <f aca="false">MIN(AR348*(1+K$8),K$9)</f>
        <v>0</v>
      </c>
      <c r="BE349" s="27" t="n">
        <f aca="false">MIN(AI348*(1+B$8),MAX(AU349,$B$12-SUM(AV349:BD349)))</f>
        <v>0</v>
      </c>
      <c r="BF349" s="27" t="n">
        <f aca="false">MIN(AJ348*(1+C$8),MAX(AV349,$B$12-SUM(BE349:BE349)-SUM(AW349:BD349)))</f>
        <v>0</v>
      </c>
      <c r="BG349" s="27" t="n">
        <f aca="false">MIN(AK348*(1+D$8),MAX(AW349,$B$12-SUM(BE349:BF349)-SUM(AX349:BD349)))</f>
        <v>0</v>
      </c>
      <c r="BH349" s="27" t="n">
        <f aca="false">MIN(AL348*(1+E$8),MAX(AX349,$B$12-SUM(BE349:BG349)-SUM(AY349:BD349)))</f>
        <v>0</v>
      </c>
      <c r="BI349" s="27" t="n">
        <f aca="false">MIN(AM348*(1+F$8),MAX(AY349,$B$12-SUM(BE349:BH349)-SUM(AZ349:BD349)))</f>
        <v>0</v>
      </c>
      <c r="BJ349" s="27" t="n">
        <f aca="false">MIN(AN348*(1+G$8),MAX(AZ349,$B$12-SUM(BE349:BI349)-SUM(BA349:BD349)))</f>
        <v>0</v>
      </c>
      <c r="BK349" s="27" t="n">
        <f aca="false">MIN(AO348*(1+H$8),MAX(BA349,$B$12-SUM(BE349:BJ349)-SUM(BB349:BD349)))</f>
        <v>0</v>
      </c>
      <c r="BL349" s="27" t="n">
        <f aca="false">MIN(AP348*(1+I$8),MAX(BB349,$B$12-SUM(BE349:BK349)-SUM(BC349:BD349)))</f>
        <v>0</v>
      </c>
      <c r="BM349" s="27" t="n">
        <f aca="false">MIN(AQ348*(1+J$8),MAX(BC349,$B$12-SUM(BE349:BL349)-SUM(BD349:BD349)))</f>
        <v>0</v>
      </c>
      <c r="BN349" s="27" t="n">
        <f aca="false">MIN(AR348*(1+K$8),MAX(BD349,$B$12-SUM(BE349:BM349)))</f>
        <v>0</v>
      </c>
    </row>
    <row r="350" customFormat="false" ht="15" hidden="false" customHeight="false" outlineLevel="0" collapsed="false">
      <c r="A350" s="0" t="n">
        <v>336</v>
      </c>
      <c r="B350" s="27" t="n">
        <f aca="false">ROUND(MAX(0,B349*(1+B$8)-X350),2)</f>
        <v>0</v>
      </c>
      <c r="C350" s="27" t="n">
        <f aca="false">ROUND(MAX(0,C349*(1+C$8)-Y350),2)</f>
        <v>0</v>
      </c>
      <c r="D350" s="27" t="n">
        <f aca="false">ROUND(MAX(0,D349*(1+D$8)-Z350),2)</f>
        <v>0</v>
      </c>
      <c r="E350" s="27" t="n">
        <f aca="false">ROUND(MAX(0,E349*(1+E$8)-AA350),2)</f>
        <v>0</v>
      </c>
      <c r="F350" s="27" t="n">
        <f aca="false">ROUND(MAX(0,F349*(1+F$8)-AB350),2)</f>
        <v>0</v>
      </c>
      <c r="G350" s="27" t="n">
        <f aca="false">ROUND(MAX(0,G349*(1+G$8)-AC350),2)</f>
        <v>0</v>
      </c>
      <c r="H350" s="27" t="n">
        <f aca="false">ROUND(MAX(0,H349*(1+H$8)-AD350),2)</f>
        <v>0</v>
      </c>
      <c r="I350" s="27" t="n">
        <f aca="false">ROUND(MAX(0,I349*(1+I$8)-AE350),2)</f>
        <v>0</v>
      </c>
      <c r="J350" s="27" t="n">
        <f aca="false">ROUND(MAX(0,J349*(1+J$8)-AF350),2)</f>
        <v>0</v>
      </c>
      <c r="K350" s="27" t="n">
        <f aca="false">ROUND(MAX(0,K349*(1+K$8)-AG350),2)</f>
        <v>0</v>
      </c>
      <c r="L350" s="30" t="n">
        <f aca="false">SUM(B350:K350)</f>
        <v>0</v>
      </c>
      <c r="M350" s="27" t="n">
        <f aca="false">SUMPRODUCT(B349:K349,$B$8:$K$8)</f>
        <v>0</v>
      </c>
      <c r="N350" s="27" t="n">
        <f aca="false">MIN(B349*(1+B$8),B$9)</f>
        <v>0</v>
      </c>
      <c r="O350" s="27" t="n">
        <f aca="false">MIN(C349*(1+C$8),C$9)</f>
        <v>0</v>
      </c>
      <c r="P350" s="27" t="n">
        <f aca="false">MIN(D349*(1+D$8),D$9)</f>
        <v>0</v>
      </c>
      <c r="Q350" s="27" t="n">
        <f aca="false">MIN(E349*(1+E$8),E$9)</f>
        <v>0</v>
      </c>
      <c r="R350" s="27" t="n">
        <f aca="false">MIN(F349*(1+F$8),F$9)</f>
        <v>0</v>
      </c>
      <c r="S350" s="27" t="n">
        <f aca="false">MIN(G349*(1+G$8),G$9)</f>
        <v>0</v>
      </c>
      <c r="T350" s="27" t="n">
        <f aca="false">MIN(H349*(1+H$8),H$9)</f>
        <v>0</v>
      </c>
      <c r="U350" s="27" t="n">
        <f aca="false">MIN(I349*(1+I$8),I$9)</f>
        <v>0</v>
      </c>
      <c r="V350" s="27" t="n">
        <f aca="false">MIN(J349*(1+J$8),J$9)</f>
        <v>0</v>
      </c>
      <c r="W350" s="27" t="n">
        <f aca="false">MIN(K349*(1+K$8),K$9)</f>
        <v>0</v>
      </c>
      <c r="X350" s="27" t="n">
        <f aca="false">MIN(B349*(1+B$8),MAX(N350,$B$11-SUM(O350:W350)))</f>
        <v>0</v>
      </c>
      <c r="Y350" s="27" t="n">
        <f aca="false">MIN(C349*(1+C$8),MAX(O350,$B$11-SUM(X350:X350)-SUM(P350:W350)))</f>
        <v>0</v>
      </c>
      <c r="Z350" s="27" t="n">
        <f aca="false">MIN(D349*(1+D$8),MAX(P350,$B$11-SUM(X350:Y350)-SUM(Q350:W350)))</f>
        <v>0</v>
      </c>
      <c r="AA350" s="27" t="n">
        <f aca="false">MIN(E349*(1+E$8),MAX(Q350,$B$11-SUM(X350:Z350)-SUM(R350:W350)))</f>
        <v>0</v>
      </c>
      <c r="AB350" s="27" t="n">
        <f aca="false">MIN(F349*(1+F$8),MAX(R350,$B$11-SUM(X350:AA350)-SUM(S350:W350)))</f>
        <v>0</v>
      </c>
      <c r="AC350" s="27" t="n">
        <f aca="false">MIN(G349*(1+G$8),MAX(S350,$B$11-SUM(X350:AB350)-SUM(T350:W350)))</f>
        <v>0</v>
      </c>
      <c r="AD350" s="27" t="n">
        <f aca="false">MIN(H349*(1+H$8),MAX(T350,$B$11-SUM(X350:AC350)-SUM(U350:W350)))</f>
        <v>0</v>
      </c>
      <c r="AE350" s="27" t="n">
        <f aca="false">MIN(I349*(1+I$8),MAX(U350,$B$11-SUM(X350:AD350)-SUM(V350:W350)))</f>
        <v>0</v>
      </c>
      <c r="AF350" s="27" t="n">
        <f aca="false">MIN(J349*(1+J$8),MAX(V350,$B$11-SUM(X350:AE350)-SUM(W350:W350)))</f>
        <v>0</v>
      </c>
      <c r="AG350" s="27" t="n">
        <f aca="false">MIN(K349*(1+K$8),MAX(W350,$B$11-SUM(X350:AF350)))</f>
        <v>0</v>
      </c>
      <c r="AI350" s="27" t="n">
        <f aca="false">ROUND(MAX(0,AI349*(1+B$8)-BE350),2)</f>
        <v>0</v>
      </c>
      <c r="AJ350" s="27" t="n">
        <f aca="false">ROUND(MAX(0,AJ349*(1+C$8)-BF350),2)</f>
        <v>0</v>
      </c>
      <c r="AK350" s="27" t="n">
        <f aca="false">ROUND(MAX(0,AK349*(1+D$8)-BG350),2)</f>
        <v>0</v>
      </c>
      <c r="AL350" s="27" t="n">
        <f aca="false">ROUND(MAX(0,AL349*(1+E$8)-BH350),2)</f>
        <v>0</v>
      </c>
      <c r="AM350" s="27" t="n">
        <f aca="false">ROUND(MAX(0,AM349*(1+F$8)-BI350),2)</f>
        <v>0</v>
      </c>
      <c r="AN350" s="27" t="n">
        <f aca="false">ROUND(MAX(0,AN349*(1+G$8)-BJ350),2)</f>
        <v>0</v>
      </c>
      <c r="AO350" s="27" t="n">
        <f aca="false">ROUND(MAX(0,AO349*(1+H$8)-BK350),2)</f>
        <v>0</v>
      </c>
      <c r="AP350" s="27" t="n">
        <f aca="false">ROUND(MAX(0,AP349*(1+I$8)-BL350),2)</f>
        <v>0</v>
      </c>
      <c r="AQ350" s="27" t="n">
        <f aca="false">ROUND(MAX(0,AQ349*(1+J$8)-BM350),2)</f>
        <v>0</v>
      </c>
      <c r="AR350" s="27" t="n">
        <f aca="false">ROUND(MAX(0,AR349*(1+K$8)-BN350),2)</f>
        <v>0</v>
      </c>
      <c r="AS350" s="27" t="n">
        <f aca="false">SUM(AI350:AR350)</f>
        <v>0</v>
      </c>
      <c r="AT350" s="27" t="n">
        <f aca="false">SUMPRODUCT(AI349:AR349,$B$8:$K$8)</f>
        <v>0</v>
      </c>
      <c r="AU350" s="27" t="n">
        <f aca="false">MIN(AI349*(1+B$8),B$9)</f>
        <v>0</v>
      </c>
      <c r="AV350" s="27" t="n">
        <f aca="false">MIN(AJ349*(1+C$8),C$9)</f>
        <v>0</v>
      </c>
      <c r="AW350" s="27" t="n">
        <f aca="false">MIN(AK349*(1+D$8),D$9)</f>
        <v>0</v>
      </c>
      <c r="AX350" s="27" t="n">
        <f aca="false">MIN(AL349*(1+E$8),E$9)</f>
        <v>0</v>
      </c>
      <c r="AY350" s="27" t="n">
        <f aca="false">MIN(AM349*(1+F$8),F$9)</f>
        <v>0</v>
      </c>
      <c r="AZ350" s="27" t="n">
        <f aca="false">MIN(AN349*(1+G$8),G$9)</f>
        <v>0</v>
      </c>
      <c r="BA350" s="27" t="n">
        <f aca="false">MIN(AO349*(1+H$8),H$9)</f>
        <v>0</v>
      </c>
      <c r="BB350" s="27" t="n">
        <f aca="false">MIN(AP349*(1+I$8),I$9)</f>
        <v>0</v>
      </c>
      <c r="BC350" s="27" t="n">
        <f aca="false">MIN(AQ349*(1+J$8),J$9)</f>
        <v>0</v>
      </c>
      <c r="BD350" s="27" t="n">
        <f aca="false">MIN(AR349*(1+K$8),K$9)</f>
        <v>0</v>
      </c>
      <c r="BE350" s="27" t="n">
        <f aca="false">MIN(AI349*(1+B$8),MAX(AU350,$B$12-SUM(AV350:BD350)))</f>
        <v>0</v>
      </c>
      <c r="BF350" s="27" t="n">
        <f aca="false">MIN(AJ349*(1+C$8),MAX(AV350,$B$12-SUM(BE350:BE350)-SUM(AW350:BD350)))</f>
        <v>0</v>
      </c>
      <c r="BG350" s="27" t="n">
        <f aca="false">MIN(AK349*(1+D$8),MAX(AW350,$B$12-SUM(BE350:BF350)-SUM(AX350:BD350)))</f>
        <v>0</v>
      </c>
      <c r="BH350" s="27" t="n">
        <f aca="false">MIN(AL349*(1+E$8),MAX(AX350,$B$12-SUM(BE350:BG350)-SUM(AY350:BD350)))</f>
        <v>0</v>
      </c>
      <c r="BI350" s="27" t="n">
        <f aca="false">MIN(AM349*(1+F$8),MAX(AY350,$B$12-SUM(BE350:BH350)-SUM(AZ350:BD350)))</f>
        <v>0</v>
      </c>
      <c r="BJ350" s="27" t="n">
        <f aca="false">MIN(AN349*(1+G$8),MAX(AZ350,$B$12-SUM(BE350:BI350)-SUM(BA350:BD350)))</f>
        <v>0</v>
      </c>
      <c r="BK350" s="27" t="n">
        <f aca="false">MIN(AO349*(1+H$8),MAX(BA350,$B$12-SUM(BE350:BJ350)-SUM(BB350:BD350)))</f>
        <v>0</v>
      </c>
      <c r="BL350" s="27" t="n">
        <f aca="false">MIN(AP349*(1+I$8),MAX(BB350,$B$12-SUM(BE350:BK350)-SUM(BC350:BD350)))</f>
        <v>0</v>
      </c>
      <c r="BM350" s="27" t="n">
        <f aca="false">MIN(AQ349*(1+J$8),MAX(BC350,$B$12-SUM(BE350:BL350)-SUM(BD350:BD350)))</f>
        <v>0</v>
      </c>
      <c r="BN350" s="27" t="n">
        <f aca="false">MIN(AR349*(1+K$8),MAX(BD350,$B$12-SUM(BE350:BM350)))</f>
        <v>0</v>
      </c>
    </row>
    <row r="351" customFormat="false" ht="15" hidden="false" customHeight="false" outlineLevel="0" collapsed="false">
      <c r="A351" s="0" t="n">
        <v>337</v>
      </c>
      <c r="B351" s="27" t="n">
        <f aca="false">ROUND(MAX(0,B350*(1+B$8)-X351),2)</f>
        <v>0</v>
      </c>
      <c r="C351" s="27" t="n">
        <f aca="false">ROUND(MAX(0,C350*(1+C$8)-Y351),2)</f>
        <v>0</v>
      </c>
      <c r="D351" s="27" t="n">
        <f aca="false">ROUND(MAX(0,D350*(1+D$8)-Z351),2)</f>
        <v>0</v>
      </c>
      <c r="E351" s="27" t="n">
        <f aca="false">ROUND(MAX(0,E350*(1+E$8)-AA351),2)</f>
        <v>0</v>
      </c>
      <c r="F351" s="27" t="n">
        <f aca="false">ROUND(MAX(0,F350*(1+F$8)-AB351),2)</f>
        <v>0</v>
      </c>
      <c r="G351" s="27" t="n">
        <f aca="false">ROUND(MAX(0,G350*(1+G$8)-AC351),2)</f>
        <v>0</v>
      </c>
      <c r="H351" s="27" t="n">
        <f aca="false">ROUND(MAX(0,H350*(1+H$8)-AD351),2)</f>
        <v>0</v>
      </c>
      <c r="I351" s="27" t="n">
        <f aca="false">ROUND(MAX(0,I350*(1+I$8)-AE351),2)</f>
        <v>0</v>
      </c>
      <c r="J351" s="27" t="n">
        <f aca="false">ROUND(MAX(0,J350*(1+J$8)-AF351),2)</f>
        <v>0</v>
      </c>
      <c r="K351" s="27" t="n">
        <f aca="false">ROUND(MAX(0,K350*(1+K$8)-AG351),2)</f>
        <v>0</v>
      </c>
      <c r="L351" s="30" t="n">
        <f aca="false">SUM(B351:K351)</f>
        <v>0</v>
      </c>
      <c r="M351" s="27" t="n">
        <f aca="false">SUMPRODUCT(B350:K350,$B$8:$K$8)</f>
        <v>0</v>
      </c>
      <c r="N351" s="27" t="n">
        <f aca="false">MIN(B350*(1+B$8),B$9)</f>
        <v>0</v>
      </c>
      <c r="O351" s="27" t="n">
        <f aca="false">MIN(C350*(1+C$8),C$9)</f>
        <v>0</v>
      </c>
      <c r="P351" s="27" t="n">
        <f aca="false">MIN(D350*(1+D$8),D$9)</f>
        <v>0</v>
      </c>
      <c r="Q351" s="27" t="n">
        <f aca="false">MIN(E350*(1+E$8),E$9)</f>
        <v>0</v>
      </c>
      <c r="R351" s="27" t="n">
        <f aca="false">MIN(F350*(1+F$8),F$9)</f>
        <v>0</v>
      </c>
      <c r="S351" s="27" t="n">
        <f aca="false">MIN(G350*(1+G$8),G$9)</f>
        <v>0</v>
      </c>
      <c r="T351" s="27" t="n">
        <f aca="false">MIN(H350*(1+H$8),H$9)</f>
        <v>0</v>
      </c>
      <c r="U351" s="27" t="n">
        <f aca="false">MIN(I350*(1+I$8),I$9)</f>
        <v>0</v>
      </c>
      <c r="V351" s="27" t="n">
        <f aca="false">MIN(J350*(1+J$8),J$9)</f>
        <v>0</v>
      </c>
      <c r="W351" s="27" t="n">
        <f aca="false">MIN(K350*(1+K$8),K$9)</f>
        <v>0</v>
      </c>
      <c r="X351" s="27" t="n">
        <f aca="false">MIN(B350*(1+B$8),MAX(N351,$B$11-SUM(O351:W351)))</f>
        <v>0</v>
      </c>
      <c r="Y351" s="27" t="n">
        <f aca="false">MIN(C350*(1+C$8),MAX(O351,$B$11-SUM(X351:X351)-SUM(P351:W351)))</f>
        <v>0</v>
      </c>
      <c r="Z351" s="27" t="n">
        <f aca="false">MIN(D350*(1+D$8),MAX(P351,$B$11-SUM(X351:Y351)-SUM(Q351:W351)))</f>
        <v>0</v>
      </c>
      <c r="AA351" s="27" t="n">
        <f aca="false">MIN(E350*(1+E$8),MAX(Q351,$B$11-SUM(X351:Z351)-SUM(R351:W351)))</f>
        <v>0</v>
      </c>
      <c r="AB351" s="27" t="n">
        <f aca="false">MIN(F350*(1+F$8),MAX(R351,$B$11-SUM(X351:AA351)-SUM(S351:W351)))</f>
        <v>0</v>
      </c>
      <c r="AC351" s="27" t="n">
        <f aca="false">MIN(G350*(1+G$8),MAX(S351,$B$11-SUM(X351:AB351)-SUM(T351:W351)))</f>
        <v>0</v>
      </c>
      <c r="AD351" s="27" t="n">
        <f aca="false">MIN(H350*(1+H$8),MAX(T351,$B$11-SUM(X351:AC351)-SUM(U351:W351)))</f>
        <v>0</v>
      </c>
      <c r="AE351" s="27" t="n">
        <f aca="false">MIN(I350*(1+I$8),MAX(U351,$B$11-SUM(X351:AD351)-SUM(V351:W351)))</f>
        <v>0</v>
      </c>
      <c r="AF351" s="27" t="n">
        <f aca="false">MIN(J350*(1+J$8),MAX(V351,$B$11-SUM(X351:AE351)-SUM(W351:W351)))</f>
        <v>0</v>
      </c>
      <c r="AG351" s="27" t="n">
        <f aca="false">MIN(K350*(1+K$8),MAX(W351,$B$11-SUM(X351:AF351)))</f>
        <v>0</v>
      </c>
      <c r="AI351" s="27" t="n">
        <f aca="false">ROUND(MAX(0,AI350*(1+B$8)-BE351),2)</f>
        <v>0</v>
      </c>
      <c r="AJ351" s="27" t="n">
        <f aca="false">ROUND(MAX(0,AJ350*(1+C$8)-BF351),2)</f>
        <v>0</v>
      </c>
      <c r="AK351" s="27" t="n">
        <f aca="false">ROUND(MAX(0,AK350*(1+D$8)-BG351),2)</f>
        <v>0</v>
      </c>
      <c r="AL351" s="27" t="n">
        <f aca="false">ROUND(MAX(0,AL350*(1+E$8)-BH351),2)</f>
        <v>0</v>
      </c>
      <c r="AM351" s="27" t="n">
        <f aca="false">ROUND(MAX(0,AM350*(1+F$8)-BI351),2)</f>
        <v>0</v>
      </c>
      <c r="AN351" s="27" t="n">
        <f aca="false">ROUND(MAX(0,AN350*(1+G$8)-BJ351),2)</f>
        <v>0</v>
      </c>
      <c r="AO351" s="27" t="n">
        <f aca="false">ROUND(MAX(0,AO350*(1+H$8)-BK351),2)</f>
        <v>0</v>
      </c>
      <c r="AP351" s="27" t="n">
        <f aca="false">ROUND(MAX(0,AP350*(1+I$8)-BL351),2)</f>
        <v>0</v>
      </c>
      <c r="AQ351" s="27" t="n">
        <f aca="false">ROUND(MAX(0,AQ350*(1+J$8)-BM351),2)</f>
        <v>0</v>
      </c>
      <c r="AR351" s="27" t="n">
        <f aca="false">ROUND(MAX(0,AR350*(1+K$8)-BN351),2)</f>
        <v>0</v>
      </c>
      <c r="AS351" s="27" t="n">
        <f aca="false">SUM(AI351:AR351)</f>
        <v>0</v>
      </c>
      <c r="AT351" s="27" t="n">
        <f aca="false">SUMPRODUCT(AI350:AR350,$B$8:$K$8)</f>
        <v>0</v>
      </c>
      <c r="AU351" s="27" t="n">
        <f aca="false">MIN(AI350*(1+B$8),B$9)</f>
        <v>0</v>
      </c>
      <c r="AV351" s="27" t="n">
        <f aca="false">MIN(AJ350*(1+C$8),C$9)</f>
        <v>0</v>
      </c>
      <c r="AW351" s="27" t="n">
        <f aca="false">MIN(AK350*(1+D$8),D$9)</f>
        <v>0</v>
      </c>
      <c r="AX351" s="27" t="n">
        <f aca="false">MIN(AL350*(1+E$8),E$9)</f>
        <v>0</v>
      </c>
      <c r="AY351" s="27" t="n">
        <f aca="false">MIN(AM350*(1+F$8),F$9)</f>
        <v>0</v>
      </c>
      <c r="AZ351" s="27" t="n">
        <f aca="false">MIN(AN350*(1+G$8),G$9)</f>
        <v>0</v>
      </c>
      <c r="BA351" s="27" t="n">
        <f aca="false">MIN(AO350*(1+H$8),H$9)</f>
        <v>0</v>
      </c>
      <c r="BB351" s="27" t="n">
        <f aca="false">MIN(AP350*(1+I$8),I$9)</f>
        <v>0</v>
      </c>
      <c r="BC351" s="27" t="n">
        <f aca="false">MIN(AQ350*(1+J$8),J$9)</f>
        <v>0</v>
      </c>
      <c r="BD351" s="27" t="n">
        <f aca="false">MIN(AR350*(1+K$8),K$9)</f>
        <v>0</v>
      </c>
      <c r="BE351" s="27" t="n">
        <f aca="false">MIN(AI350*(1+B$8),MAX(AU351,$B$12-SUM(AV351:BD351)))</f>
        <v>0</v>
      </c>
      <c r="BF351" s="27" t="n">
        <f aca="false">MIN(AJ350*(1+C$8),MAX(AV351,$B$12-SUM(BE351:BE351)-SUM(AW351:BD351)))</f>
        <v>0</v>
      </c>
      <c r="BG351" s="27" t="n">
        <f aca="false">MIN(AK350*(1+D$8),MAX(AW351,$B$12-SUM(BE351:BF351)-SUM(AX351:BD351)))</f>
        <v>0</v>
      </c>
      <c r="BH351" s="27" t="n">
        <f aca="false">MIN(AL350*(1+E$8),MAX(AX351,$B$12-SUM(BE351:BG351)-SUM(AY351:BD351)))</f>
        <v>0</v>
      </c>
      <c r="BI351" s="27" t="n">
        <f aca="false">MIN(AM350*(1+F$8),MAX(AY351,$B$12-SUM(BE351:BH351)-SUM(AZ351:BD351)))</f>
        <v>0</v>
      </c>
      <c r="BJ351" s="27" t="n">
        <f aca="false">MIN(AN350*(1+G$8),MAX(AZ351,$B$12-SUM(BE351:BI351)-SUM(BA351:BD351)))</f>
        <v>0</v>
      </c>
      <c r="BK351" s="27" t="n">
        <f aca="false">MIN(AO350*(1+H$8),MAX(BA351,$B$12-SUM(BE351:BJ351)-SUM(BB351:BD351)))</f>
        <v>0</v>
      </c>
      <c r="BL351" s="27" t="n">
        <f aca="false">MIN(AP350*(1+I$8),MAX(BB351,$B$12-SUM(BE351:BK351)-SUM(BC351:BD351)))</f>
        <v>0</v>
      </c>
      <c r="BM351" s="27" t="n">
        <f aca="false">MIN(AQ350*(1+J$8),MAX(BC351,$B$12-SUM(BE351:BL351)-SUM(BD351:BD351)))</f>
        <v>0</v>
      </c>
      <c r="BN351" s="27" t="n">
        <f aca="false">MIN(AR350*(1+K$8),MAX(BD351,$B$12-SUM(BE351:BM351)))</f>
        <v>0</v>
      </c>
    </row>
    <row r="352" customFormat="false" ht="15" hidden="false" customHeight="false" outlineLevel="0" collapsed="false">
      <c r="A352" s="0" t="n">
        <v>338</v>
      </c>
      <c r="B352" s="27" t="n">
        <f aca="false">ROUND(MAX(0,B351*(1+B$8)-X352),2)</f>
        <v>0</v>
      </c>
      <c r="C352" s="27" t="n">
        <f aca="false">ROUND(MAX(0,C351*(1+C$8)-Y352),2)</f>
        <v>0</v>
      </c>
      <c r="D352" s="27" t="n">
        <f aca="false">ROUND(MAX(0,D351*(1+D$8)-Z352),2)</f>
        <v>0</v>
      </c>
      <c r="E352" s="27" t="n">
        <f aca="false">ROUND(MAX(0,E351*(1+E$8)-AA352),2)</f>
        <v>0</v>
      </c>
      <c r="F352" s="27" t="n">
        <f aca="false">ROUND(MAX(0,F351*(1+F$8)-AB352),2)</f>
        <v>0</v>
      </c>
      <c r="G352" s="27" t="n">
        <f aca="false">ROUND(MAX(0,G351*(1+G$8)-AC352),2)</f>
        <v>0</v>
      </c>
      <c r="H352" s="27" t="n">
        <f aca="false">ROUND(MAX(0,H351*(1+H$8)-AD352),2)</f>
        <v>0</v>
      </c>
      <c r="I352" s="27" t="n">
        <f aca="false">ROUND(MAX(0,I351*(1+I$8)-AE352),2)</f>
        <v>0</v>
      </c>
      <c r="J352" s="27" t="n">
        <f aca="false">ROUND(MAX(0,J351*(1+J$8)-AF352),2)</f>
        <v>0</v>
      </c>
      <c r="K352" s="27" t="n">
        <f aca="false">ROUND(MAX(0,K351*(1+K$8)-AG352),2)</f>
        <v>0</v>
      </c>
      <c r="L352" s="30" t="n">
        <f aca="false">SUM(B352:K352)</f>
        <v>0</v>
      </c>
      <c r="M352" s="27" t="n">
        <f aca="false">SUMPRODUCT(B351:K351,$B$8:$K$8)</f>
        <v>0</v>
      </c>
      <c r="N352" s="27" t="n">
        <f aca="false">MIN(B351*(1+B$8),B$9)</f>
        <v>0</v>
      </c>
      <c r="O352" s="27" t="n">
        <f aca="false">MIN(C351*(1+C$8),C$9)</f>
        <v>0</v>
      </c>
      <c r="P352" s="27" t="n">
        <f aca="false">MIN(D351*(1+D$8),D$9)</f>
        <v>0</v>
      </c>
      <c r="Q352" s="27" t="n">
        <f aca="false">MIN(E351*(1+E$8),E$9)</f>
        <v>0</v>
      </c>
      <c r="R352" s="27" t="n">
        <f aca="false">MIN(F351*(1+F$8),F$9)</f>
        <v>0</v>
      </c>
      <c r="S352" s="27" t="n">
        <f aca="false">MIN(G351*(1+G$8),G$9)</f>
        <v>0</v>
      </c>
      <c r="T352" s="27" t="n">
        <f aca="false">MIN(H351*(1+H$8),H$9)</f>
        <v>0</v>
      </c>
      <c r="U352" s="27" t="n">
        <f aca="false">MIN(I351*(1+I$8),I$9)</f>
        <v>0</v>
      </c>
      <c r="V352" s="27" t="n">
        <f aca="false">MIN(J351*(1+J$8),J$9)</f>
        <v>0</v>
      </c>
      <c r="W352" s="27" t="n">
        <f aca="false">MIN(K351*(1+K$8),K$9)</f>
        <v>0</v>
      </c>
      <c r="X352" s="27" t="n">
        <f aca="false">MIN(B351*(1+B$8),MAX(N352,$B$11-SUM(O352:W352)))</f>
        <v>0</v>
      </c>
      <c r="Y352" s="27" t="n">
        <f aca="false">MIN(C351*(1+C$8),MAX(O352,$B$11-SUM(X352:X352)-SUM(P352:W352)))</f>
        <v>0</v>
      </c>
      <c r="Z352" s="27" t="n">
        <f aca="false">MIN(D351*(1+D$8),MAX(P352,$B$11-SUM(X352:Y352)-SUM(Q352:W352)))</f>
        <v>0</v>
      </c>
      <c r="AA352" s="27" t="n">
        <f aca="false">MIN(E351*(1+E$8),MAX(Q352,$B$11-SUM(X352:Z352)-SUM(R352:W352)))</f>
        <v>0</v>
      </c>
      <c r="AB352" s="27" t="n">
        <f aca="false">MIN(F351*(1+F$8),MAX(R352,$B$11-SUM(X352:AA352)-SUM(S352:W352)))</f>
        <v>0</v>
      </c>
      <c r="AC352" s="27" t="n">
        <f aca="false">MIN(G351*(1+G$8),MAX(S352,$B$11-SUM(X352:AB352)-SUM(T352:W352)))</f>
        <v>0</v>
      </c>
      <c r="AD352" s="27" t="n">
        <f aca="false">MIN(H351*(1+H$8),MAX(T352,$B$11-SUM(X352:AC352)-SUM(U352:W352)))</f>
        <v>0</v>
      </c>
      <c r="AE352" s="27" t="n">
        <f aca="false">MIN(I351*(1+I$8),MAX(U352,$B$11-SUM(X352:AD352)-SUM(V352:W352)))</f>
        <v>0</v>
      </c>
      <c r="AF352" s="27" t="n">
        <f aca="false">MIN(J351*(1+J$8),MAX(V352,$B$11-SUM(X352:AE352)-SUM(W352:W352)))</f>
        <v>0</v>
      </c>
      <c r="AG352" s="27" t="n">
        <f aca="false">MIN(K351*(1+K$8),MAX(W352,$B$11-SUM(X352:AF352)))</f>
        <v>0</v>
      </c>
      <c r="AI352" s="27" t="n">
        <f aca="false">ROUND(MAX(0,AI351*(1+B$8)-BE352),2)</f>
        <v>0</v>
      </c>
      <c r="AJ352" s="27" t="n">
        <f aca="false">ROUND(MAX(0,AJ351*(1+C$8)-BF352),2)</f>
        <v>0</v>
      </c>
      <c r="AK352" s="27" t="n">
        <f aca="false">ROUND(MAX(0,AK351*(1+D$8)-BG352),2)</f>
        <v>0</v>
      </c>
      <c r="AL352" s="27" t="n">
        <f aca="false">ROUND(MAX(0,AL351*(1+E$8)-BH352),2)</f>
        <v>0</v>
      </c>
      <c r="AM352" s="27" t="n">
        <f aca="false">ROUND(MAX(0,AM351*(1+F$8)-BI352),2)</f>
        <v>0</v>
      </c>
      <c r="AN352" s="27" t="n">
        <f aca="false">ROUND(MAX(0,AN351*(1+G$8)-BJ352),2)</f>
        <v>0</v>
      </c>
      <c r="AO352" s="27" t="n">
        <f aca="false">ROUND(MAX(0,AO351*(1+H$8)-BK352),2)</f>
        <v>0</v>
      </c>
      <c r="AP352" s="27" t="n">
        <f aca="false">ROUND(MAX(0,AP351*(1+I$8)-BL352),2)</f>
        <v>0</v>
      </c>
      <c r="AQ352" s="27" t="n">
        <f aca="false">ROUND(MAX(0,AQ351*(1+J$8)-BM352),2)</f>
        <v>0</v>
      </c>
      <c r="AR352" s="27" t="n">
        <f aca="false">ROUND(MAX(0,AR351*(1+K$8)-BN352),2)</f>
        <v>0</v>
      </c>
      <c r="AS352" s="27" t="n">
        <f aca="false">SUM(AI352:AR352)</f>
        <v>0</v>
      </c>
      <c r="AT352" s="27" t="n">
        <f aca="false">SUMPRODUCT(AI351:AR351,$B$8:$K$8)</f>
        <v>0</v>
      </c>
      <c r="AU352" s="27" t="n">
        <f aca="false">MIN(AI351*(1+B$8),B$9)</f>
        <v>0</v>
      </c>
      <c r="AV352" s="27" t="n">
        <f aca="false">MIN(AJ351*(1+C$8),C$9)</f>
        <v>0</v>
      </c>
      <c r="AW352" s="27" t="n">
        <f aca="false">MIN(AK351*(1+D$8),D$9)</f>
        <v>0</v>
      </c>
      <c r="AX352" s="27" t="n">
        <f aca="false">MIN(AL351*(1+E$8),E$9)</f>
        <v>0</v>
      </c>
      <c r="AY352" s="27" t="n">
        <f aca="false">MIN(AM351*(1+F$8),F$9)</f>
        <v>0</v>
      </c>
      <c r="AZ352" s="27" t="n">
        <f aca="false">MIN(AN351*(1+G$8),G$9)</f>
        <v>0</v>
      </c>
      <c r="BA352" s="27" t="n">
        <f aca="false">MIN(AO351*(1+H$8),H$9)</f>
        <v>0</v>
      </c>
      <c r="BB352" s="27" t="n">
        <f aca="false">MIN(AP351*(1+I$8),I$9)</f>
        <v>0</v>
      </c>
      <c r="BC352" s="27" t="n">
        <f aca="false">MIN(AQ351*(1+J$8),J$9)</f>
        <v>0</v>
      </c>
      <c r="BD352" s="27" t="n">
        <f aca="false">MIN(AR351*(1+K$8),K$9)</f>
        <v>0</v>
      </c>
      <c r="BE352" s="27" t="n">
        <f aca="false">MIN(AI351*(1+B$8),MAX(AU352,$B$12-SUM(AV352:BD352)))</f>
        <v>0</v>
      </c>
      <c r="BF352" s="27" t="n">
        <f aca="false">MIN(AJ351*(1+C$8),MAX(AV352,$B$12-SUM(BE352:BE352)-SUM(AW352:BD352)))</f>
        <v>0</v>
      </c>
      <c r="BG352" s="27" t="n">
        <f aca="false">MIN(AK351*(1+D$8),MAX(AW352,$B$12-SUM(BE352:BF352)-SUM(AX352:BD352)))</f>
        <v>0</v>
      </c>
      <c r="BH352" s="27" t="n">
        <f aca="false">MIN(AL351*(1+E$8),MAX(AX352,$B$12-SUM(BE352:BG352)-SUM(AY352:BD352)))</f>
        <v>0</v>
      </c>
      <c r="BI352" s="27" t="n">
        <f aca="false">MIN(AM351*(1+F$8),MAX(AY352,$B$12-SUM(BE352:BH352)-SUM(AZ352:BD352)))</f>
        <v>0</v>
      </c>
      <c r="BJ352" s="27" t="n">
        <f aca="false">MIN(AN351*(1+G$8),MAX(AZ352,$B$12-SUM(BE352:BI352)-SUM(BA352:BD352)))</f>
        <v>0</v>
      </c>
      <c r="BK352" s="27" t="n">
        <f aca="false">MIN(AO351*(1+H$8),MAX(BA352,$B$12-SUM(BE352:BJ352)-SUM(BB352:BD352)))</f>
        <v>0</v>
      </c>
      <c r="BL352" s="27" t="n">
        <f aca="false">MIN(AP351*(1+I$8),MAX(BB352,$B$12-SUM(BE352:BK352)-SUM(BC352:BD352)))</f>
        <v>0</v>
      </c>
      <c r="BM352" s="27" t="n">
        <f aca="false">MIN(AQ351*(1+J$8),MAX(BC352,$B$12-SUM(BE352:BL352)-SUM(BD352:BD352)))</f>
        <v>0</v>
      </c>
      <c r="BN352" s="27" t="n">
        <f aca="false">MIN(AR351*(1+K$8),MAX(BD352,$B$12-SUM(BE352:BM352)))</f>
        <v>0</v>
      </c>
    </row>
    <row r="353" customFormat="false" ht="15" hidden="false" customHeight="false" outlineLevel="0" collapsed="false">
      <c r="A353" s="0" t="n">
        <v>339</v>
      </c>
      <c r="B353" s="27" t="n">
        <f aca="false">ROUND(MAX(0,B352*(1+B$8)-X353),2)</f>
        <v>0</v>
      </c>
      <c r="C353" s="27" t="n">
        <f aca="false">ROUND(MAX(0,C352*(1+C$8)-Y353),2)</f>
        <v>0</v>
      </c>
      <c r="D353" s="27" t="n">
        <f aca="false">ROUND(MAX(0,D352*(1+D$8)-Z353),2)</f>
        <v>0</v>
      </c>
      <c r="E353" s="27" t="n">
        <f aca="false">ROUND(MAX(0,E352*(1+E$8)-AA353),2)</f>
        <v>0</v>
      </c>
      <c r="F353" s="27" t="n">
        <f aca="false">ROUND(MAX(0,F352*(1+F$8)-AB353),2)</f>
        <v>0</v>
      </c>
      <c r="G353" s="27" t="n">
        <f aca="false">ROUND(MAX(0,G352*(1+G$8)-AC353),2)</f>
        <v>0</v>
      </c>
      <c r="H353" s="27" t="n">
        <f aca="false">ROUND(MAX(0,H352*(1+H$8)-AD353),2)</f>
        <v>0</v>
      </c>
      <c r="I353" s="27" t="n">
        <f aca="false">ROUND(MAX(0,I352*(1+I$8)-AE353),2)</f>
        <v>0</v>
      </c>
      <c r="J353" s="27" t="n">
        <f aca="false">ROUND(MAX(0,J352*(1+J$8)-AF353),2)</f>
        <v>0</v>
      </c>
      <c r="K353" s="27" t="n">
        <f aca="false">ROUND(MAX(0,K352*(1+K$8)-AG353),2)</f>
        <v>0</v>
      </c>
      <c r="L353" s="30" t="n">
        <f aca="false">SUM(B353:K353)</f>
        <v>0</v>
      </c>
      <c r="M353" s="27" t="n">
        <f aca="false">SUMPRODUCT(B352:K352,$B$8:$K$8)</f>
        <v>0</v>
      </c>
      <c r="N353" s="27" t="n">
        <f aca="false">MIN(B352*(1+B$8),B$9)</f>
        <v>0</v>
      </c>
      <c r="O353" s="27" t="n">
        <f aca="false">MIN(C352*(1+C$8),C$9)</f>
        <v>0</v>
      </c>
      <c r="P353" s="27" t="n">
        <f aca="false">MIN(D352*(1+D$8),D$9)</f>
        <v>0</v>
      </c>
      <c r="Q353" s="27" t="n">
        <f aca="false">MIN(E352*(1+E$8),E$9)</f>
        <v>0</v>
      </c>
      <c r="R353" s="27" t="n">
        <f aca="false">MIN(F352*(1+F$8),F$9)</f>
        <v>0</v>
      </c>
      <c r="S353" s="27" t="n">
        <f aca="false">MIN(G352*(1+G$8),G$9)</f>
        <v>0</v>
      </c>
      <c r="T353" s="27" t="n">
        <f aca="false">MIN(H352*(1+H$8),H$9)</f>
        <v>0</v>
      </c>
      <c r="U353" s="27" t="n">
        <f aca="false">MIN(I352*(1+I$8),I$9)</f>
        <v>0</v>
      </c>
      <c r="V353" s="27" t="n">
        <f aca="false">MIN(J352*(1+J$8),J$9)</f>
        <v>0</v>
      </c>
      <c r="W353" s="27" t="n">
        <f aca="false">MIN(K352*(1+K$8),K$9)</f>
        <v>0</v>
      </c>
      <c r="X353" s="27" t="n">
        <f aca="false">MIN(B352*(1+B$8),MAX(N353,$B$11-SUM(O353:W353)))</f>
        <v>0</v>
      </c>
      <c r="Y353" s="27" t="n">
        <f aca="false">MIN(C352*(1+C$8),MAX(O353,$B$11-SUM(X353:X353)-SUM(P353:W353)))</f>
        <v>0</v>
      </c>
      <c r="Z353" s="27" t="n">
        <f aca="false">MIN(D352*(1+D$8),MAX(P353,$B$11-SUM(X353:Y353)-SUM(Q353:W353)))</f>
        <v>0</v>
      </c>
      <c r="AA353" s="27" t="n">
        <f aca="false">MIN(E352*(1+E$8),MAX(Q353,$B$11-SUM(X353:Z353)-SUM(R353:W353)))</f>
        <v>0</v>
      </c>
      <c r="AB353" s="27" t="n">
        <f aca="false">MIN(F352*(1+F$8),MAX(R353,$B$11-SUM(X353:AA353)-SUM(S353:W353)))</f>
        <v>0</v>
      </c>
      <c r="AC353" s="27" t="n">
        <f aca="false">MIN(G352*(1+G$8),MAX(S353,$B$11-SUM(X353:AB353)-SUM(T353:W353)))</f>
        <v>0</v>
      </c>
      <c r="AD353" s="27" t="n">
        <f aca="false">MIN(H352*(1+H$8),MAX(T353,$B$11-SUM(X353:AC353)-SUM(U353:W353)))</f>
        <v>0</v>
      </c>
      <c r="AE353" s="27" t="n">
        <f aca="false">MIN(I352*(1+I$8),MAX(U353,$B$11-SUM(X353:AD353)-SUM(V353:W353)))</f>
        <v>0</v>
      </c>
      <c r="AF353" s="27" t="n">
        <f aca="false">MIN(J352*(1+J$8),MAX(V353,$B$11-SUM(X353:AE353)-SUM(W353:W353)))</f>
        <v>0</v>
      </c>
      <c r="AG353" s="27" t="n">
        <f aca="false">MIN(K352*(1+K$8),MAX(W353,$B$11-SUM(X353:AF353)))</f>
        <v>0</v>
      </c>
      <c r="AI353" s="27" t="n">
        <f aca="false">ROUND(MAX(0,AI352*(1+B$8)-BE353),2)</f>
        <v>0</v>
      </c>
      <c r="AJ353" s="27" t="n">
        <f aca="false">ROUND(MAX(0,AJ352*(1+C$8)-BF353),2)</f>
        <v>0</v>
      </c>
      <c r="AK353" s="27" t="n">
        <f aca="false">ROUND(MAX(0,AK352*(1+D$8)-BG353),2)</f>
        <v>0</v>
      </c>
      <c r="AL353" s="27" t="n">
        <f aca="false">ROUND(MAX(0,AL352*(1+E$8)-BH353),2)</f>
        <v>0</v>
      </c>
      <c r="AM353" s="27" t="n">
        <f aca="false">ROUND(MAX(0,AM352*(1+F$8)-BI353),2)</f>
        <v>0</v>
      </c>
      <c r="AN353" s="27" t="n">
        <f aca="false">ROUND(MAX(0,AN352*(1+G$8)-BJ353),2)</f>
        <v>0</v>
      </c>
      <c r="AO353" s="27" t="n">
        <f aca="false">ROUND(MAX(0,AO352*(1+H$8)-BK353),2)</f>
        <v>0</v>
      </c>
      <c r="AP353" s="27" t="n">
        <f aca="false">ROUND(MAX(0,AP352*(1+I$8)-BL353),2)</f>
        <v>0</v>
      </c>
      <c r="AQ353" s="27" t="n">
        <f aca="false">ROUND(MAX(0,AQ352*(1+J$8)-BM353),2)</f>
        <v>0</v>
      </c>
      <c r="AR353" s="27" t="n">
        <f aca="false">ROUND(MAX(0,AR352*(1+K$8)-BN353),2)</f>
        <v>0</v>
      </c>
      <c r="AS353" s="27" t="n">
        <f aca="false">SUM(AI353:AR353)</f>
        <v>0</v>
      </c>
      <c r="AT353" s="27" t="n">
        <f aca="false">SUMPRODUCT(AI352:AR352,$B$8:$K$8)</f>
        <v>0</v>
      </c>
      <c r="AU353" s="27" t="n">
        <f aca="false">MIN(AI352*(1+B$8),B$9)</f>
        <v>0</v>
      </c>
      <c r="AV353" s="27" t="n">
        <f aca="false">MIN(AJ352*(1+C$8),C$9)</f>
        <v>0</v>
      </c>
      <c r="AW353" s="27" t="n">
        <f aca="false">MIN(AK352*(1+D$8),D$9)</f>
        <v>0</v>
      </c>
      <c r="AX353" s="27" t="n">
        <f aca="false">MIN(AL352*(1+E$8),E$9)</f>
        <v>0</v>
      </c>
      <c r="AY353" s="27" t="n">
        <f aca="false">MIN(AM352*(1+F$8),F$9)</f>
        <v>0</v>
      </c>
      <c r="AZ353" s="27" t="n">
        <f aca="false">MIN(AN352*(1+G$8),G$9)</f>
        <v>0</v>
      </c>
      <c r="BA353" s="27" t="n">
        <f aca="false">MIN(AO352*(1+H$8),H$9)</f>
        <v>0</v>
      </c>
      <c r="BB353" s="27" t="n">
        <f aca="false">MIN(AP352*(1+I$8),I$9)</f>
        <v>0</v>
      </c>
      <c r="BC353" s="27" t="n">
        <f aca="false">MIN(AQ352*(1+J$8),J$9)</f>
        <v>0</v>
      </c>
      <c r="BD353" s="27" t="n">
        <f aca="false">MIN(AR352*(1+K$8),K$9)</f>
        <v>0</v>
      </c>
      <c r="BE353" s="27" t="n">
        <f aca="false">MIN(AI352*(1+B$8),MAX(AU353,$B$12-SUM(AV353:BD353)))</f>
        <v>0</v>
      </c>
      <c r="BF353" s="27" t="n">
        <f aca="false">MIN(AJ352*(1+C$8),MAX(AV353,$B$12-SUM(BE353:BE353)-SUM(AW353:BD353)))</f>
        <v>0</v>
      </c>
      <c r="BG353" s="27" t="n">
        <f aca="false">MIN(AK352*(1+D$8),MAX(AW353,$B$12-SUM(BE353:BF353)-SUM(AX353:BD353)))</f>
        <v>0</v>
      </c>
      <c r="BH353" s="27" t="n">
        <f aca="false">MIN(AL352*(1+E$8),MAX(AX353,$B$12-SUM(BE353:BG353)-SUM(AY353:BD353)))</f>
        <v>0</v>
      </c>
      <c r="BI353" s="27" t="n">
        <f aca="false">MIN(AM352*(1+F$8),MAX(AY353,$B$12-SUM(BE353:BH353)-SUM(AZ353:BD353)))</f>
        <v>0</v>
      </c>
      <c r="BJ353" s="27" t="n">
        <f aca="false">MIN(AN352*(1+G$8),MAX(AZ353,$B$12-SUM(BE353:BI353)-SUM(BA353:BD353)))</f>
        <v>0</v>
      </c>
      <c r="BK353" s="27" t="n">
        <f aca="false">MIN(AO352*(1+H$8),MAX(BA353,$B$12-SUM(BE353:BJ353)-SUM(BB353:BD353)))</f>
        <v>0</v>
      </c>
      <c r="BL353" s="27" t="n">
        <f aca="false">MIN(AP352*(1+I$8),MAX(BB353,$B$12-SUM(BE353:BK353)-SUM(BC353:BD353)))</f>
        <v>0</v>
      </c>
      <c r="BM353" s="27" t="n">
        <f aca="false">MIN(AQ352*(1+J$8),MAX(BC353,$B$12-SUM(BE353:BL353)-SUM(BD353:BD353)))</f>
        <v>0</v>
      </c>
      <c r="BN353" s="27" t="n">
        <f aca="false">MIN(AR352*(1+K$8),MAX(BD353,$B$12-SUM(BE353:BM353)))</f>
        <v>0</v>
      </c>
    </row>
    <row r="354" customFormat="false" ht="15" hidden="false" customHeight="false" outlineLevel="0" collapsed="false">
      <c r="A354" s="0" t="n">
        <v>340</v>
      </c>
      <c r="B354" s="27" t="n">
        <f aca="false">ROUND(MAX(0,B353*(1+B$8)-X354),2)</f>
        <v>0</v>
      </c>
      <c r="C354" s="27" t="n">
        <f aca="false">ROUND(MAX(0,C353*(1+C$8)-Y354),2)</f>
        <v>0</v>
      </c>
      <c r="D354" s="27" t="n">
        <f aca="false">ROUND(MAX(0,D353*(1+D$8)-Z354),2)</f>
        <v>0</v>
      </c>
      <c r="E354" s="27" t="n">
        <f aca="false">ROUND(MAX(0,E353*(1+E$8)-AA354),2)</f>
        <v>0</v>
      </c>
      <c r="F354" s="27" t="n">
        <f aca="false">ROUND(MAX(0,F353*(1+F$8)-AB354),2)</f>
        <v>0</v>
      </c>
      <c r="G354" s="27" t="n">
        <f aca="false">ROUND(MAX(0,G353*(1+G$8)-AC354),2)</f>
        <v>0</v>
      </c>
      <c r="H354" s="27" t="n">
        <f aca="false">ROUND(MAX(0,H353*(1+H$8)-AD354),2)</f>
        <v>0</v>
      </c>
      <c r="I354" s="27" t="n">
        <f aca="false">ROUND(MAX(0,I353*(1+I$8)-AE354),2)</f>
        <v>0</v>
      </c>
      <c r="J354" s="27" t="n">
        <f aca="false">ROUND(MAX(0,J353*(1+J$8)-AF354),2)</f>
        <v>0</v>
      </c>
      <c r="K354" s="27" t="n">
        <f aca="false">ROUND(MAX(0,K353*(1+K$8)-AG354),2)</f>
        <v>0</v>
      </c>
      <c r="L354" s="30" t="n">
        <f aca="false">SUM(B354:K354)</f>
        <v>0</v>
      </c>
      <c r="M354" s="27" t="n">
        <f aca="false">SUMPRODUCT(B353:K353,$B$8:$K$8)</f>
        <v>0</v>
      </c>
      <c r="N354" s="27" t="n">
        <f aca="false">MIN(B353*(1+B$8),B$9)</f>
        <v>0</v>
      </c>
      <c r="O354" s="27" t="n">
        <f aca="false">MIN(C353*(1+C$8),C$9)</f>
        <v>0</v>
      </c>
      <c r="P354" s="27" t="n">
        <f aca="false">MIN(D353*(1+D$8),D$9)</f>
        <v>0</v>
      </c>
      <c r="Q354" s="27" t="n">
        <f aca="false">MIN(E353*(1+E$8),E$9)</f>
        <v>0</v>
      </c>
      <c r="R354" s="27" t="n">
        <f aca="false">MIN(F353*(1+F$8),F$9)</f>
        <v>0</v>
      </c>
      <c r="S354" s="27" t="n">
        <f aca="false">MIN(G353*(1+G$8),G$9)</f>
        <v>0</v>
      </c>
      <c r="T354" s="27" t="n">
        <f aca="false">MIN(H353*(1+H$8),H$9)</f>
        <v>0</v>
      </c>
      <c r="U354" s="27" t="n">
        <f aca="false">MIN(I353*(1+I$8),I$9)</f>
        <v>0</v>
      </c>
      <c r="V354" s="27" t="n">
        <f aca="false">MIN(J353*(1+J$8),J$9)</f>
        <v>0</v>
      </c>
      <c r="W354" s="27" t="n">
        <f aca="false">MIN(K353*(1+K$8),K$9)</f>
        <v>0</v>
      </c>
      <c r="X354" s="27" t="n">
        <f aca="false">MIN(B353*(1+B$8),MAX(N354,$B$11-SUM(O354:W354)))</f>
        <v>0</v>
      </c>
      <c r="Y354" s="27" t="n">
        <f aca="false">MIN(C353*(1+C$8),MAX(O354,$B$11-SUM(X354:X354)-SUM(P354:W354)))</f>
        <v>0</v>
      </c>
      <c r="Z354" s="27" t="n">
        <f aca="false">MIN(D353*(1+D$8),MAX(P354,$B$11-SUM(X354:Y354)-SUM(Q354:W354)))</f>
        <v>0</v>
      </c>
      <c r="AA354" s="27" t="n">
        <f aca="false">MIN(E353*(1+E$8),MAX(Q354,$B$11-SUM(X354:Z354)-SUM(R354:W354)))</f>
        <v>0</v>
      </c>
      <c r="AB354" s="27" t="n">
        <f aca="false">MIN(F353*(1+F$8),MAX(R354,$B$11-SUM(X354:AA354)-SUM(S354:W354)))</f>
        <v>0</v>
      </c>
      <c r="AC354" s="27" t="n">
        <f aca="false">MIN(G353*(1+G$8),MAX(S354,$B$11-SUM(X354:AB354)-SUM(T354:W354)))</f>
        <v>0</v>
      </c>
      <c r="AD354" s="27" t="n">
        <f aca="false">MIN(H353*(1+H$8),MAX(T354,$B$11-SUM(X354:AC354)-SUM(U354:W354)))</f>
        <v>0</v>
      </c>
      <c r="AE354" s="27" t="n">
        <f aca="false">MIN(I353*(1+I$8),MAX(U354,$B$11-SUM(X354:AD354)-SUM(V354:W354)))</f>
        <v>0</v>
      </c>
      <c r="AF354" s="27" t="n">
        <f aca="false">MIN(J353*(1+J$8),MAX(V354,$B$11-SUM(X354:AE354)-SUM(W354:W354)))</f>
        <v>0</v>
      </c>
      <c r="AG354" s="27" t="n">
        <f aca="false">MIN(K353*(1+K$8),MAX(W354,$B$11-SUM(X354:AF354)))</f>
        <v>0</v>
      </c>
      <c r="AI354" s="27" t="n">
        <f aca="false">ROUND(MAX(0,AI353*(1+B$8)-BE354),2)</f>
        <v>0</v>
      </c>
      <c r="AJ354" s="27" t="n">
        <f aca="false">ROUND(MAX(0,AJ353*(1+C$8)-BF354),2)</f>
        <v>0</v>
      </c>
      <c r="AK354" s="27" t="n">
        <f aca="false">ROUND(MAX(0,AK353*(1+D$8)-BG354),2)</f>
        <v>0</v>
      </c>
      <c r="AL354" s="27" t="n">
        <f aca="false">ROUND(MAX(0,AL353*(1+E$8)-BH354),2)</f>
        <v>0</v>
      </c>
      <c r="AM354" s="27" t="n">
        <f aca="false">ROUND(MAX(0,AM353*(1+F$8)-BI354),2)</f>
        <v>0</v>
      </c>
      <c r="AN354" s="27" t="n">
        <f aca="false">ROUND(MAX(0,AN353*(1+G$8)-BJ354),2)</f>
        <v>0</v>
      </c>
      <c r="AO354" s="27" t="n">
        <f aca="false">ROUND(MAX(0,AO353*(1+H$8)-BK354),2)</f>
        <v>0</v>
      </c>
      <c r="AP354" s="27" t="n">
        <f aca="false">ROUND(MAX(0,AP353*(1+I$8)-BL354),2)</f>
        <v>0</v>
      </c>
      <c r="AQ354" s="27" t="n">
        <f aca="false">ROUND(MAX(0,AQ353*(1+J$8)-BM354),2)</f>
        <v>0</v>
      </c>
      <c r="AR354" s="27" t="n">
        <f aca="false">ROUND(MAX(0,AR353*(1+K$8)-BN354),2)</f>
        <v>0</v>
      </c>
      <c r="AS354" s="27" t="n">
        <f aca="false">SUM(AI354:AR354)</f>
        <v>0</v>
      </c>
      <c r="AT354" s="27" t="n">
        <f aca="false">SUMPRODUCT(AI353:AR353,$B$8:$K$8)</f>
        <v>0</v>
      </c>
      <c r="AU354" s="27" t="n">
        <f aca="false">MIN(AI353*(1+B$8),B$9)</f>
        <v>0</v>
      </c>
      <c r="AV354" s="27" t="n">
        <f aca="false">MIN(AJ353*(1+C$8),C$9)</f>
        <v>0</v>
      </c>
      <c r="AW354" s="27" t="n">
        <f aca="false">MIN(AK353*(1+D$8),D$9)</f>
        <v>0</v>
      </c>
      <c r="AX354" s="27" t="n">
        <f aca="false">MIN(AL353*(1+E$8),E$9)</f>
        <v>0</v>
      </c>
      <c r="AY354" s="27" t="n">
        <f aca="false">MIN(AM353*(1+F$8),F$9)</f>
        <v>0</v>
      </c>
      <c r="AZ354" s="27" t="n">
        <f aca="false">MIN(AN353*(1+G$8),G$9)</f>
        <v>0</v>
      </c>
      <c r="BA354" s="27" t="n">
        <f aca="false">MIN(AO353*(1+H$8),H$9)</f>
        <v>0</v>
      </c>
      <c r="BB354" s="27" t="n">
        <f aca="false">MIN(AP353*(1+I$8),I$9)</f>
        <v>0</v>
      </c>
      <c r="BC354" s="27" t="n">
        <f aca="false">MIN(AQ353*(1+J$8),J$9)</f>
        <v>0</v>
      </c>
      <c r="BD354" s="27" t="n">
        <f aca="false">MIN(AR353*(1+K$8),K$9)</f>
        <v>0</v>
      </c>
      <c r="BE354" s="27" t="n">
        <f aca="false">MIN(AI353*(1+B$8),MAX(AU354,$B$12-SUM(AV354:BD354)))</f>
        <v>0</v>
      </c>
      <c r="BF354" s="27" t="n">
        <f aca="false">MIN(AJ353*(1+C$8),MAX(AV354,$B$12-SUM(BE354:BE354)-SUM(AW354:BD354)))</f>
        <v>0</v>
      </c>
      <c r="BG354" s="27" t="n">
        <f aca="false">MIN(AK353*(1+D$8),MAX(AW354,$B$12-SUM(BE354:BF354)-SUM(AX354:BD354)))</f>
        <v>0</v>
      </c>
      <c r="BH354" s="27" t="n">
        <f aca="false">MIN(AL353*(1+E$8),MAX(AX354,$B$12-SUM(BE354:BG354)-SUM(AY354:BD354)))</f>
        <v>0</v>
      </c>
      <c r="BI354" s="27" t="n">
        <f aca="false">MIN(AM353*(1+F$8),MAX(AY354,$B$12-SUM(BE354:BH354)-SUM(AZ354:BD354)))</f>
        <v>0</v>
      </c>
      <c r="BJ354" s="27" t="n">
        <f aca="false">MIN(AN353*(1+G$8),MAX(AZ354,$B$12-SUM(BE354:BI354)-SUM(BA354:BD354)))</f>
        <v>0</v>
      </c>
      <c r="BK354" s="27" t="n">
        <f aca="false">MIN(AO353*(1+H$8),MAX(BA354,$B$12-SUM(BE354:BJ354)-SUM(BB354:BD354)))</f>
        <v>0</v>
      </c>
      <c r="BL354" s="27" t="n">
        <f aca="false">MIN(AP353*(1+I$8),MAX(BB354,$B$12-SUM(BE354:BK354)-SUM(BC354:BD354)))</f>
        <v>0</v>
      </c>
      <c r="BM354" s="27" t="n">
        <f aca="false">MIN(AQ353*(1+J$8),MAX(BC354,$B$12-SUM(BE354:BL354)-SUM(BD354:BD354)))</f>
        <v>0</v>
      </c>
      <c r="BN354" s="27" t="n">
        <f aca="false">MIN(AR353*(1+K$8),MAX(BD354,$B$12-SUM(BE354:BM354)))</f>
        <v>0</v>
      </c>
    </row>
    <row r="355" customFormat="false" ht="15" hidden="false" customHeight="false" outlineLevel="0" collapsed="false">
      <c r="A355" s="0" t="n">
        <v>341</v>
      </c>
      <c r="B355" s="27" t="n">
        <f aca="false">ROUND(MAX(0,B354*(1+B$8)-X355),2)</f>
        <v>0</v>
      </c>
      <c r="C355" s="27" t="n">
        <f aca="false">ROUND(MAX(0,C354*(1+C$8)-Y355),2)</f>
        <v>0</v>
      </c>
      <c r="D355" s="27" t="n">
        <f aca="false">ROUND(MAX(0,D354*(1+D$8)-Z355),2)</f>
        <v>0</v>
      </c>
      <c r="E355" s="27" t="n">
        <f aca="false">ROUND(MAX(0,E354*(1+E$8)-AA355),2)</f>
        <v>0</v>
      </c>
      <c r="F355" s="27" t="n">
        <f aca="false">ROUND(MAX(0,F354*(1+F$8)-AB355),2)</f>
        <v>0</v>
      </c>
      <c r="G355" s="27" t="n">
        <f aca="false">ROUND(MAX(0,G354*(1+G$8)-AC355),2)</f>
        <v>0</v>
      </c>
      <c r="H355" s="27" t="n">
        <f aca="false">ROUND(MAX(0,H354*(1+H$8)-AD355),2)</f>
        <v>0</v>
      </c>
      <c r="I355" s="27" t="n">
        <f aca="false">ROUND(MAX(0,I354*(1+I$8)-AE355),2)</f>
        <v>0</v>
      </c>
      <c r="J355" s="27" t="n">
        <f aca="false">ROUND(MAX(0,J354*(1+J$8)-AF355),2)</f>
        <v>0</v>
      </c>
      <c r="K355" s="27" t="n">
        <f aca="false">ROUND(MAX(0,K354*(1+K$8)-AG355),2)</f>
        <v>0</v>
      </c>
      <c r="L355" s="30" t="n">
        <f aca="false">SUM(B355:K355)</f>
        <v>0</v>
      </c>
      <c r="M355" s="27" t="n">
        <f aca="false">SUMPRODUCT(B354:K354,$B$8:$K$8)</f>
        <v>0</v>
      </c>
      <c r="N355" s="27" t="n">
        <f aca="false">MIN(B354*(1+B$8),B$9)</f>
        <v>0</v>
      </c>
      <c r="O355" s="27" t="n">
        <f aca="false">MIN(C354*(1+C$8),C$9)</f>
        <v>0</v>
      </c>
      <c r="P355" s="27" t="n">
        <f aca="false">MIN(D354*(1+D$8),D$9)</f>
        <v>0</v>
      </c>
      <c r="Q355" s="27" t="n">
        <f aca="false">MIN(E354*(1+E$8),E$9)</f>
        <v>0</v>
      </c>
      <c r="R355" s="27" t="n">
        <f aca="false">MIN(F354*(1+F$8),F$9)</f>
        <v>0</v>
      </c>
      <c r="S355" s="27" t="n">
        <f aca="false">MIN(G354*(1+G$8),G$9)</f>
        <v>0</v>
      </c>
      <c r="T355" s="27" t="n">
        <f aca="false">MIN(H354*(1+H$8),H$9)</f>
        <v>0</v>
      </c>
      <c r="U355" s="27" t="n">
        <f aca="false">MIN(I354*(1+I$8),I$9)</f>
        <v>0</v>
      </c>
      <c r="V355" s="27" t="n">
        <f aca="false">MIN(J354*(1+J$8),J$9)</f>
        <v>0</v>
      </c>
      <c r="W355" s="27" t="n">
        <f aca="false">MIN(K354*(1+K$8),K$9)</f>
        <v>0</v>
      </c>
      <c r="X355" s="27" t="n">
        <f aca="false">MIN(B354*(1+B$8),MAX(N355,$B$11-SUM(O355:W355)))</f>
        <v>0</v>
      </c>
      <c r="Y355" s="27" t="n">
        <f aca="false">MIN(C354*(1+C$8),MAX(O355,$B$11-SUM(X355:X355)-SUM(P355:W355)))</f>
        <v>0</v>
      </c>
      <c r="Z355" s="27" t="n">
        <f aca="false">MIN(D354*(1+D$8),MAX(P355,$B$11-SUM(X355:Y355)-SUM(Q355:W355)))</f>
        <v>0</v>
      </c>
      <c r="AA355" s="27" t="n">
        <f aca="false">MIN(E354*(1+E$8),MAX(Q355,$B$11-SUM(X355:Z355)-SUM(R355:W355)))</f>
        <v>0</v>
      </c>
      <c r="AB355" s="27" t="n">
        <f aca="false">MIN(F354*(1+F$8),MAX(R355,$B$11-SUM(X355:AA355)-SUM(S355:W355)))</f>
        <v>0</v>
      </c>
      <c r="AC355" s="27" t="n">
        <f aca="false">MIN(G354*(1+G$8),MAX(S355,$B$11-SUM(X355:AB355)-SUM(T355:W355)))</f>
        <v>0</v>
      </c>
      <c r="AD355" s="27" t="n">
        <f aca="false">MIN(H354*(1+H$8),MAX(T355,$B$11-SUM(X355:AC355)-SUM(U355:W355)))</f>
        <v>0</v>
      </c>
      <c r="AE355" s="27" t="n">
        <f aca="false">MIN(I354*(1+I$8),MAX(U355,$B$11-SUM(X355:AD355)-SUM(V355:W355)))</f>
        <v>0</v>
      </c>
      <c r="AF355" s="27" t="n">
        <f aca="false">MIN(J354*(1+J$8),MAX(V355,$B$11-SUM(X355:AE355)-SUM(W355:W355)))</f>
        <v>0</v>
      </c>
      <c r="AG355" s="27" t="n">
        <f aca="false">MIN(K354*(1+K$8),MAX(W355,$B$11-SUM(X355:AF355)))</f>
        <v>0</v>
      </c>
      <c r="AI355" s="27" t="n">
        <f aca="false">ROUND(MAX(0,AI354*(1+B$8)-BE355),2)</f>
        <v>0</v>
      </c>
      <c r="AJ355" s="27" t="n">
        <f aca="false">ROUND(MAX(0,AJ354*(1+C$8)-BF355),2)</f>
        <v>0</v>
      </c>
      <c r="AK355" s="27" t="n">
        <f aca="false">ROUND(MAX(0,AK354*(1+D$8)-BG355),2)</f>
        <v>0</v>
      </c>
      <c r="AL355" s="27" t="n">
        <f aca="false">ROUND(MAX(0,AL354*(1+E$8)-BH355),2)</f>
        <v>0</v>
      </c>
      <c r="AM355" s="27" t="n">
        <f aca="false">ROUND(MAX(0,AM354*(1+F$8)-BI355),2)</f>
        <v>0</v>
      </c>
      <c r="AN355" s="27" t="n">
        <f aca="false">ROUND(MAX(0,AN354*(1+G$8)-BJ355),2)</f>
        <v>0</v>
      </c>
      <c r="AO355" s="27" t="n">
        <f aca="false">ROUND(MAX(0,AO354*(1+H$8)-BK355),2)</f>
        <v>0</v>
      </c>
      <c r="AP355" s="27" t="n">
        <f aca="false">ROUND(MAX(0,AP354*(1+I$8)-BL355),2)</f>
        <v>0</v>
      </c>
      <c r="AQ355" s="27" t="n">
        <f aca="false">ROUND(MAX(0,AQ354*(1+J$8)-BM355),2)</f>
        <v>0</v>
      </c>
      <c r="AR355" s="27" t="n">
        <f aca="false">ROUND(MAX(0,AR354*(1+K$8)-BN355),2)</f>
        <v>0</v>
      </c>
      <c r="AS355" s="27" t="n">
        <f aca="false">SUM(AI355:AR355)</f>
        <v>0</v>
      </c>
      <c r="AT355" s="27" t="n">
        <f aca="false">SUMPRODUCT(AI354:AR354,$B$8:$K$8)</f>
        <v>0</v>
      </c>
      <c r="AU355" s="27" t="n">
        <f aca="false">MIN(AI354*(1+B$8),B$9)</f>
        <v>0</v>
      </c>
      <c r="AV355" s="27" t="n">
        <f aca="false">MIN(AJ354*(1+C$8),C$9)</f>
        <v>0</v>
      </c>
      <c r="AW355" s="27" t="n">
        <f aca="false">MIN(AK354*(1+D$8),D$9)</f>
        <v>0</v>
      </c>
      <c r="AX355" s="27" t="n">
        <f aca="false">MIN(AL354*(1+E$8),E$9)</f>
        <v>0</v>
      </c>
      <c r="AY355" s="27" t="n">
        <f aca="false">MIN(AM354*(1+F$8),F$9)</f>
        <v>0</v>
      </c>
      <c r="AZ355" s="27" t="n">
        <f aca="false">MIN(AN354*(1+G$8),G$9)</f>
        <v>0</v>
      </c>
      <c r="BA355" s="27" t="n">
        <f aca="false">MIN(AO354*(1+H$8),H$9)</f>
        <v>0</v>
      </c>
      <c r="BB355" s="27" t="n">
        <f aca="false">MIN(AP354*(1+I$8),I$9)</f>
        <v>0</v>
      </c>
      <c r="BC355" s="27" t="n">
        <f aca="false">MIN(AQ354*(1+J$8),J$9)</f>
        <v>0</v>
      </c>
      <c r="BD355" s="27" t="n">
        <f aca="false">MIN(AR354*(1+K$8),K$9)</f>
        <v>0</v>
      </c>
      <c r="BE355" s="27" t="n">
        <f aca="false">MIN(AI354*(1+B$8),MAX(AU355,$B$12-SUM(AV355:BD355)))</f>
        <v>0</v>
      </c>
      <c r="BF355" s="27" t="n">
        <f aca="false">MIN(AJ354*(1+C$8),MAX(AV355,$B$12-SUM(BE355:BE355)-SUM(AW355:BD355)))</f>
        <v>0</v>
      </c>
      <c r="BG355" s="27" t="n">
        <f aca="false">MIN(AK354*(1+D$8),MAX(AW355,$B$12-SUM(BE355:BF355)-SUM(AX355:BD355)))</f>
        <v>0</v>
      </c>
      <c r="BH355" s="27" t="n">
        <f aca="false">MIN(AL354*(1+E$8),MAX(AX355,$B$12-SUM(BE355:BG355)-SUM(AY355:BD355)))</f>
        <v>0</v>
      </c>
      <c r="BI355" s="27" t="n">
        <f aca="false">MIN(AM354*(1+F$8),MAX(AY355,$B$12-SUM(BE355:BH355)-SUM(AZ355:BD355)))</f>
        <v>0</v>
      </c>
      <c r="BJ355" s="27" t="n">
        <f aca="false">MIN(AN354*(1+G$8),MAX(AZ355,$B$12-SUM(BE355:BI355)-SUM(BA355:BD355)))</f>
        <v>0</v>
      </c>
      <c r="BK355" s="27" t="n">
        <f aca="false">MIN(AO354*(1+H$8),MAX(BA355,$B$12-SUM(BE355:BJ355)-SUM(BB355:BD355)))</f>
        <v>0</v>
      </c>
      <c r="BL355" s="27" t="n">
        <f aca="false">MIN(AP354*(1+I$8),MAX(BB355,$B$12-SUM(BE355:BK355)-SUM(BC355:BD355)))</f>
        <v>0</v>
      </c>
      <c r="BM355" s="27" t="n">
        <f aca="false">MIN(AQ354*(1+J$8),MAX(BC355,$B$12-SUM(BE355:BL355)-SUM(BD355:BD355)))</f>
        <v>0</v>
      </c>
      <c r="BN355" s="27" t="n">
        <f aca="false">MIN(AR354*(1+K$8),MAX(BD355,$B$12-SUM(BE355:BM355)))</f>
        <v>0</v>
      </c>
    </row>
    <row r="356" customFormat="false" ht="15" hidden="false" customHeight="false" outlineLevel="0" collapsed="false">
      <c r="A356" s="0" t="n">
        <v>342</v>
      </c>
      <c r="B356" s="27" t="n">
        <f aca="false">ROUND(MAX(0,B355*(1+B$8)-X356),2)</f>
        <v>0</v>
      </c>
      <c r="C356" s="27" t="n">
        <f aca="false">ROUND(MAX(0,C355*(1+C$8)-Y356),2)</f>
        <v>0</v>
      </c>
      <c r="D356" s="27" t="n">
        <f aca="false">ROUND(MAX(0,D355*(1+D$8)-Z356),2)</f>
        <v>0</v>
      </c>
      <c r="E356" s="27" t="n">
        <f aca="false">ROUND(MAX(0,E355*(1+E$8)-AA356),2)</f>
        <v>0</v>
      </c>
      <c r="F356" s="27" t="n">
        <f aca="false">ROUND(MAX(0,F355*(1+F$8)-AB356),2)</f>
        <v>0</v>
      </c>
      <c r="G356" s="27" t="n">
        <f aca="false">ROUND(MAX(0,G355*(1+G$8)-AC356),2)</f>
        <v>0</v>
      </c>
      <c r="H356" s="27" t="n">
        <f aca="false">ROUND(MAX(0,H355*(1+H$8)-AD356),2)</f>
        <v>0</v>
      </c>
      <c r="I356" s="27" t="n">
        <f aca="false">ROUND(MAX(0,I355*(1+I$8)-AE356),2)</f>
        <v>0</v>
      </c>
      <c r="J356" s="27" t="n">
        <f aca="false">ROUND(MAX(0,J355*(1+J$8)-AF356),2)</f>
        <v>0</v>
      </c>
      <c r="K356" s="27" t="n">
        <f aca="false">ROUND(MAX(0,K355*(1+K$8)-AG356),2)</f>
        <v>0</v>
      </c>
      <c r="L356" s="30" t="n">
        <f aca="false">SUM(B356:K356)</f>
        <v>0</v>
      </c>
      <c r="M356" s="27" t="n">
        <f aca="false">SUMPRODUCT(B355:K355,$B$8:$K$8)</f>
        <v>0</v>
      </c>
      <c r="N356" s="27" t="n">
        <f aca="false">MIN(B355*(1+B$8),B$9)</f>
        <v>0</v>
      </c>
      <c r="O356" s="27" t="n">
        <f aca="false">MIN(C355*(1+C$8),C$9)</f>
        <v>0</v>
      </c>
      <c r="P356" s="27" t="n">
        <f aca="false">MIN(D355*(1+D$8),D$9)</f>
        <v>0</v>
      </c>
      <c r="Q356" s="27" t="n">
        <f aca="false">MIN(E355*(1+E$8),E$9)</f>
        <v>0</v>
      </c>
      <c r="R356" s="27" t="n">
        <f aca="false">MIN(F355*(1+F$8),F$9)</f>
        <v>0</v>
      </c>
      <c r="S356" s="27" t="n">
        <f aca="false">MIN(G355*(1+G$8),G$9)</f>
        <v>0</v>
      </c>
      <c r="T356" s="27" t="n">
        <f aca="false">MIN(H355*(1+H$8),H$9)</f>
        <v>0</v>
      </c>
      <c r="U356" s="27" t="n">
        <f aca="false">MIN(I355*(1+I$8),I$9)</f>
        <v>0</v>
      </c>
      <c r="V356" s="27" t="n">
        <f aca="false">MIN(J355*(1+J$8),J$9)</f>
        <v>0</v>
      </c>
      <c r="W356" s="27" t="n">
        <f aca="false">MIN(K355*(1+K$8),K$9)</f>
        <v>0</v>
      </c>
      <c r="X356" s="27" t="n">
        <f aca="false">MIN(B355*(1+B$8),MAX(N356,$B$11-SUM(O356:W356)))</f>
        <v>0</v>
      </c>
      <c r="Y356" s="27" t="n">
        <f aca="false">MIN(C355*(1+C$8),MAX(O356,$B$11-SUM(X356:X356)-SUM(P356:W356)))</f>
        <v>0</v>
      </c>
      <c r="Z356" s="27" t="n">
        <f aca="false">MIN(D355*(1+D$8),MAX(P356,$B$11-SUM(X356:Y356)-SUM(Q356:W356)))</f>
        <v>0</v>
      </c>
      <c r="AA356" s="27" t="n">
        <f aca="false">MIN(E355*(1+E$8),MAX(Q356,$B$11-SUM(X356:Z356)-SUM(R356:W356)))</f>
        <v>0</v>
      </c>
      <c r="AB356" s="27" t="n">
        <f aca="false">MIN(F355*(1+F$8),MAX(R356,$B$11-SUM(X356:AA356)-SUM(S356:W356)))</f>
        <v>0</v>
      </c>
      <c r="AC356" s="27" t="n">
        <f aca="false">MIN(G355*(1+G$8),MAX(S356,$B$11-SUM(X356:AB356)-SUM(T356:W356)))</f>
        <v>0</v>
      </c>
      <c r="AD356" s="27" t="n">
        <f aca="false">MIN(H355*(1+H$8),MAX(T356,$B$11-SUM(X356:AC356)-SUM(U356:W356)))</f>
        <v>0</v>
      </c>
      <c r="AE356" s="27" t="n">
        <f aca="false">MIN(I355*(1+I$8),MAX(U356,$B$11-SUM(X356:AD356)-SUM(V356:W356)))</f>
        <v>0</v>
      </c>
      <c r="AF356" s="27" t="n">
        <f aca="false">MIN(J355*(1+J$8),MAX(V356,$B$11-SUM(X356:AE356)-SUM(W356:W356)))</f>
        <v>0</v>
      </c>
      <c r="AG356" s="27" t="n">
        <f aca="false">MIN(K355*(1+K$8),MAX(W356,$B$11-SUM(X356:AF356)))</f>
        <v>0</v>
      </c>
      <c r="AI356" s="27" t="n">
        <f aca="false">ROUND(MAX(0,AI355*(1+B$8)-BE356),2)</f>
        <v>0</v>
      </c>
      <c r="AJ356" s="27" t="n">
        <f aca="false">ROUND(MAX(0,AJ355*(1+C$8)-BF356),2)</f>
        <v>0</v>
      </c>
      <c r="AK356" s="27" t="n">
        <f aca="false">ROUND(MAX(0,AK355*(1+D$8)-BG356),2)</f>
        <v>0</v>
      </c>
      <c r="AL356" s="27" t="n">
        <f aca="false">ROUND(MAX(0,AL355*(1+E$8)-BH356),2)</f>
        <v>0</v>
      </c>
      <c r="AM356" s="27" t="n">
        <f aca="false">ROUND(MAX(0,AM355*(1+F$8)-BI356),2)</f>
        <v>0</v>
      </c>
      <c r="AN356" s="27" t="n">
        <f aca="false">ROUND(MAX(0,AN355*(1+G$8)-BJ356),2)</f>
        <v>0</v>
      </c>
      <c r="AO356" s="27" t="n">
        <f aca="false">ROUND(MAX(0,AO355*(1+H$8)-BK356),2)</f>
        <v>0</v>
      </c>
      <c r="AP356" s="27" t="n">
        <f aca="false">ROUND(MAX(0,AP355*(1+I$8)-BL356),2)</f>
        <v>0</v>
      </c>
      <c r="AQ356" s="27" t="n">
        <f aca="false">ROUND(MAX(0,AQ355*(1+J$8)-BM356),2)</f>
        <v>0</v>
      </c>
      <c r="AR356" s="27" t="n">
        <f aca="false">ROUND(MAX(0,AR355*(1+K$8)-BN356),2)</f>
        <v>0</v>
      </c>
      <c r="AS356" s="27" t="n">
        <f aca="false">SUM(AI356:AR356)</f>
        <v>0</v>
      </c>
      <c r="AT356" s="27" t="n">
        <f aca="false">SUMPRODUCT(AI355:AR355,$B$8:$K$8)</f>
        <v>0</v>
      </c>
      <c r="AU356" s="27" t="n">
        <f aca="false">MIN(AI355*(1+B$8),B$9)</f>
        <v>0</v>
      </c>
      <c r="AV356" s="27" t="n">
        <f aca="false">MIN(AJ355*(1+C$8),C$9)</f>
        <v>0</v>
      </c>
      <c r="AW356" s="27" t="n">
        <f aca="false">MIN(AK355*(1+D$8),D$9)</f>
        <v>0</v>
      </c>
      <c r="AX356" s="27" t="n">
        <f aca="false">MIN(AL355*(1+E$8),E$9)</f>
        <v>0</v>
      </c>
      <c r="AY356" s="27" t="n">
        <f aca="false">MIN(AM355*(1+F$8),F$9)</f>
        <v>0</v>
      </c>
      <c r="AZ356" s="27" t="n">
        <f aca="false">MIN(AN355*(1+G$8),G$9)</f>
        <v>0</v>
      </c>
      <c r="BA356" s="27" t="n">
        <f aca="false">MIN(AO355*(1+H$8),H$9)</f>
        <v>0</v>
      </c>
      <c r="BB356" s="27" t="n">
        <f aca="false">MIN(AP355*(1+I$8),I$9)</f>
        <v>0</v>
      </c>
      <c r="BC356" s="27" t="n">
        <f aca="false">MIN(AQ355*(1+J$8),J$9)</f>
        <v>0</v>
      </c>
      <c r="BD356" s="27" t="n">
        <f aca="false">MIN(AR355*(1+K$8),K$9)</f>
        <v>0</v>
      </c>
      <c r="BE356" s="27" t="n">
        <f aca="false">MIN(AI355*(1+B$8),MAX(AU356,$B$12-SUM(AV356:BD356)))</f>
        <v>0</v>
      </c>
      <c r="BF356" s="27" t="n">
        <f aca="false">MIN(AJ355*(1+C$8),MAX(AV356,$B$12-SUM(BE356:BE356)-SUM(AW356:BD356)))</f>
        <v>0</v>
      </c>
      <c r="BG356" s="27" t="n">
        <f aca="false">MIN(AK355*(1+D$8),MAX(AW356,$B$12-SUM(BE356:BF356)-SUM(AX356:BD356)))</f>
        <v>0</v>
      </c>
      <c r="BH356" s="27" t="n">
        <f aca="false">MIN(AL355*(1+E$8),MAX(AX356,$B$12-SUM(BE356:BG356)-SUM(AY356:BD356)))</f>
        <v>0</v>
      </c>
      <c r="BI356" s="27" t="n">
        <f aca="false">MIN(AM355*(1+F$8),MAX(AY356,$B$12-SUM(BE356:BH356)-SUM(AZ356:BD356)))</f>
        <v>0</v>
      </c>
      <c r="BJ356" s="27" t="n">
        <f aca="false">MIN(AN355*(1+G$8),MAX(AZ356,$B$12-SUM(BE356:BI356)-SUM(BA356:BD356)))</f>
        <v>0</v>
      </c>
      <c r="BK356" s="27" t="n">
        <f aca="false">MIN(AO355*(1+H$8),MAX(BA356,$B$12-SUM(BE356:BJ356)-SUM(BB356:BD356)))</f>
        <v>0</v>
      </c>
      <c r="BL356" s="27" t="n">
        <f aca="false">MIN(AP355*(1+I$8),MAX(BB356,$B$12-SUM(BE356:BK356)-SUM(BC356:BD356)))</f>
        <v>0</v>
      </c>
      <c r="BM356" s="27" t="n">
        <f aca="false">MIN(AQ355*(1+J$8),MAX(BC356,$B$12-SUM(BE356:BL356)-SUM(BD356:BD356)))</f>
        <v>0</v>
      </c>
      <c r="BN356" s="27" t="n">
        <f aca="false">MIN(AR355*(1+K$8),MAX(BD356,$B$12-SUM(BE356:BM356)))</f>
        <v>0</v>
      </c>
    </row>
    <row r="357" customFormat="false" ht="15" hidden="false" customHeight="false" outlineLevel="0" collapsed="false">
      <c r="A357" s="0" t="n">
        <v>343</v>
      </c>
      <c r="B357" s="27" t="n">
        <f aca="false">ROUND(MAX(0,B356*(1+B$8)-X357),2)</f>
        <v>0</v>
      </c>
      <c r="C357" s="27" t="n">
        <f aca="false">ROUND(MAX(0,C356*(1+C$8)-Y357),2)</f>
        <v>0</v>
      </c>
      <c r="D357" s="27" t="n">
        <f aca="false">ROUND(MAX(0,D356*(1+D$8)-Z357),2)</f>
        <v>0</v>
      </c>
      <c r="E357" s="27" t="n">
        <f aca="false">ROUND(MAX(0,E356*(1+E$8)-AA357),2)</f>
        <v>0</v>
      </c>
      <c r="F357" s="27" t="n">
        <f aca="false">ROUND(MAX(0,F356*(1+F$8)-AB357),2)</f>
        <v>0</v>
      </c>
      <c r="G357" s="27" t="n">
        <f aca="false">ROUND(MAX(0,G356*(1+G$8)-AC357),2)</f>
        <v>0</v>
      </c>
      <c r="H357" s="27" t="n">
        <f aca="false">ROUND(MAX(0,H356*(1+H$8)-AD357),2)</f>
        <v>0</v>
      </c>
      <c r="I357" s="27" t="n">
        <f aca="false">ROUND(MAX(0,I356*(1+I$8)-AE357),2)</f>
        <v>0</v>
      </c>
      <c r="J357" s="27" t="n">
        <f aca="false">ROUND(MAX(0,J356*(1+J$8)-AF357),2)</f>
        <v>0</v>
      </c>
      <c r="K357" s="27" t="n">
        <f aca="false">ROUND(MAX(0,K356*(1+K$8)-AG357),2)</f>
        <v>0</v>
      </c>
      <c r="L357" s="30" t="n">
        <f aca="false">SUM(B357:K357)</f>
        <v>0</v>
      </c>
      <c r="M357" s="27" t="n">
        <f aca="false">SUMPRODUCT(B356:K356,$B$8:$K$8)</f>
        <v>0</v>
      </c>
      <c r="N357" s="27" t="n">
        <f aca="false">MIN(B356*(1+B$8),B$9)</f>
        <v>0</v>
      </c>
      <c r="O357" s="27" t="n">
        <f aca="false">MIN(C356*(1+C$8),C$9)</f>
        <v>0</v>
      </c>
      <c r="P357" s="27" t="n">
        <f aca="false">MIN(D356*(1+D$8),D$9)</f>
        <v>0</v>
      </c>
      <c r="Q357" s="27" t="n">
        <f aca="false">MIN(E356*(1+E$8),E$9)</f>
        <v>0</v>
      </c>
      <c r="R357" s="27" t="n">
        <f aca="false">MIN(F356*(1+F$8),F$9)</f>
        <v>0</v>
      </c>
      <c r="S357" s="27" t="n">
        <f aca="false">MIN(G356*(1+G$8),G$9)</f>
        <v>0</v>
      </c>
      <c r="T357" s="27" t="n">
        <f aca="false">MIN(H356*(1+H$8),H$9)</f>
        <v>0</v>
      </c>
      <c r="U357" s="27" t="n">
        <f aca="false">MIN(I356*(1+I$8),I$9)</f>
        <v>0</v>
      </c>
      <c r="V357" s="27" t="n">
        <f aca="false">MIN(J356*(1+J$8),J$9)</f>
        <v>0</v>
      </c>
      <c r="W357" s="27" t="n">
        <f aca="false">MIN(K356*(1+K$8),K$9)</f>
        <v>0</v>
      </c>
      <c r="X357" s="27" t="n">
        <f aca="false">MIN(B356*(1+B$8),MAX(N357,$B$11-SUM(O357:W357)))</f>
        <v>0</v>
      </c>
      <c r="Y357" s="27" t="n">
        <f aca="false">MIN(C356*(1+C$8),MAX(O357,$B$11-SUM(X357:X357)-SUM(P357:W357)))</f>
        <v>0</v>
      </c>
      <c r="Z357" s="27" t="n">
        <f aca="false">MIN(D356*(1+D$8),MAX(P357,$B$11-SUM(X357:Y357)-SUM(Q357:W357)))</f>
        <v>0</v>
      </c>
      <c r="AA357" s="27" t="n">
        <f aca="false">MIN(E356*(1+E$8),MAX(Q357,$B$11-SUM(X357:Z357)-SUM(R357:W357)))</f>
        <v>0</v>
      </c>
      <c r="AB357" s="27" t="n">
        <f aca="false">MIN(F356*(1+F$8),MAX(R357,$B$11-SUM(X357:AA357)-SUM(S357:W357)))</f>
        <v>0</v>
      </c>
      <c r="AC357" s="27" t="n">
        <f aca="false">MIN(G356*(1+G$8),MAX(S357,$B$11-SUM(X357:AB357)-SUM(T357:W357)))</f>
        <v>0</v>
      </c>
      <c r="AD357" s="27" t="n">
        <f aca="false">MIN(H356*(1+H$8),MAX(T357,$B$11-SUM(X357:AC357)-SUM(U357:W357)))</f>
        <v>0</v>
      </c>
      <c r="AE357" s="27" t="n">
        <f aca="false">MIN(I356*(1+I$8),MAX(U357,$B$11-SUM(X357:AD357)-SUM(V357:W357)))</f>
        <v>0</v>
      </c>
      <c r="AF357" s="27" t="n">
        <f aca="false">MIN(J356*(1+J$8),MAX(V357,$B$11-SUM(X357:AE357)-SUM(W357:W357)))</f>
        <v>0</v>
      </c>
      <c r="AG357" s="27" t="n">
        <f aca="false">MIN(K356*(1+K$8),MAX(W357,$B$11-SUM(X357:AF357)))</f>
        <v>0</v>
      </c>
      <c r="AI357" s="27" t="n">
        <f aca="false">ROUND(MAX(0,AI356*(1+B$8)-BE357),2)</f>
        <v>0</v>
      </c>
      <c r="AJ357" s="27" t="n">
        <f aca="false">ROUND(MAX(0,AJ356*(1+C$8)-BF357),2)</f>
        <v>0</v>
      </c>
      <c r="AK357" s="27" t="n">
        <f aca="false">ROUND(MAX(0,AK356*(1+D$8)-BG357),2)</f>
        <v>0</v>
      </c>
      <c r="AL357" s="27" t="n">
        <f aca="false">ROUND(MAX(0,AL356*(1+E$8)-BH357),2)</f>
        <v>0</v>
      </c>
      <c r="AM357" s="27" t="n">
        <f aca="false">ROUND(MAX(0,AM356*(1+F$8)-BI357),2)</f>
        <v>0</v>
      </c>
      <c r="AN357" s="27" t="n">
        <f aca="false">ROUND(MAX(0,AN356*(1+G$8)-BJ357),2)</f>
        <v>0</v>
      </c>
      <c r="AO357" s="27" t="n">
        <f aca="false">ROUND(MAX(0,AO356*(1+H$8)-BK357),2)</f>
        <v>0</v>
      </c>
      <c r="AP357" s="27" t="n">
        <f aca="false">ROUND(MAX(0,AP356*(1+I$8)-BL357),2)</f>
        <v>0</v>
      </c>
      <c r="AQ357" s="27" t="n">
        <f aca="false">ROUND(MAX(0,AQ356*(1+J$8)-BM357),2)</f>
        <v>0</v>
      </c>
      <c r="AR357" s="27" t="n">
        <f aca="false">ROUND(MAX(0,AR356*(1+K$8)-BN357),2)</f>
        <v>0</v>
      </c>
      <c r="AS357" s="27" t="n">
        <f aca="false">SUM(AI357:AR357)</f>
        <v>0</v>
      </c>
      <c r="AT357" s="27" t="n">
        <f aca="false">SUMPRODUCT(AI356:AR356,$B$8:$K$8)</f>
        <v>0</v>
      </c>
      <c r="AU357" s="27" t="n">
        <f aca="false">MIN(AI356*(1+B$8),B$9)</f>
        <v>0</v>
      </c>
      <c r="AV357" s="27" t="n">
        <f aca="false">MIN(AJ356*(1+C$8),C$9)</f>
        <v>0</v>
      </c>
      <c r="AW357" s="27" t="n">
        <f aca="false">MIN(AK356*(1+D$8),D$9)</f>
        <v>0</v>
      </c>
      <c r="AX357" s="27" t="n">
        <f aca="false">MIN(AL356*(1+E$8),E$9)</f>
        <v>0</v>
      </c>
      <c r="AY357" s="27" t="n">
        <f aca="false">MIN(AM356*(1+F$8),F$9)</f>
        <v>0</v>
      </c>
      <c r="AZ357" s="27" t="n">
        <f aca="false">MIN(AN356*(1+G$8),G$9)</f>
        <v>0</v>
      </c>
      <c r="BA357" s="27" t="n">
        <f aca="false">MIN(AO356*(1+H$8),H$9)</f>
        <v>0</v>
      </c>
      <c r="BB357" s="27" t="n">
        <f aca="false">MIN(AP356*(1+I$8),I$9)</f>
        <v>0</v>
      </c>
      <c r="BC357" s="27" t="n">
        <f aca="false">MIN(AQ356*(1+J$8),J$9)</f>
        <v>0</v>
      </c>
      <c r="BD357" s="27" t="n">
        <f aca="false">MIN(AR356*(1+K$8),K$9)</f>
        <v>0</v>
      </c>
      <c r="BE357" s="27" t="n">
        <f aca="false">MIN(AI356*(1+B$8),MAX(AU357,$B$12-SUM(AV357:BD357)))</f>
        <v>0</v>
      </c>
      <c r="BF357" s="27" t="n">
        <f aca="false">MIN(AJ356*(1+C$8),MAX(AV357,$B$12-SUM(BE357:BE357)-SUM(AW357:BD357)))</f>
        <v>0</v>
      </c>
      <c r="BG357" s="27" t="n">
        <f aca="false">MIN(AK356*(1+D$8),MAX(AW357,$B$12-SUM(BE357:BF357)-SUM(AX357:BD357)))</f>
        <v>0</v>
      </c>
      <c r="BH357" s="27" t="n">
        <f aca="false">MIN(AL356*(1+E$8),MAX(AX357,$B$12-SUM(BE357:BG357)-SUM(AY357:BD357)))</f>
        <v>0</v>
      </c>
      <c r="BI357" s="27" t="n">
        <f aca="false">MIN(AM356*(1+F$8),MAX(AY357,$B$12-SUM(BE357:BH357)-SUM(AZ357:BD357)))</f>
        <v>0</v>
      </c>
      <c r="BJ357" s="27" t="n">
        <f aca="false">MIN(AN356*(1+G$8),MAX(AZ357,$B$12-SUM(BE357:BI357)-SUM(BA357:BD357)))</f>
        <v>0</v>
      </c>
      <c r="BK357" s="27" t="n">
        <f aca="false">MIN(AO356*(1+H$8),MAX(BA357,$B$12-SUM(BE357:BJ357)-SUM(BB357:BD357)))</f>
        <v>0</v>
      </c>
      <c r="BL357" s="27" t="n">
        <f aca="false">MIN(AP356*(1+I$8),MAX(BB357,$B$12-SUM(BE357:BK357)-SUM(BC357:BD357)))</f>
        <v>0</v>
      </c>
      <c r="BM357" s="27" t="n">
        <f aca="false">MIN(AQ356*(1+J$8),MAX(BC357,$B$12-SUM(BE357:BL357)-SUM(BD357:BD357)))</f>
        <v>0</v>
      </c>
      <c r="BN357" s="27" t="n">
        <f aca="false">MIN(AR356*(1+K$8),MAX(BD357,$B$12-SUM(BE357:BM357)))</f>
        <v>0</v>
      </c>
    </row>
    <row r="358" customFormat="false" ht="15" hidden="false" customHeight="false" outlineLevel="0" collapsed="false">
      <c r="A358" s="0" t="n">
        <v>344</v>
      </c>
      <c r="B358" s="27" t="n">
        <f aca="false">ROUND(MAX(0,B357*(1+B$8)-X358),2)</f>
        <v>0</v>
      </c>
      <c r="C358" s="27" t="n">
        <f aca="false">ROUND(MAX(0,C357*(1+C$8)-Y358),2)</f>
        <v>0</v>
      </c>
      <c r="D358" s="27" t="n">
        <f aca="false">ROUND(MAX(0,D357*(1+D$8)-Z358),2)</f>
        <v>0</v>
      </c>
      <c r="E358" s="27" t="n">
        <f aca="false">ROUND(MAX(0,E357*(1+E$8)-AA358),2)</f>
        <v>0</v>
      </c>
      <c r="F358" s="27" t="n">
        <f aca="false">ROUND(MAX(0,F357*(1+F$8)-AB358),2)</f>
        <v>0</v>
      </c>
      <c r="G358" s="27" t="n">
        <f aca="false">ROUND(MAX(0,G357*(1+G$8)-AC358),2)</f>
        <v>0</v>
      </c>
      <c r="H358" s="27" t="n">
        <f aca="false">ROUND(MAX(0,H357*(1+H$8)-AD358),2)</f>
        <v>0</v>
      </c>
      <c r="I358" s="27" t="n">
        <f aca="false">ROUND(MAX(0,I357*(1+I$8)-AE358),2)</f>
        <v>0</v>
      </c>
      <c r="J358" s="27" t="n">
        <f aca="false">ROUND(MAX(0,J357*(1+J$8)-AF358),2)</f>
        <v>0</v>
      </c>
      <c r="K358" s="27" t="n">
        <f aca="false">ROUND(MAX(0,K357*(1+K$8)-AG358),2)</f>
        <v>0</v>
      </c>
      <c r="L358" s="30" t="n">
        <f aca="false">SUM(B358:K358)</f>
        <v>0</v>
      </c>
      <c r="M358" s="27" t="n">
        <f aca="false">SUMPRODUCT(B357:K357,$B$8:$K$8)</f>
        <v>0</v>
      </c>
      <c r="N358" s="27" t="n">
        <f aca="false">MIN(B357*(1+B$8),B$9)</f>
        <v>0</v>
      </c>
      <c r="O358" s="27" t="n">
        <f aca="false">MIN(C357*(1+C$8),C$9)</f>
        <v>0</v>
      </c>
      <c r="P358" s="27" t="n">
        <f aca="false">MIN(D357*(1+D$8),D$9)</f>
        <v>0</v>
      </c>
      <c r="Q358" s="27" t="n">
        <f aca="false">MIN(E357*(1+E$8),E$9)</f>
        <v>0</v>
      </c>
      <c r="R358" s="27" t="n">
        <f aca="false">MIN(F357*(1+F$8),F$9)</f>
        <v>0</v>
      </c>
      <c r="S358" s="27" t="n">
        <f aca="false">MIN(G357*(1+G$8),G$9)</f>
        <v>0</v>
      </c>
      <c r="T358" s="27" t="n">
        <f aca="false">MIN(H357*(1+H$8),H$9)</f>
        <v>0</v>
      </c>
      <c r="U358" s="27" t="n">
        <f aca="false">MIN(I357*(1+I$8),I$9)</f>
        <v>0</v>
      </c>
      <c r="V358" s="27" t="n">
        <f aca="false">MIN(J357*(1+J$8),J$9)</f>
        <v>0</v>
      </c>
      <c r="W358" s="27" t="n">
        <f aca="false">MIN(K357*(1+K$8),K$9)</f>
        <v>0</v>
      </c>
      <c r="X358" s="27" t="n">
        <f aca="false">MIN(B357*(1+B$8),MAX(N358,$B$11-SUM(O358:W358)))</f>
        <v>0</v>
      </c>
      <c r="Y358" s="27" t="n">
        <f aca="false">MIN(C357*(1+C$8),MAX(O358,$B$11-SUM(X358:X358)-SUM(P358:W358)))</f>
        <v>0</v>
      </c>
      <c r="Z358" s="27" t="n">
        <f aca="false">MIN(D357*(1+D$8),MAX(P358,$B$11-SUM(X358:Y358)-SUM(Q358:W358)))</f>
        <v>0</v>
      </c>
      <c r="AA358" s="27" t="n">
        <f aca="false">MIN(E357*(1+E$8),MAX(Q358,$B$11-SUM(X358:Z358)-SUM(R358:W358)))</f>
        <v>0</v>
      </c>
      <c r="AB358" s="27" t="n">
        <f aca="false">MIN(F357*(1+F$8),MAX(R358,$B$11-SUM(X358:AA358)-SUM(S358:W358)))</f>
        <v>0</v>
      </c>
      <c r="AC358" s="27" t="n">
        <f aca="false">MIN(G357*(1+G$8),MAX(S358,$B$11-SUM(X358:AB358)-SUM(T358:W358)))</f>
        <v>0</v>
      </c>
      <c r="AD358" s="27" t="n">
        <f aca="false">MIN(H357*(1+H$8),MAX(T358,$B$11-SUM(X358:AC358)-SUM(U358:W358)))</f>
        <v>0</v>
      </c>
      <c r="AE358" s="27" t="n">
        <f aca="false">MIN(I357*(1+I$8),MAX(U358,$B$11-SUM(X358:AD358)-SUM(V358:W358)))</f>
        <v>0</v>
      </c>
      <c r="AF358" s="27" t="n">
        <f aca="false">MIN(J357*(1+J$8),MAX(V358,$B$11-SUM(X358:AE358)-SUM(W358:W358)))</f>
        <v>0</v>
      </c>
      <c r="AG358" s="27" t="n">
        <f aca="false">MIN(K357*(1+K$8),MAX(W358,$B$11-SUM(X358:AF358)))</f>
        <v>0</v>
      </c>
      <c r="AI358" s="27" t="n">
        <f aca="false">ROUND(MAX(0,AI357*(1+B$8)-BE358),2)</f>
        <v>0</v>
      </c>
      <c r="AJ358" s="27" t="n">
        <f aca="false">ROUND(MAX(0,AJ357*(1+C$8)-BF358),2)</f>
        <v>0</v>
      </c>
      <c r="AK358" s="27" t="n">
        <f aca="false">ROUND(MAX(0,AK357*(1+D$8)-BG358),2)</f>
        <v>0</v>
      </c>
      <c r="AL358" s="27" t="n">
        <f aca="false">ROUND(MAX(0,AL357*(1+E$8)-BH358),2)</f>
        <v>0</v>
      </c>
      <c r="AM358" s="27" t="n">
        <f aca="false">ROUND(MAX(0,AM357*(1+F$8)-BI358),2)</f>
        <v>0</v>
      </c>
      <c r="AN358" s="27" t="n">
        <f aca="false">ROUND(MAX(0,AN357*(1+G$8)-BJ358),2)</f>
        <v>0</v>
      </c>
      <c r="AO358" s="27" t="n">
        <f aca="false">ROUND(MAX(0,AO357*(1+H$8)-BK358),2)</f>
        <v>0</v>
      </c>
      <c r="AP358" s="27" t="n">
        <f aca="false">ROUND(MAX(0,AP357*(1+I$8)-BL358),2)</f>
        <v>0</v>
      </c>
      <c r="AQ358" s="27" t="n">
        <f aca="false">ROUND(MAX(0,AQ357*(1+J$8)-BM358),2)</f>
        <v>0</v>
      </c>
      <c r="AR358" s="27" t="n">
        <f aca="false">ROUND(MAX(0,AR357*(1+K$8)-BN358),2)</f>
        <v>0</v>
      </c>
      <c r="AS358" s="27" t="n">
        <f aca="false">SUM(AI358:AR358)</f>
        <v>0</v>
      </c>
      <c r="AT358" s="27" t="n">
        <f aca="false">SUMPRODUCT(AI357:AR357,$B$8:$K$8)</f>
        <v>0</v>
      </c>
      <c r="AU358" s="27" t="n">
        <f aca="false">MIN(AI357*(1+B$8),B$9)</f>
        <v>0</v>
      </c>
      <c r="AV358" s="27" t="n">
        <f aca="false">MIN(AJ357*(1+C$8),C$9)</f>
        <v>0</v>
      </c>
      <c r="AW358" s="27" t="n">
        <f aca="false">MIN(AK357*(1+D$8),D$9)</f>
        <v>0</v>
      </c>
      <c r="AX358" s="27" t="n">
        <f aca="false">MIN(AL357*(1+E$8),E$9)</f>
        <v>0</v>
      </c>
      <c r="AY358" s="27" t="n">
        <f aca="false">MIN(AM357*(1+F$8),F$9)</f>
        <v>0</v>
      </c>
      <c r="AZ358" s="27" t="n">
        <f aca="false">MIN(AN357*(1+G$8),G$9)</f>
        <v>0</v>
      </c>
      <c r="BA358" s="27" t="n">
        <f aca="false">MIN(AO357*(1+H$8),H$9)</f>
        <v>0</v>
      </c>
      <c r="BB358" s="27" t="n">
        <f aca="false">MIN(AP357*(1+I$8),I$9)</f>
        <v>0</v>
      </c>
      <c r="BC358" s="27" t="n">
        <f aca="false">MIN(AQ357*(1+J$8),J$9)</f>
        <v>0</v>
      </c>
      <c r="BD358" s="27" t="n">
        <f aca="false">MIN(AR357*(1+K$8),K$9)</f>
        <v>0</v>
      </c>
      <c r="BE358" s="27" t="n">
        <f aca="false">MIN(AI357*(1+B$8),MAX(AU358,$B$12-SUM(AV358:BD358)))</f>
        <v>0</v>
      </c>
      <c r="BF358" s="27" t="n">
        <f aca="false">MIN(AJ357*(1+C$8),MAX(AV358,$B$12-SUM(BE358:BE358)-SUM(AW358:BD358)))</f>
        <v>0</v>
      </c>
      <c r="BG358" s="27" t="n">
        <f aca="false">MIN(AK357*(1+D$8),MAX(AW358,$B$12-SUM(BE358:BF358)-SUM(AX358:BD358)))</f>
        <v>0</v>
      </c>
      <c r="BH358" s="27" t="n">
        <f aca="false">MIN(AL357*(1+E$8),MAX(AX358,$B$12-SUM(BE358:BG358)-SUM(AY358:BD358)))</f>
        <v>0</v>
      </c>
      <c r="BI358" s="27" t="n">
        <f aca="false">MIN(AM357*(1+F$8),MAX(AY358,$B$12-SUM(BE358:BH358)-SUM(AZ358:BD358)))</f>
        <v>0</v>
      </c>
      <c r="BJ358" s="27" t="n">
        <f aca="false">MIN(AN357*(1+G$8),MAX(AZ358,$B$12-SUM(BE358:BI358)-SUM(BA358:BD358)))</f>
        <v>0</v>
      </c>
      <c r="BK358" s="27" t="n">
        <f aca="false">MIN(AO357*(1+H$8),MAX(BA358,$B$12-SUM(BE358:BJ358)-SUM(BB358:BD358)))</f>
        <v>0</v>
      </c>
      <c r="BL358" s="27" t="n">
        <f aca="false">MIN(AP357*(1+I$8),MAX(BB358,$B$12-SUM(BE358:BK358)-SUM(BC358:BD358)))</f>
        <v>0</v>
      </c>
      <c r="BM358" s="27" t="n">
        <f aca="false">MIN(AQ357*(1+J$8),MAX(BC358,$B$12-SUM(BE358:BL358)-SUM(BD358:BD358)))</f>
        <v>0</v>
      </c>
      <c r="BN358" s="27" t="n">
        <f aca="false">MIN(AR357*(1+K$8),MAX(BD358,$B$12-SUM(BE358:BM358)))</f>
        <v>0</v>
      </c>
    </row>
    <row r="359" customFormat="false" ht="15" hidden="false" customHeight="false" outlineLevel="0" collapsed="false">
      <c r="A359" s="0" t="n">
        <v>345</v>
      </c>
      <c r="B359" s="27" t="n">
        <f aca="false">ROUND(MAX(0,B358*(1+B$8)-X359),2)</f>
        <v>0</v>
      </c>
      <c r="C359" s="27" t="n">
        <f aca="false">ROUND(MAX(0,C358*(1+C$8)-Y359),2)</f>
        <v>0</v>
      </c>
      <c r="D359" s="27" t="n">
        <f aca="false">ROUND(MAX(0,D358*(1+D$8)-Z359),2)</f>
        <v>0</v>
      </c>
      <c r="E359" s="27" t="n">
        <f aca="false">ROUND(MAX(0,E358*(1+E$8)-AA359),2)</f>
        <v>0</v>
      </c>
      <c r="F359" s="27" t="n">
        <f aca="false">ROUND(MAX(0,F358*(1+F$8)-AB359),2)</f>
        <v>0</v>
      </c>
      <c r="G359" s="27" t="n">
        <f aca="false">ROUND(MAX(0,G358*(1+G$8)-AC359),2)</f>
        <v>0</v>
      </c>
      <c r="H359" s="27" t="n">
        <f aca="false">ROUND(MAX(0,H358*(1+H$8)-AD359),2)</f>
        <v>0</v>
      </c>
      <c r="I359" s="27" t="n">
        <f aca="false">ROUND(MAX(0,I358*(1+I$8)-AE359),2)</f>
        <v>0</v>
      </c>
      <c r="J359" s="27" t="n">
        <f aca="false">ROUND(MAX(0,J358*(1+J$8)-AF359),2)</f>
        <v>0</v>
      </c>
      <c r="K359" s="27" t="n">
        <f aca="false">ROUND(MAX(0,K358*(1+K$8)-AG359),2)</f>
        <v>0</v>
      </c>
      <c r="L359" s="30" t="n">
        <f aca="false">SUM(B359:K359)</f>
        <v>0</v>
      </c>
      <c r="M359" s="27" t="n">
        <f aca="false">SUMPRODUCT(B358:K358,$B$8:$K$8)</f>
        <v>0</v>
      </c>
      <c r="N359" s="27" t="n">
        <f aca="false">MIN(B358*(1+B$8),B$9)</f>
        <v>0</v>
      </c>
      <c r="O359" s="27" t="n">
        <f aca="false">MIN(C358*(1+C$8),C$9)</f>
        <v>0</v>
      </c>
      <c r="P359" s="27" t="n">
        <f aca="false">MIN(D358*(1+D$8),D$9)</f>
        <v>0</v>
      </c>
      <c r="Q359" s="27" t="n">
        <f aca="false">MIN(E358*(1+E$8),E$9)</f>
        <v>0</v>
      </c>
      <c r="R359" s="27" t="n">
        <f aca="false">MIN(F358*(1+F$8),F$9)</f>
        <v>0</v>
      </c>
      <c r="S359" s="27" t="n">
        <f aca="false">MIN(G358*(1+G$8),G$9)</f>
        <v>0</v>
      </c>
      <c r="T359" s="27" t="n">
        <f aca="false">MIN(H358*(1+H$8),H$9)</f>
        <v>0</v>
      </c>
      <c r="U359" s="27" t="n">
        <f aca="false">MIN(I358*(1+I$8),I$9)</f>
        <v>0</v>
      </c>
      <c r="V359" s="27" t="n">
        <f aca="false">MIN(J358*(1+J$8),J$9)</f>
        <v>0</v>
      </c>
      <c r="W359" s="27" t="n">
        <f aca="false">MIN(K358*(1+K$8),K$9)</f>
        <v>0</v>
      </c>
      <c r="X359" s="27" t="n">
        <f aca="false">MIN(B358*(1+B$8),MAX(N359,$B$11-SUM(O359:W359)))</f>
        <v>0</v>
      </c>
      <c r="Y359" s="27" t="n">
        <f aca="false">MIN(C358*(1+C$8),MAX(O359,$B$11-SUM(X359:X359)-SUM(P359:W359)))</f>
        <v>0</v>
      </c>
      <c r="Z359" s="27" t="n">
        <f aca="false">MIN(D358*(1+D$8),MAX(P359,$B$11-SUM(X359:Y359)-SUM(Q359:W359)))</f>
        <v>0</v>
      </c>
      <c r="AA359" s="27" t="n">
        <f aca="false">MIN(E358*(1+E$8),MAX(Q359,$B$11-SUM(X359:Z359)-SUM(R359:W359)))</f>
        <v>0</v>
      </c>
      <c r="AB359" s="27" t="n">
        <f aca="false">MIN(F358*(1+F$8),MAX(R359,$B$11-SUM(X359:AA359)-SUM(S359:W359)))</f>
        <v>0</v>
      </c>
      <c r="AC359" s="27" t="n">
        <f aca="false">MIN(G358*(1+G$8),MAX(S359,$B$11-SUM(X359:AB359)-SUM(T359:W359)))</f>
        <v>0</v>
      </c>
      <c r="AD359" s="27" t="n">
        <f aca="false">MIN(H358*(1+H$8),MAX(T359,$B$11-SUM(X359:AC359)-SUM(U359:W359)))</f>
        <v>0</v>
      </c>
      <c r="AE359" s="27" t="n">
        <f aca="false">MIN(I358*(1+I$8),MAX(U359,$B$11-SUM(X359:AD359)-SUM(V359:W359)))</f>
        <v>0</v>
      </c>
      <c r="AF359" s="27" t="n">
        <f aca="false">MIN(J358*(1+J$8),MAX(V359,$B$11-SUM(X359:AE359)-SUM(W359:W359)))</f>
        <v>0</v>
      </c>
      <c r="AG359" s="27" t="n">
        <f aca="false">MIN(K358*(1+K$8),MAX(W359,$B$11-SUM(X359:AF359)))</f>
        <v>0</v>
      </c>
      <c r="AI359" s="27" t="n">
        <f aca="false">ROUND(MAX(0,AI358*(1+B$8)-BE359),2)</f>
        <v>0</v>
      </c>
      <c r="AJ359" s="27" t="n">
        <f aca="false">ROUND(MAX(0,AJ358*(1+C$8)-BF359),2)</f>
        <v>0</v>
      </c>
      <c r="AK359" s="27" t="n">
        <f aca="false">ROUND(MAX(0,AK358*(1+D$8)-BG359),2)</f>
        <v>0</v>
      </c>
      <c r="AL359" s="27" t="n">
        <f aca="false">ROUND(MAX(0,AL358*(1+E$8)-BH359),2)</f>
        <v>0</v>
      </c>
      <c r="AM359" s="27" t="n">
        <f aca="false">ROUND(MAX(0,AM358*(1+F$8)-BI359),2)</f>
        <v>0</v>
      </c>
      <c r="AN359" s="27" t="n">
        <f aca="false">ROUND(MAX(0,AN358*(1+G$8)-BJ359),2)</f>
        <v>0</v>
      </c>
      <c r="AO359" s="27" t="n">
        <f aca="false">ROUND(MAX(0,AO358*(1+H$8)-BK359),2)</f>
        <v>0</v>
      </c>
      <c r="AP359" s="27" t="n">
        <f aca="false">ROUND(MAX(0,AP358*(1+I$8)-BL359),2)</f>
        <v>0</v>
      </c>
      <c r="AQ359" s="27" t="n">
        <f aca="false">ROUND(MAX(0,AQ358*(1+J$8)-BM359),2)</f>
        <v>0</v>
      </c>
      <c r="AR359" s="27" t="n">
        <f aca="false">ROUND(MAX(0,AR358*(1+K$8)-BN359),2)</f>
        <v>0</v>
      </c>
      <c r="AS359" s="27" t="n">
        <f aca="false">SUM(AI359:AR359)</f>
        <v>0</v>
      </c>
      <c r="AT359" s="27" t="n">
        <f aca="false">SUMPRODUCT(AI358:AR358,$B$8:$K$8)</f>
        <v>0</v>
      </c>
      <c r="AU359" s="27" t="n">
        <f aca="false">MIN(AI358*(1+B$8),B$9)</f>
        <v>0</v>
      </c>
      <c r="AV359" s="27" t="n">
        <f aca="false">MIN(AJ358*(1+C$8),C$9)</f>
        <v>0</v>
      </c>
      <c r="AW359" s="27" t="n">
        <f aca="false">MIN(AK358*(1+D$8),D$9)</f>
        <v>0</v>
      </c>
      <c r="AX359" s="27" t="n">
        <f aca="false">MIN(AL358*(1+E$8),E$9)</f>
        <v>0</v>
      </c>
      <c r="AY359" s="27" t="n">
        <f aca="false">MIN(AM358*(1+F$8),F$9)</f>
        <v>0</v>
      </c>
      <c r="AZ359" s="27" t="n">
        <f aca="false">MIN(AN358*(1+G$8),G$9)</f>
        <v>0</v>
      </c>
      <c r="BA359" s="27" t="n">
        <f aca="false">MIN(AO358*(1+H$8),H$9)</f>
        <v>0</v>
      </c>
      <c r="BB359" s="27" t="n">
        <f aca="false">MIN(AP358*(1+I$8),I$9)</f>
        <v>0</v>
      </c>
      <c r="BC359" s="27" t="n">
        <f aca="false">MIN(AQ358*(1+J$8),J$9)</f>
        <v>0</v>
      </c>
      <c r="BD359" s="27" t="n">
        <f aca="false">MIN(AR358*(1+K$8),K$9)</f>
        <v>0</v>
      </c>
      <c r="BE359" s="27" t="n">
        <f aca="false">MIN(AI358*(1+B$8),MAX(AU359,$B$12-SUM(AV359:BD359)))</f>
        <v>0</v>
      </c>
      <c r="BF359" s="27" t="n">
        <f aca="false">MIN(AJ358*(1+C$8),MAX(AV359,$B$12-SUM(BE359:BE359)-SUM(AW359:BD359)))</f>
        <v>0</v>
      </c>
      <c r="BG359" s="27" t="n">
        <f aca="false">MIN(AK358*(1+D$8),MAX(AW359,$B$12-SUM(BE359:BF359)-SUM(AX359:BD359)))</f>
        <v>0</v>
      </c>
      <c r="BH359" s="27" t="n">
        <f aca="false">MIN(AL358*(1+E$8),MAX(AX359,$B$12-SUM(BE359:BG359)-SUM(AY359:BD359)))</f>
        <v>0</v>
      </c>
      <c r="BI359" s="27" t="n">
        <f aca="false">MIN(AM358*(1+F$8),MAX(AY359,$B$12-SUM(BE359:BH359)-SUM(AZ359:BD359)))</f>
        <v>0</v>
      </c>
      <c r="BJ359" s="27" t="n">
        <f aca="false">MIN(AN358*(1+G$8),MAX(AZ359,$B$12-SUM(BE359:BI359)-SUM(BA359:BD359)))</f>
        <v>0</v>
      </c>
      <c r="BK359" s="27" t="n">
        <f aca="false">MIN(AO358*(1+H$8),MAX(BA359,$B$12-SUM(BE359:BJ359)-SUM(BB359:BD359)))</f>
        <v>0</v>
      </c>
      <c r="BL359" s="27" t="n">
        <f aca="false">MIN(AP358*(1+I$8),MAX(BB359,$B$12-SUM(BE359:BK359)-SUM(BC359:BD359)))</f>
        <v>0</v>
      </c>
      <c r="BM359" s="27" t="n">
        <f aca="false">MIN(AQ358*(1+J$8),MAX(BC359,$B$12-SUM(BE359:BL359)-SUM(BD359:BD359)))</f>
        <v>0</v>
      </c>
      <c r="BN359" s="27" t="n">
        <f aca="false">MIN(AR358*(1+K$8),MAX(BD359,$B$12-SUM(BE359:BM359)))</f>
        <v>0</v>
      </c>
    </row>
    <row r="360" customFormat="false" ht="15" hidden="false" customHeight="false" outlineLevel="0" collapsed="false">
      <c r="A360" s="0" t="n">
        <v>346</v>
      </c>
      <c r="B360" s="27" t="n">
        <f aca="false">ROUND(MAX(0,B359*(1+B$8)-X360),2)</f>
        <v>0</v>
      </c>
      <c r="C360" s="27" t="n">
        <f aca="false">ROUND(MAX(0,C359*(1+C$8)-Y360),2)</f>
        <v>0</v>
      </c>
      <c r="D360" s="27" t="n">
        <f aca="false">ROUND(MAX(0,D359*(1+D$8)-Z360),2)</f>
        <v>0</v>
      </c>
      <c r="E360" s="27" t="n">
        <f aca="false">ROUND(MAX(0,E359*(1+E$8)-AA360),2)</f>
        <v>0</v>
      </c>
      <c r="F360" s="27" t="n">
        <f aca="false">ROUND(MAX(0,F359*(1+F$8)-AB360),2)</f>
        <v>0</v>
      </c>
      <c r="G360" s="27" t="n">
        <f aca="false">ROUND(MAX(0,G359*(1+G$8)-AC360),2)</f>
        <v>0</v>
      </c>
      <c r="H360" s="27" t="n">
        <f aca="false">ROUND(MAX(0,H359*(1+H$8)-AD360),2)</f>
        <v>0</v>
      </c>
      <c r="I360" s="27" t="n">
        <f aca="false">ROUND(MAX(0,I359*(1+I$8)-AE360),2)</f>
        <v>0</v>
      </c>
      <c r="J360" s="27" t="n">
        <f aca="false">ROUND(MAX(0,J359*(1+J$8)-AF360),2)</f>
        <v>0</v>
      </c>
      <c r="K360" s="27" t="n">
        <f aca="false">ROUND(MAX(0,K359*(1+K$8)-AG360),2)</f>
        <v>0</v>
      </c>
      <c r="L360" s="30" t="n">
        <f aca="false">SUM(B360:K360)</f>
        <v>0</v>
      </c>
      <c r="M360" s="27" t="n">
        <f aca="false">SUMPRODUCT(B359:K359,$B$8:$K$8)</f>
        <v>0</v>
      </c>
      <c r="N360" s="27" t="n">
        <f aca="false">MIN(B359*(1+B$8),B$9)</f>
        <v>0</v>
      </c>
      <c r="O360" s="27" t="n">
        <f aca="false">MIN(C359*(1+C$8),C$9)</f>
        <v>0</v>
      </c>
      <c r="P360" s="27" t="n">
        <f aca="false">MIN(D359*(1+D$8),D$9)</f>
        <v>0</v>
      </c>
      <c r="Q360" s="27" t="n">
        <f aca="false">MIN(E359*(1+E$8),E$9)</f>
        <v>0</v>
      </c>
      <c r="R360" s="27" t="n">
        <f aca="false">MIN(F359*(1+F$8),F$9)</f>
        <v>0</v>
      </c>
      <c r="S360" s="27" t="n">
        <f aca="false">MIN(G359*(1+G$8),G$9)</f>
        <v>0</v>
      </c>
      <c r="T360" s="27" t="n">
        <f aca="false">MIN(H359*(1+H$8),H$9)</f>
        <v>0</v>
      </c>
      <c r="U360" s="27" t="n">
        <f aca="false">MIN(I359*(1+I$8),I$9)</f>
        <v>0</v>
      </c>
      <c r="V360" s="27" t="n">
        <f aca="false">MIN(J359*(1+J$8),J$9)</f>
        <v>0</v>
      </c>
      <c r="W360" s="27" t="n">
        <f aca="false">MIN(K359*(1+K$8),K$9)</f>
        <v>0</v>
      </c>
      <c r="X360" s="27" t="n">
        <f aca="false">MIN(B359*(1+B$8),MAX(N360,$B$11-SUM(O360:W360)))</f>
        <v>0</v>
      </c>
      <c r="Y360" s="27" t="n">
        <f aca="false">MIN(C359*(1+C$8),MAX(O360,$B$11-SUM(X360:X360)-SUM(P360:W360)))</f>
        <v>0</v>
      </c>
      <c r="Z360" s="27" t="n">
        <f aca="false">MIN(D359*(1+D$8),MAX(P360,$B$11-SUM(X360:Y360)-SUM(Q360:W360)))</f>
        <v>0</v>
      </c>
      <c r="AA360" s="27" t="n">
        <f aca="false">MIN(E359*(1+E$8),MAX(Q360,$B$11-SUM(X360:Z360)-SUM(R360:W360)))</f>
        <v>0</v>
      </c>
      <c r="AB360" s="27" t="n">
        <f aca="false">MIN(F359*(1+F$8),MAX(R360,$B$11-SUM(X360:AA360)-SUM(S360:W360)))</f>
        <v>0</v>
      </c>
      <c r="AC360" s="27" t="n">
        <f aca="false">MIN(G359*(1+G$8),MAX(S360,$B$11-SUM(X360:AB360)-SUM(T360:W360)))</f>
        <v>0</v>
      </c>
      <c r="AD360" s="27" t="n">
        <f aca="false">MIN(H359*(1+H$8),MAX(T360,$B$11-SUM(X360:AC360)-SUM(U360:W360)))</f>
        <v>0</v>
      </c>
      <c r="AE360" s="27" t="n">
        <f aca="false">MIN(I359*(1+I$8),MAX(U360,$B$11-SUM(X360:AD360)-SUM(V360:W360)))</f>
        <v>0</v>
      </c>
      <c r="AF360" s="27" t="n">
        <f aca="false">MIN(J359*(1+J$8),MAX(V360,$B$11-SUM(X360:AE360)-SUM(W360:W360)))</f>
        <v>0</v>
      </c>
      <c r="AG360" s="27" t="n">
        <f aca="false">MIN(K359*(1+K$8),MAX(W360,$B$11-SUM(X360:AF360)))</f>
        <v>0</v>
      </c>
      <c r="AI360" s="27" t="n">
        <f aca="false">ROUND(MAX(0,AI359*(1+B$8)-BE360),2)</f>
        <v>0</v>
      </c>
      <c r="AJ360" s="27" t="n">
        <f aca="false">ROUND(MAX(0,AJ359*(1+C$8)-BF360),2)</f>
        <v>0</v>
      </c>
      <c r="AK360" s="27" t="n">
        <f aca="false">ROUND(MAX(0,AK359*(1+D$8)-BG360),2)</f>
        <v>0</v>
      </c>
      <c r="AL360" s="27" t="n">
        <f aca="false">ROUND(MAX(0,AL359*(1+E$8)-BH360),2)</f>
        <v>0</v>
      </c>
      <c r="AM360" s="27" t="n">
        <f aca="false">ROUND(MAX(0,AM359*(1+F$8)-BI360),2)</f>
        <v>0</v>
      </c>
      <c r="AN360" s="27" t="n">
        <f aca="false">ROUND(MAX(0,AN359*(1+G$8)-BJ360),2)</f>
        <v>0</v>
      </c>
      <c r="AO360" s="27" t="n">
        <f aca="false">ROUND(MAX(0,AO359*(1+H$8)-BK360),2)</f>
        <v>0</v>
      </c>
      <c r="AP360" s="27" t="n">
        <f aca="false">ROUND(MAX(0,AP359*(1+I$8)-BL360),2)</f>
        <v>0</v>
      </c>
      <c r="AQ360" s="27" t="n">
        <f aca="false">ROUND(MAX(0,AQ359*(1+J$8)-BM360),2)</f>
        <v>0</v>
      </c>
      <c r="AR360" s="27" t="n">
        <f aca="false">ROUND(MAX(0,AR359*(1+K$8)-BN360),2)</f>
        <v>0</v>
      </c>
      <c r="AS360" s="27" t="n">
        <f aca="false">SUM(AI360:AR360)</f>
        <v>0</v>
      </c>
      <c r="AT360" s="27" t="n">
        <f aca="false">SUMPRODUCT(AI359:AR359,$B$8:$K$8)</f>
        <v>0</v>
      </c>
      <c r="AU360" s="27" t="n">
        <f aca="false">MIN(AI359*(1+B$8),B$9)</f>
        <v>0</v>
      </c>
      <c r="AV360" s="27" t="n">
        <f aca="false">MIN(AJ359*(1+C$8),C$9)</f>
        <v>0</v>
      </c>
      <c r="AW360" s="27" t="n">
        <f aca="false">MIN(AK359*(1+D$8),D$9)</f>
        <v>0</v>
      </c>
      <c r="AX360" s="27" t="n">
        <f aca="false">MIN(AL359*(1+E$8),E$9)</f>
        <v>0</v>
      </c>
      <c r="AY360" s="27" t="n">
        <f aca="false">MIN(AM359*(1+F$8),F$9)</f>
        <v>0</v>
      </c>
      <c r="AZ360" s="27" t="n">
        <f aca="false">MIN(AN359*(1+G$8),G$9)</f>
        <v>0</v>
      </c>
      <c r="BA360" s="27" t="n">
        <f aca="false">MIN(AO359*(1+H$8),H$9)</f>
        <v>0</v>
      </c>
      <c r="BB360" s="27" t="n">
        <f aca="false">MIN(AP359*(1+I$8),I$9)</f>
        <v>0</v>
      </c>
      <c r="BC360" s="27" t="n">
        <f aca="false">MIN(AQ359*(1+J$8),J$9)</f>
        <v>0</v>
      </c>
      <c r="BD360" s="27" t="n">
        <f aca="false">MIN(AR359*(1+K$8),K$9)</f>
        <v>0</v>
      </c>
      <c r="BE360" s="27" t="n">
        <f aca="false">MIN(AI359*(1+B$8),MAX(AU360,$B$12-SUM(AV360:BD360)))</f>
        <v>0</v>
      </c>
      <c r="BF360" s="27" t="n">
        <f aca="false">MIN(AJ359*(1+C$8),MAX(AV360,$B$12-SUM(BE360:BE360)-SUM(AW360:BD360)))</f>
        <v>0</v>
      </c>
      <c r="BG360" s="27" t="n">
        <f aca="false">MIN(AK359*(1+D$8),MAX(AW360,$B$12-SUM(BE360:BF360)-SUM(AX360:BD360)))</f>
        <v>0</v>
      </c>
      <c r="BH360" s="27" t="n">
        <f aca="false">MIN(AL359*(1+E$8),MAX(AX360,$B$12-SUM(BE360:BG360)-SUM(AY360:BD360)))</f>
        <v>0</v>
      </c>
      <c r="BI360" s="27" t="n">
        <f aca="false">MIN(AM359*(1+F$8),MAX(AY360,$B$12-SUM(BE360:BH360)-SUM(AZ360:BD360)))</f>
        <v>0</v>
      </c>
      <c r="BJ360" s="27" t="n">
        <f aca="false">MIN(AN359*(1+G$8),MAX(AZ360,$B$12-SUM(BE360:BI360)-SUM(BA360:BD360)))</f>
        <v>0</v>
      </c>
      <c r="BK360" s="27" t="n">
        <f aca="false">MIN(AO359*(1+H$8),MAX(BA360,$B$12-SUM(BE360:BJ360)-SUM(BB360:BD360)))</f>
        <v>0</v>
      </c>
      <c r="BL360" s="27" t="n">
        <f aca="false">MIN(AP359*(1+I$8),MAX(BB360,$B$12-SUM(BE360:BK360)-SUM(BC360:BD360)))</f>
        <v>0</v>
      </c>
      <c r="BM360" s="27" t="n">
        <f aca="false">MIN(AQ359*(1+J$8),MAX(BC360,$B$12-SUM(BE360:BL360)-SUM(BD360:BD360)))</f>
        <v>0</v>
      </c>
      <c r="BN360" s="27" t="n">
        <f aca="false">MIN(AR359*(1+K$8),MAX(BD360,$B$12-SUM(BE360:BM360)))</f>
        <v>0</v>
      </c>
    </row>
    <row r="361" customFormat="false" ht="15" hidden="false" customHeight="false" outlineLevel="0" collapsed="false">
      <c r="A361" s="0" t="n">
        <v>347</v>
      </c>
      <c r="B361" s="27" t="n">
        <f aca="false">ROUND(MAX(0,B360*(1+B$8)-X361),2)</f>
        <v>0</v>
      </c>
      <c r="C361" s="27" t="n">
        <f aca="false">ROUND(MAX(0,C360*(1+C$8)-Y361),2)</f>
        <v>0</v>
      </c>
      <c r="D361" s="27" t="n">
        <f aca="false">ROUND(MAX(0,D360*(1+D$8)-Z361),2)</f>
        <v>0</v>
      </c>
      <c r="E361" s="27" t="n">
        <f aca="false">ROUND(MAX(0,E360*(1+E$8)-AA361),2)</f>
        <v>0</v>
      </c>
      <c r="F361" s="27" t="n">
        <f aca="false">ROUND(MAX(0,F360*(1+F$8)-AB361),2)</f>
        <v>0</v>
      </c>
      <c r="G361" s="27" t="n">
        <f aca="false">ROUND(MAX(0,G360*(1+G$8)-AC361),2)</f>
        <v>0</v>
      </c>
      <c r="H361" s="27" t="n">
        <f aca="false">ROUND(MAX(0,H360*(1+H$8)-AD361),2)</f>
        <v>0</v>
      </c>
      <c r="I361" s="27" t="n">
        <f aca="false">ROUND(MAX(0,I360*(1+I$8)-AE361),2)</f>
        <v>0</v>
      </c>
      <c r="J361" s="27" t="n">
        <f aca="false">ROUND(MAX(0,J360*(1+J$8)-AF361),2)</f>
        <v>0</v>
      </c>
      <c r="K361" s="27" t="n">
        <f aca="false">ROUND(MAX(0,K360*(1+K$8)-AG361),2)</f>
        <v>0</v>
      </c>
      <c r="L361" s="30" t="n">
        <f aca="false">SUM(B361:K361)</f>
        <v>0</v>
      </c>
      <c r="M361" s="27" t="n">
        <f aca="false">SUMPRODUCT(B360:K360,$B$8:$K$8)</f>
        <v>0</v>
      </c>
      <c r="N361" s="27" t="n">
        <f aca="false">MIN(B360*(1+B$8),B$9)</f>
        <v>0</v>
      </c>
      <c r="O361" s="27" t="n">
        <f aca="false">MIN(C360*(1+C$8),C$9)</f>
        <v>0</v>
      </c>
      <c r="P361" s="27" t="n">
        <f aca="false">MIN(D360*(1+D$8),D$9)</f>
        <v>0</v>
      </c>
      <c r="Q361" s="27" t="n">
        <f aca="false">MIN(E360*(1+E$8),E$9)</f>
        <v>0</v>
      </c>
      <c r="R361" s="27" t="n">
        <f aca="false">MIN(F360*(1+F$8),F$9)</f>
        <v>0</v>
      </c>
      <c r="S361" s="27" t="n">
        <f aca="false">MIN(G360*(1+G$8),G$9)</f>
        <v>0</v>
      </c>
      <c r="T361" s="27" t="n">
        <f aca="false">MIN(H360*(1+H$8),H$9)</f>
        <v>0</v>
      </c>
      <c r="U361" s="27" t="n">
        <f aca="false">MIN(I360*(1+I$8),I$9)</f>
        <v>0</v>
      </c>
      <c r="V361" s="27" t="n">
        <f aca="false">MIN(J360*(1+J$8),J$9)</f>
        <v>0</v>
      </c>
      <c r="W361" s="27" t="n">
        <f aca="false">MIN(K360*(1+K$8),K$9)</f>
        <v>0</v>
      </c>
      <c r="X361" s="27" t="n">
        <f aca="false">MIN(B360*(1+B$8),MAX(N361,$B$11-SUM(O361:W361)))</f>
        <v>0</v>
      </c>
      <c r="Y361" s="27" t="n">
        <f aca="false">MIN(C360*(1+C$8),MAX(O361,$B$11-SUM(X361:X361)-SUM(P361:W361)))</f>
        <v>0</v>
      </c>
      <c r="Z361" s="27" t="n">
        <f aca="false">MIN(D360*(1+D$8),MAX(P361,$B$11-SUM(X361:Y361)-SUM(Q361:W361)))</f>
        <v>0</v>
      </c>
      <c r="AA361" s="27" t="n">
        <f aca="false">MIN(E360*(1+E$8),MAX(Q361,$B$11-SUM(X361:Z361)-SUM(R361:W361)))</f>
        <v>0</v>
      </c>
      <c r="AB361" s="27" t="n">
        <f aca="false">MIN(F360*(1+F$8),MAX(R361,$B$11-SUM(X361:AA361)-SUM(S361:W361)))</f>
        <v>0</v>
      </c>
      <c r="AC361" s="27" t="n">
        <f aca="false">MIN(G360*(1+G$8),MAX(S361,$B$11-SUM(X361:AB361)-SUM(T361:W361)))</f>
        <v>0</v>
      </c>
      <c r="AD361" s="27" t="n">
        <f aca="false">MIN(H360*(1+H$8),MAX(T361,$B$11-SUM(X361:AC361)-SUM(U361:W361)))</f>
        <v>0</v>
      </c>
      <c r="AE361" s="27" t="n">
        <f aca="false">MIN(I360*(1+I$8),MAX(U361,$B$11-SUM(X361:AD361)-SUM(V361:W361)))</f>
        <v>0</v>
      </c>
      <c r="AF361" s="27" t="n">
        <f aca="false">MIN(J360*(1+J$8),MAX(V361,$B$11-SUM(X361:AE361)-SUM(W361:W361)))</f>
        <v>0</v>
      </c>
      <c r="AG361" s="27" t="n">
        <f aca="false">MIN(K360*(1+K$8),MAX(W361,$B$11-SUM(X361:AF361)))</f>
        <v>0</v>
      </c>
      <c r="AI361" s="27" t="n">
        <f aca="false">ROUND(MAX(0,AI360*(1+B$8)-BE361),2)</f>
        <v>0</v>
      </c>
      <c r="AJ361" s="27" t="n">
        <f aca="false">ROUND(MAX(0,AJ360*(1+C$8)-BF361),2)</f>
        <v>0</v>
      </c>
      <c r="AK361" s="27" t="n">
        <f aca="false">ROUND(MAX(0,AK360*(1+D$8)-BG361),2)</f>
        <v>0</v>
      </c>
      <c r="AL361" s="27" t="n">
        <f aca="false">ROUND(MAX(0,AL360*(1+E$8)-BH361),2)</f>
        <v>0</v>
      </c>
      <c r="AM361" s="27" t="n">
        <f aca="false">ROUND(MAX(0,AM360*(1+F$8)-BI361),2)</f>
        <v>0</v>
      </c>
      <c r="AN361" s="27" t="n">
        <f aca="false">ROUND(MAX(0,AN360*(1+G$8)-BJ361),2)</f>
        <v>0</v>
      </c>
      <c r="AO361" s="27" t="n">
        <f aca="false">ROUND(MAX(0,AO360*(1+H$8)-BK361),2)</f>
        <v>0</v>
      </c>
      <c r="AP361" s="27" t="n">
        <f aca="false">ROUND(MAX(0,AP360*(1+I$8)-BL361),2)</f>
        <v>0</v>
      </c>
      <c r="AQ361" s="27" t="n">
        <f aca="false">ROUND(MAX(0,AQ360*(1+J$8)-BM361),2)</f>
        <v>0</v>
      </c>
      <c r="AR361" s="27" t="n">
        <f aca="false">ROUND(MAX(0,AR360*(1+K$8)-BN361),2)</f>
        <v>0</v>
      </c>
      <c r="AS361" s="27" t="n">
        <f aca="false">SUM(AI361:AR361)</f>
        <v>0</v>
      </c>
      <c r="AT361" s="27" t="n">
        <f aca="false">SUMPRODUCT(AI360:AR360,$B$8:$K$8)</f>
        <v>0</v>
      </c>
      <c r="AU361" s="27" t="n">
        <f aca="false">MIN(AI360*(1+B$8),B$9)</f>
        <v>0</v>
      </c>
      <c r="AV361" s="27" t="n">
        <f aca="false">MIN(AJ360*(1+C$8),C$9)</f>
        <v>0</v>
      </c>
      <c r="AW361" s="27" t="n">
        <f aca="false">MIN(AK360*(1+D$8),D$9)</f>
        <v>0</v>
      </c>
      <c r="AX361" s="27" t="n">
        <f aca="false">MIN(AL360*(1+E$8),E$9)</f>
        <v>0</v>
      </c>
      <c r="AY361" s="27" t="n">
        <f aca="false">MIN(AM360*(1+F$8),F$9)</f>
        <v>0</v>
      </c>
      <c r="AZ361" s="27" t="n">
        <f aca="false">MIN(AN360*(1+G$8),G$9)</f>
        <v>0</v>
      </c>
      <c r="BA361" s="27" t="n">
        <f aca="false">MIN(AO360*(1+H$8),H$9)</f>
        <v>0</v>
      </c>
      <c r="BB361" s="27" t="n">
        <f aca="false">MIN(AP360*(1+I$8),I$9)</f>
        <v>0</v>
      </c>
      <c r="BC361" s="27" t="n">
        <f aca="false">MIN(AQ360*(1+J$8),J$9)</f>
        <v>0</v>
      </c>
      <c r="BD361" s="27" t="n">
        <f aca="false">MIN(AR360*(1+K$8),K$9)</f>
        <v>0</v>
      </c>
      <c r="BE361" s="27" t="n">
        <f aca="false">MIN(AI360*(1+B$8),MAX(AU361,$B$12-SUM(AV361:BD361)))</f>
        <v>0</v>
      </c>
      <c r="BF361" s="27" t="n">
        <f aca="false">MIN(AJ360*(1+C$8),MAX(AV361,$B$12-SUM(BE361:BE361)-SUM(AW361:BD361)))</f>
        <v>0</v>
      </c>
      <c r="BG361" s="27" t="n">
        <f aca="false">MIN(AK360*(1+D$8),MAX(AW361,$B$12-SUM(BE361:BF361)-SUM(AX361:BD361)))</f>
        <v>0</v>
      </c>
      <c r="BH361" s="27" t="n">
        <f aca="false">MIN(AL360*(1+E$8),MAX(AX361,$B$12-SUM(BE361:BG361)-SUM(AY361:BD361)))</f>
        <v>0</v>
      </c>
      <c r="BI361" s="27" t="n">
        <f aca="false">MIN(AM360*(1+F$8),MAX(AY361,$B$12-SUM(BE361:BH361)-SUM(AZ361:BD361)))</f>
        <v>0</v>
      </c>
      <c r="BJ361" s="27" t="n">
        <f aca="false">MIN(AN360*(1+G$8),MAX(AZ361,$B$12-SUM(BE361:BI361)-SUM(BA361:BD361)))</f>
        <v>0</v>
      </c>
      <c r="BK361" s="27" t="n">
        <f aca="false">MIN(AO360*(1+H$8),MAX(BA361,$B$12-SUM(BE361:BJ361)-SUM(BB361:BD361)))</f>
        <v>0</v>
      </c>
      <c r="BL361" s="27" t="n">
        <f aca="false">MIN(AP360*(1+I$8),MAX(BB361,$B$12-SUM(BE361:BK361)-SUM(BC361:BD361)))</f>
        <v>0</v>
      </c>
      <c r="BM361" s="27" t="n">
        <f aca="false">MIN(AQ360*(1+J$8),MAX(BC361,$B$12-SUM(BE361:BL361)-SUM(BD361:BD361)))</f>
        <v>0</v>
      </c>
      <c r="BN361" s="27" t="n">
        <f aca="false">MIN(AR360*(1+K$8),MAX(BD361,$B$12-SUM(BE361:BM361)))</f>
        <v>0</v>
      </c>
    </row>
    <row r="362" customFormat="false" ht="15" hidden="false" customHeight="false" outlineLevel="0" collapsed="false">
      <c r="A362" s="0" t="n">
        <v>348</v>
      </c>
      <c r="B362" s="27" t="n">
        <f aca="false">ROUND(MAX(0,B361*(1+B$8)-X362),2)</f>
        <v>0</v>
      </c>
      <c r="C362" s="27" t="n">
        <f aca="false">ROUND(MAX(0,C361*(1+C$8)-Y362),2)</f>
        <v>0</v>
      </c>
      <c r="D362" s="27" t="n">
        <f aca="false">ROUND(MAX(0,D361*(1+D$8)-Z362),2)</f>
        <v>0</v>
      </c>
      <c r="E362" s="27" t="n">
        <f aca="false">ROUND(MAX(0,E361*(1+E$8)-AA362),2)</f>
        <v>0</v>
      </c>
      <c r="F362" s="27" t="n">
        <f aca="false">ROUND(MAX(0,F361*(1+F$8)-AB362),2)</f>
        <v>0</v>
      </c>
      <c r="G362" s="27" t="n">
        <f aca="false">ROUND(MAX(0,G361*(1+G$8)-AC362),2)</f>
        <v>0</v>
      </c>
      <c r="H362" s="27" t="n">
        <f aca="false">ROUND(MAX(0,H361*(1+H$8)-AD362),2)</f>
        <v>0</v>
      </c>
      <c r="I362" s="27" t="n">
        <f aca="false">ROUND(MAX(0,I361*(1+I$8)-AE362),2)</f>
        <v>0</v>
      </c>
      <c r="J362" s="27" t="n">
        <f aca="false">ROUND(MAX(0,J361*(1+J$8)-AF362),2)</f>
        <v>0</v>
      </c>
      <c r="K362" s="27" t="n">
        <f aca="false">ROUND(MAX(0,K361*(1+K$8)-AG362),2)</f>
        <v>0</v>
      </c>
      <c r="L362" s="30" t="n">
        <f aca="false">SUM(B362:K362)</f>
        <v>0</v>
      </c>
      <c r="M362" s="27" t="n">
        <f aca="false">SUMPRODUCT(B361:K361,$B$8:$K$8)</f>
        <v>0</v>
      </c>
      <c r="N362" s="27" t="n">
        <f aca="false">MIN(B361*(1+B$8),B$9)</f>
        <v>0</v>
      </c>
      <c r="O362" s="27" t="n">
        <f aca="false">MIN(C361*(1+C$8),C$9)</f>
        <v>0</v>
      </c>
      <c r="P362" s="27" t="n">
        <f aca="false">MIN(D361*(1+D$8),D$9)</f>
        <v>0</v>
      </c>
      <c r="Q362" s="27" t="n">
        <f aca="false">MIN(E361*(1+E$8),E$9)</f>
        <v>0</v>
      </c>
      <c r="R362" s="27" t="n">
        <f aca="false">MIN(F361*(1+F$8),F$9)</f>
        <v>0</v>
      </c>
      <c r="S362" s="27" t="n">
        <f aca="false">MIN(G361*(1+G$8),G$9)</f>
        <v>0</v>
      </c>
      <c r="T362" s="27" t="n">
        <f aca="false">MIN(H361*(1+H$8),H$9)</f>
        <v>0</v>
      </c>
      <c r="U362" s="27" t="n">
        <f aca="false">MIN(I361*(1+I$8),I$9)</f>
        <v>0</v>
      </c>
      <c r="V362" s="27" t="n">
        <f aca="false">MIN(J361*(1+J$8),J$9)</f>
        <v>0</v>
      </c>
      <c r="W362" s="27" t="n">
        <f aca="false">MIN(K361*(1+K$8),K$9)</f>
        <v>0</v>
      </c>
      <c r="X362" s="27" t="n">
        <f aca="false">MIN(B361*(1+B$8),MAX(N362,$B$11-SUM(O362:W362)))</f>
        <v>0</v>
      </c>
      <c r="Y362" s="27" t="n">
        <f aca="false">MIN(C361*(1+C$8),MAX(O362,$B$11-SUM(X362:X362)-SUM(P362:W362)))</f>
        <v>0</v>
      </c>
      <c r="Z362" s="27" t="n">
        <f aca="false">MIN(D361*(1+D$8),MAX(P362,$B$11-SUM(X362:Y362)-SUM(Q362:W362)))</f>
        <v>0</v>
      </c>
      <c r="AA362" s="27" t="n">
        <f aca="false">MIN(E361*(1+E$8),MAX(Q362,$B$11-SUM(X362:Z362)-SUM(R362:W362)))</f>
        <v>0</v>
      </c>
      <c r="AB362" s="27" t="n">
        <f aca="false">MIN(F361*(1+F$8),MAX(R362,$B$11-SUM(X362:AA362)-SUM(S362:W362)))</f>
        <v>0</v>
      </c>
      <c r="AC362" s="27" t="n">
        <f aca="false">MIN(G361*(1+G$8),MAX(S362,$B$11-SUM(X362:AB362)-SUM(T362:W362)))</f>
        <v>0</v>
      </c>
      <c r="AD362" s="27" t="n">
        <f aca="false">MIN(H361*(1+H$8),MAX(T362,$B$11-SUM(X362:AC362)-SUM(U362:W362)))</f>
        <v>0</v>
      </c>
      <c r="AE362" s="27" t="n">
        <f aca="false">MIN(I361*(1+I$8),MAX(U362,$B$11-SUM(X362:AD362)-SUM(V362:W362)))</f>
        <v>0</v>
      </c>
      <c r="AF362" s="27" t="n">
        <f aca="false">MIN(J361*(1+J$8),MAX(V362,$B$11-SUM(X362:AE362)-SUM(W362:W362)))</f>
        <v>0</v>
      </c>
      <c r="AG362" s="27" t="n">
        <f aca="false">MIN(K361*(1+K$8),MAX(W362,$B$11-SUM(X362:AF362)))</f>
        <v>0</v>
      </c>
      <c r="AI362" s="27" t="n">
        <f aca="false">ROUND(MAX(0,AI361*(1+B$8)-BE362),2)</f>
        <v>0</v>
      </c>
      <c r="AJ362" s="27" t="n">
        <f aca="false">ROUND(MAX(0,AJ361*(1+C$8)-BF362),2)</f>
        <v>0</v>
      </c>
      <c r="AK362" s="27" t="n">
        <f aca="false">ROUND(MAX(0,AK361*(1+D$8)-BG362),2)</f>
        <v>0</v>
      </c>
      <c r="AL362" s="27" t="n">
        <f aca="false">ROUND(MAX(0,AL361*(1+E$8)-BH362),2)</f>
        <v>0</v>
      </c>
      <c r="AM362" s="27" t="n">
        <f aca="false">ROUND(MAX(0,AM361*(1+F$8)-BI362),2)</f>
        <v>0</v>
      </c>
      <c r="AN362" s="27" t="n">
        <f aca="false">ROUND(MAX(0,AN361*(1+G$8)-BJ362),2)</f>
        <v>0</v>
      </c>
      <c r="AO362" s="27" t="n">
        <f aca="false">ROUND(MAX(0,AO361*(1+H$8)-BK362),2)</f>
        <v>0</v>
      </c>
      <c r="AP362" s="27" t="n">
        <f aca="false">ROUND(MAX(0,AP361*(1+I$8)-BL362),2)</f>
        <v>0</v>
      </c>
      <c r="AQ362" s="27" t="n">
        <f aca="false">ROUND(MAX(0,AQ361*(1+J$8)-BM362),2)</f>
        <v>0</v>
      </c>
      <c r="AR362" s="27" t="n">
        <f aca="false">ROUND(MAX(0,AR361*(1+K$8)-BN362),2)</f>
        <v>0</v>
      </c>
      <c r="AS362" s="27" t="n">
        <f aca="false">SUM(AI362:AR362)</f>
        <v>0</v>
      </c>
      <c r="AT362" s="27" t="n">
        <f aca="false">SUMPRODUCT(AI361:AR361,$B$8:$K$8)</f>
        <v>0</v>
      </c>
      <c r="AU362" s="27" t="n">
        <f aca="false">MIN(AI361*(1+B$8),B$9)</f>
        <v>0</v>
      </c>
      <c r="AV362" s="27" t="n">
        <f aca="false">MIN(AJ361*(1+C$8),C$9)</f>
        <v>0</v>
      </c>
      <c r="AW362" s="27" t="n">
        <f aca="false">MIN(AK361*(1+D$8),D$9)</f>
        <v>0</v>
      </c>
      <c r="AX362" s="27" t="n">
        <f aca="false">MIN(AL361*(1+E$8),E$9)</f>
        <v>0</v>
      </c>
      <c r="AY362" s="27" t="n">
        <f aca="false">MIN(AM361*(1+F$8),F$9)</f>
        <v>0</v>
      </c>
      <c r="AZ362" s="27" t="n">
        <f aca="false">MIN(AN361*(1+G$8),G$9)</f>
        <v>0</v>
      </c>
      <c r="BA362" s="27" t="n">
        <f aca="false">MIN(AO361*(1+H$8),H$9)</f>
        <v>0</v>
      </c>
      <c r="BB362" s="27" t="n">
        <f aca="false">MIN(AP361*(1+I$8),I$9)</f>
        <v>0</v>
      </c>
      <c r="BC362" s="27" t="n">
        <f aca="false">MIN(AQ361*(1+J$8),J$9)</f>
        <v>0</v>
      </c>
      <c r="BD362" s="27" t="n">
        <f aca="false">MIN(AR361*(1+K$8),K$9)</f>
        <v>0</v>
      </c>
      <c r="BE362" s="27" t="n">
        <f aca="false">MIN(AI361*(1+B$8),MAX(AU362,$B$12-SUM(AV362:BD362)))</f>
        <v>0</v>
      </c>
      <c r="BF362" s="27" t="n">
        <f aca="false">MIN(AJ361*(1+C$8),MAX(AV362,$B$12-SUM(BE362:BE362)-SUM(AW362:BD362)))</f>
        <v>0</v>
      </c>
      <c r="BG362" s="27" t="n">
        <f aca="false">MIN(AK361*(1+D$8),MAX(AW362,$B$12-SUM(BE362:BF362)-SUM(AX362:BD362)))</f>
        <v>0</v>
      </c>
      <c r="BH362" s="27" t="n">
        <f aca="false">MIN(AL361*(1+E$8),MAX(AX362,$B$12-SUM(BE362:BG362)-SUM(AY362:BD362)))</f>
        <v>0</v>
      </c>
      <c r="BI362" s="27" t="n">
        <f aca="false">MIN(AM361*(1+F$8),MAX(AY362,$B$12-SUM(BE362:BH362)-SUM(AZ362:BD362)))</f>
        <v>0</v>
      </c>
      <c r="BJ362" s="27" t="n">
        <f aca="false">MIN(AN361*(1+G$8),MAX(AZ362,$B$12-SUM(BE362:BI362)-SUM(BA362:BD362)))</f>
        <v>0</v>
      </c>
      <c r="BK362" s="27" t="n">
        <f aca="false">MIN(AO361*(1+H$8),MAX(BA362,$B$12-SUM(BE362:BJ362)-SUM(BB362:BD362)))</f>
        <v>0</v>
      </c>
      <c r="BL362" s="27" t="n">
        <f aca="false">MIN(AP361*(1+I$8),MAX(BB362,$B$12-SUM(BE362:BK362)-SUM(BC362:BD362)))</f>
        <v>0</v>
      </c>
      <c r="BM362" s="27" t="n">
        <f aca="false">MIN(AQ361*(1+J$8),MAX(BC362,$B$12-SUM(BE362:BL362)-SUM(BD362:BD362)))</f>
        <v>0</v>
      </c>
      <c r="BN362" s="27" t="n">
        <f aca="false">MIN(AR361*(1+K$8),MAX(BD362,$B$12-SUM(BE362:BM362)))</f>
        <v>0</v>
      </c>
    </row>
    <row r="363" customFormat="false" ht="15" hidden="false" customHeight="false" outlineLevel="0" collapsed="false">
      <c r="A363" s="0" t="n">
        <v>349</v>
      </c>
      <c r="B363" s="27" t="n">
        <f aca="false">ROUND(MAX(0,B362*(1+B$8)-X363),2)</f>
        <v>0</v>
      </c>
      <c r="C363" s="27" t="n">
        <f aca="false">ROUND(MAX(0,C362*(1+C$8)-Y363),2)</f>
        <v>0</v>
      </c>
      <c r="D363" s="27" t="n">
        <f aca="false">ROUND(MAX(0,D362*(1+D$8)-Z363),2)</f>
        <v>0</v>
      </c>
      <c r="E363" s="27" t="n">
        <f aca="false">ROUND(MAX(0,E362*(1+E$8)-AA363),2)</f>
        <v>0</v>
      </c>
      <c r="F363" s="27" t="n">
        <f aca="false">ROUND(MAX(0,F362*(1+F$8)-AB363),2)</f>
        <v>0</v>
      </c>
      <c r="G363" s="27" t="n">
        <f aca="false">ROUND(MAX(0,G362*(1+G$8)-AC363),2)</f>
        <v>0</v>
      </c>
      <c r="H363" s="27" t="n">
        <f aca="false">ROUND(MAX(0,H362*(1+H$8)-AD363),2)</f>
        <v>0</v>
      </c>
      <c r="I363" s="27" t="n">
        <f aca="false">ROUND(MAX(0,I362*(1+I$8)-AE363),2)</f>
        <v>0</v>
      </c>
      <c r="J363" s="27" t="n">
        <f aca="false">ROUND(MAX(0,J362*(1+J$8)-AF363),2)</f>
        <v>0</v>
      </c>
      <c r="K363" s="27" t="n">
        <f aca="false">ROUND(MAX(0,K362*(1+K$8)-AG363),2)</f>
        <v>0</v>
      </c>
      <c r="L363" s="30" t="n">
        <f aca="false">SUM(B363:K363)</f>
        <v>0</v>
      </c>
      <c r="M363" s="27" t="n">
        <f aca="false">SUMPRODUCT(B362:K362,$B$8:$K$8)</f>
        <v>0</v>
      </c>
      <c r="N363" s="27" t="n">
        <f aca="false">MIN(B362*(1+B$8),B$9)</f>
        <v>0</v>
      </c>
      <c r="O363" s="27" t="n">
        <f aca="false">MIN(C362*(1+C$8),C$9)</f>
        <v>0</v>
      </c>
      <c r="P363" s="27" t="n">
        <f aca="false">MIN(D362*(1+D$8),D$9)</f>
        <v>0</v>
      </c>
      <c r="Q363" s="27" t="n">
        <f aca="false">MIN(E362*(1+E$8),E$9)</f>
        <v>0</v>
      </c>
      <c r="R363" s="27" t="n">
        <f aca="false">MIN(F362*(1+F$8),F$9)</f>
        <v>0</v>
      </c>
      <c r="S363" s="27" t="n">
        <f aca="false">MIN(G362*(1+G$8),G$9)</f>
        <v>0</v>
      </c>
      <c r="T363" s="27" t="n">
        <f aca="false">MIN(H362*(1+H$8),H$9)</f>
        <v>0</v>
      </c>
      <c r="U363" s="27" t="n">
        <f aca="false">MIN(I362*(1+I$8),I$9)</f>
        <v>0</v>
      </c>
      <c r="V363" s="27" t="n">
        <f aca="false">MIN(J362*(1+J$8),J$9)</f>
        <v>0</v>
      </c>
      <c r="W363" s="27" t="n">
        <f aca="false">MIN(K362*(1+K$8),K$9)</f>
        <v>0</v>
      </c>
      <c r="X363" s="27" t="n">
        <f aca="false">MIN(B362*(1+B$8),MAX(N363,$B$11-SUM(O363:W363)))</f>
        <v>0</v>
      </c>
      <c r="Y363" s="27" t="n">
        <f aca="false">MIN(C362*(1+C$8),MAX(O363,$B$11-SUM(X363:X363)-SUM(P363:W363)))</f>
        <v>0</v>
      </c>
      <c r="Z363" s="27" t="n">
        <f aca="false">MIN(D362*(1+D$8),MAX(P363,$B$11-SUM(X363:Y363)-SUM(Q363:W363)))</f>
        <v>0</v>
      </c>
      <c r="AA363" s="27" t="n">
        <f aca="false">MIN(E362*(1+E$8),MAX(Q363,$B$11-SUM(X363:Z363)-SUM(R363:W363)))</f>
        <v>0</v>
      </c>
      <c r="AB363" s="27" t="n">
        <f aca="false">MIN(F362*(1+F$8),MAX(R363,$B$11-SUM(X363:AA363)-SUM(S363:W363)))</f>
        <v>0</v>
      </c>
      <c r="AC363" s="27" t="n">
        <f aca="false">MIN(G362*(1+G$8),MAX(S363,$B$11-SUM(X363:AB363)-SUM(T363:W363)))</f>
        <v>0</v>
      </c>
      <c r="AD363" s="27" t="n">
        <f aca="false">MIN(H362*(1+H$8),MAX(T363,$B$11-SUM(X363:AC363)-SUM(U363:W363)))</f>
        <v>0</v>
      </c>
      <c r="AE363" s="27" t="n">
        <f aca="false">MIN(I362*(1+I$8),MAX(U363,$B$11-SUM(X363:AD363)-SUM(V363:W363)))</f>
        <v>0</v>
      </c>
      <c r="AF363" s="27" t="n">
        <f aca="false">MIN(J362*(1+J$8),MAX(V363,$B$11-SUM(X363:AE363)-SUM(W363:W363)))</f>
        <v>0</v>
      </c>
      <c r="AG363" s="27" t="n">
        <f aca="false">MIN(K362*(1+K$8),MAX(W363,$B$11-SUM(X363:AF363)))</f>
        <v>0</v>
      </c>
      <c r="AI363" s="27" t="n">
        <f aca="false">ROUND(MAX(0,AI362*(1+B$8)-BE363),2)</f>
        <v>0</v>
      </c>
      <c r="AJ363" s="27" t="n">
        <f aca="false">ROUND(MAX(0,AJ362*(1+C$8)-BF363),2)</f>
        <v>0</v>
      </c>
      <c r="AK363" s="27" t="n">
        <f aca="false">ROUND(MAX(0,AK362*(1+D$8)-BG363),2)</f>
        <v>0</v>
      </c>
      <c r="AL363" s="27" t="n">
        <f aca="false">ROUND(MAX(0,AL362*(1+E$8)-BH363),2)</f>
        <v>0</v>
      </c>
      <c r="AM363" s="27" t="n">
        <f aca="false">ROUND(MAX(0,AM362*(1+F$8)-BI363),2)</f>
        <v>0</v>
      </c>
      <c r="AN363" s="27" t="n">
        <f aca="false">ROUND(MAX(0,AN362*(1+G$8)-BJ363),2)</f>
        <v>0</v>
      </c>
      <c r="AO363" s="27" t="n">
        <f aca="false">ROUND(MAX(0,AO362*(1+H$8)-BK363),2)</f>
        <v>0</v>
      </c>
      <c r="AP363" s="27" t="n">
        <f aca="false">ROUND(MAX(0,AP362*(1+I$8)-BL363),2)</f>
        <v>0</v>
      </c>
      <c r="AQ363" s="27" t="n">
        <f aca="false">ROUND(MAX(0,AQ362*(1+J$8)-BM363),2)</f>
        <v>0</v>
      </c>
      <c r="AR363" s="27" t="n">
        <f aca="false">ROUND(MAX(0,AR362*(1+K$8)-BN363),2)</f>
        <v>0</v>
      </c>
      <c r="AS363" s="27" t="n">
        <f aca="false">SUM(AI363:AR363)</f>
        <v>0</v>
      </c>
      <c r="AT363" s="27" t="n">
        <f aca="false">SUMPRODUCT(AI362:AR362,$B$8:$K$8)</f>
        <v>0</v>
      </c>
      <c r="AU363" s="27" t="n">
        <f aca="false">MIN(AI362*(1+B$8),B$9)</f>
        <v>0</v>
      </c>
      <c r="AV363" s="27" t="n">
        <f aca="false">MIN(AJ362*(1+C$8),C$9)</f>
        <v>0</v>
      </c>
      <c r="AW363" s="27" t="n">
        <f aca="false">MIN(AK362*(1+D$8),D$9)</f>
        <v>0</v>
      </c>
      <c r="AX363" s="27" t="n">
        <f aca="false">MIN(AL362*(1+E$8),E$9)</f>
        <v>0</v>
      </c>
      <c r="AY363" s="27" t="n">
        <f aca="false">MIN(AM362*(1+F$8),F$9)</f>
        <v>0</v>
      </c>
      <c r="AZ363" s="27" t="n">
        <f aca="false">MIN(AN362*(1+G$8),G$9)</f>
        <v>0</v>
      </c>
      <c r="BA363" s="27" t="n">
        <f aca="false">MIN(AO362*(1+H$8),H$9)</f>
        <v>0</v>
      </c>
      <c r="BB363" s="27" t="n">
        <f aca="false">MIN(AP362*(1+I$8),I$9)</f>
        <v>0</v>
      </c>
      <c r="BC363" s="27" t="n">
        <f aca="false">MIN(AQ362*(1+J$8),J$9)</f>
        <v>0</v>
      </c>
      <c r="BD363" s="27" t="n">
        <f aca="false">MIN(AR362*(1+K$8),K$9)</f>
        <v>0</v>
      </c>
      <c r="BE363" s="27" t="n">
        <f aca="false">MIN(AI362*(1+B$8),MAX(AU363,$B$12-SUM(AV363:BD363)))</f>
        <v>0</v>
      </c>
      <c r="BF363" s="27" t="n">
        <f aca="false">MIN(AJ362*(1+C$8),MAX(AV363,$B$12-SUM(BE363:BE363)-SUM(AW363:BD363)))</f>
        <v>0</v>
      </c>
      <c r="BG363" s="27" t="n">
        <f aca="false">MIN(AK362*(1+D$8),MAX(AW363,$B$12-SUM(BE363:BF363)-SUM(AX363:BD363)))</f>
        <v>0</v>
      </c>
      <c r="BH363" s="27" t="n">
        <f aca="false">MIN(AL362*(1+E$8),MAX(AX363,$B$12-SUM(BE363:BG363)-SUM(AY363:BD363)))</f>
        <v>0</v>
      </c>
      <c r="BI363" s="27" t="n">
        <f aca="false">MIN(AM362*(1+F$8),MAX(AY363,$B$12-SUM(BE363:BH363)-SUM(AZ363:BD363)))</f>
        <v>0</v>
      </c>
      <c r="BJ363" s="27" t="n">
        <f aca="false">MIN(AN362*(1+G$8),MAX(AZ363,$B$12-SUM(BE363:BI363)-SUM(BA363:BD363)))</f>
        <v>0</v>
      </c>
      <c r="BK363" s="27" t="n">
        <f aca="false">MIN(AO362*(1+H$8),MAX(BA363,$B$12-SUM(BE363:BJ363)-SUM(BB363:BD363)))</f>
        <v>0</v>
      </c>
      <c r="BL363" s="27" t="n">
        <f aca="false">MIN(AP362*(1+I$8),MAX(BB363,$B$12-SUM(BE363:BK363)-SUM(BC363:BD363)))</f>
        <v>0</v>
      </c>
      <c r="BM363" s="27" t="n">
        <f aca="false">MIN(AQ362*(1+J$8),MAX(BC363,$B$12-SUM(BE363:BL363)-SUM(BD363:BD363)))</f>
        <v>0</v>
      </c>
      <c r="BN363" s="27" t="n">
        <f aca="false">MIN(AR362*(1+K$8),MAX(BD363,$B$12-SUM(BE363:BM363)))</f>
        <v>0</v>
      </c>
    </row>
    <row r="364" customFormat="false" ht="15" hidden="false" customHeight="false" outlineLevel="0" collapsed="false">
      <c r="A364" s="0" t="n">
        <v>350</v>
      </c>
      <c r="B364" s="27" t="n">
        <f aca="false">ROUND(MAX(0,B363*(1+B$8)-X364),2)</f>
        <v>0</v>
      </c>
      <c r="C364" s="27" t="n">
        <f aca="false">ROUND(MAX(0,C363*(1+C$8)-Y364),2)</f>
        <v>0</v>
      </c>
      <c r="D364" s="27" t="n">
        <f aca="false">ROUND(MAX(0,D363*(1+D$8)-Z364),2)</f>
        <v>0</v>
      </c>
      <c r="E364" s="27" t="n">
        <f aca="false">ROUND(MAX(0,E363*(1+E$8)-AA364),2)</f>
        <v>0</v>
      </c>
      <c r="F364" s="27" t="n">
        <f aca="false">ROUND(MAX(0,F363*(1+F$8)-AB364),2)</f>
        <v>0</v>
      </c>
      <c r="G364" s="27" t="n">
        <f aca="false">ROUND(MAX(0,G363*(1+G$8)-AC364),2)</f>
        <v>0</v>
      </c>
      <c r="H364" s="27" t="n">
        <f aca="false">ROUND(MAX(0,H363*(1+H$8)-AD364),2)</f>
        <v>0</v>
      </c>
      <c r="I364" s="27" t="n">
        <f aca="false">ROUND(MAX(0,I363*(1+I$8)-AE364),2)</f>
        <v>0</v>
      </c>
      <c r="J364" s="27" t="n">
        <f aca="false">ROUND(MAX(0,J363*(1+J$8)-AF364),2)</f>
        <v>0</v>
      </c>
      <c r="K364" s="27" t="n">
        <f aca="false">ROUND(MAX(0,K363*(1+K$8)-AG364),2)</f>
        <v>0</v>
      </c>
      <c r="L364" s="30" t="n">
        <f aca="false">SUM(B364:K364)</f>
        <v>0</v>
      </c>
      <c r="M364" s="27" t="n">
        <f aca="false">SUMPRODUCT(B363:K363,$B$8:$K$8)</f>
        <v>0</v>
      </c>
      <c r="N364" s="27" t="n">
        <f aca="false">MIN(B363*(1+B$8),B$9)</f>
        <v>0</v>
      </c>
      <c r="O364" s="27" t="n">
        <f aca="false">MIN(C363*(1+C$8),C$9)</f>
        <v>0</v>
      </c>
      <c r="P364" s="27" t="n">
        <f aca="false">MIN(D363*(1+D$8),D$9)</f>
        <v>0</v>
      </c>
      <c r="Q364" s="27" t="n">
        <f aca="false">MIN(E363*(1+E$8),E$9)</f>
        <v>0</v>
      </c>
      <c r="R364" s="27" t="n">
        <f aca="false">MIN(F363*(1+F$8),F$9)</f>
        <v>0</v>
      </c>
      <c r="S364" s="27" t="n">
        <f aca="false">MIN(G363*(1+G$8),G$9)</f>
        <v>0</v>
      </c>
      <c r="T364" s="27" t="n">
        <f aca="false">MIN(H363*(1+H$8),H$9)</f>
        <v>0</v>
      </c>
      <c r="U364" s="27" t="n">
        <f aca="false">MIN(I363*(1+I$8),I$9)</f>
        <v>0</v>
      </c>
      <c r="V364" s="27" t="n">
        <f aca="false">MIN(J363*(1+J$8),J$9)</f>
        <v>0</v>
      </c>
      <c r="W364" s="27" t="n">
        <f aca="false">MIN(K363*(1+K$8),K$9)</f>
        <v>0</v>
      </c>
      <c r="X364" s="27" t="n">
        <f aca="false">MIN(B363*(1+B$8),MAX(N364,$B$11-SUM(O364:W364)))</f>
        <v>0</v>
      </c>
      <c r="Y364" s="27" t="n">
        <f aca="false">MIN(C363*(1+C$8),MAX(O364,$B$11-SUM(X364:X364)-SUM(P364:W364)))</f>
        <v>0</v>
      </c>
      <c r="Z364" s="27" t="n">
        <f aca="false">MIN(D363*(1+D$8),MAX(P364,$B$11-SUM(X364:Y364)-SUM(Q364:W364)))</f>
        <v>0</v>
      </c>
      <c r="AA364" s="27" t="n">
        <f aca="false">MIN(E363*(1+E$8),MAX(Q364,$B$11-SUM(X364:Z364)-SUM(R364:W364)))</f>
        <v>0</v>
      </c>
      <c r="AB364" s="27" t="n">
        <f aca="false">MIN(F363*(1+F$8),MAX(R364,$B$11-SUM(X364:AA364)-SUM(S364:W364)))</f>
        <v>0</v>
      </c>
      <c r="AC364" s="27" t="n">
        <f aca="false">MIN(G363*(1+G$8),MAX(S364,$B$11-SUM(X364:AB364)-SUM(T364:W364)))</f>
        <v>0</v>
      </c>
      <c r="AD364" s="27" t="n">
        <f aca="false">MIN(H363*(1+H$8),MAX(T364,$B$11-SUM(X364:AC364)-SUM(U364:W364)))</f>
        <v>0</v>
      </c>
      <c r="AE364" s="27" t="n">
        <f aca="false">MIN(I363*(1+I$8),MAX(U364,$B$11-SUM(X364:AD364)-SUM(V364:W364)))</f>
        <v>0</v>
      </c>
      <c r="AF364" s="27" t="n">
        <f aca="false">MIN(J363*(1+J$8),MAX(V364,$B$11-SUM(X364:AE364)-SUM(W364:W364)))</f>
        <v>0</v>
      </c>
      <c r="AG364" s="27" t="n">
        <f aca="false">MIN(K363*(1+K$8),MAX(W364,$B$11-SUM(X364:AF364)))</f>
        <v>0</v>
      </c>
      <c r="AI364" s="27" t="n">
        <f aca="false">ROUND(MAX(0,AI363*(1+B$8)-BE364),2)</f>
        <v>0</v>
      </c>
      <c r="AJ364" s="27" t="n">
        <f aca="false">ROUND(MAX(0,AJ363*(1+C$8)-BF364),2)</f>
        <v>0</v>
      </c>
      <c r="AK364" s="27" t="n">
        <f aca="false">ROUND(MAX(0,AK363*(1+D$8)-BG364),2)</f>
        <v>0</v>
      </c>
      <c r="AL364" s="27" t="n">
        <f aca="false">ROUND(MAX(0,AL363*(1+E$8)-BH364),2)</f>
        <v>0</v>
      </c>
      <c r="AM364" s="27" t="n">
        <f aca="false">ROUND(MAX(0,AM363*(1+F$8)-BI364),2)</f>
        <v>0</v>
      </c>
      <c r="AN364" s="27" t="n">
        <f aca="false">ROUND(MAX(0,AN363*(1+G$8)-BJ364),2)</f>
        <v>0</v>
      </c>
      <c r="AO364" s="27" t="n">
        <f aca="false">ROUND(MAX(0,AO363*(1+H$8)-BK364),2)</f>
        <v>0</v>
      </c>
      <c r="AP364" s="27" t="n">
        <f aca="false">ROUND(MAX(0,AP363*(1+I$8)-BL364),2)</f>
        <v>0</v>
      </c>
      <c r="AQ364" s="27" t="n">
        <f aca="false">ROUND(MAX(0,AQ363*(1+J$8)-BM364),2)</f>
        <v>0</v>
      </c>
      <c r="AR364" s="27" t="n">
        <f aca="false">ROUND(MAX(0,AR363*(1+K$8)-BN364),2)</f>
        <v>0</v>
      </c>
      <c r="AS364" s="27" t="n">
        <f aca="false">SUM(AI364:AR364)</f>
        <v>0</v>
      </c>
      <c r="AT364" s="27" t="n">
        <f aca="false">SUMPRODUCT(AI363:AR363,$B$8:$K$8)</f>
        <v>0</v>
      </c>
      <c r="AU364" s="27" t="n">
        <f aca="false">MIN(AI363*(1+B$8),B$9)</f>
        <v>0</v>
      </c>
      <c r="AV364" s="27" t="n">
        <f aca="false">MIN(AJ363*(1+C$8),C$9)</f>
        <v>0</v>
      </c>
      <c r="AW364" s="27" t="n">
        <f aca="false">MIN(AK363*(1+D$8),D$9)</f>
        <v>0</v>
      </c>
      <c r="AX364" s="27" t="n">
        <f aca="false">MIN(AL363*(1+E$8),E$9)</f>
        <v>0</v>
      </c>
      <c r="AY364" s="27" t="n">
        <f aca="false">MIN(AM363*(1+F$8),F$9)</f>
        <v>0</v>
      </c>
      <c r="AZ364" s="27" t="n">
        <f aca="false">MIN(AN363*(1+G$8),G$9)</f>
        <v>0</v>
      </c>
      <c r="BA364" s="27" t="n">
        <f aca="false">MIN(AO363*(1+H$8),H$9)</f>
        <v>0</v>
      </c>
      <c r="BB364" s="27" t="n">
        <f aca="false">MIN(AP363*(1+I$8),I$9)</f>
        <v>0</v>
      </c>
      <c r="BC364" s="27" t="n">
        <f aca="false">MIN(AQ363*(1+J$8),J$9)</f>
        <v>0</v>
      </c>
      <c r="BD364" s="27" t="n">
        <f aca="false">MIN(AR363*(1+K$8),K$9)</f>
        <v>0</v>
      </c>
      <c r="BE364" s="27" t="n">
        <f aca="false">MIN(AI363*(1+B$8),MAX(AU364,$B$12-SUM(AV364:BD364)))</f>
        <v>0</v>
      </c>
      <c r="BF364" s="27" t="n">
        <f aca="false">MIN(AJ363*(1+C$8),MAX(AV364,$B$12-SUM(BE364:BE364)-SUM(AW364:BD364)))</f>
        <v>0</v>
      </c>
      <c r="BG364" s="27" t="n">
        <f aca="false">MIN(AK363*(1+D$8),MAX(AW364,$B$12-SUM(BE364:BF364)-SUM(AX364:BD364)))</f>
        <v>0</v>
      </c>
      <c r="BH364" s="27" t="n">
        <f aca="false">MIN(AL363*(1+E$8),MAX(AX364,$B$12-SUM(BE364:BG364)-SUM(AY364:BD364)))</f>
        <v>0</v>
      </c>
      <c r="BI364" s="27" t="n">
        <f aca="false">MIN(AM363*(1+F$8),MAX(AY364,$B$12-SUM(BE364:BH364)-SUM(AZ364:BD364)))</f>
        <v>0</v>
      </c>
      <c r="BJ364" s="27" t="n">
        <f aca="false">MIN(AN363*(1+G$8),MAX(AZ364,$B$12-SUM(BE364:BI364)-SUM(BA364:BD364)))</f>
        <v>0</v>
      </c>
      <c r="BK364" s="27" t="n">
        <f aca="false">MIN(AO363*(1+H$8),MAX(BA364,$B$12-SUM(BE364:BJ364)-SUM(BB364:BD364)))</f>
        <v>0</v>
      </c>
      <c r="BL364" s="27" t="n">
        <f aca="false">MIN(AP363*(1+I$8),MAX(BB364,$B$12-SUM(BE364:BK364)-SUM(BC364:BD364)))</f>
        <v>0</v>
      </c>
      <c r="BM364" s="27" t="n">
        <f aca="false">MIN(AQ363*(1+J$8),MAX(BC364,$B$12-SUM(BE364:BL364)-SUM(BD364:BD364)))</f>
        <v>0</v>
      </c>
      <c r="BN364" s="27" t="n">
        <f aca="false">MIN(AR363*(1+K$8),MAX(BD364,$B$12-SUM(BE364:BM364)))</f>
        <v>0</v>
      </c>
    </row>
    <row r="365" customFormat="false" ht="15" hidden="false" customHeight="false" outlineLevel="0" collapsed="false">
      <c r="A365" s="0" t="n">
        <v>351</v>
      </c>
      <c r="B365" s="27" t="n">
        <f aca="false">ROUND(MAX(0,B364*(1+B$8)-X365),2)</f>
        <v>0</v>
      </c>
      <c r="C365" s="27" t="n">
        <f aca="false">ROUND(MAX(0,C364*(1+C$8)-Y365),2)</f>
        <v>0</v>
      </c>
      <c r="D365" s="27" t="n">
        <f aca="false">ROUND(MAX(0,D364*(1+D$8)-Z365),2)</f>
        <v>0</v>
      </c>
      <c r="E365" s="27" t="n">
        <f aca="false">ROUND(MAX(0,E364*(1+E$8)-AA365),2)</f>
        <v>0</v>
      </c>
      <c r="F365" s="27" t="n">
        <f aca="false">ROUND(MAX(0,F364*(1+F$8)-AB365),2)</f>
        <v>0</v>
      </c>
      <c r="G365" s="27" t="n">
        <f aca="false">ROUND(MAX(0,G364*(1+G$8)-AC365),2)</f>
        <v>0</v>
      </c>
      <c r="H365" s="27" t="n">
        <f aca="false">ROUND(MAX(0,H364*(1+H$8)-AD365),2)</f>
        <v>0</v>
      </c>
      <c r="I365" s="27" t="n">
        <f aca="false">ROUND(MAX(0,I364*(1+I$8)-AE365),2)</f>
        <v>0</v>
      </c>
      <c r="J365" s="27" t="n">
        <f aca="false">ROUND(MAX(0,J364*(1+J$8)-AF365),2)</f>
        <v>0</v>
      </c>
      <c r="K365" s="27" t="n">
        <f aca="false">ROUND(MAX(0,K364*(1+K$8)-AG365),2)</f>
        <v>0</v>
      </c>
      <c r="L365" s="30" t="n">
        <f aca="false">SUM(B365:K365)</f>
        <v>0</v>
      </c>
      <c r="M365" s="27" t="n">
        <f aca="false">SUMPRODUCT(B364:K364,$B$8:$K$8)</f>
        <v>0</v>
      </c>
      <c r="N365" s="27" t="n">
        <f aca="false">MIN(B364*(1+B$8),B$9)</f>
        <v>0</v>
      </c>
      <c r="O365" s="27" t="n">
        <f aca="false">MIN(C364*(1+C$8),C$9)</f>
        <v>0</v>
      </c>
      <c r="P365" s="27" t="n">
        <f aca="false">MIN(D364*(1+D$8),D$9)</f>
        <v>0</v>
      </c>
      <c r="Q365" s="27" t="n">
        <f aca="false">MIN(E364*(1+E$8),E$9)</f>
        <v>0</v>
      </c>
      <c r="R365" s="27" t="n">
        <f aca="false">MIN(F364*(1+F$8),F$9)</f>
        <v>0</v>
      </c>
      <c r="S365" s="27" t="n">
        <f aca="false">MIN(G364*(1+G$8),G$9)</f>
        <v>0</v>
      </c>
      <c r="T365" s="27" t="n">
        <f aca="false">MIN(H364*(1+H$8),H$9)</f>
        <v>0</v>
      </c>
      <c r="U365" s="27" t="n">
        <f aca="false">MIN(I364*(1+I$8),I$9)</f>
        <v>0</v>
      </c>
      <c r="V365" s="27" t="n">
        <f aca="false">MIN(J364*(1+J$8),J$9)</f>
        <v>0</v>
      </c>
      <c r="W365" s="27" t="n">
        <f aca="false">MIN(K364*(1+K$8),K$9)</f>
        <v>0</v>
      </c>
      <c r="X365" s="27" t="n">
        <f aca="false">MIN(B364*(1+B$8),MAX(N365,$B$11-SUM(O365:W365)))</f>
        <v>0</v>
      </c>
      <c r="Y365" s="27" t="n">
        <f aca="false">MIN(C364*(1+C$8),MAX(O365,$B$11-SUM(X365:X365)-SUM(P365:W365)))</f>
        <v>0</v>
      </c>
      <c r="Z365" s="27" t="n">
        <f aca="false">MIN(D364*(1+D$8),MAX(P365,$B$11-SUM(X365:Y365)-SUM(Q365:W365)))</f>
        <v>0</v>
      </c>
      <c r="AA365" s="27" t="n">
        <f aca="false">MIN(E364*(1+E$8),MAX(Q365,$B$11-SUM(X365:Z365)-SUM(R365:W365)))</f>
        <v>0</v>
      </c>
      <c r="AB365" s="27" t="n">
        <f aca="false">MIN(F364*(1+F$8),MAX(R365,$B$11-SUM(X365:AA365)-SUM(S365:W365)))</f>
        <v>0</v>
      </c>
      <c r="AC365" s="27" t="n">
        <f aca="false">MIN(G364*(1+G$8),MAX(S365,$B$11-SUM(X365:AB365)-SUM(T365:W365)))</f>
        <v>0</v>
      </c>
      <c r="AD365" s="27" t="n">
        <f aca="false">MIN(H364*(1+H$8),MAX(T365,$B$11-SUM(X365:AC365)-SUM(U365:W365)))</f>
        <v>0</v>
      </c>
      <c r="AE365" s="27" t="n">
        <f aca="false">MIN(I364*(1+I$8),MAX(U365,$B$11-SUM(X365:AD365)-SUM(V365:W365)))</f>
        <v>0</v>
      </c>
      <c r="AF365" s="27" t="n">
        <f aca="false">MIN(J364*(1+J$8),MAX(V365,$B$11-SUM(X365:AE365)-SUM(W365:W365)))</f>
        <v>0</v>
      </c>
      <c r="AG365" s="27" t="n">
        <f aca="false">MIN(K364*(1+K$8),MAX(W365,$B$11-SUM(X365:AF365)))</f>
        <v>0</v>
      </c>
      <c r="AI365" s="27" t="n">
        <f aca="false">ROUND(MAX(0,AI364*(1+B$8)-BE365),2)</f>
        <v>0</v>
      </c>
      <c r="AJ365" s="27" t="n">
        <f aca="false">ROUND(MAX(0,AJ364*(1+C$8)-BF365),2)</f>
        <v>0</v>
      </c>
      <c r="AK365" s="27" t="n">
        <f aca="false">ROUND(MAX(0,AK364*(1+D$8)-BG365),2)</f>
        <v>0</v>
      </c>
      <c r="AL365" s="27" t="n">
        <f aca="false">ROUND(MAX(0,AL364*(1+E$8)-BH365),2)</f>
        <v>0</v>
      </c>
      <c r="AM365" s="27" t="n">
        <f aca="false">ROUND(MAX(0,AM364*(1+F$8)-BI365),2)</f>
        <v>0</v>
      </c>
      <c r="AN365" s="27" t="n">
        <f aca="false">ROUND(MAX(0,AN364*(1+G$8)-BJ365),2)</f>
        <v>0</v>
      </c>
      <c r="AO365" s="27" t="n">
        <f aca="false">ROUND(MAX(0,AO364*(1+H$8)-BK365),2)</f>
        <v>0</v>
      </c>
      <c r="AP365" s="27" t="n">
        <f aca="false">ROUND(MAX(0,AP364*(1+I$8)-BL365),2)</f>
        <v>0</v>
      </c>
      <c r="AQ365" s="27" t="n">
        <f aca="false">ROUND(MAX(0,AQ364*(1+J$8)-BM365),2)</f>
        <v>0</v>
      </c>
      <c r="AR365" s="27" t="n">
        <f aca="false">ROUND(MAX(0,AR364*(1+K$8)-BN365),2)</f>
        <v>0</v>
      </c>
      <c r="AS365" s="27" t="n">
        <f aca="false">SUM(AI365:AR365)</f>
        <v>0</v>
      </c>
      <c r="AT365" s="27" t="n">
        <f aca="false">SUMPRODUCT(AI364:AR364,$B$8:$K$8)</f>
        <v>0</v>
      </c>
      <c r="AU365" s="27" t="n">
        <f aca="false">MIN(AI364*(1+B$8),B$9)</f>
        <v>0</v>
      </c>
      <c r="AV365" s="27" t="n">
        <f aca="false">MIN(AJ364*(1+C$8),C$9)</f>
        <v>0</v>
      </c>
      <c r="AW365" s="27" t="n">
        <f aca="false">MIN(AK364*(1+D$8),D$9)</f>
        <v>0</v>
      </c>
      <c r="AX365" s="27" t="n">
        <f aca="false">MIN(AL364*(1+E$8),E$9)</f>
        <v>0</v>
      </c>
      <c r="AY365" s="27" t="n">
        <f aca="false">MIN(AM364*(1+F$8),F$9)</f>
        <v>0</v>
      </c>
      <c r="AZ365" s="27" t="n">
        <f aca="false">MIN(AN364*(1+G$8),G$9)</f>
        <v>0</v>
      </c>
      <c r="BA365" s="27" t="n">
        <f aca="false">MIN(AO364*(1+H$8),H$9)</f>
        <v>0</v>
      </c>
      <c r="BB365" s="27" t="n">
        <f aca="false">MIN(AP364*(1+I$8),I$9)</f>
        <v>0</v>
      </c>
      <c r="BC365" s="27" t="n">
        <f aca="false">MIN(AQ364*(1+J$8),J$9)</f>
        <v>0</v>
      </c>
      <c r="BD365" s="27" t="n">
        <f aca="false">MIN(AR364*(1+K$8),K$9)</f>
        <v>0</v>
      </c>
      <c r="BE365" s="27" t="n">
        <f aca="false">MIN(AI364*(1+B$8),MAX(AU365,$B$12-SUM(AV365:BD365)))</f>
        <v>0</v>
      </c>
      <c r="BF365" s="27" t="n">
        <f aca="false">MIN(AJ364*(1+C$8),MAX(AV365,$B$12-SUM(BE365:BE365)-SUM(AW365:BD365)))</f>
        <v>0</v>
      </c>
      <c r="BG365" s="27" t="n">
        <f aca="false">MIN(AK364*(1+D$8),MAX(AW365,$B$12-SUM(BE365:BF365)-SUM(AX365:BD365)))</f>
        <v>0</v>
      </c>
      <c r="BH365" s="27" t="n">
        <f aca="false">MIN(AL364*(1+E$8),MAX(AX365,$B$12-SUM(BE365:BG365)-SUM(AY365:BD365)))</f>
        <v>0</v>
      </c>
      <c r="BI365" s="27" t="n">
        <f aca="false">MIN(AM364*(1+F$8),MAX(AY365,$B$12-SUM(BE365:BH365)-SUM(AZ365:BD365)))</f>
        <v>0</v>
      </c>
      <c r="BJ365" s="27" t="n">
        <f aca="false">MIN(AN364*(1+G$8),MAX(AZ365,$B$12-SUM(BE365:BI365)-SUM(BA365:BD365)))</f>
        <v>0</v>
      </c>
      <c r="BK365" s="27" t="n">
        <f aca="false">MIN(AO364*(1+H$8),MAX(BA365,$B$12-SUM(BE365:BJ365)-SUM(BB365:BD365)))</f>
        <v>0</v>
      </c>
      <c r="BL365" s="27" t="n">
        <f aca="false">MIN(AP364*(1+I$8),MAX(BB365,$B$12-SUM(BE365:BK365)-SUM(BC365:BD365)))</f>
        <v>0</v>
      </c>
      <c r="BM365" s="27" t="n">
        <f aca="false">MIN(AQ364*(1+J$8),MAX(BC365,$B$12-SUM(BE365:BL365)-SUM(BD365:BD365)))</f>
        <v>0</v>
      </c>
      <c r="BN365" s="27" t="n">
        <f aca="false">MIN(AR364*(1+K$8),MAX(BD365,$B$12-SUM(BE365:BM365)))</f>
        <v>0</v>
      </c>
    </row>
    <row r="366" customFormat="false" ht="15" hidden="false" customHeight="false" outlineLevel="0" collapsed="false">
      <c r="A366" s="0" t="n">
        <v>352</v>
      </c>
      <c r="B366" s="27" t="n">
        <f aca="false">ROUND(MAX(0,B365*(1+B$8)-X366),2)</f>
        <v>0</v>
      </c>
      <c r="C366" s="27" t="n">
        <f aca="false">ROUND(MAX(0,C365*(1+C$8)-Y366),2)</f>
        <v>0</v>
      </c>
      <c r="D366" s="27" t="n">
        <f aca="false">ROUND(MAX(0,D365*(1+D$8)-Z366),2)</f>
        <v>0</v>
      </c>
      <c r="E366" s="27" t="n">
        <f aca="false">ROUND(MAX(0,E365*(1+E$8)-AA366),2)</f>
        <v>0</v>
      </c>
      <c r="F366" s="27" t="n">
        <f aca="false">ROUND(MAX(0,F365*(1+F$8)-AB366),2)</f>
        <v>0</v>
      </c>
      <c r="G366" s="27" t="n">
        <f aca="false">ROUND(MAX(0,G365*(1+G$8)-AC366),2)</f>
        <v>0</v>
      </c>
      <c r="H366" s="27" t="n">
        <f aca="false">ROUND(MAX(0,H365*(1+H$8)-AD366),2)</f>
        <v>0</v>
      </c>
      <c r="I366" s="27" t="n">
        <f aca="false">ROUND(MAX(0,I365*(1+I$8)-AE366),2)</f>
        <v>0</v>
      </c>
      <c r="J366" s="27" t="n">
        <f aca="false">ROUND(MAX(0,J365*(1+J$8)-AF366),2)</f>
        <v>0</v>
      </c>
      <c r="K366" s="27" t="n">
        <f aca="false">ROUND(MAX(0,K365*(1+K$8)-AG366),2)</f>
        <v>0</v>
      </c>
      <c r="L366" s="30" t="n">
        <f aca="false">SUM(B366:K366)</f>
        <v>0</v>
      </c>
      <c r="M366" s="27" t="n">
        <f aca="false">SUMPRODUCT(B365:K365,$B$8:$K$8)</f>
        <v>0</v>
      </c>
      <c r="N366" s="27" t="n">
        <f aca="false">MIN(B365*(1+B$8),B$9)</f>
        <v>0</v>
      </c>
      <c r="O366" s="27" t="n">
        <f aca="false">MIN(C365*(1+C$8),C$9)</f>
        <v>0</v>
      </c>
      <c r="P366" s="27" t="n">
        <f aca="false">MIN(D365*(1+D$8),D$9)</f>
        <v>0</v>
      </c>
      <c r="Q366" s="27" t="n">
        <f aca="false">MIN(E365*(1+E$8),E$9)</f>
        <v>0</v>
      </c>
      <c r="R366" s="27" t="n">
        <f aca="false">MIN(F365*(1+F$8),F$9)</f>
        <v>0</v>
      </c>
      <c r="S366" s="27" t="n">
        <f aca="false">MIN(G365*(1+G$8),G$9)</f>
        <v>0</v>
      </c>
      <c r="T366" s="27" t="n">
        <f aca="false">MIN(H365*(1+H$8),H$9)</f>
        <v>0</v>
      </c>
      <c r="U366" s="27" t="n">
        <f aca="false">MIN(I365*(1+I$8),I$9)</f>
        <v>0</v>
      </c>
      <c r="V366" s="27" t="n">
        <f aca="false">MIN(J365*(1+J$8),J$9)</f>
        <v>0</v>
      </c>
      <c r="W366" s="27" t="n">
        <f aca="false">MIN(K365*(1+K$8),K$9)</f>
        <v>0</v>
      </c>
      <c r="X366" s="27" t="n">
        <f aca="false">MIN(B365*(1+B$8),MAX(N366,$B$11-SUM(O366:W366)))</f>
        <v>0</v>
      </c>
      <c r="Y366" s="27" t="n">
        <f aca="false">MIN(C365*(1+C$8),MAX(O366,$B$11-SUM(X366:X366)-SUM(P366:W366)))</f>
        <v>0</v>
      </c>
      <c r="Z366" s="27" t="n">
        <f aca="false">MIN(D365*(1+D$8),MAX(P366,$B$11-SUM(X366:Y366)-SUM(Q366:W366)))</f>
        <v>0</v>
      </c>
      <c r="AA366" s="27" t="n">
        <f aca="false">MIN(E365*(1+E$8),MAX(Q366,$B$11-SUM(X366:Z366)-SUM(R366:W366)))</f>
        <v>0</v>
      </c>
      <c r="AB366" s="27" t="n">
        <f aca="false">MIN(F365*(1+F$8),MAX(R366,$B$11-SUM(X366:AA366)-SUM(S366:W366)))</f>
        <v>0</v>
      </c>
      <c r="AC366" s="27" t="n">
        <f aca="false">MIN(G365*(1+G$8),MAX(S366,$B$11-SUM(X366:AB366)-SUM(T366:W366)))</f>
        <v>0</v>
      </c>
      <c r="AD366" s="27" t="n">
        <f aca="false">MIN(H365*(1+H$8),MAX(T366,$B$11-SUM(X366:AC366)-SUM(U366:W366)))</f>
        <v>0</v>
      </c>
      <c r="AE366" s="27" t="n">
        <f aca="false">MIN(I365*(1+I$8),MAX(U366,$B$11-SUM(X366:AD366)-SUM(V366:W366)))</f>
        <v>0</v>
      </c>
      <c r="AF366" s="27" t="n">
        <f aca="false">MIN(J365*(1+J$8),MAX(V366,$B$11-SUM(X366:AE366)-SUM(W366:W366)))</f>
        <v>0</v>
      </c>
      <c r="AG366" s="27" t="n">
        <f aca="false">MIN(K365*(1+K$8),MAX(W366,$B$11-SUM(X366:AF366)))</f>
        <v>0</v>
      </c>
      <c r="AI366" s="27" t="n">
        <f aca="false">ROUND(MAX(0,AI365*(1+B$8)-BE366),2)</f>
        <v>0</v>
      </c>
      <c r="AJ366" s="27" t="n">
        <f aca="false">ROUND(MAX(0,AJ365*(1+C$8)-BF366),2)</f>
        <v>0</v>
      </c>
      <c r="AK366" s="27" t="n">
        <f aca="false">ROUND(MAX(0,AK365*(1+D$8)-BG366),2)</f>
        <v>0</v>
      </c>
      <c r="AL366" s="27" t="n">
        <f aca="false">ROUND(MAX(0,AL365*(1+E$8)-BH366),2)</f>
        <v>0</v>
      </c>
      <c r="AM366" s="27" t="n">
        <f aca="false">ROUND(MAX(0,AM365*(1+F$8)-BI366),2)</f>
        <v>0</v>
      </c>
      <c r="AN366" s="27" t="n">
        <f aca="false">ROUND(MAX(0,AN365*(1+G$8)-BJ366),2)</f>
        <v>0</v>
      </c>
      <c r="AO366" s="27" t="n">
        <f aca="false">ROUND(MAX(0,AO365*(1+H$8)-BK366),2)</f>
        <v>0</v>
      </c>
      <c r="AP366" s="27" t="n">
        <f aca="false">ROUND(MAX(0,AP365*(1+I$8)-BL366),2)</f>
        <v>0</v>
      </c>
      <c r="AQ366" s="27" t="n">
        <f aca="false">ROUND(MAX(0,AQ365*(1+J$8)-BM366),2)</f>
        <v>0</v>
      </c>
      <c r="AR366" s="27" t="n">
        <f aca="false">ROUND(MAX(0,AR365*(1+K$8)-BN366),2)</f>
        <v>0</v>
      </c>
      <c r="AS366" s="27" t="n">
        <f aca="false">SUM(AI366:AR366)</f>
        <v>0</v>
      </c>
      <c r="AT366" s="27" t="n">
        <f aca="false">SUMPRODUCT(AI365:AR365,$B$8:$K$8)</f>
        <v>0</v>
      </c>
      <c r="AU366" s="27" t="n">
        <f aca="false">MIN(AI365*(1+B$8),B$9)</f>
        <v>0</v>
      </c>
      <c r="AV366" s="27" t="n">
        <f aca="false">MIN(AJ365*(1+C$8),C$9)</f>
        <v>0</v>
      </c>
      <c r="AW366" s="27" t="n">
        <f aca="false">MIN(AK365*(1+D$8),D$9)</f>
        <v>0</v>
      </c>
      <c r="AX366" s="27" t="n">
        <f aca="false">MIN(AL365*(1+E$8),E$9)</f>
        <v>0</v>
      </c>
      <c r="AY366" s="27" t="n">
        <f aca="false">MIN(AM365*(1+F$8),F$9)</f>
        <v>0</v>
      </c>
      <c r="AZ366" s="27" t="n">
        <f aca="false">MIN(AN365*(1+G$8),G$9)</f>
        <v>0</v>
      </c>
      <c r="BA366" s="27" t="n">
        <f aca="false">MIN(AO365*(1+H$8),H$9)</f>
        <v>0</v>
      </c>
      <c r="BB366" s="27" t="n">
        <f aca="false">MIN(AP365*(1+I$8),I$9)</f>
        <v>0</v>
      </c>
      <c r="BC366" s="27" t="n">
        <f aca="false">MIN(AQ365*(1+J$8),J$9)</f>
        <v>0</v>
      </c>
      <c r="BD366" s="27" t="n">
        <f aca="false">MIN(AR365*(1+K$8),K$9)</f>
        <v>0</v>
      </c>
      <c r="BE366" s="27" t="n">
        <f aca="false">MIN(AI365*(1+B$8),MAX(AU366,$B$12-SUM(AV366:BD366)))</f>
        <v>0</v>
      </c>
      <c r="BF366" s="27" t="n">
        <f aca="false">MIN(AJ365*(1+C$8),MAX(AV366,$B$12-SUM(BE366:BE366)-SUM(AW366:BD366)))</f>
        <v>0</v>
      </c>
      <c r="BG366" s="27" t="n">
        <f aca="false">MIN(AK365*(1+D$8),MAX(AW366,$B$12-SUM(BE366:BF366)-SUM(AX366:BD366)))</f>
        <v>0</v>
      </c>
      <c r="BH366" s="27" t="n">
        <f aca="false">MIN(AL365*(1+E$8),MAX(AX366,$B$12-SUM(BE366:BG366)-SUM(AY366:BD366)))</f>
        <v>0</v>
      </c>
      <c r="BI366" s="27" t="n">
        <f aca="false">MIN(AM365*(1+F$8),MAX(AY366,$B$12-SUM(BE366:BH366)-SUM(AZ366:BD366)))</f>
        <v>0</v>
      </c>
      <c r="BJ366" s="27" t="n">
        <f aca="false">MIN(AN365*(1+G$8),MAX(AZ366,$B$12-SUM(BE366:BI366)-SUM(BA366:BD366)))</f>
        <v>0</v>
      </c>
      <c r="BK366" s="27" t="n">
        <f aca="false">MIN(AO365*(1+H$8),MAX(BA366,$B$12-SUM(BE366:BJ366)-SUM(BB366:BD366)))</f>
        <v>0</v>
      </c>
      <c r="BL366" s="27" t="n">
        <f aca="false">MIN(AP365*(1+I$8),MAX(BB366,$B$12-SUM(BE366:BK366)-SUM(BC366:BD366)))</f>
        <v>0</v>
      </c>
      <c r="BM366" s="27" t="n">
        <f aca="false">MIN(AQ365*(1+J$8),MAX(BC366,$B$12-SUM(BE366:BL366)-SUM(BD366:BD366)))</f>
        <v>0</v>
      </c>
      <c r="BN366" s="27" t="n">
        <f aca="false">MIN(AR365*(1+K$8),MAX(BD366,$B$12-SUM(BE366:BM366)))</f>
        <v>0</v>
      </c>
    </row>
    <row r="367" customFormat="false" ht="15" hidden="false" customHeight="false" outlineLevel="0" collapsed="false">
      <c r="A367" s="0" t="n">
        <v>353</v>
      </c>
      <c r="B367" s="27" t="n">
        <f aca="false">ROUND(MAX(0,B366*(1+B$8)-X367),2)</f>
        <v>0</v>
      </c>
      <c r="C367" s="27" t="n">
        <f aca="false">ROUND(MAX(0,C366*(1+C$8)-Y367),2)</f>
        <v>0</v>
      </c>
      <c r="D367" s="27" t="n">
        <f aca="false">ROUND(MAX(0,D366*(1+D$8)-Z367),2)</f>
        <v>0</v>
      </c>
      <c r="E367" s="27" t="n">
        <f aca="false">ROUND(MAX(0,E366*(1+E$8)-AA367),2)</f>
        <v>0</v>
      </c>
      <c r="F367" s="27" t="n">
        <f aca="false">ROUND(MAX(0,F366*(1+F$8)-AB367),2)</f>
        <v>0</v>
      </c>
      <c r="G367" s="27" t="n">
        <f aca="false">ROUND(MAX(0,G366*(1+G$8)-AC367),2)</f>
        <v>0</v>
      </c>
      <c r="H367" s="27" t="n">
        <f aca="false">ROUND(MAX(0,H366*(1+H$8)-AD367),2)</f>
        <v>0</v>
      </c>
      <c r="I367" s="27" t="n">
        <f aca="false">ROUND(MAX(0,I366*(1+I$8)-AE367),2)</f>
        <v>0</v>
      </c>
      <c r="J367" s="27" t="n">
        <f aca="false">ROUND(MAX(0,J366*(1+J$8)-AF367),2)</f>
        <v>0</v>
      </c>
      <c r="K367" s="27" t="n">
        <f aca="false">ROUND(MAX(0,K366*(1+K$8)-AG367),2)</f>
        <v>0</v>
      </c>
      <c r="L367" s="30" t="n">
        <f aca="false">SUM(B367:K367)</f>
        <v>0</v>
      </c>
      <c r="M367" s="27" t="n">
        <f aca="false">SUMPRODUCT(B366:K366,$B$8:$K$8)</f>
        <v>0</v>
      </c>
      <c r="N367" s="27" t="n">
        <f aca="false">MIN(B366*(1+B$8),B$9)</f>
        <v>0</v>
      </c>
      <c r="O367" s="27" t="n">
        <f aca="false">MIN(C366*(1+C$8),C$9)</f>
        <v>0</v>
      </c>
      <c r="P367" s="27" t="n">
        <f aca="false">MIN(D366*(1+D$8),D$9)</f>
        <v>0</v>
      </c>
      <c r="Q367" s="27" t="n">
        <f aca="false">MIN(E366*(1+E$8),E$9)</f>
        <v>0</v>
      </c>
      <c r="R367" s="27" t="n">
        <f aca="false">MIN(F366*(1+F$8),F$9)</f>
        <v>0</v>
      </c>
      <c r="S367" s="27" t="n">
        <f aca="false">MIN(G366*(1+G$8),G$9)</f>
        <v>0</v>
      </c>
      <c r="T367" s="27" t="n">
        <f aca="false">MIN(H366*(1+H$8),H$9)</f>
        <v>0</v>
      </c>
      <c r="U367" s="27" t="n">
        <f aca="false">MIN(I366*(1+I$8),I$9)</f>
        <v>0</v>
      </c>
      <c r="V367" s="27" t="n">
        <f aca="false">MIN(J366*(1+J$8),J$9)</f>
        <v>0</v>
      </c>
      <c r="W367" s="27" t="n">
        <f aca="false">MIN(K366*(1+K$8),K$9)</f>
        <v>0</v>
      </c>
      <c r="X367" s="27" t="n">
        <f aca="false">MIN(B366*(1+B$8),MAX(N367,$B$11-SUM(O367:W367)))</f>
        <v>0</v>
      </c>
      <c r="Y367" s="27" t="n">
        <f aca="false">MIN(C366*(1+C$8),MAX(O367,$B$11-SUM(X367:X367)-SUM(P367:W367)))</f>
        <v>0</v>
      </c>
      <c r="Z367" s="27" t="n">
        <f aca="false">MIN(D366*(1+D$8),MAX(P367,$B$11-SUM(X367:Y367)-SUM(Q367:W367)))</f>
        <v>0</v>
      </c>
      <c r="AA367" s="27" t="n">
        <f aca="false">MIN(E366*(1+E$8),MAX(Q367,$B$11-SUM(X367:Z367)-SUM(R367:W367)))</f>
        <v>0</v>
      </c>
      <c r="AB367" s="27" t="n">
        <f aca="false">MIN(F366*(1+F$8),MAX(R367,$B$11-SUM(X367:AA367)-SUM(S367:W367)))</f>
        <v>0</v>
      </c>
      <c r="AC367" s="27" t="n">
        <f aca="false">MIN(G366*(1+G$8),MAX(S367,$B$11-SUM(X367:AB367)-SUM(T367:W367)))</f>
        <v>0</v>
      </c>
      <c r="AD367" s="27" t="n">
        <f aca="false">MIN(H366*(1+H$8),MAX(T367,$B$11-SUM(X367:AC367)-SUM(U367:W367)))</f>
        <v>0</v>
      </c>
      <c r="AE367" s="27" t="n">
        <f aca="false">MIN(I366*(1+I$8),MAX(U367,$B$11-SUM(X367:AD367)-SUM(V367:W367)))</f>
        <v>0</v>
      </c>
      <c r="AF367" s="27" t="n">
        <f aca="false">MIN(J366*(1+J$8),MAX(V367,$B$11-SUM(X367:AE367)-SUM(W367:W367)))</f>
        <v>0</v>
      </c>
      <c r="AG367" s="27" t="n">
        <f aca="false">MIN(K366*(1+K$8),MAX(W367,$B$11-SUM(X367:AF367)))</f>
        <v>0</v>
      </c>
      <c r="AI367" s="27" t="n">
        <f aca="false">ROUND(MAX(0,AI366*(1+B$8)-BE367),2)</f>
        <v>0</v>
      </c>
      <c r="AJ367" s="27" t="n">
        <f aca="false">ROUND(MAX(0,AJ366*(1+C$8)-BF367),2)</f>
        <v>0</v>
      </c>
      <c r="AK367" s="27" t="n">
        <f aca="false">ROUND(MAX(0,AK366*(1+D$8)-BG367),2)</f>
        <v>0</v>
      </c>
      <c r="AL367" s="27" t="n">
        <f aca="false">ROUND(MAX(0,AL366*(1+E$8)-BH367),2)</f>
        <v>0</v>
      </c>
      <c r="AM367" s="27" t="n">
        <f aca="false">ROUND(MAX(0,AM366*(1+F$8)-BI367),2)</f>
        <v>0</v>
      </c>
      <c r="AN367" s="27" t="n">
        <f aca="false">ROUND(MAX(0,AN366*(1+G$8)-BJ367),2)</f>
        <v>0</v>
      </c>
      <c r="AO367" s="27" t="n">
        <f aca="false">ROUND(MAX(0,AO366*(1+H$8)-BK367),2)</f>
        <v>0</v>
      </c>
      <c r="AP367" s="27" t="n">
        <f aca="false">ROUND(MAX(0,AP366*(1+I$8)-BL367),2)</f>
        <v>0</v>
      </c>
      <c r="AQ367" s="27" t="n">
        <f aca="false">ROUND(MAX(0,AQ366*(1+J$8)-BM367),2)</f>
        <v>0</v>
      </c>
      <c r="AR367" s="27" t="n">
        <f aca="false">ROUND(MAX(0,AR366*(1+K$8)-BN367),2)</f>
        <v>0</v>
      </c>
      <c r="AS367" s="27" t="n">
        <f aca="false">SUM(AI367:AR367)</f>
        <v>0</v>
      </c>
      <c r="AT367" s="27" t="n">
        <f aca="false">SUMPRODUCT(AI366:AR366,$B$8:$K$8)</f>
        <v>0</v>
      </c>
      <c r="AU367" s="27" t="n">
        <f aca="false">MIN(AI366*(1+B$8),B$9)</f>
        <v>0</v>
      </c>
      <c r="AV367" s="27" t="n">
        <f aca="false">MIN(AJ366*(1+C$8),C$9)</f>
        <v>0</v>
      </c>
      <c r="AW367" s="27" t="n">
        <f aca="false">MIN(AK366*(1+D$8),D$9)</f>
        <v>0</v>
      </c>
      <c r="AX367" s="27" t="n">
        <f aca="false">MIN(AL366*(1+E$8),E$9)</f>
        <v>0</v>
      </c>
      <c r="AY367" s="27" t="n">
        <f aca="false">MIN(AM366*(1+F$8),F$9)</f>
        <v>0</v>
      </c>
      <c r="AZ367" s="27" t="n">
        <f aca="false">MIN(AN366*(1+G$8),G$9)</f>
        <v>0</v>
      </c>
      <c r="BA367" s="27" t="n">
        <f aca="false">MIN(AO366*(1+H$8),H$9)</f>
        <v>0</v>
      </c>
      <c r="BB367" s="27" t="n">
        <f aca="false">MIN(AP366*(1+I$8),I$9)</f>
        <v>0</v>
      </c>
      <c r="BC367" s="27" t="n">
        <f aca="false">MIN(AQ366*(1+J$8),J$9)</f>
        <v>0</v>
      </c>
      <c r="BD367" s="27" t="n">
        <f aca="false">MIN(AR366*(1+K$8),K$9)</f>
        <v>0</v>
      </c>
      <c r="BE367" s="27" t="n">
        <f aca="false">MIN(AI366*(1+B$8),MAX(AU367,$B$12-SUM(AV367:BD367)))</f>
        <v>0</v>
      </c>
      <c r="BF367" s="27" t="n">
        <f aca="false">MIN(AJ366*(1+C$8),MAX(AV367,$B$12-SUM(BE367:BE367)-SUM(AW367:BD367)))</f>
        <v>0</v>
      </c>
      <c r="BG367" s="27" t="n">
        <f aca="false">MIN(AK366*(1+D$8),MAX(AW367,$B$12-SUM(BE367:BF367)-SUM(AX367:BD367)))</f>
        <v>0</v>
      </c>
      <c r="BH367" s="27" t="n">
        <f aca="false">MIN(AL366*(1+E$8),MAX(AX367,$B$12-SUM(BE367:BG367)-SUM(AY367:BD367)))</f>
        <v>0</v>
      </c>
      <c r="BI367" s="27" t="n">
        <f aca="false">MIN(AM366*(1+F$8),MAX(AY367,$B$12-SUM(BE367:BH367)-SUM(AZ367:BD367)))</f>
        <v>0</v>
      </c>
      <c r="BJ367" s="27" t="n">
        <f aca="false">MIN(AN366*(1+G$8),MAX(AZ367,$B$12-SUM(BE367:BI367)-SUM(BA367:BD367)))</f>
        <v>0</v>
      </c>
      <c r="BK367" s="27" t="n">
        <f aca="false">MIN(AO366*(1+H$8),MAX(BA367,$B$12-SUM(BE367:BJ367)-SUM(BB367:BD367)))</f>
        <v>0</v>
      </c>
      <c r="BL367" s="27" t="n">
        <f aca="false">MIN(AP366*(1+I$8),MAX(BB367,$B$12-SUM(BE367:BK367)-SUM(BC367:BD367)))</f>
        <v>0</v>
      </c>
      <c r="BM367" s="27" t="n">
        <f aca="false">MIN(AQ366*(1+J$8),MAX(BC367,$B$12-SUM(BE367:BL367)-SUM(BD367:BD367)))</f>
        <v>0</v>
      </c>
      <c r="BN367" s="27" t="n">
        <f aca="false">MIN(AR366*(1+K$8),MAX(BD367,$B$12-SUM(BE367:BM367)))</f>
        <v>0</v>
      </c>
    </row>
    <row r="368" customFormat="false" ht="15" hidden="false" customHeight="false" outlineLevel="0" collapsed="false">
      <c r="A368" s="0" t="n">
        <v>354</v>
      </c>
      <c r="B368" s="27" t="n">
        <f aca="false">ROUND(MAX(0,B367*(1+B$8)-X368),2)</f>
        <v>0</v>
      </c>
      <c r="C368" s="27" t="n">
        <f aca="false">ROUND(MAX(0,C367*(1+C$8)-Y368),2)</f>
        <v>0</v>
      </c>
      <c r="D368" s="27" t="n">
        <f aca="false">ROUND(MAX(0,D367*(1+D$8)-Z368),2)</f>
        <v>0</v>
      </c>
      <c r="E368" s="27" t="n">
        <f aca="false">ROUND(MAX(0,E367*(1+E$8)-AA368),2)</f>
        <v>0</v>
      </c>
      <c r="F368" s="27" t="n">
        <f aca="false">ROUND(MAX(0,F367*(1+F$8)-AB368),2)</f>
        <v>0</v>
      </c>
      <c r="G368" s="27" t="n">
        <f aca="false">ROUND(MAX(0,G367*(1+G$8)-AC368),2)</f>
        <v>0</v>
      </c>
      <c r="H368" s="27" t="n">
        <f aca="false">ROUND(MAX(0,H367*(1+H$8)-AD368),2)</f>
        <v>0</v>
      </c>
      <c r="I368" s="27" t="n">
        <f aca="false">ROUND(MAX(0,I367*(1+I$8)-AE368),2)</f>
        <v>0</v>
      </c>
      <c r="J368" s="27" t="n">
        <f aca="false">ROUND(MAX(0,J367*(1+J$8)-AF368),2)</f>
        <v>0</v>
      </c>
      <c r="K368" s="27" t="n">
        <f aca="false">ROUND(MAX(0,K367*(1+K$8)-AG368),2)</f>
        <v>0</v>
      </c>
      <c r="L368" s="30" t="n">
        <f aca="false">SUM(B368:K368)</f>
        <v>0</v>
      </c>
      <c r="M368" s="27" t="n">
        <f aca="false">SUMPRODUCT(B367:K367,$B$8:$K$8)</f>
        <v>0</v>
      </c>
      <c r="N368" s="27" t="n">
        <f aca="false">MIN(B367*(1+B$8),B$9)</f>
        <v>0</v>
      </c>
      <c r="O368" s="27" t="n">
        <f aca="false">MIN(C367*(1+C$8),C$9)</f>
        <v>0</v>
      </c>
      <c r="P368" s="27" t="n">
        <f aca="false">MIN(D367*(1+D$8),D$9)</f>
        <v>0</v>
      </c>
      <c r="Q368" s="27" t="n">
        <f aca="false">MIN(E367*(1+E$8),E$9)</f>
        <v>0</v>
      </c>
      <c r="R368" s="27" t="n">
        <f aca="false">MIN(F367*(1+F$8),F$9)</f>
        <v>0</v>
      </c>
      <c r="S368" s="27" t="n">
        <f aca="false">MIN(G367*(1+G$8),G$9)</f>
        <v>0</v>
      </c>
      <c r="T368" s="27" t="n">
        <f aca="false">MIN(H367*(1+H$8),H$9)</f>
        <v>0</v>
      </c>
      <c r="U368" s="27" t="n">
        <f aca="false">MIN(I367*(1+I$8),I$9)</f>
        <v>0</v>
      </c>
      <c r="V368" s="27" t="n">
        <f aca="false">MIN(J367*(1+J$8),J$9)</f>
        <v>0</v>
      </c>
      <c r="W368" s="27" t="n">
        <f aca="false">MIN(K367*(1+K$8),K$9)</f>
        <v>0</v>
      </c>
      <c r="X368" s="27" t="n">
        <f aca="false">MIN(B367*(1+B$8),MAX(N368,$B$11-SUM(O368:W368)))</f>
        <v>0</v>
      </c>
      <c r="Y368" s="27" t="n">
        <f aca="false">MIN(C367*(1+C$8),MAX(O368,$B$11-SUM(X368:X368)-SUM(P368:W368)))</f>
        <v>0</v>
      </c>
      <c r="Z368" s="27" t="n">
        <f aca="false">MIN(D367*(1+D$8),MAX(P368,$B$11-SUM(X368:Y368)-SUM(Q368:W368)))</f>
        <v>0</v>
      </c>
      <c r="AA368" s="27" t="n">
        <f aca="false">MIN(E367*(1+E$8),MAX(Q368,$B$11-SUM(X368:Z368)-SUM(R368:W368)))</f>
        <v>0</v>
      </c>
      <c r="AB368" s="27" t="n">
        <f aca="false">MIN(F367*(1+F$8),MAX(R368,$B$11-SUM(X368:AA368)-SUM(S368:W368)))</f>
        <v>0</v>
      </c>
      <c r="AC368" s="27" t="n">
        <f aca="false">MIN(G367*(1+G$8),MAX(S368,$B$11-SUM(X368:AB368)-SUM(T368:W368)))</f>
        <v>0</v>
      </c>
      <c r="AD368" s="27" t="n">
        <f aca="false">MIN(H367*(1+H$8),MAX(T368,$B$11-SUM(X368:AC368)-SUM(U368:W368)))</f>
        <v>0</v>
      </c>
      <c r="AE368" s="27" t="n">
        <f aca="false">MIN(I367*(1+I$8),MAX(U368,$B$11-SUM(X368:AD368)-SUM(V368:W368)))</f>
        <v>0</v>
      </c>
      <c r="AF368" s="27" t="n">
        <f aca="false">MIN(J367*(1+J$8),MAX(V368,$B$11-SUM(X368:AE368)-SUM(W368:W368)))</f>
        <v>0</v>
      </c>
      <c r="AG368" s="27" t="n">
        <f aca="false">MIN(K367*(1+K$8),MAX(W368,$B$11-SUM(X368:AF368)))</f>
        <v>0</v>
      </c>
      <c r="AI368" s="27" t="n">
        <f aca="false">ROUND(MAX(0,AI367*(1+B$8)-BE368),2)</f>
        <v>0</v>
      </c>
      <c r="AJ368" s="27" t="n">
        <f aca="false">ROUND(MAX(0,AJ367*(1+C$8)-BF368),2)</f>
        <v>0</v>
      </c>
      <c r="AK368" s="27" t="n">
        <f aca="false">ROUND(MAX(0,AK367*(1+D$8)-BG368),2)</f>
        <v>0</v>
      </c>
      <c r="AL368" s="27" t="n">
        <f aca="false">ROUND(MAX(0,AL367*(1+E$8)-BH368),2)</f>
        <v>0</v>
      </c>
      <c r="AM368" s="27" t="n">
        <f aca="false">ROUND(MAX(0,AM367*(1+F$8)-BI368),2)</f>
        <v>0</v>
      </c>
      <c r="AN368" s="27" t="n">
        <f aca="false">ROUND(MAX(0,AN367*(1+G$8)-BJ368),2)</f>
        <v>0</v>
      </c>
      <c r="AO368" s="27" t="n">
        <f aca="false">ROUND(MAX(0,AO367*(1+H$8)-BK368),2)</f>
        <v>0</v>
      </c>
      <c r="AP368" s="27" t="n">
        <f aca="false">ROUND(MAX(0,AP367*(1+I$8)-BL368),2)</f>
        <v>0</v>
      </c>
      <c r="AQ368" s="27" t="n">
        <f aca="false">ROUND(MAX(0,AQ367*(1+J$8)-BM368),2)</f>
        <v>0</v>
      </c>
      <c r="AR368" s="27" t="n">
        <f aca="false">ROUND(MAX(0,AR367*(1+K$8)-BN368),2)</f>
        <v>0</v>
      </c>
      <c r="AS368" s="27" t="n">
        <f aca="false">SUM(AI368:AR368)</f>
        <v>0</v>
      </c>
      <c r="AT368" s="27" t="n">
        <f aca="false">SUMPRODUCT(AI367:AR367,$B$8:$K$8)</f>
        <v>0</v>
      </c>
      <c r="AU368" s="27" t="n">
        <f aca="false">MIN(AI367*(1+B$8),B$9)</f>
        <v>0</v>
      </c>
      <c r="AV368" s="27" t="n">
        <f aca="false">MIN(AJ367*(1+C$8),C$9)</f>
        <v>0</v>
      </c>
      <c r="AW368" s="27" t="n">
        <f aca="false">MIN(AK367*(1+D$8),D$9)</f>
        <v>0</v>
      </c>
      <c r="AX368" s="27" t="n">
        <f aca="false">MIN(AL367*(1+E$8),E$9)</f>
        <v>0</v>
      </c>
      <c r="AY368" s="27" t="n">
        <f aca="false">MIN(AM367*(1+F$8),F$9)</f>
        <v>0</v>
      </c>
      <c r="AZ368" s="27" t="n">
        <f aca="false">MIN(AN367*(1+G$8),G$9)</f>
        <v>0</v>
      </c>
      <c r="BA368" s="27" t="n">
        <f aca="false">MIN(AO367*(1+H$8),H$9)</f>
        <v>0</v>
      </c>
      <c r="BB368" s="27" t="n">
        <f aca="false">MIN(AP367*(1+I$8),I$9)</f>
        <v>0</v>
      </c>
      <c r="BC368" s="27" t="n">
        <f aca="false">MIN(AQ367*(1+J$8),J$9)</f>
        <v>0</v>
      </c>
      <c r="BD368" s="27" t="n">
        <f aca="false">MIN(AR367*(1+K$8),K$9)</f>
        <v>0</v>
      </c>
      <c r="BE368" s="27" t="n">
        <f aca="false">MIN(AI367*(1+B$8),MAX(AU368,$B$12-SUM(AV368:BD368)))</f>
        <v>0</v>
      </c>
      <c r="BF368" s="27" t="n">
        <f aca="false">MIN(AJ367*(1+C$8),MAX(AV368,$B$12-SUM(BE368:BE368)-SUM(AW368:BD368)))</f>
        <v>0</v>
      </c>
      <c r="BG368" s="27" t="n">
        <f aca="false">MIN(AK367*(1+D$8),MAX(AW368,$B$12-SUM(BE368:BF368)-SUM(AX368:BD368)))</f>
        <v>0</v>
      </c>
      <c r="BH368" s="27" t="n">
        <f aca="false">MIN(AL367*(1+E$8),MAX(AX368,$B$12-SUM(BE368:BG368)-SUM(AY368:BD368)))</f>
        <v>0</v>
      </c>
      <c r="BI368" s="27" t="n">
        <f aca="false">MIN(AM367*(1+F$8),MAX(AY368,$B$12-SUM(BE368:BH368)-SUM(AZ368:BD368)))</f>
        <v>0</v>
      </c>
      <c r="BJ368" s="27" t="n">
        <f aca="false">MIN(AN367*(1+G$8),MAX(AZ368,$B$12-SUM(BE368:BI368)-SUM(BA368:BD368)))</f>
        <v>0</v>
      </c>
      <c r="BK368" s="27" t="n">
        <f aca="false">MIN(AO367*(1+H$8),MAX(BA368,$B$12-SUM(BE368:BJ368)-SUM(BB368:BD368)))</f>
        <v>0</v>
      </c>
      <c r="BL368" s="27" t="n">
        <f aca="false">MIN(AP367*(1+I$8),MAX(BB368,$B$12-SUM(BE368:BK368)-SUM(BC368:BD368)))</f>
        <v>0</v>
      </c>
      <c r="BM368" s="27" t="n">
        <f aca="false">MIN(AQ367*(1+J$8),MAX(BC368,$B$12-SUM(BE368:BL368)-SUM(BD368:BD368)))</f>
        <v>0</v>
      </c>
      <c r="BN368" s="27" t="n">
        <f aca="false">MIN(AR367*(1+K$8),MAX(BD368,$B$12-SUM(BE368:BM368)))</f>
        <v>0</v>
      </c>
    </row>
    <row r="369" customFormat="false" ht="15" hidden="false" customHeight="false" outlineLevel="0" collapsed="false">
      <c r="A369" s="0" t="n">
        <v>355</v>
      </c>
      <c r="B369" s="27" t="n">
        <f aca="false">ROUND(MAX(0,B368*(1+B$8)-X369),2)</f>
        <v>0</v>
      </c>
      <c r="C369" s="27" t="n">
        <f aca="false">ROUND(MAX(0,C368*(1+C$8)-Y369),2)</f>
        <v>0</v>
      </c>
      <c r="D369" s="27" t="n">
        <f aca="false">ROUND(MAX(0,D368*(1+D$8)-Z369),2)</f>
        <v>0</v>
      </c>
      <c r="E369" s="27" t="n">
        <f aca="false">ROUND(MAX(0,E368*(1+E$8)-AA369),2)</f>
        <v>0</v>
      </c>
      <c r="F369" s="27" t="n">
        <f aca="false">ROUND(MAX(0,F368*(1+F$8)-AB369),2)</f>
        <v>0</v>
      </c>
      <c r="G369" s="27" t="n">
        <f aca="false">ROUND(MAX(0,G368*(1+G$8)-AC369),2)</f>
        <v>0</v>
      </c>
      <c r="H369" s="27" t="n">
        <f aca="false">ROUND(MAX(0,H368*(1+H$8)-AD369),2)</f>
        <v>0</v>
      </c>
      <c r="I369" s="27" t="n">
        <f aca="false">ROUND(MAX(0,I368*(1+I$8)-AE369),2)</f>
        <v>0</v>
      </c>
      <c r="J369" s="27" t="n">
        <f aca="false">ROUND(MAX(0,J368*(1+J$8)-AF369),2)</f>
        <v>0</v>
      </c>
      <c r="K369" s="27" t="n">
        <f aca="false">ROUND(MAX(0,K368*(1+K$8)-AG369),2)</f>
        <v>0</v>
      </c>
      <c r="L369" s="30" t="n">
        <f aca="false">SUM(B369:K369)</f>
        <v>0</v>
      </c>
      <c r="M369" s="27" t="n">
        <f aca="false">SUMPRODUCT(B368:K368,$B$8:$K$8)</f>
        <v>0</v>
      </c>
      <c r="N369" s="27" t="n">
        <f aca="false">MIN(B368*(1+B$8),B$9)</f>
        <v>0</v>
      </c>
      <c r="O369" s="27" t="n">
        <f aca="false">MIN(C368*(1+C$8),C$9)</f>
        <v>0</v>
      </c>
      <c r="P369" s="27" t="n">
        <f aca="false">MIN(D368*(1+D$8),D$9)</f>
        <v>0</v>
      </c>
      <c r="Q369" s="27" t="n">
        <f aca="false">MIN(E368*(1+E$8),E$9)</f>
        <v>0</v>
      </c>
      <c r="R369" s="27" t="n">
        <f aca="false">MIN(F368*(1+F$8),F$9)</f>
        <v>0</v>
      </c>
      <c r="S369" s="27" t="n">
        <f aca="false">MIN(G368*(1+G$8),G$9)</f>
        <v>0</v>
      </c>
      <c r="T369" s="27" t="n">
        <f aca="false">MIN(H368*(1+H$8),H$9)</f>
        <v>0</v>
      </c>
      <c r="U369" s="27" t="n">
        <f aca="false">MIN(I368*(1+I$8),I$9)</f>
        <v>0</v>
      </c>
      <c r="V369" s="27" t="n">
        <f aca="false">MIN(J368*(1+J$8),J$9)</f>
        <v>0</v>
      </c>
      <c r="W369" s="27" t="n">
        <f aca="false">MIN(K368*(1+K$8),K$9)</f>
        <v>0</v>
      </c>
      <c r="X369" s="27" t="n">
        <f aca="false">MIN(B368*(1+B$8),MAX(N369,$B$11-SUM(O369:W369)))</f>
        <v>0</v>
      </c>
      <c r="Y369" s="27" t="n">
        <f aca="false">MIN(C368*(1+C$8),MAX(O369,$B$11-SUM(X369:X369)-SUM(P369:W369)))</f>
        <v>0</v>
      </c>
      <c r="Z369" s="27" t="n">
        <f aca="false">MIN(D368*(1+D$8),MAX(P369,$B$11-SUM(X369:Y369)-SUM(Q369:W369)))</f>
        <v>0</v>
      </c>
      <c r="AA369" s="27" t="n">
        <f aca="false">MIN(E368*(1+E$8),MAX(Q369,$B$11-SUM(X369:Z369)-SUM(R369:W369)))</f>
        <v>0</v>
      </c>
      <c r="AB369" s="27" t="n">
        <f aca="false">MIN(F368*(1+F$8),MAX(R369,$B$11-SUM(X369:AA369)-SUM(S369:W369)))</f>
        <v>0</v>
      </c>
      <c r="AC369" s="27" t="n">
        <f aca="false">MIN(G368*(1+G$8),MAX(S369,$B$11-SUM(X369:AB369)-SUM(T369:W369)))</f>
        <v>0</v>
      </c>
      <c r="AD369" s="27" t="n">
        <f aca="false">MIN(H368*(1+H$8),MAX(T369,$B$11-SUM(X369:AC369)-SUM(U369:W369)))</f>
        <v>0</v>
      </c>
      <c r="AE369" s="27" t="n">
        <f aca="false">MIN(I368*(1+I$8),MAX(U369,$B$11-SUM(X369:AD369)-SUM(V369:W369)))</f>
        <v>0</v>
      </c>
      <c r="AF369" s="27" t="n">
        <f aca="false">MIN(J368*(1+J$8),MAX(V369,$B$11-SUM(X369:AE369)-SUM(W369:W369)))</f>
        <v>0</v>
      </c>
      <c r="AG369" s="27" t="n">
        <f aca="false">MIN(K368*(1+K$8),MAX(W369,$B$11-SUM(X369:AF369)))</f>
        <v>0</v>
      </c>
      <c r="AI369" s="27" t="n">
        <f aca="false">ROUND(MAX(0,AI368*(1+B$8)-BE369),2)</f>
        <v>0</v>
      </c>
      <c r="AJ369" s="27" t="n">
        <f aca="false">ROUND(MAX(0,AJ368*(1+C$8)-BF369),2)</f>
        <v>0</v>
      </c>
      <c r="AK369" s="27" t="n">
        <f aca="false">ROUND(MAX(0,AK368*(1+D$8)-BG369),2)</f>
        <v>0</v>
      </c>
      <c r="AL369" s="27" t="n">
        <f aca="false">ROUND(MAX(0,AL368*(1+E$8)-BH369),2)</f>
        <v>0</v>
      </c>
      <c r="AM369" s="27" t="n">
        <f aca="false">ROUND(MAX(0,AM368*(1+F$8)-BI369),2)</f>
        <v>0</v>
      </c>
      <c r="AN369" s="27" t="n">
        <f aca="false">ROUND(MAX(0,AN368*(1+G$8)-BJ369),2)</f>
        <v>0</v>
      </c>
      <c r="AO369" s="27" t="n">
        <f aca="false">ROUND(MAX(0,AO368*(1+H$8)-BK369),2)</f>
        <v>0</v>
      </c>
      <c r="AP369" s="27" t="n">
        <f aca="false">ROUND(MAX(0,AP368*(1+I$8)-BL369),2)</f>
        <v>0</v>
      </c>
      <c r="AQ369" s="27" t="n">
        <f aca="false">ROUND(MAX(0,AQ368*(1+J$8)-BM369),2)</f>
        <v>0</v>
      </c>
      <c r="AR369" s="27" t="n">
        <f aca="false">ROUND(MAX(0,AR368*(1+K$8)-BN369),2)</f>
        <v>0</v>
      </c>
      <c r="AS369" s="27" t="n">
        <f aca="false">SUM(AI369:AR369)</f>
        <v>0</v>
      </c>
      <c r="AT369" s="27" t="n">
        <f aca="false">SUMPRODUCT(AI368:AR368,$B$8:$K$8)</f>
        <v>0</v>
      </c>
      <c r="AU369" s="27" t="n">
        <f aca="false">MIN(AI368*(1+B$8),B$9)</f>
        <v>0</v>
      </c>
      <c r="AV369" s="27" t="n">
        <f aca="false">MIN(AJ368*(1+C$8),C$9)</f>
        <v>0</v>
      </c>
      <c r="AW369" s="27" t="n">
        <f aca="false">MIN(AK368*(1+D$8),D$9)</f>
        <v>0</v>
      </c>
      <c r="AX369" s="27" t="n">
        <f aca="false">MIN(AL368*(1+E$8),E$9)</f>
        <v>0</v>
      </c>
      <c r="AY369" s="27" t="n">
        <f aca="false">MIN(AM368*(1+F$8),F$9)</f>
        <v>0</v>
      </c>
      <c r="AZ369" s="27" t="n">
        <f aca="false">MIN(AN368*(1+G$8),G$9)</f>
        <v>0</v>
      </c>
      <c r="BA369" s="27" t="n">
        <f aca="false">MIN(AO368*(1+H$8),H$9)</f>
        <v>0</v>
      </c>
      <c r="BB369" s="27" t="n">
        <f aca="false">MIN(AP368*(1+I$8),I$9)</f>
        <v>0</v>
      </c>
      <c r="BC369" s="27" t="n">
        <f aca="false">MIN(AQ368*(1+J$8),J$9)</f>
        <v>0</v>
      </c>
      <c r="BD369" s="27" t="n">
        <f aca="false">MIN(AR368*(1+K$8),K$9)</f>
        <v>0</v>
      </c>
      <c r="BE369" s="27" t="n">
        <f aca="false">MIN(AI368*(1+B$8),MAX(AU369,$B$12-SUM(AV369:BD369)))</f>
        <v>0</v>
      </c>
      <c r="BF369" s="27" t="n">
        <f aca="false">MIN(AJ368*(1+C$8),MAX(AV369,$B$12-SUM(BE369:BE369)-SUM(AW369:BD369)))</f>
        <v>0</v>
      </c>
      <c r="BG369" s="27" t="n">
        <f aca="false">MIN(AK368*(1+D$8),MAX(AW369,$B$12-SUM(BE369:BF369)-SUM(AX369:BD369)))</f>
        <v>0</v>
      </c>
      <c r="BH369" s="27" t="n">
        <f aca="false">MIN(AL368*(1+E$8),MAX(AX369,$B$12-SUM(BE369:BG369)-SUM(AY369:BD369)))</f>
        <v>0</v>
      </c>
      <c r="BI369" s="27" t="n">
        <f aca="false">MIN(AM368*(1+F$8),MAX(AY369,$B$12-SUM(BE369:BH369)-SUM(AZ369:BD369)))</f>
        <v>0</v>
      </c>
      <c r="BJ369" s="27" t="n">
        <f aca="false">MIN(AN368*(1+G$8),MAX(AZ369,$B$12-SUM(BE369:BI369)-SUM(BA369:BD369)))</f>
        <v>0</v>
      </c>
      <c r="BK369" s="27" t="n">
        <f aca="false">MIN(AO368*(1+H$8),MAX(BA369,$B$12-SUM(BE369:BJ369)-SUM(BB369:BD369)))</f>
        <v>0</v>
      </c>
      <c r="BL369" s="27" t="n">
        <f aca="false">MIN(AP368*(1+I$8),MAX(BB369,$B$12-SUM(BE369:BK369)-SUM(BC369:BD369)))</f>
        <v>0</v>
      </c>
      <c r="BM369" s="27" t="n">
        <f aca="false">MIN(AQ368*(1+J$8),MAX(BC369,$B$12-SUM(BE369:BL369)-SUM(BD369:BD369)))</f>
        <v>0</v>
      </c>
      <c r="BN369" s="27" t="n">
        <f aca="false">MIN(AR368*(1+K$8),MAX(BD369,$B$12-SUM(BE369:BM369)))</f>
        <v>0</v>
      </c>
    </row>
    <row r="370" customFormat="false" ht="15" hidden="false" customHeight="false" outlineLevel="0" collapsed="false">
      <c r="A370" s="0" t="n">
        <v>356</v>
      </c>
      <c r="B370" s="27" t="n">
        <f aca="false">ROUND(MAX(0,B369*(1+B$8)-X370),2)</f>
        <v>0</v>
      </c>
      <c r="C370" s="27" t="n">
        <f aca="false">ROUND(MAX(0,C369*(1+C$8)-Y370),2)</f>
        <v>0</v>
      </c>
      <c r="D370" s="27" t="n">
        <f aca="false">ROUND(MAX(0,D369*(1+D$8)-Z370),2)</f>
        <v>0</v>
      </c>
      <c r="E370" s="27" t="n">
        <f aca="false">ROUND(MAX(0,E369*(1+E$8)-AA370),2)</f>
        <v>0</v>
      </c>
      <c r="F370" s="27" t="n">
        <f aca="false">ROUND(MAX(0,F369*(1+F$8)-AB370),2)</f>
        <v>0</v>
      </c>
      <c r="G370" s="27" t="n">
        <f aca="false">ROUND(MAX(0,G369*(1+G$8)-AC370),2)</f>
        <v>0</v>
      </c>
      <c r="H370" s="27" t="n">
        <f aca="false">ROUND(MAX(0,H369*(1+H$8)-AD370),2)</f>
        <v>0</v>
      </c>
      <c r="I370" s="27" t="n">
        <f aca="false">ROUND(MAX(0,I369*(1+I$8)-AE370),2)</f>
        <v>0</v>
      </c>
      <c r="J370" s="27" t="n">
        <f aca="false">ROUND(MAX(0,J369*(1+J$8)-AF370),2)</f>
        <v>0</v>
      </c>
      <c r="K370" s="27" t="n">
        <f aca="false">ROUND(MAX(0,K369*(1+K$8)-AG370),2)</f>
        <v>0</v>
      </c>
      <c r="L370" s="30" t="n">
        <f aca="false">SUM(B370:K370)</f>
        <v>0</v>
      </c>
      <c r="M370" s="27" t="n">
        <f aca="false">SUMPRODUCT(B369:K369,$B$8:$K$8)</f>
        <v>0</v>
      </c>
      <c r="N370" s="27" t="n">
        <f aca="false">MIN(B369*(1+B$8),B$9)</f>
        <v>0</v>
      </c>
      <c r="O370" s="27" t="n">
        <f aca="false">MIN(C369*(1+C$8),C$9)</f>
        <v>0</v>
      </c>
      <c r="P370" s="27" t="n">
        <f aca="false">MIN(D369*(1+D$8),D$9)</f>
        <v>0</v>
      </c>
      <c r="Q370" s="27" t="n">
        <f aca="false">MIN(E369*(1+E$8),E$9)</f>
        <v>0</v>
      </c>
      <c r="R370" s="27" t="n">
        <f aca="false">MIN(F369*(1+F$8),F$9)</f>
        <v>0</v>
      </c>
      <c r="S370" s="27" t="n">
        <f aca="false">MIN(G369*(1+G$8),G$9)</f>
        <v>0</v>
      </c>
      <c r="T370" s="27" t="n">
        <f aca="false">MIN(H369*(1+H$8),H$9)</f>
        <v>0</v>
      </c>
      <c r="U370" s="27" t="n">
        <f aca="false">MIN(I369*(1+I$8),I$9)</f>
        <v>0</v>
      </c>
      <c r="V370" s="27" t="n">
        <f aca="false">MIN(J369*(1+J$8),J$9)</f>
        <v>0</v>
      </c>
      <c r="W370" s="27" t="n">
        <f aca="false">MIN(K369*(1+K$8),K$9)</f>
        <v>0</v>
      </c>
      <c r="X370" s="27" t="n">
        <f aca="false">MIN(B369*(1+B$8),MAX(N370,$B$11-SUM(O370:W370)))</f>
        <v>0</v>
      </c>
      <c r="Y370" s="27" t="n">
        <f aca="false">MIN(C369*(1+C$8),MAX(O370,$B$11-SUM(X370:X370)-SUM(P370:W370)))</f>
        <v>0</v>
      </c>
      <c r="Z370" s="27" t="n">
        <f aca="false">MIN(D369*(1+D$8),MAX(P370,$B$11-SUM(X370:Y370)-SUM(Q370:W370)))</f>
        <v>0</v>
      </c>
      <c r="AA370" s="27" t="n">
        <f aca="false">MIN(E369*(1+E$8),MAX(Q370,$B$11-SUM(X370:Z370)-SUM(R370:W370)))</f>
        <v>0</v>
      </c>
      <c r="AB370" s="27" t="n">
        <f aca="false">MIN(F369*(1+F$8),MAX(R370,$B$11-SUM(X370:AA370)-SUM(S370:W370)))</f>
        <v>0</v>
      </c>
      <c r="AC370" s="27" t="n">
        <f aca="false">MIN(G369*(1+G$8),MAX(S370,$B$11-SUM(X370:AB370)-SUM(T370:W370)))</f>
        <v>0</v>
      </c>
      <c r="AD370" s="27" t="n">
        <f aca="false">MIN(H369*(1+H$8),MAX(T370,$B$11-SUM(X370:AC370)-SUM(U370:W370)))</f>
        <v>0</v>
      </c>
      <c r="AE370" s="27" t="n">
        <f aca="false">MIN(I369*(1+I$8),MAX(U370,$B$11-SUM(X370:AD370)-SUM(V370:W370)))</f>
        <v>0</v>
      </c>
      <c r="AF370" s="27" t="n">
        <f aca="false">MIN(J369*(1+J$8),MAX(V370,$B$11-SUM(X370:AE370)-SUM(W370:W370)))</f>
        <v>0</v>
      </c>
      <c r="AG370" s="27" t="n">
        <f aca="false">MIN(K369*(1+K$8),MAX(W370,$B$11-SUM(X370:AF370)))</f>
        <v>0</v>
      </c>
      <c r="AI370" s="27" t="n">
        <f aca="false">ROUND(MAX(0,AI369*(1+B$8)-BE370),2)</f>
        <v>0</v>
      </c>
      <c r="AJ370" s="27" t="n">
        <f aca="false">ROUND(MAX(0,AJ369*(1+C$8)-BF370),2)</f>
        <v>0</v>
      </c>
      <c r="AK370" s="27" t="n">
        <f aca="false">ROUND(MAX(0,AK369*(1+D$8)-BG370),2)</f>
        <v>0</v>
      </c>
      <c r="AL370" s="27" t="n">
        <f aca="false">ROUND(MAX(0,AL369*(1+E$8)-BH370),2)</f>
        <v>0</v>
      </c>
      <c r="AM370" s="27" t="n">
        <f aca="false">ROUND(MAX(0,AM369*(1+F$8)-BI370),2)</f>
        <v>0</v>
      </c>
      <c r="AN370" s="27" t="n">
        <f aca="false">ROUND(MAX(0,AN369*(1+G$8)-BJ370),2)</f>
        <v>0</v>
      </c>
      <c r="AO370" s="27" t="n">
        <f aca="false">ROUND(MAX(0,AO369*(1+H$8)-BK370),2)</f>
        <v>0</v>
      </c>
      <c r="AP370" s="27" t="n">
        <f aca="false">ROUND(MAX(0,AP369*(1+I$8)-BL370),2)</f>
        <v>0</v>
      </c>
      <c r="AQ370" s="27" t="n">
        <f aca="false">ROUND(MAX(0,AQ369*(1+J$8)-BM370),2)</f>
        <v>0</v>
      </c>
      <c r="AR370" s="27" t="n">
        <f aca="false">ROUND(MAX(0,AR369*(1+K$8)-BN370),2)</f>
        <v>0</v>
      </c>
      <c r="AS370" s="27" t="n">
        <f aca="false">SUM(AI370:AR370)</f>
        <v>0</v>
      </c>
      <c r="AT370" s="27" t="n">
        <f aca="false">SUMPRODUCT(AI369:AR369,$B$8:$K$8)</f>
        <v>0</v>
      </c>
      <c r="AU370" s="27" t="n">
        <f aca="false">MIN(AI369*(1+B$8),B$9)</f>
        <v>0</v>
      </c>
      <c r="AV370" s="27" t="n">
        <f aca="false">MIN(AJ369*(1+C$8),C$9)</f>
        <v>0</v>
      </c>
      <c r="AW370" s="27" t="n">
        <f aca="false">MIN(AK369*(1+D$8),D$9)</f>
        <v>0</v>
      </c>
      <c r="AX370" s="27" t="n">
        <f aca="false">MIN(AL369*(1+E$8),E$9)</f>
        <v>0</v>
      </c>
      <c r="AY370" s="27" t="n">
        <f aca="false">MIN(AM369*(1+F$8),F$9)</f>
        <v>0</v>
      </c>
      <c r="AZ370" s="27" t="n">
        <f aca="false">MIN(AN369*(1+G$8),G$9)</f>
        <v>0</v>
      </c>
      <c r="BA370" s="27" t="n">
        <f aca="false">MIN(AO369*(1+H$8),H$9)</f>
        <v>0</v>
      </c>
      <c r="BB370" s="27" t="n">
        <f aca="false">MIN(AP369*(1+I$8),I$9)</f>
        <v>0</v>
      </c>
      <c r="BC370" s="27" t="n">
        <f aca="false">MIN(AQ369*(1+J$8),J$9)</f>
        <v>0</v>
      </c>
      <c r="BD370" s="27" t="n">
        <f aca="false">MIN(AR369*(1+K$8),K$9)</f>
        <v>0</v>
      </c>
      <c r="BE370" s="27" t="n">
        <f aca="false">MIN(AI369*(1+B$8),MAX(AU370,$B$12-SUM(AV370:BD370)))</f>
        <v>0</v>
      </c>
      <c r="BF370" s="27" t="n">
        <f aca="false">MIN(AJ369*(1+C$8),MAX(AV370,$B$12-SUM(BE370:BE370)-SUM(AW370:BD370)))</f>
        <v>0</v>
      </c>
      <c r="BG370" s="27" t="n">
        <f aca="false">MIN(AK369*(1+D$8),MAX(AW370,$B$12-SUM(BE370:BF370)-SUM(AX370:BD370)))</f>
        <v>0</v>
      </c>
      <c r="BH370" s="27" t="n">
        <f aca="false">MIN(AL369*(1+E$8),MAX(AX370,$B$12-SUM(BE370:BG370)-SUM(AY370:BD370)))</f>
        <v>0</v>
      </c>
      <c r="BI370" s="27" t="n">
        <f aca="false">MIN(AM369*(1+F$8),MAX(AY370,$B$12-SUM(BE370:BH370)-SUM(AZ370:BD370)))</f>
        <v>0</v>
      </c>
      <c r="BJ370" s="27" t="n">
        <f aca="false">MIN(AN369*(1+G$8),MAX(AZ370,$B$12-SUM(BE370:BI370)-SUM(BA370:BD370)))</f>
        <v>0</v>
      </c>
      <c r="BK370" s="27" t="n">
        <f aca="false">MIN(AO369*(1+H$8),MAX(BA370,$B$12-SUM(BE370:BJ370)-SUM(BB370:BD370)))</f>
        <v>0</v>
      </c>
      <c r="BL370" s="27" t="n">
        <f aca="false">MIN(AP369*(1+I$8),MAX(BB370,$B$12-SUM(BE370:BK370)-SUM(BC370:BD370)))</f>
        <v>0</v>
      </c>
      <c r="BM370" s="27" t="n">
        <f aca="false">MIN(AQ369*(1+J$8),MAX(BC370,$B$12-SUM(BE370:BL370)-SUM(BD370:BD370)))</f>
        <v>0</v>
      </c>
      <c r="BN370" s="27" t="n">
        <f aca="false">MIN(AR369*(1+K$8),MAX(BD370,$B$12-SUM(BE370:BM370)))</f>
        <v>0</v>
      </c>
    </row>
    <row r="371" customFormat="false" ht="15" hidden="false" customHeight="false" outlineLevel="0" collapsed="false">
      <c r="A371" s="0" t="n">
        <v>357</v>
      </c>
      <c r="B371" s="27" t="n">
        <f aca="false">ROUND(MAX(0,B370*(1+B$8)-X371),2)</f>
        <v>0</v>
      </c>
      <c r="C371" s="27" t="n">
        <f aca="false">ROUND(MAX(0,C370*(1+C$8)-Y371),2)</f>
        <v>0</v>
      </c>
      <c r="D371" s="27" t="n">
        <f aca="false">ROUND(MAX(0,D370*(1+D$8)-Z371),2)</f>
        <v>0</v>
      </c>
      <c r="E371" s="27" t="n">
        <f aca="false">ROUND(MAX(0,E370*(1+E$8)-AA371),2)</f>
        <v>0</v>
      </c>
      <c r="F371" s="27" t="n">
        <f aca="false">ROUND(MAX(0,F370*(1+F$8)-AB371),2)</f>
        <v>0</v>
      </c>
      <c r="G371" s="27" t="n">
        <f aca="false">ROUND(MAX(0,G370*(1+G$8)-AC371),2)</f>
        <v>0</v>
      </c>
      <c r="H371" s="27" t="n">
        <f aca="false">ROUND(MAX(0,H370*(1+H$8)-AD371),2)</f>
        <v>0</v>
      </c>
      <c r="I371" s="27" t="n">
        <f aca="false">ROUND(MAX(0,I370*(1+I$8)-AE371),2)</f>
        <v>0</v>
      </c>
      <c r="J371" s="27" t="n">
        <f aca="false">ROUND(MAX(0,J370*(1+J$8)-AF371),2)</f>
        <v>0</v>
      </c>
      <c r="K371" s="27" t="n">
        <f aca="false">ROUND(MAX(0,K370*(1+K$8)-AG371),2)</f>
        <v>0</v>
      </c>
      <c r="L371" s="30" t="n">
        <f aca="false">SUM(B371:K371)</f>
        <v>0</v>
      </c>
      <c r="M371" s="27" t="n">
        <f aca="false">SUMPRODUCT(B370:K370,$B$8:$K$8)</f>
        <v>0</v>
      </c>
      <c r="N371" s="27" t="n">
        <f aca="false">MIN(B370*(1+B$8),B$9)</f>
        <v>0</v>
      </c>
      <c r="O371" s="27" t="n">
        <f aca="false">MIN(C370*(1+C$8),C$9)</f>
        <v>0</v>
      </c>
      <c r="P371" s="27" t="n">
        <f aca="false">MIN(D370*(1+D$8),D$9)</f>
        <v>0</v>
      </c>
      <c r="Q371" s="27" t="n">
        <f aca="false">MIN(E370*(1+E$8),E$9)</f>
        <v>0</v>
      </c>
      <c r="R371" s="27" t="n">
        <f aca="false">MIN(F370*(1+F$8),F$9)</f>
        <v>0</v>
      </c>
      <c r="S371" s="27" t="n">
        <f aca="false">MIN(G370*(1+G$8),G$9)</f>
        <v>0</v>
      </c>
      <c r="T371" s="27" t="n">
        <f aca="false">MIN(H370*(1+H$8),H$9)</f>
        <v>0</v>
      </c>
      <c r="U371" s="27" t="n">
        <f aca="false">MIN(I370*(1+I$8),I$9)</f>
        <v>0</v>
      </c>
      <c r="V371" s="27" t="n">
        <f aca="false">MIN(J370*(1+J$8),J$9)</f>
        <v>0</v>
      </c>
      <c r="W371" s="27" t="n">
        <f aca="false">MIN(K370*(1+K$8),K$9)</f>
        <v>0</v>
      </c>
      <c r="X371" s="27" t="n">
        <f aca="false">MIN(B370*(1+B$8),MAX(N371,$B$11-SUM(O371:W371)))</f>
        <v>0</v>
      </c>
      <c r="Y371" s="27" t="n">
        <f aca="false">MIN(C370*(1+C$8),MAX(O371,$B$11-SUM(X371:X371)-SUM(P371:W371)))</f>
        <v>0</v>
      </c>
      <c r="Z371" s="27" t="n">
        <f aca="false">MIN(D370*(1+D$8),MAX(P371,$B$11-SUM(X371:Y371)-SUM(Q371:W371)))</f>
        <v>0</v>
      </c>
      <c r="AA371" s="27" t="n">
        <f aca="false">MIN(E370*(1+E$8),MAX(Q371,$B$11-SUM(X371:Z371)-SUM(R371:W371)))</f>
        <v>0</v>
      </c>
      <c r="AB371" s="27" t="n">
        <f aca="false">MIN(F370*(1+F$8),MAX(R371,$B$11-SUM(X371:AA371)-SUM(S371:W371)))</f>
        <v>0</v>
      </c>
      <c r="AC371" s="27" t="n">
        <f aca="false">MIN(G370*(1+G$8),MAX(S371,$B$11-SUM(X371:AB371)-SUM(T371:W371)))</f>
        <v>0</v>
      </c>
      <c r="AD371" s="27" t="n">
        <f aca="false">MIN(H370*(1+H$8),MAX(T371,$B$11-SUM(X371:AC371)-SUM(U371:W371)))</f>
        <v>0</v>
      </c>
      <c r="AE371" s="27" t="n">
        <f aca="false">MIN(I370*(1+I$8),MAX(U371,$B$11-SUM(X371:AD371)-SUM(V371:W371)))</f>
        <v>0</v>
      </c>
      <c r="AF371" s="27" t="n">
        <f aca="false">MIN(J370*(1+J$8),MAX(V371,$B$11-SUM(X371:AE371)-SUM(W371:W371)))</f>
        <v>0</v>
      </c>
      <c r="AG371" s="27" t="n">
        <f aca="false">MIN(K370*(1+K$8),MAX(W371,$B$11-SUM(X371:AF371)))</f>
        <v>0</v>
      </c>
      <c r="AI371" s="27" t="n">
        <f aca="false">ROUND(MAX(0,AI370*(1+B$8)-BE371),2)</f>
        <v>0</v>
      </c>
      <c r="AJ371" s="27" t="n">
        <f aca="false">ROUND(MAX(0,AJ370*(1+C$8)-BF371),2)</f>
        <v>0</v>
      </c>
      <c r="AK371" s="27" t="n">
        <f aca="false">ROUND(MAX(0,AK370*(1+D$8)-BG371),2)</f>
        <v>0</v>
      </c>
      <c r="AL371" s="27" t="n">
        <f aca="false">ROUND(MAX(0,AL370*(1+E$8)-BH371),2)</f>
        <v>0</v>
      </c>
      <c r="AM371" s="27" t="n">
        <f aca="false">ROUND(MAX(0,AM370*(1+F$8)-BI371),2)</f>
        <v>0</v>
      </c>
      <c r="AN371" s="27" t="n">
        <f aca="false">ROUND(MAX(0,AN370*(1+G$8)-BJ371),2)</f>
        <v>0</v>
      </c>
      <c r="AO371" s="27" t="n">
        <f aca="false">ROUND(MAX(0,AO370*(1+H$8)-BK371),2)</f>
        <v>0</v>
      </c>
      <c r="AP371" s="27" t="n">
        <f aca="false">ROUND(MAX(0,AP370*(1+I$8)-BL371),2)</f>
        <v>0</v>
      </c>
      <c r="AQ371" s="27" t="n">
        <f aca="false">ROUND(MAX(0,AQ370*(1+J$8)-BM371),2)</f>
        <v>0</v>
      </c>
      <c r="AR371" s="27" t="n">
        <f aca="false">ROUND(MAX(0,AR370*(1+K$8)-BN371),2)</f>
        <v>0</v>
      </c>
      <c r="AS371" s="27" t="n">
        <f aca="false">SUM(AI371:AR371)</f>
        <v>0</v>
      </c>
      <c r="AT371" s="27" t="n">
        <f aca="false">SUMPRODUCT(AI370:AR370,$B$8:$K$8)</f>
        <v>0</v>
      </c>
      <c r="AU371" s="27" t="n">
        <f aca="false">MIN(AI370*(1+B$8),B$9)</f>
        <v>0</v>
      </c>
      <c r="AV371" s="27" t="n">
        <f aca="false">MIN(AJ370*(1+C$8),C$9)</f>
        <v>0</v>
      </c>
      <c r="AW371" s="27" t="n">
        <f aca="false">MIN(AK370*(1+D$8),D$9)</f>
        <v>0</v>
      </c>
      <c r="AX371" s="27" t="n">
        <f aca="false">MIN(AL370*(1+E$8),E$9)</f>
        <v>0</v>
      </c>
      <c r="AY371" s="27" t="n">
        <f aca="false">MIN(AM370*(1+F$8),F$9)</f>
        <v>0</v>
      </c>
      <c r="AZ371" s="27" t="n">
        <f aca="false">MIN(AN370*(1+G$8),G$9)</f>
        <v>0</v>
      </c>
      <c r="BA371" s="27" t="n">
        <f aca="false">MIN(AO370*(1+H$8),H$9)</f>
        <v>0</v>
      </c>
      <c r="BB371" s="27" t="n">
        <f aca="false">MIN(AP370*(1+I$8),I$9)</f>
        <v>0</v>
      </c>
      <c r="BC371" s="27" t="n">
        <f aca="false">MIN(AQ370*(1+J$8),J$9)</f>
        <v>0</v>
      </c>
      <c r="BD371" s="27" t="n">
        <f aca="false">MIN(AR370*(1+K$8),K$9)</f>
        <v>0</v>
      </c>
      <c r="BE371" s="27" t="n">
        <f aca="false">MIN(AI370*(1+B$8),MAX(AU371,$B$12-SUM(AV371:BD371)))</f>
        <v>0</v>
      </c>
      <c r="BF371" s="27" t="n">
        <f aca="false">MIN(AJ370*(1+C$8),MAX(AV371,$B$12-SUM(BE371:BE371)-SUM(AW371:BD371)))</f>
        <v>0</v>
      </c>
      <c r="BG371" s="27" t="n">
        <f aca="false">MIN(AK370*(1+D$8),MAX(AW371,$B$12-SUM(BE371:BF371)-SUM(AX371:BD371)))</f>
        <v>0</v>
      </c>
      <c r="BH371" s="27" t="n">
        <f aca="false">MIN(AL370*(1+E$8),MAX(AX371,$B$12-SUM(BE371:BG371)-SUM(AY371:BD371)))</f>
        <v>0</v>
      </c>
      <c r="BI371" s="27" t="n">
        <f aca="false">MIN(AM370*(1+F$8),MAX(AY371,$B$12-SUM(BE371:BH371)-SUM(AZ371:BD371)))</f>
        <v>0</v>
      </c>
      <c r="BJ371" s="27" t="n">
        <f aca="false">MIN(AN370*(1+G$8),MAX(AZ371,$B$12-SUM(BE371:BI371)-SUM(BA371:BD371)))</f>
        <v>0</v>
      </c>
      <c r="BK371" s="27" t="n">
        <f aca="false">MIN(AO370*(1+H$8),MAX(BA371,$B$12-SUM(BE371:BJ371)-SUM(BB371:BD371)))</f>
        <v>0</v>
      </c>
      <c r="BL371" s="27" t="n">
        <f aca="false">MIN(AP370*(1+I$8),MAX(BB371,$B$12-SUM(BE371:BK371)-SUM(BC371:BD371)))</f>
        <v>0</v>
      </c>
      <c r="BM371" s="27" t="n">
        <f aca="false">MIN(AQ370*(1+J$8),MAX(BC371,$B$12-SUM(BE371:BL371)-SUM(BD371:BD371)))</f>
        <v>0</v>
      </c>
      <c r="BN371" s="27" t="n">
        <f aca="false">MIN(AR370*(1+K$8),MAX(BD371,$B$12-SUM(BE371:BM371)))</f>
        <v>0</v>
      </c>
    </row>
    <row r="372" customFormat="false" ht="15" hidden="false" customHeight="false" outlineLevel="0" collapsed="false">
      <c r="A372" s="0" t="n">
        <v>358</v>
      </c>
      <c r="B372" s="27" t="n">
        <f aca="false">ROUND(MAX(0,B371*(1+B$8)-X372),2)</f>
        <v>0</v>
      </c>
      <c r="C372" s="27" t="n">
        <f aca="false">ROUND(MAX(0,C371*(1+C$8)-Y372),2)</f>
        <v>0</v>
      </c>
      <c r="D372" s="27" t="n">
        <f aca="false">ROUND(MAX(0,D371*(1+D$8)-Z372),2)</f>
        <v>0</v>
      </c>
      <c r="E372" s="27" t="n">
        <f aca="false">ROUND(MAX(0,E371*(1+E$8)-AA372),2)</f>
        <v>0</v>
      </c>
      <c r="F372" s="27" t="n">
        <f aca="false">ROUND(MAX(0,F371*(1+F$8)-AB372),2)</f>
        <v>0</v>
      </c>
      <c r="G372" s="27" t="n">
        <f aca="false">ROUND(MAX(0,G371*(1+G$8)-AC372),2)</f>
        <v>0</v>
      </c>
      <c r="H372" s="27" t="n">
        <f aca="false">ROUND(MAX(0,H371*(1+H$8)-AD372),2)</f>
        <v>0</v>
      </c>
      <c r="I372" s="27" t="n">
        <f aca="false">ROUND(MAX(0,I371*(1+I$8)-AE372),2)</f>
        <v>0</v>
      </c>
      <c r="J372" s="27" t="n">
        <f aca="false">ROUND(MAX(0,J371*(1+J$8)-AF372),2)</f>
        <v>0</v>
      </c>
      <c r="K372" s="27" t="n">
        <f aca="false">ROUND(MAX(0,K371*(1+K$8)-AG372),2)</f>
        <v>0</v>
      </c>
      <c r="L372" s="30" t="n">
        <f aca="false">SUM(B372:K372)</f>
        <v>0</v>
      </c>
      <c r="M372" s="27" t="n">
        <f aca="false">SUMPRODUCT(B371:K371,$B$8:$K$8)</f>
        <v>0</v>
      </c>
      <c r="N372" s="27" t="n">
        <f aca="false">MIN(B371*(1+B$8),B$9)</f>
        <v>0</v>
      </c>
      <c r="O372" s="27" t="n">
        <f aca="false">MIN(C371*(1+C$8),C$9)</f>
        <v>0</v>
      </c>
      <c r="P372" s="27" t="n">
        <f aca="false">MIN(D371*(1+D$8),D$9)</f>
        <v>0</v>
      </c>
      <c r="Q372" s="27" t="n">
        <f aca="false">MIN(E371*(1+E$8),E$9)</f>
        <v>0</v>
      </c>
      <c r="R372" s="27" t="n">
        <f aca="false">MIN(F371*(1+F$8),F$9)</f>
        <v>0</v>
      </c>
      <c r="S372" s="27" t="n">
        <f aca="false">MIN(G371*(1+G$8),G$9)</f>
        <v>0</v>
      </c>
      <c r="T372" s="27" t="n">
        <f aca="false">MIN(H371*(1+H$8),H$9)</f>
        <v>0</v>
      </c>
      <c r="U372" s="27" t="n">
        <f aca="false">MIN(I371*(1+I$8),I$9)</f>
        <v>0</v>
      </c>
      <c r="V372" s="27" t="n">
        <f aca="false">MIN(J371*(1+J$8),J$9)</f>
        <v>0</v>
      </c>
      <c r="W372" s="27" t="n">
        <f aca="false">MIN(K371*(1+K$8),K$9)</f>
        <v>0</v>
      </c>
      <c r="X372" s="27" t="n">
        <f aca="false">MIN(B371*(1+B$8),MAX(N372,$B$11-SUM(O372:W372)))</f>
        <v>0</v>
      </c>
      <c r="Y372" s="27" t="n">
        <f aca="false">MIN(C371*(1+C$8),MAX(O372,$B$11-SUM(X372:X372)-SUM(P372:W372)))</f>
        <v>0</v>
      </c>
      <c r="Z372" s="27" t="n">
        <f aca="false">MIN(D371*(1+D$8),MAX(P372,$B$11-SUM(X372:Y372)-SUM(Q372:W372)))</f>
        <v>0</v>
      </c>
      <c r="AA372" s="27" t="n">
        <f aca="false">MIN(E371*(1+E$8),MAX(Q372,$B$11-SUM(X372:Z372)-SUM(R372:W372)))</f>
        <v>0</v>
      </c>
      <c r="AB372" s="27" t="n">
        <f aca="false">MIN(F371*(1+F$8),MAX(R372,$B$11-SUM(X372:AA372)-SUM(S372:W372)))</f>
        <v>0</v>
      </c>
      <c r="AC372" s="27" t="n">
        <f aca="false">MIN(G371*(1+G$8),MAX(S372,$B$11-SUM(X372:AB372)-SUM(T372:W372)))</f>
        <v>0</v>
      </c>
      <c r="AD372" s="27" t="n">
        <f aca="false">MIN(H371*(1+H$8),MAX(T372,$B$11-SUM(X372:AC372)-SUM(U372:W372)))</f>
        <v>0</v>
      </c>
      <c r="AE372" s="27" t="n">
        <f aca="false">MIN(I371*(1+I$8),MAX(U372,$B$11-SUM(X372:AD372)-SUM(V372:W372)))</f>
        <v>0</v>
      </c>
      <c r="AF372" s="27" t="n">
        <f aca="false">MIN(J371*(1+J$8),MAX(V372,$B$11-SUM(X372:AE372)-SUM(W372:W372)))</f>
        <v>0</v>
      </c>
      <c r="AG372" s="27" t="n">
        <f aca="false">MIN(K371*(1+K$8),MAX(W372,$B$11-SUM(X372:AF372)))</f>
        <v>0</v>
      </c>
      <c r="AI372" s="27" t="n">
        <f aca="false">ROUND(MAX(0,AI371*(1+B$8)-BE372),2)</f>
        <v>0</v>
      </c>
      <c r="AJ372" s="27" t="n">
        <f aca="false">ROUND(MAX(0,AJ371*(1+C$8)-BF372),2)</f>
        <v>0</v>
      </c>
      <c r="AK372" s="27" t="n">
        <f aca="false">ROUND(MAX(0,AK371*(1+D$8)-BG372),2)</f>
        <v>0</v>
      </c>
      <c r="AL372" s="27" t="n">
        <f aca="false">ROUND(MAX(0,AL371*(1+E$8)-BH372),2)</f>
        <v>0</v>
      </c>
      <c r="AM372" s="27" t="n">
        <f aca="false">ROUND(MAX(0,AM371*(1+F$8)-BI372),2)</f>
        <v>0</v>
      </c>
      <c r="AN372" s="27" t="n">
        <f aca="false">ROUND(MAX(0,AN371*(1+G$8)-BJ372),2)</f>
        <v>0</v>
      </c>
      <c r="AO372" s="27" t="n">
        <f aca="false">ROUND(MAX(0,AO371*(1+H$8)-BK372),2)</f>
        <v>0</v>
      </c>
      <c r="AP372" s="27" t="n">
        <f aca="false">ROUND(MAX(0,AP371*(1+I$8)-BL372),2)</f>
        <v>0</v>
      </c>
      <c r="AQ372" s="27" t="n">
        <f aca="false">ROUND(MAX(0,AQ371*(1+J$8)-BM372),2)</f>
        <v>0</v>
      </c>
      <c r="AR372" s="27" t="n">
        <f aca="false">ROUND(MAX(0,AR371*(1+K$8)-BN372),2)</f>
        <v>0</v>
      </c>
      <c r="AS372" s="27" t="n">
        <f aca="false">SUM(AI372:AR372)</f>
        <v>0</v>
      </c>
      <c r="AT372" s="27" t="n">
        <f aca="false">SUMPRODUCT(AI371:AR371,$B$8:$K$8)</f>
        <v>0</v>
      </c>
      <c r="AU372" s="27" t="n">
        <f aca="false">MIN(AI371*(1+B$8),B$9)</f>
        <v>0</v>
      </c>
      <c r="AV372" s="27" t="n">
        <f aca="false">MIN(AJ371*(1+C$8),C$9)</f>
        <v>0</v>
      </c>
      <c r="AW372" s="27" t="n">
        <f aca="false">MIN(AK371*(1+D$8),D$9)</f>
        <v>0</v>
      </c>
      <c r="AX372" s="27" t="n">
        <f aca="false">MIN(AL371*(1+E$8),E$9)</f>
        <v>0</v>
      </c>
      <c r="AY372" s="27" t="n">
        <f aca="false">MIN(AM371*(1+F$8),F$9)</f>
        <v>0</v>
      </c>
      <c r="AZ372" s="27" t="n">
        <f aca="false">MIN(AN371*(1+G$8),G$9)</f>
        <v>0</v>
      </c>
      <c r="BA372" s="27" t="n">
        <f aca="false">MIN(AO371*(1+H$8),H$9)</f>
        <v>0</v>
      </c>
      <c r="BB372" s="27" t="n">
        <f aca="false">MIN(AP371*(1+I$8),I$9)</f>
        <v>0</v>
      </c>
      <c r="BC372" s="27" t="n">
        <f aca="false">MIN(AQ371*(1+J$8),J$9)</f>
        <v>0</v>
      </c>
      <c r="BD372" s="27" t="n">
        <f aca="false">MIN(AR371*(1+K$8),K$9)</f>
        <v>0</v>
      </c>
      <c r="BE372" s="27" t="n">
        <f aca="false">MIN(AI371*(1+B$8),MAX(AU372,$B$12-SUM(AV372:BD372)))</f>
        <v>0</v>
      </c>
      <c r="BF372" s="27" t="n">
        <f aca="false">MIN(AJ371*(1+C$8),MAX(AV372,$B$12-SUM(BE372:BE372)-SUM(AW372:BD372)))</f>
        <v>0</v>
      </c>
      <c r="BG372" s="27" t="n">
        <f aca="false">MIN(AK371*(1+D$8),MAX(AW372,$B$12-SUM(BE372:BF372)-SUM(AX372:BD372)))</f>
        <v>0</v>
      </c>
      <c r="BH372" s="27" t="n">
        <f aca="false">MIN(AL371*(1+E$8),MAX(AX372,$B$12-SUM(BE372:BG372)-SUM(AY372:BD372)))</f>
        <v>0</v>
      </c>
      <c r="BI372" s="27" t="n">
        <f aca="false">MIN(AM371*(1+F$8),MAX(AY372,$B$12-SUM(BE372:BH372)-SUM(AZ372:BD372)))</f>
        <v>0</v>
      </c>
      <c r="BJ372" s="27" t="n">
        <f aca="false">MIN(AN371*(1+G$8),MAX(AZ372,$B$12-SUM(BE372:BI372)-SUM(BA372:BD372)))</f>
        <v>0</v>
      </c>
      <c r="BK372" s="27" t="n">
        <f aca="false">MIN(AO371*(1+H$8),MAX(BA372,$B$12-SUM(BE372:BJ372)-SUM(BB372:BD372)))</f>
        <v>0</v>
      </c>
      <c r="BL372" s="27" t="n">
        <f aca="false">MIN(AP371*(1+I$8),MAX(BB372,$B$12-SUM(BE372:BK372)-SUM(BC372:BD372)))</f>
        <v>0</v>
      </c>
      <c r="BM372" s="27" t="n">
        <f aca="false">MIN(AQ371*(1+J$8),MAX(BC372,$B$12-SUM(BE372:BL372)-SUM(BD372:BD372)))</f>
        <v>0</v>
      </c>
      <c r="BN372" s="27" t="n">
        <f aca="false">MIN(AR371*(1+K$8),MAX(BD372,$B$12-SUM(BE372:BM372)))</f>
        <v>0</v>
      </c>
    </row>
    <row r="373" customFormat="false" ht="15" hidden="false" customHeight="false" outlineLevel="0" collapsed="false">
      <c r="A373" s="0" t="n">
        <v>359</v>
      </c>
      <c r="B373" s="27" t="n">
        <f aca="false">ROUND(MAX(0,B372*(1+B$8)-X373),2)</f>
        <v>0</v>
      </c>
      <c r="C373" s="27" t="n">
        <f aca="false">ROUND(MAX(0,C372*(1+C$8)-Y373),2)</f>
        <v>0</v>
      </c>
      <c r="D373" s="27" t="n">
        <f aca="false">ROUND(MAX(0,D372*(1+D$8)-Z373),2)</f>
        <v>0</v>
      </c>
      <c r="E373" s="27" t="n">
        <f aca="false">ROUND(MAX(0,E372*(1+E$8)-AA373),2)</f>
        <v>0</v>
      </c>
      <c r="F373" s="27" t="n">
        <f aca="false">ROUND(MAX(0,F372*(1+F$8)-AB373),2)</f>
        <v>0</v>
      </c>
      <c r="G373" s="27" t="n">
        <f aca="false">ROUND(MAX(0,G372*(1+G$8)-AC373),2)</f>
        <v>0</v>
      </c>
      <c r="H373" s="27" t="n">
        <f aca="false">ROUND(MAX(0,H372*(1+H$8)-AD373),2)</f>
        <v>0</v>
      </c>
      <c r="I373" s="27" t="n">
        <f aca="false">ROUND(MAX(0,I372*(1+I$8)-AE373),2)</f>
        <v>0</v>
      </c>
      <c r="J373" s="27" t="n">
        <f aca="false">ROUND(MAX(0,J372*(1+J$8)-AF373),2)</f>
        <v>0</v>
      </c>
      <c r="K373" s="27" t="n">
        <f aca="false">ROUND(MAX(0,K372*(1+K$8)-AG373),2)</f>
        <v>0</v>
      </c>
      <c r="L373" s="30" t="n">
        <f aca="false">SUM(B373:K373)</f>
        <v>0</v>
      </c>
      <c r="M373" s="27" t="n">
        <f aca="false">SUMPRODUCT(B372:K372,$B$8:$K$8)</f>
        <v>0</v>
      </c>
      <c r="N373" s="27" t="n">
        <f aca="false">MIN(B372*(1+B$8),B$9)</f>
        <v>0</v>
      </c>
      <c r="O373" s="27" t="n">
        <f aca="false">MIN(C372*(1+C$8),C$9)</f>
        <v>0</v>
      </c>
      <c r="P373" s="27" t="n">
        <f aca="false">MIN(D372*(1+D$8),D$9)</f>
        <v>0</v>
      </c>
      <c r="Q373" s="27" t="n">
        <f aca="false">MIN(E372*(1+E$8),E$9)</f>
        <v>0</v>
      </c>
      <c r="R373" s="27" t="n">
        <f aca="false">MIN(F372*(1+F$8),F$9)</f>
        <v>0</v>
      </c>
      <c r="S373" s="27" t="n">
        <f aca="false">MIN(G372*(1+G$8),G$9)</f>
        <v>0</v>
      </c>
      <c r="T373" s="27" t="n">
        <f aca="false">MIN(H372*(1+H$8),H$9)</f>
        <v>0</v>
      </c>
      <c r="U373" s="27" t="n">
        <f aca="false">MIN(I372*(1+I$8),I$9)</f>
        <v>0</v>
      </c>
      <c r="V373" s="27" t="n">
        <f aca="false">MIN(J372*(1+J$8),J$9)</f>
        <v>0</v>
      </c>
      <c r="W373" s="27" t="n">
        <f aca="false">MIN(K372*(1+K$8),K$9)</f>
        <v>0</v>
      </c>
      <c r="X373" s="27" t="n">
        <f aca="false">MIN(B372*(1+B$8),MAX(N373,$B$11-SUM(O373:W373)))</f>
        <v>0</v>
      </c>
      <c r="Y373" s="27" t="n">
        <f aca="false">MIN(C372*(1+C$8),MAX(O373,$B$11-SUM(X373:X373)-SUM(P373:W373)))</f>
        <v>0</v>
      </c>
      <c r="Z373" s="27" t="n">
        <f aca="false">MIN(D372*(1+D$8),MAX(P373,$B$11-SUM(X373:Y373)-SUM(Q373:W373)))</f>
        <v>0</v>
      </c>
      <c r="AA373" s="27" t="n">
        <f aca="false">MIN(E372*(1+E$8),MAX(Q373,$B$11-SUM(X373:Z373)-SUM(R373:W373)))</f>
        <v>0</v>
      </c>
      <c r="AB373" s="27" t="n">
        <f aca="false">MIN(F372*(1+F$8),MAX(R373,$B$11-SUM(X373:AA373)-SUM(S373:W373)))</f>
        <v>0</v>
      </c>
      <c r="AC373" s="27" t="n">
        <f aca="false">MIN(G372*(1+G$8),MAX(S373,$B$11-SUM(X373:AB373)-SUM(T373:W373)))</f>
        <v>0</v>
      </c>
      <c r="AD373" s="27" t="n">
        <f aca="false">MIN(H372*(1+H$8),MAX(T373,$B$11-SUM(X373:AC373)-SUM(U373:W373)))</f>
        <v>0</v>
      </c>
      <c r="AE373" s="27" t="n">
        <f aca="false">MIN(I372*(1+I$8),MAX(U373,$B$11-SUM(X373:AD373)-SUM(V373:W373)))</f>
        <v>0</v>
      </c>
      <c r="AF373" s="27" t="n">
        <f aca="false">MIN(J372*(1+J$8),MAX(V373,$B$11-SUM(X373:AE373)-SUM(W373:W373)))</f>
        <v>0</v>
      </c>
      <c r="AG373" s="27" t="n">
        <f aca="false">MIN(K372*(1+K$8),MAX(W373,$B$11-SUM(X373:AF373)))</f>
        <v>0</v>
      </c>
      <c r="AI373" s="27" t="n">
        <f aca="false">ROUND(MAX(0,AI372*(1+B$8)-BE373),2)</f>
        <v>0</v>
      </c>
      <c r="AJ373" s="27" t="n">
        <f aca="false">ROUND(MAX(0,AJ372*(1+C$8)-BF373),2)</f>
        <v>0</v>
      </c>
      <c r="AK373" s="27" t="n">
        <f aca="false">ROUND(MAX(0,AK372*(1+D$8)-BG373),2)</f>
        <v>0</v>
      </c>
      <c r="AL373" s="27" t="n">
        <f aca="false">ROUND(MAX(0,AL372*(1+E$8)-BH373),2)</f>
        <v>0</v>
      </c>
      <c r="AM373" s="27" t="n">
        <f aca="false">ROUND(MAX(0,AM372*(1+F$8)-BI373),2)</f>
        <v>0</v>
      </c>
      <c r="AN373" s="27" t="n">
        <f aca="false">ROUND(MAX(0,AN372*(1+G$8)-BJ373),2)</f>
        <v>0</v>
      </c>
      <c r="AO373" s="27" t="n">
        <f aca="false">ROUND(MAX(0,AO372*(1+H$8)-BK373),2)</f>
        <v>0</v>
      </c>
      <c r="AP373" s="27" t="n">
        <f aca="false">ROUND(MAX(0,AP372*(1+I$8)-BL373),2)</f>
        <v>0</v>
      </c>
      <c r="AQ373" s="27" t="n">
        <f aca="false">ROUND(MAX(0,AQ372*(1+J$8)-BM373),2)</f>
        <v>0</v>
      </c>
      <c r="AR373" s="27" t="n">
        <f aca="false">ROUND(MAX(0,AR372*(1+K$8)-BN373),2)</f>
        <v>0</v>
      </c>
      <c r="AS373" s="27" t="n">
        <f aca="false">SUM(AI373:AR373)</f>
        <v>0</v>
      </c>
      <c r="AT373" s="27" t="n">
        <f aca="false">SUMPRODUCT(AI372:AR372,$B$8:$K$8)</f>
        <v>0</v>
      </c>
      <c r="AU373" s="27" t="n">
        <f aca="false">MIN(AI372*(1+B$8),B$9)</f>
        <v>0</v>
      </c>
      <c r="AV373" s="27" t="n">
        <f aca="false">MIN(AJ372*(1+C$8),C$9)</f>
        <v>0</v>
      </c>
      <c r="AW373" s="27" t="n">
        <f aca="false">MIN(AK372*(1+D$8),D$9)</f>
        <v>0</v>
      </c>
      <c r="AX373" s="27" t="n">
        <f aca="false">MIN(AL372*(1+E$8),E$9)</f>
        <v>0</v>
      </c>
      <c r="AY373" s="27" t="n">
        <f aca="false">MIN(AM372*(1+F$8),F$9)</f>
        <v>0</v>
      </c>
      <c r="AZ373" s="27" t="n">
        <f aca="false">MIN(AN372*(1+G$8),G$9)</f>
        <v>0</v>
      </c>
      <c r="BA373" s="27" t="n">
        <f aca="false">MIN(AO372*(1+H$8),H$9)</f>
        <v>0</v>
      </c>
      <c r="BB373" s="27" t="n">
        <f aca="false">MIN(AP372*(1+I$8),I$9)</f>
        <v>0</v>
      </c>
      <c r="BC373" s="27" t="n">
        <f aca="false">MIN(AQ372*(1+J$8),J$9)</f>
        <v>0</v>
      </c>
      <c r="BD373" s="27" t="n">
        <f aca="false">MIN(AR372*(1+K$8),K$9)</f>
        <v>0</v>
      </c>
      <c r="BE373" s="27" t="n">
        <f aca="false">MIN(AI372*(1+B$8),MAX(AU373,$B$12-SUM(AV373:BD373)))</f>
        <v>0</v>
      </c>
      <c r="BF373" s="27" t="n">
        <f aca="false">MIN(AJ372*(1+C$8),MAX(AV373,$B$12-SUM(BE373:BE373)-SUM(AW373:BD373)))</f>
        <v>0</v>
      </c>
      <c r="BG373" s="27" t="n">
        <f aca="false">MIN(AK372*(1+D$8),MAX(AW373,$B$12-SUM(BE373:BF373)-SUM(AX373:BD373)))</f>
        <v>0</v>
      </c>
      <c r="BH373" s="27" t="n">
        <f aca="false">MIN(AL372*(1+E$8),MAX(AX373,$B$12-SUM(BE373:BG373)-SUM(AY373:BD373)))</f>
        <v>0</v>
      </c>
      <c r="BI373" s="27" t="n">
        <f aca="false">MIN(AM372*(1+F$8),MAX(AY373,$B$12-SUM(BE373:BH373)-SUM(AZ373:BD373)))</f>
        <v>0</v>
      </c>
      <c r="BJ373" s="27" t="n">
        <f aca="false">MIN(AN372*(1+G$8),MAX(AZ373,$B$12-SUM(BE373:BI373)-SUM(BA373:BD373)))</f>
        <v>0</v>
      </c>
      <c r="BK373" s="27" t="n">
        <f aca="false">MIN(AO372*(1+H$8),MAX(BA373,$B$12-SUM(BE373:BJ373)-SUM(BB373:BD373)))</f>
        <v>0</v>
      </c>
      <c r="BL373" s="27" t="n">
        <f aca="false">MIN(AP372*(1+I$8),MAX(BB373,$B$12-SUM(BE373:BK373)-SUM(BC373:BD373)))</f>
        <v>0</v>
      </c>
      <c r="BM373" s="27" t="n">
        <f aca="false">MIN(AQ372*(1+J$8),MAX(BC373,$B$12-SUM(BE373:BL373)-SUM(BD373:BD373)))</f>
        <v>0</v>
      </c>
      <c r="BN373" s="27" t="n">
        <f aca="false">MIN(AR372*(1+K$8),MAX(BD373,$B$12-SUM(BE373:BM373)))</f>
        <v>0</v>
      </c>
    </row>
    <row r="374" customFormat="false" ht="15" hidden="false" customHeight="false" outlineLevel="0" collapsed="false">
      <c r="A374" s="0" t="n">
        <v>360</v>
      </c>
      <c r="B374" s="27" t="n">
        <f aca="false">ROUND(MAX(0,B373*(1+B$8)-X374),2)</f>
        <v>0</v>
      </c>
      <c r="C374" s="27" t="n">
        <f aca="false">ROUND(MAX(0,C373*(1+C$8)-Y374),2)</f>
        <v>0</v>
      </c>
      <c r="D374" s="27" t="n">
        <f aca="false">ROUND(MAX(0,D373*(1+D$8)-Z374),2)</f>
        <v>0</v>
      </c>
      <c r="E374" s="27" t="n">
        <f aca="false">ROUND(MAX(0,E373*(1+E$8)-AA374),2)</f>
        <v>0</v>
      </c>
      <c r="F374" s="27" t="n">
        <f aca="false">ROUND(MAX(0,F373*(1+F$8)-AB374),2)</f>
        <v>0</v>
      </c>
      <c r="G374" s="27" t="n">
        <f aca="false">ROUND(MAX(0,G373*(1+G$8)-AC374),2)</f>
        <v>0</v>
      </c>
      <c r="H374" s="27" t="n">
        <f aca="false">ROUND(MAX(0,H373*(1+H$8)-AD374),2)</f>
        <v>0</v>
      </c>
      <c r="I374" s="27" t="n">
        <f aca="false">ROUND(MAX(0,I373*(1+I$8)-AE374),2)</f>
        <v>0</v>
      </c>
      <c r="J374" s="27" t="n">
        <f aca="false">ROUND(MAX(0,J373*(1+J$8)-AF374),2)</f>
        <v>0</v>
      </c>
      <c r="K374" s="27" t="n">
        <f aca="false">ROUND(MAX(0,K373*(1+K$8)-AG374),2)</f>
        <v>0</v>
      </c>
      <c r="L374" s="30" t="n">
        <f aca="false">SUM(B374:K374)</f>
        <v>0</v>
      </c>
      <c r="M374" s="27" t="n">
        <f aca="false">SUMPRODUCT(B373:K373,$B$8:$K$8)</f>
        <v>0</v>
      </c>
      <c r="N374" s="27" t="n">
        <f aca="false">MIN(B373*(1+B$8),B$9)</f>
        <v>0</v>
      </c>
      <c r="O374" s="27" t="n">
        <f aca="false">MIN(C373*(1+C$8),C$9)</f>
        <v>0</v>
      </c>
      <c r="P374" s="27" t="n">
        <f aca="false">MIN(D373*(1+D$8),D$9)</f>
        <v>0</v>
      </c>
      <c r="Q374" s="27" t="n">
        <f aca="false">MIN(E373*(1+E$8),E$9)</f>
        <v>0</v>
      </c>
      <c r="R374" s="27" t="n">
        <f aca="false">MIN(F373*(1+F$8),F$9)</f>
        <v>0</v>
      </c>
      <c r="S374" s="27" t="n">
        <f aca="false">MIN(G373*(1+G$8),G$9)</f>
        <v>0</v>
      </c>
      <c r="T374" s="27" t="n">
        <f aca="false">MIN(H373*(1+H$8),H$9)</f>
        <v>0</v>
      </c>
      <c r="U374" s="27" t="n">
        <f aca="false">MIN(I373*(1+I$8),I$9)</f>
        <v>0</v>
      </c>
      <c r="V374" s="27" t="n">
        <f aca="false">MIN(J373*(1+J$8),J$9)</f>
        <v>0</v>
      </c>
      <c r="W374" s="27" t="n">
        <f aca="false">MIN(K373*(1+K$8),K$9)</f>
        <v>0</v>
      </c>
      <c r="X374" s="27" t="n">
        <f aca="false">MIN(B373*(1+B$8),MAX(N374,$B$11-SUM(O374:W374)))</f>
        <v>0</v>
      </c>
      <c r="Y374" s="27" t="n">
        <f aca="false">MIN(C373*(1+C$8),MAX(O374,$B$11-SUM(X374:X374)-SUM(P374:W374)))</f>
        <v>0</v>
      </c>
      <c r="Z374" s="27" t="n">
        <f aca="false">MIN(D373*(1+D$8),MAX(P374,$B$11-SUM(X374:Y374)-SUM(Q374:W374)))</f>
        <v>0</v>
      </c>
      <c r="AA374" s="27" t="n">
        <f aca="false">MIN(E373*(1+E$8),MAX(Q374,$B$11-SUM(X374:Z374)-SUM(R374:W374)))</f>
        <v>0</v>
      </c>
      <c r="AB374" s="27" t="n">
        <f aca="false">MIN(F373*(1+F$8),MAX(R374,$B$11-SUM(X374:AA374)-SUM(S374:W374)))</f>
        <v>0</v>
      </c>
      <c r="AC374" s="27" t="n">
        <f aca="false">MIN(G373*(1+G$8),MAX(S374,$B$11-SUM(X374:AB374)-SUM(T374:W374)))</f>
        <v>0</v>
      </c>
      <c r="AD374" s="27" t="n">
        <f aca="false">MIN(H373*(1+H$8),MAX(T374,$B$11-SUM(X374:AC374)-SUM(U374:W374)))</f>
        <v>0</v>
      </c>
      <c r="AE374" s="27" t="n">
        <f aca="false">MIN(I373*(1+I$8),MAX(U374,$B$11-SUM(X374:AD374)-SUM(V374:W374)))</f>
        <v>0</v>
      </c>
      <c r="AF374" s="27" t="n">
        <f aca="false">MIN(J373*(1+J$8),MAX(V374,$B$11-SUM(X374:AE374)-SUM(W374:W374)))</f>
        <v>0</v>
      </c>
      <c r="AG374" s="27" t="n">
        <f aca="false">MIN(K373*(1+K$8),MAX(W374,$B$11-SUM(X374:AF374)))</f>
        <v>0</v>
      </c>
      <c r="AI374" s="27" t="n">
        <f aca="false">ROUND(MAX(0,AI373*(1+B$8)-BE374),2)</f>
        <v>0</v>
      </c>
      <c r="AJ374" s="27" t="n">
        <f aca="false">ROUND(MAX(0,AJ373*(1+C$8)-BF374),2)</f>
        <v>0</v>
      </c>
      <c r="AK374" s="27" t="n">
        <f aca="false">ROUND(MAX(0,AK373*(1+D$8)-BG374),2)</f>
        <v>0</v>
      </c>
      <c r="AL374" s="27" t="n">
        <f aca="false">ROUND(MAX(0,AL373*(1+E$8)-BH374),2)</f>
        <v>0</v>
      </c>
      <c r="AM374" s="27" t="n">
        <f aca="false">ROUND(MAX(0,AM373*(1+F$8)-BI374),2)</f>
        <v>0</v>
      </c>
      <c r="AN374" s="27" t="n">
        <f aca="false">ROUND(MAX(0,AN373*(1+G$8)-BJ374),2)</f>
        <v>0</v>
      </c>
      <c r="AO374" s="27" t="n">
        <f aca="false">ROUND(MAX(0,AO373*(1+H$8)-BK374),2)</f>
        <v>0</v>
      </c>
      <c r="AP374" s="27" t="n">
        <f aca="false">ROUND(MAX(0,AP373*(1+I$8)-BL374),2)</f>
        <v>0</v>
      </c>
      <c r="AQ374" s="27" t="n">
        <f aca="false">ROUND(MAX(0,AQ373*(1+J$8)-BM374),2)</f>
        <v>0</v>
      </c>
      <c r="AR374" s="27" t="n">
        <f aca="false">ROUND(MAX(0,AR373*(1+K$8)-BN374),2)</f>
        <v>0</v>
      </c>
      <c r="AS374" s="27" t="n">
        <f aca="false">SUM(AI374:AR374)</f>
        <v>0</v>
      </c>
      <c r="AT374" s="27" t="n">
        <f aca="false">SUMPRODUCT(AI373:AR373,$B$8:$K$8)</f>
        <v>0</v>
      </c>
      <c r="AU374" s="27" t="n">
        <f aca="false">MIN(AI373*(1+B$8),B$9)</f>
        <v>0</v>
      </c>
      <c r="AV374" s="27" t="n">
        <f aca="false">MIN(AJ373*(1+C$8),C$9)</f>
        <v>0</v>
      </c>
      <c r="AW374" s="27" t="n">
        <f aca="false">MIN(AK373*(1+D$8),D$9)</f>
        <v>0</v>
      </c>
      <c r="AX374" s="27" t="n">
        <f aca="false">MIN(AL373*(1+E$8),E$9)</f>
        <v>0</v>
      </c>
      <c r="AY374" s="27" t="n">
        <f aca="false">MIN(AM373*(1+F$8),F$9)</f>
        <v>0</v>
      </c>
      <c r="AZ374" s="27" t="n">
        <f aca="false">MIN(AN373*(1+G$8),G$9)</f>
        <v>0</v>
      </c>
      <c r="BA374" s="27" t="n">
        <f aca="false">MIN(AO373*(1+H$8),H$9)</f>
        <v>0</v>
      </c>
      <c r="BB374" s="27" t="n">
        <f aca="false">MIN(AP373*(1+I$8),I$9)</f>
        <v>0</v>
      </c>
      <c r="BC374" s="27" t="n">
        <f aca="false">MIN(AQ373*(1+J$8),J$9)</f>
        <v>0</v>
      </c>
      <c r="BD374" s="27" t="n">
        <f aca="false">MIN(AR373*(1+K$8),K$9)</f>
        <v>0</v>
      </c>
      <c r="BE374" s="27" t="n">
        <f aca="false">MIN(AI373*(1+B$8),MAX(AU374,$B$12-SUM(AV374:BD374)))</f>
        <v>0</v>
      </c>
      <c r="BF374" s="27" t="n">
        <f aca="false">MIN(AJ373*(1+C$8),MAX(AV374,$B$12-SUM(BE374:BE374)-SUM(AW374:BD374)))</f>
        <v>0</v>
      </c>
      <c r="BG374" s="27" t="n">
        <f aca="false">MIN(AK373*(1+D$8),MAX(AW374,$B$12-SUM(BE374:BF374)-SUM(AX374:BD374)))</f>
        <v>0</v>
      </c>
      <c r="BH374" s="27" t="n">
        <f aca="false">MIN(AL373*(1+E$8),MAX(AX374,$B$12-SUM(BE374:BG374)-SUM(AY374:BD374)))</f>
        <v>0</v>
      </c>
      <c r="BI374" s="27" t="n">
        <f aca="false">MIN(AM373*(1+F$8),MAX(AY374,$B$12-SUM(BE374:BH374)-SUM(AZ374:BD374)))</f>
        <v>0</v>
      </c>
      <c r="BJ374" s="27" t="n">
        <f aca="false">MIN(AN373*(1+G$8),MAX(AZ374,$B$12-SUM(BE374:BI374)-SUM(BA374:BD374)))</f>
        <v>0</v>
      </c>
      <c r="BK374" s="27" t="n">
        <f aca="false">MIN(AO373*(1+H$8),MAX(BA374,$B$12-SUM(BE374:BJ374)-SUM(BB374:BD374)))</f>
        <v>0</v>
      </c>
      <c r="BL374" s="27" t="n">
        <f aca="false">MIN(AP373*(1+I$8),MAX(BB374,$B$12-SUM(BE374:BK374)-SUM(BC374:BD374)))</f>
        <v>0</v>
      </c>
      <c r="BM374" s="27" t="n">
        <f aca="false">MIN(AQ373*(1+J$8),MAX(BC374,$B$12-SUM(BE374:BL374)-SUM(BD374:BD374)))</f>
        <v>0</v>
      </c>
      <c r="BN374" s="27" t="n">
        <f aca="false">MIN(AR373*(1+K$8),MAX(BD374,$B$12-SUM(BE374:BM374)))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N3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4" topLeftCell="B15" activePane="bottomRight" state="frozen"/>
      <selection pane="topLeft" activeCell="A1" activeCellId="0" sqref="A1"/>
      <selection pane="topRight" activeCell="B1" activeCellId="0" sqref="B1"/>
      <selection pane="bottomLeft" activeCell="A15" activeCellId="0" sqref="A1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6" min="2" style="0" width="11"/>
  </cols>
  <sheetData>
    <row r="1" customFormat="false" ht="15" hidden="false" customHeight="false" outlineLevel="0" collapsed="false">
      <c r="A1" s="16" t="s">
        <v>146</v>
      </c>
    </row>
    <row r="2" customFormat="false" ht="15" hidden="false" customHeight="false" outlineLevel="0" collapsed="false">
      <c r="A2" s="4" t="s">
        <v>69</v>
      </c>
      <c r="B2" s="4" t="n">
        <v>1</v>
      </c>
      <c r="C2" s="4" t="n">
        <v>2</v>
      </c>
      <c r="D2" s="4" t="n">
        <v>3</v>
      </c>
      <c r="E2" s="4" t="n">
        <v>4</v>
      </c>
      <c r="F2" s="4" t="n">
        <v>5</v>
      </c>
      <c r="G2" s="4" t="n">
        <v>6</v>
      </c>
      <c r="H2" s="4" t="n">
        <v>7</v>
      </c>
      <c r="I2" s="4" t="n">
        <v>8</v>
      </c>
      <c r="J2" s="4" t="n">
        <v>9</v>
      </c>
      <c r="K2" s="4" t="n">
        <v>10</v>
      </c>
      <c r="N2" s="4" t="s">
        <v>70</v>
      </c>
      <c r="O2" s="25" t="n">
        <f aca="false">IF($L$14&lt;=0,0,IFERROR(MATCH(0,$L$15:$L$374,0),999))</f>
        <v>30</v>
      </c>
    </row>
    <row r="3" customFormat="false" ht="15" hidden="false" customHeight="false" outlineLevel="0" collapsed="false">
      <c r="A3" s="4" t="s">
        <v>71</v>
      </c>
      <c r="B3" s="26" t="n">
        <f aca="false">IF(N('My Debts'!C7)&lt;=0,9000000000+COLUMN(),10-N('My Debts'!D7)+COLUMN()/100000)</f>
        <v>9.72102</v>
      </c>
      <c r="C3" s="26" t="n">
        <f aca="false">IF(N('My Debts'!C8)&lt;=0,9000000000+COLUMN(),10-N('My Debts'!D8)+COLUMN()/100000)</f>
        <v>10.00003</v>
      </c>
      <c r="D3" s="26" t="n">
        <f aca="false">IF(N('My Debts'!C9)&lt;=0,9000000000+COLUMN(),10-N('My Debts'!D9)+COLUMN()/100000)</f>
        <v>9.75404</v>
      </c>
      <c r="E3" s="26" t="n">
        <f aca="false">IF(N('My Debts'!C10)&lt;=0,9000000000+COLUMN(),10-N('My Debts'!D10)+COLUMN()/100000)</f>
        <v>9.78105</v>
      </c>
      <c r="F3" s="26" t="n">
        <f aca="false">IF(N('My Debts'!C11)&lt;=0,9000000000+COLUMN(),10-N('My Debts'!D11)+COLUMN()/100000)</f>
        <v>9.93106</v>
      </c>
      <c r="G3" s="26" t="n">
        <f aca="false">IF(N('My Debts'!C12)&lt;=0,9000000000+COLUMN(),10-N('My Debts'!D12)+COLUMN()/100000)</f>
        <v>9000000007</v>
      </c>
      <c r="H3" s="26" t="n">
        <f aca="false">IF(N('My Debts'!C13)&lt;=0,9000000000+COLUMN(),10-N('My Debts'!D13)+COLUMN()/100000)</f>
        <v>9000000008</v>
      </c>
      <c r="I3" s="26" t="n">
        <f aca="false">IF(N('My Debts'!C14)&lt;=0,9000000000+COLUMN(),10-N('My Debts'!D14)+COLUMN()/100000)</f>
        <v>9000000009</v>
      </c>
      <c r="J3" s="26" t="n">
        <f aca="false">IF(N('My Debts'!C15)&lt;=0,9000000000+COLUMN(),10-N('My Debts'!D15)+COLUMN()/100000)</f>
        <v>9000000010</v>
      </c>
      <c r="K3" s="26" t="n">
        <f aca="false">IF(N('My Debts'!C16)&lt;=0,9000000000+COLUMN(),10-N('My Debts'!D16)+COLUMN()/100000)</f>
        <v>9000000011</v>
      </c>
      <c r="N3" s="4" t="s">
        <v>72</v>
      </c>
      <c r="O3" s="25" t="n">
        <f aca="false">SUM($M$15:$M$374)</f>
        <v>3163.8753425</v>
      </c>
    </row>
    <row r="4" customFormat="false" ht="15" hidden="false" customHeight="false" outlineLevel="0" collapsed="false">
      <c r="A4" s="4" t="s">
        <v>73</v>
      </c>
      <c r="B4" s="26" t="n">
        <f aca="false">MATCH(SMALL($B$3:$K$3,B$2),$B$3:$K$3,0)</f>
        <v>1</v>
      </c>
      <c r="C4" s="26" t="n">
        <f aca="false">MATCH(SMALL($B$3:$K$3,C$2),$B$3:$K$3,0)</f>
        <v>3</v>
      </c>
      <c r="D4" s="26" t="n">
        <f aca="false">MATCH(SMALL($B$3:$K$3,D$2),$B$3:$K$3,0)</f>
        <v>4</v>
      </c>
      <c r="E4" s="26" t="n">
        <f aca="false">MATCH(SMALL($B$3:$K$3,E$2),$B$3:$K$3,0)</f>
        <v>5</v>
      </c>
      <c r="F4" s="26" t="n">
        <f aca="false">MATCH(SMALL($B$3:$K$3,F$2),$B$3:$K$3,0)</f>
        <v>2</v>
      </c>
      <c r="G4" s="26" t="n">
        <f aca="false">MATCH(SMALL($B$3:$K$3,G$2),$B$3:$K$3,0)</f>
        <v>6</v>
      </c>
      <c r="H4" s="26" t="n">
        <f aca="false">MATCH(SMALL($B$3:$K$3,H$2),$B$3:$K$3,0)</f>
        <v>7</v>
      </c>
      <c r="I4" s="26" t="n">
        <f aca="false">MATCH(SMALL($B$3:$K$3,I$2),$B$3:$K$3,0)</f>
        <v>8</v>
      </c>
      <c r="J4" s="26" t="n">
        <f aca="false">MATCH(SMALL($B$3:$K$3,J$2),$B$3:$K$3,0)</f>
        <v>9</v>
      </c>
      <c r="K4" s="26" t="n">
        <f aca="false">MATCH(SMALL($B$3:$K$3,K$2),$B$3:$K$3,0)</f>
        <v>10</v>
      </c>
      <c r="N4" s="4" t="s">
        <v>74</v>
      </c>
      <c r="O4" s="25" t="n">
        <f aca="false">IF($L$14&lt;=0,0,IFERROR(MATCH(0,$AS$15:$AS$374,0),999))</f>
        <v>42</v>
      </c>
    </row>
    <row r="5" customFormat="false" ht="15" hidden="false" customHeight="false" outlineLevel="0" collapsed="false">
      <c r="A5" s="4" t="s">
        <v>75</v>
      </c>
      <c r="B5" s="27" t="n">
        <f aca="false">ROUND(MAX(0,N(INDEX('My Debts'!$C$7:$C$16,B$4))),2)</f>
        <v>640</v>
      </c>
      <c r="C5" s="27" t="n">
        <f aca="false">ROUND(MAX(0,N(INDEX('My Debts'!$C$7:$C$16,C$4))),2)</f>
        <v>2850</v>
      </c>
      <c r="D5" s="27" t="n">
        <f aca="false">ROUND(MAX(0,N(INDEX('My Debts'!$C$7:$C$16,D$4))),2)</f>
        <v>4100</v>
      </c>
      <c r="E5" s="27" t="n">
        <f aca="false">ROUND(MAX(0,N(INDEX('My Debts'!$C$7:$C$16,E$4))),2)</f>
        <v>9400</v>
      </c>
      <c r="F5" s="27" t="n">
        <f aca="false">ROUND(MAX(0,N(INDEX('My Debts'!$C$7:$C$16,F$4))),2)</f>
        <v>1200</v>
      </c>
      <c r="G5" s="27" t="n">
        <f aca="false">ROUND(MAX(0,N(INDEX('My Debts'!$C$7:$C$16,G$4))),2)</f>
        <v>0</v>
      </c>
      <c r="H5" s="27" t="n">
        <f aca="false">ROUND(MAX(0,N(INDEX('My Debts'!$C$7:$C$16,H$4))),2)</f>
        <v>0</v>
      </c>
      <c r="I5" s="27" t="n">
        <f aca="false">ROUND(MAX(0,N(INDEX('My Debts'!$C$7:$C$16,I$4))),2)</f>
        <v>0</v>
      </c>
      <c r="J5" s="27" t="n">
        <f aca="false">ROUND(MAX(0,N(INDEX('My Debts'!$C$7:$C$16,J$4))),2)</f>
        <v>0</v>
      </c>
      <c r="K5" s="27" t="n">
        <f aca="false">ROUND(MAX(0,N(INDEX('My Debts'!$C$7:$C$16,K$4))),2)</f>
        <v>0</v>
      </c>
      <c r="N5" s="4" t="s">
        <v>76</v>
      </c>
      <c r="O5" s="25" t="n">
        <f aca="false">SUM($AT$15:$AT$374)</f>
        <v>5459.5686975</v>
      </c>
    </row>
    <row r="6" customFormat="false" ht="15" hidden="false" customHeight="false" outlineLevel="0" collapsed="false">
      <c r="A6" s="4" t="s">
        <v>62</v>
      </c>
      <c r="B6" s="0" t="str">
        <f aca="false">IF(B$5&lt;=0,"",T(INDEX('My Debts'!$B$7:$B$16,B$4)))</f>
        <v>Store card</v>
      </c>
      <c r="C6" s="0" t="str">
        <f aca="false">IF(C$5&lt;=0,"",T(INDEX('My Debts'!$B$7:$B$16,C$4)))</f>
        <v>Credit card A</v>
      </c>
      <c r="D6" s="0" t="str">
        <f aca="false">IF(D$5&lt;=0,"",T(INDEX('My Debts'!$B$7:$B$16,D$4)))</f>
        <v>Credit card B</v>
      </c>
      <c r="E6" s="0" t="str">
        <f aca="false">IF(E$5&lt;=0,"",T(INDEX('My Debts'!$B$7:$B$16,E$4)))</f>
        <v>Car loan</v>
      </c>
      <c r="F6" s="0" t="str">
        <f aca="false">IF(F$5&lt;=0,"",T(INDEX('My Debts'!$B$7:$B$16,F$4)))</f>
        <v>Medical bill</v>
      </c>
      <c r="G6" s="0" t="str">
        <f aca="false">IF(G$5&lt;=0,"",T(INDEX('My Debts'!$B$7:$B$16,G$4)))</f>
        <v/>
      </c>
      <c r="H6" s="0" t="str">
        <f aca="false">IF(H$5&lt;=0,"",T(INDEX('My Debts'!$B$7:$B$16,H$4)))</f>
        <v/>
      </c>
      <c r="I6" s="0" t="str">
        <f aca="false">IF(I$5&lt;=0,"",T(INDEX('My Debts'!$B$7:$B$16,I$4)))</f>
        <v/>
      </c>
      <c r="J6" s="0" t="str">
        <f aca="false">IF(J$5&lt;=0,"",T(INDEX('My Debts'!$B$7:$B$16,J$4)))</f>
        <v/>
      </c>
      <c r="K6" s="0" t="str">
        <f aca="false">IF(K$5&lt;=0,"",T(INDEX('My Debts'!$B$7:$B$16,K$4)))</f>
        <v/>
      </c>
    </row>
    <row r="7" customFormat="false" ht="15" hidden="false" customHeight="false" outlineLevel="0" collapsed="false">
      <c r="A7" s="4" t="s">
        <v>29</v>
      </c>
      <c r="B7" s="28" t="n">
        <f aca="false">IF(B$5&lt;=0,0,MAX(0,N(INDEX('My Debts'!$D$7:$D$16,B$4))))</f>
        <v>0.279</v>
      </c>
      <c r="C7" s="28" t="n">
        <f aca="false">IF(C$5&lt;=0,0,MAX(0,N(INDEX('My Debts'!$D$7:$D$16,C$4))))</f>
        <v>0.246</v>
      </c>
      <c r="D7" s="28" t="n">
        <f aca="false">IF(D$5&lt;=0,0,MAX(0,N(INDEX('My Debts'!$D$7:$D$16,D$4))))</f>
        <v>0.219</v>
      </c>
      <c r="E7" s="28" t="n">
        <f aca="false">IF(E$5&lt;=0,0,MAX(0,N(INDEX('My Debts'!$D$7:$D$16,E$4))))</f>
        <v>0.069</v>
      </c>
      <c r="F7" s="28" t="n">
        <f aca="false">IF(F$5&lt;=0,0,MAX(0,N(INDEX('My Debts'!$D$7:$D$16,F$4))))</f>
        <v>0</v>
      </c>
      <c r="G7" s="28" t="n">
        <f aca="false">IF(G$5&lt;=0,0,MAX(0,N(INDEX('My Debts'!$D$7:$D$16,G$4))))</f>
        <v>0</v>
      </c>
      <c r="H7" s="28" t="n">
        <f aca="false">IF(H$5&lt;=0,0,MAX(0,N(INDEX('My Debts'!$D$7:$D$16,H$4))))</f>
        <v>0</v>
      </c>
      <c r="I7" s="28" t="n">
        <f aca="false">IF(I$5&lt;=0,0,MAX(0,N(INDEX('My Debts'!$D$7:$D$16,I$4))))</f>
        <v>0</v>
      </c>
      <c r="J7" s="28" t="n">
        <f aca="false">IF(J$5&lt;=0,0,MAX(0,N(INDEX('My Debts'!$D$7:$D$16,J$4))))</f>
        <v>0</v>
      </c>
      <c r="K7" s="28" t="n">
        <f aca="false">IF(K$5&lt;=0,0,MAX(0,N(INDEX('My Debts'!$D$7:$D$16,K$4))))</f>
        <v>0</v>
      </c>
    </row>
    <row r="8" customFormat="false" ht="15" hidden="false" customHeight="false" outlineLevel="0" collapsed="false">
      <c r="A8" s="4" t="s">
        <v>77</v>
      </c>
      <c r="B8" s="29" t="n">
        <f aca="false">B$7/12</f>
        <v>0.02325</v>
      </c>
      <c r="C8" s="29" t="n">
        <f aca="false">C$7/12</f>
        <v>0.0205</v>
      </c>
      <c r="D8" s="29" t="n">
        <f aca="false">D$7/12</f>
        <v>0.01825</v>
      </c>
      <c r="E8" s="29" t="n">
        <f aca="false">E$7/12</f>
        <v>0.00575</v>
      </c>
      <c r="F8" s="29" t="n">
        <f aca="false">F$7/12</f>
        <v>0</v>
      </c>
      <c r="G8" s="29" t="n">
        <f aca="false">G$7/12</f>
        <v>0</v>
      </c>
      <c r="H8" s="29" t="n">
        <f aca="false">H$7/12</f>
        <v>0</v>
      </c>
      <c r="I8" s="29" t="n">
        <f aca="false">I$7/12</f>
        <v>0</v>
      </c>
      <c r="J8" s="29" t="n">
        <f aca="false">J$7/12</f>
        <v>0</v>
      </c>
      <c r="K8" s="29" t="n">
        <f aca="false">K$7/12</f>
        <v>0</v>
      </c>
    </row>
    <row r="9" customFormat="false" ht="15" hidden="false" customHeight="false" outlineLevel="0" collapsed="false">
      <c r="A9" s="4" t="s">
        <v>30</v>
      </c>
      <c r="B9" s="27" t="n">
        <f aca="false">IF(B$5&lt;=0,0,MAX(0,N(INDEX('My Debts'!$E$7:$E$16,B$4))))</f>
        <v>35</v>
      </c>
      <c r="C9" s="27" t="n">
        <f aca="false">IF(C$5&lt;=0,0,MAX(0,N(INDEX('My Debts'!$E$7:$E$16,C$4))))</f>
        <v>75</v>
      </c>
      <c r="D9" s="27" t="n">
        <f aca="false">IF(D$5&lt;=0,0,MAX(0,N(INDEX('My Debts'!$E$7:$E$16,D$4))))</f>
        <v>95</v>
      </c>
      <c r="E9" s="27" t="n">
        <f aca="false">IF(E$5&lt;=0,0,MAX(0,N(INDEX('My Debts'!$E$7:$E$16,E$4))))</f>
        <v>310</v>
      </c>
      <c r="F9" s="27" t="n">
        <f aca="false">IF(F$5&lt;=0,0,MAX(0,N(INDEX('My Debts'!$E$7:$E$16,F$4))))</f>
        <v>50</v>
      </c>
      <c r="G9" s="27" t="n">
        <f aca="false">IF(G$5&lt;=0,0,MAX(0,N(INDEX('My Debts'!$E$7:$E$16,G$4))))</f>
        <v>0</v>
      </c>
      <c r="H9" s="27" t="n">
        <f aca="false">IF(H$5&lt;=0,0,MAX(0,N(INDEX('My Debts'!$E$7:$E$16,H$4))))</f>
        <v>0</v>
      </c>
      <c r="I9" s="27" t="n">
        <f aca="false">IF(I$5&lt;=0,0,MAX(0,N(INDEX('My Debts'!$E$7:$E$16,I$4))))</f>
        <v>0</v>
      </c>
      <c r="J9" s="27" t="n">
        <f aca="false">IF(J$5&lt;=0,0,MAX(0,N(INDEX('My Debts'!$E$7:$E$16,J$4))))</f>
        <v>0</v>
      </c>
      <c r="K9" s="27" t="n">
        <f aca="false">IF(K$5&lt;=0,0,MAX(0,N(INDEX('My Debts'!$E$7:$E$16,K$4))))</f>
        <v>0</v>
      </c>
    </row>
    <row r="10" customFormat="false" ht="15" hidden="false" customHeight="false" outlineLevel="0" collapsed="false">
      <c r="A10" s="4" t="s">
        <v>78</v>
      </c>
      <c r="B10" s="26" t="n">
        <f aca="false">IF(B$5&lt;=0,"",IFERROR(MATCH(0,B$15:B$374,0),999))</f>
        <v>4</v>
      </c>
      <c r="C10" s="26" t="n">
        <f aca="false">IF(C$5&lt;=0,"",IFERROR(MATCH(0,C$15:C$374,0),999))</f>
        <v>16</v>
      </c>
      <c r="D10" s="26" t="n">
        <f aca="false">IF(D$5&lt;=0,"",IFERROR(MATCH(0,D$15:D$374,0),999))</f>
        <v>28</v>
      </c>
      <c r="E10" s="26" t="n">
        <f aca="false">IF(E$5&lt;=0,"",IFERROR(MATCH(0,E$15:E$374,0),999))</f>
        <v>30</v>
      </c>
      <c r="F10" s="26" t="n">
        <f aca="false">IF(F$5&lt;=0,"",IFERROR(MATCH(0,F$15:F$374,0),999))</f>
        <v>24</v>
      </c>
      <c r="G10" s="0" t="str">
        <f aca="false">IF(G$5&lt;=0,"",IFERROR(MATCH(0,G$15:G$374,0),999))</f>
        <v/>
      </c>
      <c r="H10" s="0" t="str">
        <f aca="false">IF(H$5&lt;=0,"",IFERROR(MATCH(0,H$15:H$374,0),999))</f>
        <v/>
      </c>
      <c r="I10" s="0" t="str">
        <f aca="false">IF(I$5&lt;=0,"",IFERROR(MATCH(0,I$15:I$374,0),999))</f>
        <v/>
      </c>
      <c r="J10" s="0" t="str">
        <f aca="false">IF(J$5&lt;=0,"",IFERROR(MATCH(0,J$15:J$374,0),999))</f>
        <v/>
      </c>
      <c r="K10" s="0" t="str">
        <f aca="false">IF(K$5&lt;=0,"",IFERROR(MATCH(0,K$15:K$374,0),999))</f>
        <v/>
      </c>
    </row>
    <row r="11" customFormat="false" ht="15" hidden="false" customHeight="false" outlineLevel="0" collapsed="false">
      <c r="A11" s="4" t="s">
        <v>79</v>
      </c>
      <c r="B11" s="30" t="n">
        <f aca="false">MAX(0,N('My Debts'!$E$4))+SUM($B$9:$K$9)</f>
        <v>715</v>
      </c>
    </row>
    <row r="12" customFormat="false" ht="15" hidden="false" customHeight="false" outlineLevel="0" collapsed="false">
      <c r="A12" s="4" t="s">
        <v>80</v>
      </c>
      <c r="B12" s="30" t="n">
        <f aca="false">SUM($B$9:$K$9)</f>
        <v>565</v>
      </c>
    </row>
    <row r="13" customFormat="false" ht="15" hidden="false" customHeight="false" outlineLevel="0" collapsed="false">
      <c r="A13" s="31" t="s">
        <v>81</v>
      </c>
      <c r="B13" s="31" t="s">
        <v>82</v>
      </c>
      <c r="C13" s="31" t="s">
        <v>83</v>
      </c>
      <c r="D13" s="31" t="s">
        <v>84</v>
      </c>
      <c r="E13" s="31" t="s">
        <v>85</v>
      </c>
      <c r="F13" s="31" t="s">
        <v>86</v>
      </c>
      <c r="G13" s="31" t="s">
        <v>87</v>
      </c>
      <c r="H13" s="31" t="s">
        <v>88</v>
      </c>
      <c r="I13" s="31" t="s">
        <v>89</v>
      </c>
      <c r="J13" s="31" t="s">
        <v>90</v>
      </c>
      <c r="K13" s="31" t="s">
        <v>91</v>
      </c>
      <c r="L13" s="31" t="s">
        <v>92</v>
      </c>
      <c r="M13" s="31" t="s">
        <v>93</v>
      </c>
      <c r="N13" s="31" t="s">
        <v>94</v>
      </c>
      <c r="O13" s="31" t="s">
        <v>95</v>
      </c>
      <c r="P13" s="31" t="s">
        <v>96</v>
      </c>
      <c r="Q13" s="31" t="s">
        <v>97</v>
      </c>
      <c r="R13" s="31" t="s">
        <v>98</v>
      </c>
      <c r="S13" s="31" t="s">
        <v>99</v>
      </c>
      <c r="T13" s="31" t="s">
        <v>100</v>
      </c>
      <c r="U13" s="31" t="s">
        <v>101</v>
      </c>
      <c r="V13" s="31" t="s">
        <v>102</v>
      </c>
      <c r="W13" s="31" t="s">
        <v>103</v>
      </c>
      <c r="X13" s="31" t="s">
        <v>104</v>
      </c>
      <c r="Y13" s="31" t="s">
        <v>105</v>
      </c>
      <c r="Z13" s="31" t="s">
        <v>106</v>
      </c>
      <c r="AA13" s="31" t="s">
        <v>107</v>
      </c>
      <c r="AB13" s="31" t="s">
        <v>108</v>
      </c>
      <c r="AC13" s="31" t="s">
        <v>109</v>
      </c>
      <c r="AD13" s="31" t="s">
        <v>110</v>
      </c>
      <c r="AE13" s="31" t="s">
        <v>111</v>
      </c>
      <c r="AF13" s="31" t="s">
        <v>112</v>
      </c>
      <c r="AG13" s="31" t="s">
        <v>113</v>
      </c>
      <c r="AI13" s="31" t="s">
        <v>114</v>
      </c>
      <c r="AJ13" s="31" t="s">
        <v>115</v>
      </c>
      <c r="AK13" s="31" t="s">
        <v>116</v>
      </c>
      <c r="AL13" s="31" t="s">
        <v>117</v>
      </c>
      <c r="AM13" s="31" t="s">
        <v>118</v>
      </c>
      <c r="AN13" s="31" t="s">
        <v>119</v>
      </c>
      <c r="AO13" s="31" t="s">
        <v>120</v>
      </c>
      <c r="AP13" s="31" t="s">
        <v>121</v>
      </c>
      <c r="AQ13" s="31" t="s">
        <v>122</v>
      </c>
      <c r="AR13" s="31" t="s">
        <v>123</v>
      </c>
      <c r="AS13" s="31" t="s">
        <v>124</v>
      </c>
      <c r="AT13" s="31" t="s">
        <v>125</v>
      </c>
      <c r="AU13" s="31" t="s">
        <v>126</v>
      </c>
      <c r="AV13" s="31" t="s">
        <v>127</v>
      </c>
      <c r="AW13" s="31" t="s">
        <v>128</v>
      </c>
      <c r="AX13" s="31" t="s">
        <v>129</v>
      </c>
      <c r="AY13" s="31" t="s">
        <v>130</v>
      </c>
      <c r="AZ13" s="31" t="s">
        <v>131</v>
      </c>
      <c r="BA13" s="31" t="s">
        <v>132</v>
      </c>
      <c r="BB13" s="31" t="s">
        <v>133</v>
      </c>
      <c r="BC13" s="31" t="s">
        <v>134</v>
      </c>
      <c r="BD13" s="31" t="s">
        <v>135</v>
      </c>
      <c r="BE13" s="31" t="s">
        <v>136</v>
      </c>
      <c r="BF13" s="31" t="s">
        <v>137</v>
      </c>
      <c r="BG13" s="31" t="s">
        <v>138</v>
      </c>
      <c r="BH13" s="31" t="s">
        <v>139</v>
      </c>
      <c r="BI13" s="31" t="s">
        <v>140</v>
      </c>
      <c r="BJ13" s="31" t="s">
        <v>141</v>
      </c>
      <c r="BK13" s="31" t="s">
        <v>142</v>
      </c>
      <c r="BL13" s="31" t="s">
        <v>143</v>
      </c>
      <c r="BM13" s="31" t="s">
        <v>144</v>
      </c>
      <c r="BN13" s="31" t="s">
        <v>145</v>
      </c>
    </row>
    <row r="14" customFormat="false" ht="15" hidden="false" customHeight="false" outlineLevel="0" collapsed="false">
      <c r="A14" s="2" t="n">
        <v>0</v>
      </c>
      <c r="B14" s="27" t="n">
        <f aca="false">B$5</f>
        <v>640</v>
      </c>
      <c r="C14" s="27" t="n">
        <f aca="false">C$5</f>
        <v>2850</v>
      </c>
      <c r="D14" s="27" t="n">
        <f aca="false">D$5</f>
        <v>4100</v>
      </c>
      <c r="E14" s="27" t="n">
        <f aca="false">E$5</f>
        <v>9400</v>
      </c>
      <c r="F14" s="27" t="n">
        <f aca="false">F$5</f>
        <v>1200</v>
      </c>
      <c r="G14" s="27" t="n">
        <f aca="false">G$5</f>
        <v>0</v>
      </c>
      <c r="H14" s="27" t="n">
        <f aca="false">H$5</f>
        <v>0</v>
      </c>
      <c r="I14" s="27" t="n">
        <f aca="false">I$5</f>
        <v>0</v>
      </c>
      <c r="J14" s="27" t="n">
        <f aca="false">J$5</f>
        <v>0</v>
      </c>
      <c r="K14" s="27" t="n">
        <f aca="false">K$5</f>
        <v>0</v>
      </c>
      <c r="L14" s="30" t="n">
        <f aca="false">SUM(B14:K14)</f>
        <v>18190</v>
      </c>
      <c r="AI14" s="27" t="n">
        <f aca="false">B$5</f>
        <v>640</v>
      </c>
      <c r="AJ14" s="27" t="n">
        <f aca="false">C$5</f>
        <v>2850</v>
      </c>
      <c r="AK14" s="27" t="n">
        <f aca="false">D$5</f>
        <v>4100</v>
      </c>
      <c r="AL14" s="27" t="n">
        <f aca="false">E$5</f>
        <v>9400</v>
      </c>
      <c r="AM14" s="27" t="n">
        <f aca="false">F$5</f>
        <v>1200</v>
      </c>
      <c r="AN14" s="27" t="n">
        <f aca="false">G$5</f>
        <v>0</v>
      </c>
      <c r="AO14" s="27" t="n">
        <f aca="false">H$5</f>
        <v>0</v>
      </c>
      <c r="AP14" s="27" t="n">
        <f aca="false">I$5</f>
        <v>0</v>
      </c>
      <c r="AQ14" s="27" t="n">
        <f aca="false">J$5</f>
        <v>0</v>
      </c>
      <c r="AR14" s="27" t="n">
        <f aca="false">K$5</f>
        <v>0</v>
      </c>
      <c r="AS14" s="27" t="n">
        <f aca="false">SUM(AI14:AR14)</f>
        <v>18190</v>
      </c>
    </row>
    <row r="15" customFormat="false" ht="15" hidden="false" customHeight="false" outlineLevel="0" collapsed="false">
      <c r="A15" s="0" t="n">
        <v>1</v>
      </c>
      <c r="B15" s="27" t="n">
        <f aca="false">ROUND(MAX(0,B14*(1+B$8)-X15),2)</f>
        <v>469.88</v>
      </c>
      <c r="C15" s="27" t="n">
        <f aca="false">ROUND(MAX(0,C14*(1+C$8)-Y15),2)</f>
        <v>2833.43</v>
      </c>
      <c r="D15" s="27" t="n">
        <f aca="false">ROUND(MAX(0,D14*(1+D$8)-Z15),2)</f>
        <v>4079.83</v>
      </c>
      <c r="E15" s="27" t="n">
        <f aca="false">ROUND(MAX(0,E14*(1+E$8)-AA15),2)</f>
        <v>9144.05</v>
      </c>
      <c r="F15" s="27" t="n">
        <f aca="false">ROUND(MAX(0,F14*(1+F$8)-AB15),2)</f>
        <v>1150</v>
      </c>
      <c r="G15" s="27" t="n">
        <f aca="false">ROUND(MAX(0,G14*(1+G$8)-AC15),2)</f>
        <v>0</v>
      </c>
      <c r="H15" s="27" t="n">
        <f aca="false">ROUND(MAX(0,H14*(1+H$8)-AD15),2)</f>
        <v>0</v>
      </c>
      <c r="I15" s="27" t="n">
        <f aca="false">ROUND(MAX(0,I14*(1+I$8)-AE15),2)</f>
        <v>0</v>
      </c>
      <c r="J15" s="27" t="n">
        <f aca="false">ROUND(MAX(0,J14*(1+J$8)-AF15),2)</f>
        <v>0</v>
      </c>
      <c r="K15" s="27" t="n">
        <f aca="false">ROUND(MAX(0,K14*(1+K$8)-AG15),2)</f>
        <v>0</v>
      </c>
      <c r="L15" s="30" t="n">
        <f aca="false">SUM(B15:K15)</f>
        <v>17677.19</v>
      </c>
      <c r="M15" s="27" t="n">
        <f aca="false">SUMPRODUCT(B14:K14,$B$8:$K$8)</f>
        <v>202.18</v>
      </c>
      <c r="N15" s="27" t="n">
        <f aca="false">MIN(B14*(1+B$8),B$9)</f>
        <v>35</v>
      </c>
      <c r="O15" s="27" t="n">
        <f aca="false">MIN(C14*(1+C$8),C$9)</f>
        <v>75</v>
      </c>
      <c r="P15" s="27" t="n">
        <f aca="false">MIN(D14*(1+D$8),D$9)</f>
        <v>95</v>
      </c>
      <c r="Q15" s="27" t="n">
        <f aca="false">MIN(E14*(1+E$8),E$9)</f>
        <v>310</v>
      </c>
      <c r="R15" s="27" t="n">
        <f aca="false">MIN(F14*(1+F$8),F$9)</f>
        <v>50</v>
      </c>
      <c r="S15" s="27" t="n">
        <f aca="false">MIN(G14*(1+G$8),G$9)</f>
        <v>0</v>
      </c>
      <c r="T15" s="27" t="n">
        <f aca="false">MIN(H14*(1+H$8),H$9)</f>
        <v>0</v>
      </c>
      <c r="U15" s="27" t="n">
        <f aca="false">MIN(I14*(1+I$8),I$9)</f>
        <v>0</v>
      </c>
      <c r="V15" s="27" t="n">
        <f aca="false">MIN(J14*(1+J$8),J$9)</f>
        <v>0</v>
      </c>
      <c r="W15" s="27" t="n">
        <f aca="false">MIN(K14*(1+K$8),K$9)</f>
        <v>0</v>
      </c>
      <c r="X15" s="27" t="n">
        <f aca="false">MIN(B14*(1+B$8),MAX(N15,$B$11-SUM(O15:W15)))</f>
        <v>185</v>
      </c>
      <c r="Y15" s="27" t="n">
        <f aca="false">MIN(C14*(1+C$8),MAX(O15,$B$11-SUM(X15:X15)-SUM(P15:W15)))</f>
        <v>75</v>
      </c>
      <c r="Z15" s="27" t="n">
        <f aca="false">MIN(D14*(1+D$8),MAX(P15,$B$11-SUM(X15:Y15)-SUM(Q15:W15)))</f>
        <v>95</v>
      </c>
      <c r="AA15" s="27" t="n">
        <f aca="false">MIN(E14*(1+E$8),MAX(Q15,$B$11-SUM(X15:Z15)-SUM(R15:W15)))</f>
        <v>310</v>
      </c>
      <c r="AB15" s="27" t="n">
        <f aca="false">MIN(F14*(1+F$8),MAX(R15,$B$11-SUM(X15:AA15)-SUM(S15:W15)))</f>
        <v>50</v>
      </c>
      <c r="AC15" s="27" t="n">
        <f aca="false">MIN(G14*(1+G$8),MAX(S15,$B$11-SUM(X15:AB15)-SUM(T15:W15)))</f>
        <v>0</v>
      </c>
      <c r="AD15" s="27" t="n">
        <f aca="false">MIN(H14*(1+H$8),MAX(T15,$B$11-SUM(X15:AC15)-SUM(U15:W15)))</f>
        <v>0</v>
      </c>
      <c r="AE15" s="27" t="n">
        <f aca="false">MIN(I14*(1+I$8),MAX(U15,$B$11-SUM(X15:AD15)-SUM(V15:W15)))</f>
        <v>0</v>
      </c>
      <c r="AF15" s="27" t="n">
        <f aca="false">MIN(J14*(1+J$8),MAX(V15,$B$11-SUM(X15:AE15)-SUM(W15:W15)))</f>
        <v>0</v>
      </c>
      <c r="AG15" s="27" t="n">
        <f aca="false">MIN(K14*(1+K$8),MAX(W15,$B$11-SUM(X15:AF15)))</f>
        <v>0</v>
      </c>
      <c r="AI15" s="27" t="n">
        <f aca="false">ROUND(MAX(0,AI14*(1+B$8)-BE15),2)</f>
        <v>619.88</v>
      </c>
      <c r="AJ15" s="27" t="n">
        <f aca="false">ROUND(MAX(0,AJ14*(1+C$8)-BF15),2)</f>
        <v>2833.43</v>
      </c>
      <c r="AK15" s="27" t="n">
        <f aca="false">ROUND(MAX(0,AK14*(1+D$8)-BG15),2)</f>
        <v>4079.83</v>
      </c>
      <c r="AL15" s="27" t="n">
        <f aca="false">ROUND(MAX(0,AL14*(1+E$8)-BH15),2)</f>
        <v>9144.05</v>
      </c>
      <c r="AM15" s="27" t="n">
        <f aca="false">ROUND(MAX(0,AM14*(1+F$8)-BI15),2)</f>
        <v>1150</v>
      </c>
      <c r="AN15" s="27" t="n">
        <f aca="false">ROUND(MAX(0,AN14*(1+G$8)-BJ15),2)</f>
        <v>0</v>
      </c>
      <c r="AO15" s="27" t="n">
        <f aca="false">ROUND(MAX(0,AO14*(1+H$8)-BK15),2)</f>
        <v>0</v>
      </c>
      <c r="AP15" s="27" t="n">
        <f aca="false">ROUND(MAX(0,AP14*(1+I$8)-BL15),2)</f>
        <v>0</v>
      </c>
      <c r="AQ15" s="27" t="n">
        <f aca="false">ROUND(MAX(0,AQ14*(1+J$8)-BM15),2)</f>
        <v>0</v>
      </c>
      <c r="AR15" s="27" t="n">
        <f aca="false">ROUND(MAX(0,AR14*(1+K$8)-BN15),2)</f>
        <v>0</v>
      </c>
      <c r="AS15" s="27" t="n">
        <f aca="false">SUM(AI15:AR15)</f>
        <v>17827.19</v>
      </c>
      <c r="AT15" s="27" t="n">
        <f aca="false">SUMPRODUCT(AI14:AR14,$B$8:$K$8)</f>
        <v>202.18</v>
      </c>
      <c r="AU15" s="27" t="n">
        <f aca="false">MIN(AI14*(1+B$8),B$9)</f>
        <v>35</v>
      </c>
      <c r="AV15" s="27" t="n">
        <f aca="false">MIN(AJ14*(1+C$8),C$9)</f>
        <v>75</v>
      </c>
      <c r="AW15" s="27" t="n">
        <f aca="false">MIN(AK14*(1+D$8),D$9)</f>
        <v>95</v>
      </c>
      <c r="AX15" s="27" t="n">
        <f aca="false">MIN(AL14*(1+E$8),E$9)</f>
        <v>310</v>
      </c>
      <c r="AY15" s="27" t="n">
        <f aca="false">MIN(AM14*(1+F$8),F$9)</f>
        <v>50</v>
      </c>
      <c r="AZ15" s="27" t="n">
        <f aca="false">MIN(AN14*(1+G$8),G$9)</f>
        <v>0</v>
      </c>
      <c r="BA15" s="27" t="n">
        <f aca="false">MIN(AO14*(1+H$8),H$9)</f>
        <v>0</v>
      </c>
      <c r="BB15" s="27" t="n">
        <f aca="false">MIN(AP14*(1+I$8),I$9)</f>
        <v>0</v>
      </c>
      <c r="BC15" s="27" t="n">
        <f aca="false">MIN(AQ14*(1+J$8),J$9)</f>
        <v>0</v>
      </c>
      <c r="BD15" s="27" t="n">
        <f aca="false">MIN(AR14*(1+K$8),K$9)</f>
        <v>0</v>
      </c>
      <c r="BE15" s="27" t="n">
        <f aca="false">MIN(AI14*(1+B$8),MAX(AU15,$B$12-SUM(AV15:BD15)))</f>
        <v>35</v>
      </c>
      <c r="BF15" s="27" t="n">
        <f aca="false">MIN(AJ14*(1+C$8),MAX(AV15,$B$12-SUM(BE15:BE15)-SUM(AW15:BD15)))</f>
        <v>75</v>
      </c>
      <c r="BG15" s="27" t="n">
        <f aca="false">MIN(AK14*(1+D$8),MAX(AW15,$B$12-SUM(BE15:BF15)-SUM(AX15:BD15)))</f>
        <v>95</v>
      </c>
      <c r="BH15" s="27" t="n">
        <f aca="false">MIN(AL14*(1+E$8),MAX(AX15,$B$12-SUM(BE15:BG15)-SUM(AY15:BD15)))</f>
        <v>310</v>
      </c>
      <c r="BI15" s="27" t="n">
        <f aca="false">MIN(AM14*(1+F$8),MAX(AY15,$B$12-SUM(BE15:BH15)-SUM(AZ15:BD15)))</f>
        <v>50</v>
      </c>
      <c r="BJ15" s="27" t="n">
        <f aca="false">MIN(AN14*(1+G$8),MAX(AZ15,$B$12-SUM(BE15:BI15)-SUM(BA15:BD15)))</f>
        <v>0</v>
      </c>
      <c r="BK15" s="27" t="n">
        <f aca="false">MIN(AO14*(1+H$8),MAX(BA15,$B$12-SUM(BE15:BJ15)-SUM(BB15:BD15)))</f>
        <v>0</v>
      </c>
      <c r="BL15" s="27" t="n">
        <f aca="false">MIN(AP14*(1+I$8),MAX(BB15,$B$12-SUM(BE15:BK15)-SUM(BC15:BD15)))</f>
        <v>0</v>
      </c>
      <c r="BM15" s="27" t="n">
        <f aca="false">MIN(AQ14*(1+J$8),MAX(BC15,$B$12-SUM(BE15:BL15)-SUM(BD15:BD15)))</f>
        <v>0</v>
      </c>
      <c r="BN15" s="27" t="n">
        <f aca="false">MIN(AR14*(1+K$8),MAX(BD15,$B$12-SUM(BE15:BM15)))</f>
        <v>0</v>
      </c>
    </row>
    <row r="16" customFormat="false" ht="15" hidden="false" customHeight="false" outlineLevel="0" collapsed="false">
      <c r="A16" s="0" t="n">
        <v>2</v>
      </c>
      <c r="B16" s="27" t="n">
        <f aca="false">ROUND(MAX(0,B15*(1+B$8)-X16),2)</f>
        <v>295.8</v>
      </c>
      <c r="C16" s="27" t="n">
        <f aca="false">ROUND(MAX(0,C15*(1+C$8)-Y16),2)</f>
        <v>2816.52</v>
      </c>
      <c r="D16" s="27" t="n">
        <f aca="false">ROUND(MAX(0,D15*(1+D$8)-Z16),2)</f>
        <v>4059.29</v>
      </c>
      <c r="E16" s="27" t="n">
        <f aca="false">ROUND(MAX(0,E15*(1+E$8)-AA16),2)</f>
        <v>8886.63</v>
      </c>
      <c r="F16" s="27" t="n">
        <f aca="false">ROUND(MAX(0,F15*(1+F$8)-AB16),2)</f>
        <v>1100</v>
      </c>
      <c r="G16" s="27" t="n">
        <f aca="false">ROUND(MAX(0,G15*(1+G$8)-AC16),2)</f>
        <v>0</v>
      </c>
      <c r="H16" s="27" t="n">
        <f aca="false">ROUND(MAX(0,H15*(1+H$8)-AD16),2)</f>
        <v>0</v>
      </c>
      <c r="I16" s="27" t="n">
        <f aca="false">ROUND(MAX(0,I15*(1+I$8)-AE16),2)</f>
        <v>0</v>
      </c>
      <c r="J16" s="27" t="n">
        <f aca="false">ROUND(MAX(0,J15*(1+J$8)-AF16),2)</f>
        <v>0</v>
      </c>
      <c r="K16" s="27" t="n">
        <f aca="false">ROUND(MAX(0,K15*(1+K$8)-AG16),2)</f>
        <v>0</v>
      </c>
      <c r="L16" s="30" t="n">
        <f aca="false">SUM(B16:K16)</f>
        <v>17158.24</v>
      </c>
      <c r="M16" s="27" t="n">
        <f aca="false">SUMPRODUCT(B15:K15,$B$8:$K$8)</f>
        <v>196.04521</v>
      </c>
      <c r="N16" s="27" t="n">
        <f aca="false">MIN(B15*(1+B$8),B$9)</f>
        <v>35</v>
      </c>
      <c r="O16" s="27" t="n">
        <f aca="false">MIN(C15*(1+C$8),C$9)</f>
        <v>75</v>
      </c>
      <c r="P16" s="27" t="n">
        <f aca="false">MIN(D15*(1+D$8),D$9)</f>
        <v>95</v>
      </c>
      <c r="Q16" s="27" t="n">
        <f aca="false">MIN(E15*(1+E$8),E$9)</f>
        <v>310</v>
      </c>
      <c r="R16" s="27" t="n">
        <f aca="false">MIN(F15*(1+F$8),F$9)</f>
        <v>50</v>
      </c>
      <c r="S16" s="27" t="n">
        <f aca="false">MIN(G15*(1+G$8),G$9)</f>
        <v>0</v>
      </c>
      <c r="T16" s="27" t="n">
        <f aca="false">MIN(H15*(1+H$8),H$9)</f>
        <v>0</v>
      </c>
      <c r="U16" s="27" t="n">
        <f aca="false">MIN(I15*(1+I$8),I$9)</f>
        <v>0</v>
      </c>
      <c r="V16" s="27" t="n">
        <f aca="false">MIN(J15*(1+J$8),J$9)</f>
        <v>0</v>
      </c>
      <c r="W16" s="27" t="n">
        <f aca="false">MIN(K15*(1+K$8),K$9)</f>
        <v>0</v>
      </c>
      <c r="X16" s="27" t="n">
        <f aca="false">MIN(B15*(1+B$8),MAX(N16,$B$11-SUM(O16:W16)))</f>
        <v>185</v>
      </c>
      <c r="Y16" s="27" t="n">
        <f aca="false">MIN(C15*(1+C$8),MAX(O16,$B$11-SUM(X16:X16)-SUM(P16:W16)))</f>
        <v>75</v>
      </c>
      <c r="Z16" s="27" t="n">
        <f aca="false">MIN(D15*(1+D$8),MAX(P16,$B$11-SUM(X16:Y16)-SUM(Q16:W16)))</f>
        <v>95</v>
      </c>
      <c r="AA16" s="27" t="n">
        <f aca="false">MIN(E15*(1+E$8),MAX(Q16,$B$11-SUM(X16:Z16)-SUM(R16:W16)))</f>
        <v>310</v>
      </c>
      <c r="AB16" s="27" t="n">
        <f aca="false">MIN(F15*(1+F$8),MAX(R16,$B$11-SUM(X16:AA16)-SUM(S16:W16)))</f>
        <v>50</v>
      </c>
      <c r="AC16" s="27" t="n">
        <f aca="false">MIN(G15*(1+G$8),MAX(S16,$B$11-SUM(X16:AB16)-SUM(T16:W16)))</f>
        <v>0</v>
      </c>
      <c r="AD16" s="27" t="n">
        <f aca="false">MIN(H15*(1+H$8),MAX(T16,$B$11-SUM(X16:AC16)-SUM(U16:W16)))</f>
        <v>0</v>
      </c>
      <c r="AE16" s="27" t="n">
        <f aca="false">MIN(I15*(1+I$8),MAX(U16,$B$11-SUM(X16:AD16)-SUM(V16:W16)))</f>
        <v>0</v>
      </c>
      <c r="AF16" s="27" t="n">
        <f aca="false">MIN(J15*(1+J$8),MAX(V16,$B$11-SUM(X16:AE16)-SUM(W16:W16)))</f>
        <v>0</v>
      </c>
      <c r="AG16" s="27" t="n">
        <f aca="false">MIN(K15*(1+K$8),MAX(W16,$B$11-SUM(X16:AF16)))</f>
        <v>0</v>
      </c>
      <c r="AI16" s="27" t="n">
        <f aca="false">ROUND(MAX(0,AI15*(1+B$8)-BE16),2)</f>
        <v>599.29</v>
      </c>
      <c r="AJ16" s="27" t="n">
        <f aca="false">ROUND(MAX(0,AJ15*(1+C$8)-BF16),2)</f>
        <v>2816.52</v>
      </c>
      <c r="AK16" s="27" t="n">
        <f aca="false">ROUND(MAX(0,AK15*(1+D$8)-BG16),2)</f>
        <v>4059.29</v>
      </c>
      <c r="AL16" s="27" t="n">
        <f aca="false">ROUND(MAX(0,AL15*(1+E$8)-BH16),2)</f>
        <v>8886.63</v>
      </c>
      <c r="AM16" s="27" t="n">
        <f aca="false">ROUND(MAX(0,AM15*(1+F$8)-BI16),2)</f>
        <v>1100</v>
      </c>
      <c r="AN16" s="27" t="n">
        <f aca="false">ROUND(MAX(0,AN15*(1+G$8)-BJ16),2)</f>
        <v>0</v>
      </c>
      <c r="AO16" s="27" t="n">
        <f aca="false">ROUND(MAX(0,AO15*(1+H$8)-BK16),2)</f>
        <v>0</v>
      </c>
      <c r="AP16" s="27" t="n">
        <f aca="false">ROUND(MAX(0,AP15*(1+I$8)-BL16),2)</f>
        <v>0</v>
      </c>
      <c r="AQ16" s="27" t="n">
        <f aca="false">ROUND(MAX(0,AQ15*(1+J$8)-BM16),2)</f>
        <v>0</v>
      </c>
      <c r="AR16" s="27" t="n">
        <f aca="false">ROUND(MAX(0,AR15*(1+K$8)-BN16),2)</f>
        <v>0</v>
      </c>
      <c r="AS16" s="27" t="n">
        <f aca="false">SUM(AI16:AR16)</f>
        <v>17461.73</v>
      </c>
      <c r="AT16" s="27" t="n">
        <f aca="false">SUMPRODUCT(AI15:AR15,$B$8:$K$8)</f>
        <v>199.53271</v>
      </c>
      <c r="AU16" s="27" t="n">
        <f aca="false">MIN(AI15*(1+B$8),B$9)</f>
        <v>35</v>
      </c>
      <c r="AV16" s="27" t="n">
        <f aca="false">MIN(AJ15*(1+C$8),C$9)</f>
        <v>75</v>
      </c>
      <c r="AW16" s="27" t="n">
        <f aca="false">MIN(AK15*(1+D$8),D$9)</f>
        <v>95</v>
      </c>
      <c r="AX16" s="27" t="n">
        <f aca="false">MIN(AL15*(1+E$8),E$9)</f>
        <v>310</v>
      </c>
      <c r="AY16" s="27" t="n">
        <f aca="false">MIN(AM15*(1+F$8),F$9)</f>
        <v>50</v>
      </c>
      <c r="AZ16" s="27" t="n">
        <f aca="false">MIN(AN15*(1+G$8),G$9)</f>
        <v>0</v>
      </c>
      <c r="BA16" s="27" t="n">
        <f aca="false">MIN(AO15*(1+H$8),H$9)</f>
        <v>0</v>
      </c>
      <c r="BB16" s="27" t="n">
        <f aca="false">MIN(AP15*(1+I$8),I$9)</f>
        <v>0</v>
      </c>
      <c r="BC16" s="27" t="n">
        <f aca="false">MIN(AQ15*(1+J$8),J$9)</f>
        <v>0</v>
      </c>
      <c r="BD16" s="27" t="n">
        <f aca="false">MIN(AR15*(1+K$8),K$9)</f>
        <v>0</v>
      </c>
      <c r="BE16" s="27" t="n">
        <f aca="false">MIN(AI15*(1+B$8),MAX(AU16,$B$12-SUM(AV16:BD16)))</f>
        <v>35</v>
      </c>
      <c r="BF16" s="27" t="n">
        <f aca="false">MIN(AJ15*(1+C$8),MAX(AV16,$B$12-SUM(BE16:BE16)-SUM(AW16:BD16)))</f>
        <v>75</v>
      </c>
      <c r="BG16" s="27" t="n">
        <f aca="false">MIN(AK15*(1+D$8),MAX(AW16,$B$12-SUM(BE16:BF16)-SUM(AX16:BD16)))</f>
        <v>95</v>
      </c>
      <c r="BH16" s="27" t="n">
        <f aca="false">MIN(AL15*(1+E$8),MAX(AX16,$B$12-SUM(BE16:BG16)-SUM(AY16:BD16)))</f>
        <v>310</v>
      </c>
      <c r="BI16" s="27" t="n">
        <f aca="false">MIN(AM15*(1+F$8),MAX(AY16,$B$12-SUM(BE16:BH16)-SUM(AZ16:BD16)))</f>
        <v>50</v>
      </c>
      <c r="BJ16" s="27" t="n">
        <f aca="false">MIN(AN15*(1+G$8),MAX(AZ16,$B$12-SUM(BE16:BI16)-SUM(BA16:BD16)))</f>
        <v>0</v>
      </c>
      <c r="BK16" s="27" t="n">
        <f aca="false">MIN(AO15*(1+H$8),MAX(BA16,$B$12-SUM(BE16:BJ16)-SUM(BB16:BD16)))</f>
        <v>0</v>
      </c>
      <c r="BL16" s="27" t="n">
        <f aca="false">MIN(AP15*(1+I$8),MAX(BB16,$B$12-SUM(BE16:BK16)-SUM(BC16:BD16)))</f>
        <v>0</v>
      </c>
      <c r="BM16" s="27" t="n">
        <f aca="false">MIN(AQ15*(1+J$8),MAX(BC16,$B$12-SUM(BE16:BL16)-SUM(BD16:BD16)))</f>
        <v>0</v>
      </c>
      <c r="BN16" s="27" t="n">
        <f aca="false">MIN(AR15*(1+K$8),MAX(BD16,$B$12-SUM(BE16:BM16)))</f>
        <v>0</v>
      </c>
    </row>
    <row r="17" customFormat="false" ht="15" hidden="false" customHeight="false" outlineLevel="0" collapsed="false">
      <c r="A17" s="0" t="n">
        <v>3</v>
      </c>
      <c r="B17" s="27" t="n">
        <f aca="false">ROUND(MAX(0,B16*(1+B$8)-X17),2)</f>
        <v>117.68</v>
      </c>
      <c r="C17" s="27" t="n">
        <f aca="false">ROUND(MAX(0,C16*(1+C$8)-Y17),2)</f>
        <v>2799.26</v>
      </c>
      <c r="D17" s="27" t="n">
        <f aca="false">ROUND(MAX(0,D16*(1+D$8)-Z17),2)</f>
        <v>4038.37</v>
      </c>
      <c r="E17" s="27" t="n">
        <f aca="false">ROUND(MAX(0,E16*(1+E$8)-AA17),2)</f>
        <v>8627.73</v>
      </c>
      <c r="F17" s="27" t="n">
        <f aca="false">ROUND(MAX(0,F16*(1+F$8)-AB17),2)</f>
        <v>1050</v>
      </c>
      <c r="G17" s="27" t="n">
        <f aca="false">ROUND(MAX(0,G16*(1+G$8)-AC17),2)</f>
        <v>0</v>
      </c>
      <c r="H17" s="27" t="n">
        <f aca="false">ROUND(MAX(0,H16*(1+H$8)-AD17),2)</f>
        <v>0</v>
      </c>
      <c r="I17" s="27" t="n">
        <f aca="false">ROUND(MAX(0,I16*(1+I$8)-AE17),2)</f>
        <v>0</v>
      </c>
      <c r="J17" s="27" t="n">
        <f aca="false">ROUND(MAX(0,J16*(1+J$8)-AF17),2)</f>
        <v>0</v>
      </c>
      <c r="K17" s="27" t="n">
        <f aca="false">ROUND(MAX(0,K16*(1+K$8)-AG17),2)</f>
        <v>0</v>
      </c>
      <c r="L17" s="30" t="n">
        <f aca="false">SUM(B17:K17)</f>
        <v>16633.04</v>
      </c>
      <c r="M17" s="27" t="n">
        <f aca="false">SUMPRODUCT(B16:K16,$B$8:$K$8)</f>
        <v>189.796175</v>
      </c>
      <c r="N17" s="27" t="n">
        <f aca="false">MIN(B16*(1+B$8),B$9)</f>
        <v>35</v>
      </c>
      <c r="O17" s="27" t="n">
        <f aca="false">MIN(C16*(1+C$8),C$9)</f>
        <v>75</v>
      </c>
      <c r="P17" s="27" t="n">
        <f aca="false">MIN(D16*(1+D$8),D$9)</f>
        <v>95</v>
      </c>
      <c r="Q17" s="27" t="n">
        <f aca="false">MIN(E16*(1+E$8),E$9)</f>
        <v>310</v>
      </c>
      <c r="R17" s="27" t="n">
        <f aca="false">MIN(F16*(1+F$8),F$9)</f>
        <v>50</v>
      </c>
      <c r="S17" s="27" t="n">
        <f aca="false">MIN(G16*(1+G$8),G$9)</f>
        <v>0</v>
      </c>
      <c r="T17" s="27" t="n">
        <f aca="false">MIN(H16*(1+H$8),H$9)</f>
        <v>0</v>
      </c>
      <c r="U17" s="27" t="n">
        <f aca="false">MIN(I16*(1+I$8),I$9)</f>
        <v>0</v>
      </c>
      <c r="V17" s="27" t="n">
        <f aca="false">MIN(J16*(1+J$8),J$9)</f>
        <v>0</v>
      </c>
      <c r="W17" s="27" t="n">
        <f aca="false">MIN(K16*(1+K$8),K$9)</f>
        <v>0</v>
      </c>
      <c r="X17" s="27" t="n">
        <f aca="false">MIN(B16*(1+B$8),MAX(N17,$B$11-SUM(O17:W17)))</f>
        <v>185</v>
      </c>
      <c r="Y17" s="27" t="n">
        <f aca="false">MIN(C16*(1+C$8),MAX(O17,$B$11-SUM(X17:X17)-SUM(P17:W17)))</f>
        <v>75</v>
      </c>
      <c r="Z17" s="27" t="n">
        <f aca="false">MIN(D16*(1+D$8),MAX(P17,$B$11-SUM(X17:Y17)-SUM(Q17:W17)))</f>
        <v>95</v>
      </c>
      <c r="AA17" s="27" t="n">
        <f aca="false">MIN(E16*(1+E$8),MAX(Q17,$B$11-SUM(X17:Z17)-SUM(R17:W17)))</f>
        <v>310</v>
      </c>
      <c r="AB17" s="27" t="n">
        <f aca="false">MIN(F16*(1+F$8),MAX(R17,$B$11-SUM(X17:AA17)-SUM(S17:W17)))</f>
        <v>50</v>
      </c>
      <c r="AC17" s="27" t="n">
        <f aca="false">MIN(G16*(1+G$8),MAX(S17,$B$11-SUM(X17:AB17)-SUM(T17:W17)))</f>
        <v>0</v>
      </c>
      <c r="AD17" s="27" t="n">
        <f aca="false">MIN(H16*(1+H$8),MAX(T17,$B$11-SUM(X17:AC17)-SUM(U17:W17)))</f>
        <v>0</v>
      </c>
      <c r="AE17" s="27" t="n">
        <f aca="false">MIN(I16*(1+I$8),MAX(U17,$B$11-SUM(X17:AD17)-SUM(V17:W17)))</f>
        <v>0</v>
      </c>
      <c r="AF17" s="27" t="n">
        <f aca="false">MIN(J16*(1+J$8),MAX(V17,$B$11-SUM(X17:AE17)-SUM(W17:W17)))</f>
        <v>0</v>
      </c>
      <c r="AG17" s="27" t="n">
        <f aca="false">MIN(K16*(1+K$8),MAX(W17,$B$11-SUM(X17:AF17)))</f>
        <v>0</v>
      </c>
      <c r="AI17" s="27" t="n">
        <f aca="false">ROUND(MAX(0,AI16*(1+B$8)-BE17),2)</f>
        <v>578.22</v>
      </c>
      <c r="AJ17" s="27" t="n">
        <f aca="false">ROUND(MAX(0,AJ16*(1+C$8)-BF17),2)</f>
        <v>2799.26</v>
      </c>
      <c r="AK17" s="27" t="n">
        <f aca="false">ROUND(MAX(0,AK16*(1+D$8)-BG17),2)</f>
        <v>4038.37</v>
      </c>
      <c r="AL17" s="27" t="n">
        <f aca="false">ROUND(MAX(0,AL16*(1+E$8)-BH17),2)</f>
        <v>8627.73</v>
      </c>
      <c r="AM17" s="27" t="n">
        <f aca="false">ROUND(MAX(0,AM16*(1+F$8)-BI17),2)</f>
        <v>1050</v>
      </c>
      <c r="AN17" s="27" t="n">
        <f aca="false">ROUND(MAX(0,AN16*(1+G$8)-BJ17),2)</f>
        <v>0</v>
      </c>
      <c r="AO17" s="27" t="n">
        <f aca="false">ROUND(MAX(0,AO16*(1+H$8)-BK17),2)</f>
        <v>0</v>
      </c>
      <c r="AP17" s="27" t="n">
        <f aca="false">ROUND(MAX(0,AP16*(1+I$8)-BL17),2)</f>
        <v>0</v>
      </c>
      <c r="AQ17" s="27" t="n">
        <f aca="false">ROUND(MAX(0,AQ16*(1+J$8)-BM17),2)</f>
        <v>0</v>
      </c>
      <c r="AR17" s="27" t="n">
        <f aca="false">ROUND(MAX(0,AR16*(1+K$8)-BN17),2)</f>
        <v>0</v>
      </c>
      <c r="AS17" s="27" t="n">
        <f aca="false">SUM(AI17:AR17)</f>
        <v>17093.58</v>
      </c>
      <c r="AT17" s="27" t="n">
        <f aca="false">SUMPRODUCT(AI16:AR16,$B$8:$K$8)</f>
        <v>196.8523175</v>
      </c>
      <c r="AU17" s="27" t="n">
        <f aca="false">MIN(AI16*(1+B$8),B$9)</f>
        <v>35</v>
      </c>
      <c r="AV17" s="27" t="n">
        <f aca="false">MIN(AJ16*(1+C$8),C$9)</f>
        <v>75</v>
      </c>
      <c r="AW17" s="27" t="n">
        <f aca="false">MIN(AK16*(1+D$8),D$9)</f>
        <v>95</v>
      </c>
      <c r="AX17" s="27" t="n">
        <f aca="false">MIN(AL16*(1+E$8),E$9)</f>
        <v>310</v>
      </c>
      <c r="AY17" s="27" t="n">
        <f aca="false">MIN(AM16*(1+F$8),F$9)</f>
        <v>50</v>
      </c>
      <c r="AZ17" s="27" t="n">
        <f aca="false">MIN(AN16*(1+G$8),G$9)</f>
        <v>0</v>
      </c>
      <c r="BA17" s="27" t="n">
        <f aca="false">MIN(AO16*(1+H$8),H$9)</f>
        <v>0</v>
      </c>
      <c r="BB17" s="27" t="n">
        <f aca="false">MIN(AP16*(1+I$8),I$9)</f>
        <v>0</v>
      </c>
      <c r="BC17" s="27" t="n">
        <f aca="false">MIN(AQ16*(1+J$8),J$9)</f>
        <v>0</v>
      </c>
      <c r="BD17" s="27" t="n">
        <f aca="false">MIN(AR16*(1+K$8),K$9)</f>
        <v>0</v>
      </c>
      <c r="BE17" s="27" t="n">
        <f aca="false">MIN(AI16*(1+B$8),MAX(AU17,$B$12-SUM(AV17:BD17)))</f>
        <v>35</v>
      </c>
      <c r="BF17" s="27" t="n">
        <f aca="false">MIN(AJ16*(1+C$8),MAX(AV17,$B$12-SUM(BE17:BE17)-SUM(AW17:BD17)))</f>
        <v>75</v>
      </c>
      <c r="BG17" s="27" t="n">
        <f aca="false">MIN(AK16*(1+D$8),MAX(AW17,$B$12-SUM(BE17:BF17)-SUM(AX17:BD17)))</f>
        <v>95</v>
      </c>
      <c r="BH17" s="27" t="n">
        <f aca="false">MIN(AL16*(1+E$8),MAX(AX17,$B$12-SUM(BE17:BG17)-SUM(AY17:BD17)))</f>
        <v>310</v>
      </c>
      <c r="BI17" s="27" t="n">
        <f aca="false">MIN(AM16*(1+F$8),MAX(AY17,$B$12-SUM(BE17:BH17)-SUM(AZ17:BD17)))</f>
        <v>50</v>
      </c>
      <c r="BJ17" s="27" t="n">
        <f aca="false">MIN(AN16*(1+G$8),MAX(AZ17,$B$12-SUM(BE17:BI17)-SUM(BA17:BD17)))</f>
        <v>0</v>
      </c>
      <c r="BK17" s="27" t="n">
        <f aca="false">MIN(AO16*(1+H$8),MAX(BA17,$B$12-SUM(BE17:BJ17)-SUM(BB17:BD17)))</f>
        <v>0</v>
      </c>
      <c r="BL17" s="27" t="n">
        <f aca="false">MIN(AP16*(1+I$8),MAX(BB17,$B$12-SUM(BE17:BK17)-SUM(BC17:BD17)))</f>
        <v>0</v>
      </c>
      <c r="BM17" s="27" t="n">
        <f aca="false">MIN(AQ16*(1+J$8),MAX(BC17,$B$12-SUM(BE17:BL17)-SUM(BD17:BD17)))</f>
        <v>0</v>
      </c>
      <c r="BN17" s="27" t="n">
        <f aca="false">MIN(AR16*(1+K$8),MAX(BD17,$B$12-SUM(BE17:BM17)))</f>
        <v>0</v>
      </c>
    </row>
    <row r="18" customFormat="false" ht="15" hidden="false" customHeight="false" outlineLevel="0" collapsed="false">
      <c r="A18" s="0" t="n">
        <v>4</v>
      </c>
      <c r="B18" s="27" t="n">
        <f aca="false">ROUND(MAX(0,B17*(1+B$8)-X18),2)</f>
        <v>0</v>
      </c>
      <c r="C18" s="27" t="n">
        <f aca="false">ROUND(MAX(0,C17*(1+C$8)-Y18),2)</f>
        <v>2717.06</v>
      </c>
      <c r="D18" s="27" t="n">
        <f aca="false">ROUND(MAX(0,D17*(1+D$8)-Z18),2)</f>
        <v>4017.07</v>
      </c>
      <c r="E18" s="27" t="n">
        <f aca="false">ROUND(MAX(0,E17*(1+E$8)-AA18),2)</f>
        <v>8367.34</v>
      </c>
      <c r="F18" s="27" t="n">
        <f aca="false">ROUND(MAX(0,F17*(1+F$8)-AB18),2)</f>
        <v>1000</v>
      </c>
      <c r="G18" s="27" t="n">
        <f aca="false">ROUND(MAX(0,G17*(1+G$8)-AC18),2)</f>
        <v>0</v>
      </c>
      <c r="H18" s="27" t="n">
        <f aca="false">ROUND(MAX(0,H17*(1+H$8)-AD18),2)</f>
        <v>0</v>
      </c>
      <c r="I18" s="27" t="n">
        <f aca="false">ROUND(MAX(0,I17*(1+I$8)-AE18),2)</f>
        <v>0</v>
      </c>
      <c r="J18" s="27" t="n">
        <f aca="false">ROUND(MAX(0,J17*(1+J$8)-AF18),2)</f>
        <v>0</v>
      </c>
      <c r="K18" s="27" t="n">
        <f aca="false">ROUND(MAX(0,K17*(1+K$8)-AG18),2)</f>
        <v>0</v>
      </c>
      <c r="L18" s="30" t="n">
        <f aca="false">SUM(B18:K18)</f>
        <v>16101.47</v>
      </c>
      <c r="M18" s="27" t="n">
        <f aca="false">SUMPRODUCT(B17:K17,$B$8:$K$8)</f>
        <v>183.43059</v>
      </c>
      <c r="N18" s="27" t="n">
        <f aca="false">MIN(B17*(1+B$8),B$9)</f>
        <v>35</v>
      </c>
      <c r="O18" s="27" t="n">
        <f aca="false">MIN(C17*(1+C$8),C$9)</f>
        <v>75</v>
      </c>
      <c r="P18" s="27" t="n">
        <f aca="false">MIN(D17*(1+D$8),D$9)</f>
        <v>95</v>
      </c>
      <c r="Q18" s="27" t="n">
        <f aca="false">MIN(E17*(1+E$8),E$9)</f>
        <v>310</v>
      </c>
      <c r="R18" s="27" t="n">
        <f aca="false">MIN(F17*(1+F$8),F$9)</f>
        <v>50</v>
      </c>
      <c r="S18" s="27" t="n">
        <f aca="false">MIN(G17*(1+G$8),G$9)</f>
        <v>0</v>
      </c>
      <c r="T18" s="27" t="n">
        <f aca="false">MIN(H17*(1+H$8),H$9)</f>
        <v>0</v>
      </c>
      <c r="U18" s="27" t="n">
        <f aca="false">MIN(I17*(1+I$8),I$9)</f>
        <v>0</v>
      </c>
      <c r="V18" s="27" t="n">
        <f aca="false">MIN(J17*(1+J$8),J$9)</f>
        <v>0</v>
      </c>
      <c r="W18" s="27" t="n">
        <f aca="false">MIN(K17*(1+K$8),K$9)</f>
        <v>0</v>
      </c>
      <c r="X18" s="27" t="n">
        <f aca="false">MIN(B17*(1+B$8),MAX(N18,$B$11-SUM(O18:W18)))</f>
        <v>120.41606</v>
      </c>
      <c r="Y18" s="27" t="n">
        <f aca="false">MIN(C17*(1+C$8),MAX(O18,$B$11-SUM(X18:X18)-SUM(P18:W18)))</f>
        <v>139.58394</v>
      </c>
      <c r="Z18" s="27" t="n">
        <f aca="false">MIN(D17*(1+D$8),MAX(P18,$B$11-SUM(X18:Y18)-SUM(Q18:W18)))</f>
        <v>95</v>
      </c>
      <c r="AA18" s="27" t="n">
        <f aca="false">MIN(E17*(1+E$8),MAX(Q18,$B$11-SUM(X18:Z18)-SUM(R18:W18)))</f>
        <v>310</v>
      </c>
      <c r="AB18" s="27" t="n">
        <f aca="false">MIN(F17*(1+F$8),MAX(R18,$B$11-SUM(X18:AA18)-SUM(S18:W18)))</f>
        <v>50</v>
      </c>
      <c r="AC18" s="27" t="n">
        <f aca="false">MIN(G17*(1+G$8),MAX(S18,$B$11-SUM(X18:AB18)-SUM(T18:W18)))</f>
        <v>0</v>
      </c>
      <c r="AD18" s="27" t="n">
        <f aca="false">MIN(H17*(1+H$8),MAX(T18,$B$11-SUM(X18:AC18)-SUM(U18:W18)))</f>
        <v>0</v>
      </c>
      <c r="AE18" s="27" t="n">
        <f aca="false">MIN(I17*(1+I$8),MAX(U18,$B$11-SUM(X18:AD18)-SUM(V18:W18)))</f>
        <v>0</v>
      </c>
      <c r="AF18" s="27" t="n">
        <f aca="false">MIN(J17*(1+J$8),MAX(V18,$B$11-SUM(X18:AE18)-SUM(W18:W18)))</f>
        <v>0</v>
      </c>
      <c r="AG18" s="27" t="n">
        <f aca="false">MIN(K17*(1+K$8),MAX(W18,$B$11-SUM(X18:AF18)))</f>
        <v>0</v>
      </c>
      <c r="AI18" s="27" t="n">
        <f aca="false">ROUND(MAX(0,AI17*(1+B$8)-BE18),2)</f>
        <v>556.66</v>
      </c>
      <c r="AJ18" s="27" t="n">
        <f aca="false">ROUND(MAX(0,AJ17*(1+C$8)-BF18),2)</f>
        <v>2781.64</v>
      </c>
      <c r="AK18" s="27" t="n">
        <f aca="false">ROUND(MAX(0,AK17*(1+D$8)-BG18),2)</f>
        <v>4017.07</v>
      </c>
      <c r="AL18" s="27" t="n">
        <f aca="false">ROUND(MAX(0,AL17*(1+E$8)-BH18),2)</f>
        <v>8367.34</v>
      </c>
      <c r="AM18" s="27" t="n">
        <f aca="false">ROUND(MAX(0,AM17*(1+F$8)-BI18),2)</f>
        <v>1000</v>
      </c>
      <c r="AN18" s="27" t="n">
        <f aca="false">ROUND(MAX(0,AN17*(1+G$8)-BJ18),2)</f>
        <v>0</v>
      </c>
      <c r="AO18" s="27" t="n">
        <f aca="false">ROUND(MAX(0,AO17*(1+H$8)-BK18),2)</f>
        <v>0</v>
      </c>
      <c r="AP18" s="27" t="n">
        <f aca="false">ROUND(MAX(0,AP17*(1+I$8)-BL18),2)</f>
        <v>0</v>
      </c>
      <c r="AQ18" s="27" t="n">
        <f aca="false">ROUND(MAX(0,AQ17*(1+J$8)-BM18),2)</f>
        <v>0</v>
      </c>
      <c r="AR18" s="27" t="n">
        <f aca="false">ROUND(MAX(0,AR17*(1+K$8)-BN18),2)</f>
        <v>0</v>
      </c>
      <c r="AS18" s="27" t="n">
        <f aca="false">SUM(AI18:AR18)</f>
        <v>16722.71</v>
      </c>
      <c r="AT18" s="27" t="n">
        <f aca="false">SUMPRODUCT(AI17:AR17,$B$8:$K$8)</f>
        <v>194.138145</v>
      </c>
      <c r="AU18" s="27" t="n">
        <f aca="false">MIN(AI17*(1+B$8),B$9)</f>
        <v>35</v>
      </c>
      <c r="AV18" s="27" t="n">
        <f aca="false">MIN(AJ17*(1+C$8),C$9)</f>
        <v>75</v>
      </c>
      <c r="AW18" s="27" t="n">
        <f aca="false">MIN(AK17*(1+D$8),D$9)</f>
        <v>95</v>
      </c>
      <c r="AX18" s="27" t="n">
        <f aca="false">MIN(AL17*(1+E$8),E$9)</f>
        <v>310</v>
      </c>
      <c r="AY18" s="27" t="n">
        <f aca="false">MIN(AM17*(1+F$8),F$9)</f>
        <v>50</v>
      </c>
      <c r="AZ18" s="27" t="n">
        <f aca="false">MIN(AN17*(1+G$8),G$9)</f>
        <v>0</v>
      </c>
      <c r="BA18" s="27" t="n">
        <f aca="false">MIN(AO17*(1+H$8),H$9)</f>
        <v>0</v>
      </c>
      <c r="BB18" s="27" t="n">
        <f aca="false">MIN(AP17*(1+I$8),I$9)</f>
        <v>0</v>
      </c>
      <c r="BC18" s="27" t="n">
        <f aca="false">MIN(AQ17*(1+J$8),J$9)</f>
        <v>0</v>
      </c>
      <c r="BD18" s="27" t="n">
        <f aca="false">MIN(AR17*(1+K$8),K$9)</f>
        <v>0</v>
      </c>
      <c r="BE18" s="27" t="n">
        <f aca="false">MIN(AI17*(1+B$8),MAX(AU18,$B$12-SUM(AV18:BD18)))</f>
        <v>35</v>
      </c>
      <c r="BF18" s="27" t="n">
        <f aca="false">MIN(AJ17*(1+C$8),MAX(AV18,$B$12-SUM(BE18:BE18)-SUM(AW18:BD18)))</f>
        <v>75</v>
      </c>
      <c r="BG18" s="27" t="n">
        <f aca="false">MIN(AK17*(1+D$8),MAX(AW18,$B$12-SUM(BE18:BF18)-SUM(AX18:BD18)))</f>
        <v>95</v>
      </c>
      <c r="BH18" s="27" t="n">
        <f aca="false">MIN(AL17*(1+E$8),MAX(AX18,$B$12-SUM(BE18:BG18)-SUM(AY18:BD18)))</f>
        <v>310</v>
      </c>
      <c r="BI18" s="27" t="n">
        <f aca="false">MIN(AM17*(1+F$8),MAX(AY18,$B$12-SUM(BE18:BH18)-SUM(AZ18:BD18)))</f>
        <v>50</v>
      </c>
      <c r="BJ18" s="27" t="n">
        <f aca="false">MIN(AN17*(1+G$8),MAX(AZ18,$B$12-SUM(BE18:BI18)-SUM(BA18:BD18)))</f>
        <v>0</v>
      </c>
      <c r="BK18" s="27" t="n">
        <f aca="false">MIN(AO17*(1+H$8),MAX(BA18,$B$12-SUM(BE18:BJ18)-SUM(BB18:BD18)))</f>
        <v>0</v>
      </c>
      <c r="BL18" s="27" t="n">
        <f aca="false">MIN(AP17*(1+I$8),MAX(BB18,$B$12-SUM(BE18:BK18)-SUM(BC18:BD18)))</f>
        <v>0</v>
      </c>
      <c r="BM18" s="27" t="n">
        <f aca="false">MIN(AQ17*(1+J$8),MAX(BC18,$B$12-SUM(BE18:BL18)-SUM(BD18:BD18)))</f>
        <v>0</v>
      </c>
      <c r="BN18" s="27" t="n">
        <f aca="false">MIN(AR17*(1+K$8),MAX(BD18,$B$12-SUM(BE18:BM18)))</f>
        <v>0</v>
      </c>
    </row>
    <row r="19" customFormat="false" ht="15" hidden="false" customHeight="false" outlineLevel="0" collapsed="false">
      <c r="A19" s="0" t="n">
        <v>5</v>
      </c>
      <c r="B19" s="27" t="n">
        <f aca="false">ROUND(MAX(0,B18*(1+B$8)-X19),2)</f>
        <v>0</v>
      </c>
      <c r="C19" s="27" t="n">
        <f aca="false">ROUND(MAX(0,C18*(1+C$8)-Y19),2)</f>
        <v>2512.76</v>
      </c>
      <c r="D19" s="27" t="n">
        <f aca="false">ROUND(MAX(0,D18*(1+D$8)-Z19),2)</f>
        <v>3995.38</v>
      </c>
      <c r="E19" s="27" t="n">
        <f aca="false">ROUND(MAX(0,E18*(1+E$8)-AA19),2)</f>
        <v>8105.45</v>
      </c>
      <c r="F19" s="27" t="n">
        <f aca="false">ROUND(MAX(0,F18*(1+F$8)-AB19),2)</f>
        <v>950</v>
      </c>
      <c r="G19" s="27" t="n">
        <f aca="false">ROUND(MAX(0,G18*(1+G$8)-AC19),2)</f>
        <v>0</v>
      </c>
      <c r="H19" s="27" t="n">
        <f aca="false">ROUND(MAX(0,H18*(1+H$8)-AD19),2)</f>
        <v>0</v>
      </c>
      <c r="I19" s="27" t="n">
        <f aca="false">ROUND(MAX(0,I18*(1+I$8)-AE19),2)</f>
        <v>0</v>
      </c>
      <c r="J19" s="27" t="n">
        <f aca="false">ROUND(MAX(0,J18*(1+J$8)-AF19),2)</f>
        <v>0</v>
      </c>
      <c r="K19" s="27" t="n">
        <f aca="false">ROUND(MAX(0,K18*(1+K$8)-AG19),2)</f>
        <v>0</v>
      </c>
      <c r="L19" s="30" t="n">
        <f aca="false">SUM(B19:K19)</f>
        <v>15563.59</v>
      </c>
      <c r="M19" s="27" t="n">
        <f aca="false">SUMPRODUCT(B18:K18,$B$8:$K$8)</f>
        <v>177.1234625</v>
      </c>
      <c r="N19" s="27" t="n">
        <f aca="false">MIN(B18*(1+B$8),B$9)</f>
        <v>0</v>
      </c>
      <c r="O19" s="27" t="n">
        <f aca="false">MIN(C18*(1+C$8),C$9)</f>
        <v>75</v>
      </c>
      <c r="P19" s="27" t="n">
        <f aca="false">MIN(D18*(1+D$8),D$9)</f>
        <v>95</v>
      </c>
      <c r="Q19" s="27" t="n">
        <f aca="false">MIN(E18*(1+E$8),E$9)</f>
        <v>310</v>
      </c>
      <c r="R19" s="27" t="n">
        <f aca="false">MIN(F18*(1+F$8),F$9)</f>
        <v>50</v>
      </c>
      <c r="S19" s="27" t="n">
        <f aca="false">MIN(G18*(1+G$8),G$9)</f>
        <v>0</v>
      </c>
      <c r="T19" s="27" t="n">
        <f aca="false">MIN(H18*(1+H$8),H$9)</f>
        <v>0</v>
      </c>
      <c r="U19" s="27" t="n">
        <f aca="false">MIN(I18*(1+I$8),I$9)</f>
        <v>0</v>
      </c>
      <c r="V19" s="27" t="n">
        <f aca="false">MIN(J18*(1+J$8),J$9)</f>
        <v>0</v>
      </c>
      <c r="W19" s="27" t="n">
        <f aca="false">MIN(K18*(1+K$8),K$9)</f>
        <v>0</v>
      </c>
      <c r="X19" s="27" t="n">
        <f aca="false">MIN(B18*(1+B$8),MAX(N19,$B$11-SUM(O19:W19)))</f>
        <v>0</v>
      </c>
      <c r="Y19" s="27" t="n">
        <f aca="false">MIN(C18*(1+C$8),MAX(O19,$B$11-SUM(X19:X19)-SUM(P19:W19)))</f>
        <v>260</v>
      </c>
      <c r="Z19" s="27" t="n">
        <f aca="false">MIN(D18*(1+D$8),MAX(P19,$B$11-SUM(X19:Y19)-SUM(Q19:W19)))</f>
        <v>95</v>
      </c>
      <c r="AA19" s="27" t="n">
        <f aca="false">MIN(E18*(1+E$8),MAX(Q19,$B$11-SUM(X19:Z19)-SUM(R19:W19)))</f>
        <v>310</v>
      </c>
      <c r="AB19" s="27" t="n">
        <f aca="false">MIN(F18*(1+F$8),MAX(R19,$B$11-SUM(X19:AA19)-SUM(S19:W19)))</f>
        <v>50</v>
      </c>
      <c r="AC19" s="27" t="n">
        <f aca="false">MIN(G18*(1+G$8),MAX(S19,$B$11-SUM(X19:AB19)-SUM(T19:W19)))</f>
        <v>0</v>
      </c>
      <c r="AD19" s="27" t="n">
        <f aca="false">MIN(H18*(1+H$8),MAX(T19,$B$11-SUM(X19:AC19)-SUM(U19:W19)))</f>
        <v>0</v>
      </c>
      <c r="AE19" s="27" t="n">
        <f aca="false">MIN(I18*(1+I$8),MAX(U19,$B$11-SUM(X19:AD19)-SUM(V19:W19)))</f>
        <v>0</v>
      </c>
      <c r="AF19" s="27" t="n">
        <f aca="false">MIN(J18*(1+J$8),MAX(V19,$B$11-SUM(X19:AE19)-SUM(W19:W19)))</f>
        <v>0</v>
      </c>
      <c r="AG19" s="27" t="n">
        <f aca="false">MIN(K18*(1+K$8),MAX(W19,$B$11-SUM(X19:AF19)))</f>
        <v>0</v>
      </c>
      <c r="AI19" s="27" t="n">
        <f aca="false">ROUND(MAX(0,AI18*(1+B$8)-BE19),2)</f>
        <v>534.6</v>
      </c>
      <c r="AJ19" s="27" t="n">
        <f aca="false">ROUND(MAX(0,AJ18*(1+C$8)-BF19),2)</f>
        <v>2763.66</v>
      </c>
      <c r="AK19" s="27" t="n">
        <f aca="false">ROUND(MAX(0,AK18*(1+D$8)-BG19),2)</f>
        <v>3995.38</v>
      </c>
      <c r="AL19" s="27" t="n">
        <f aca="false">ROUND(MAX(0,AL18*(1+E$8)-BH19),2)</f>
        <v>8105.45</v>
      </c>
      <c r="AM19" s="27" t="n">
        <f aca="false">ROUND(MAX(0,AM18*(1+F$8)-BI19),2)</f>
        <v>950</v>
      </c>
      <c r="AN19" s="27" t="n">
        <f aca="false">ROUND(MAX(0,AN18*(1+G$8)-BJ19),2)</f>
        <v>0</v>
      </c>
      <c r="AO19" s="27" t="n">
        <f aca="false">ROUND(MAX(0,AO18*(1+H$8)-BK19),2)</f>
        <v>0</v>
      </c>
      <c r="AP19" s="27" t="n">
        <f aca="false">ROUND(MAX(0,AP18*(1+I$8)-BL19),2)</f>
        <v>0</v>
      </c>
      <c r="AQ19" s="27" t="n">
        <f aca="false">ROUND(MAX(0,AQ18*(1+J$8)-BM19),2)</f>
        <v>0</v>
      </c>
      <c r="AR19" s="27" t="n">
        <f aca="false">ROUND(MAX(0,AR18*(1+K$8)-BN19),2)</f>
        <v>0</v>
      </c>
      <c r="AS19" s="27" t="n">
        <f aca="false">SUM(AI19:AR19)</f>
        <v>16349.09</v>
      </c>
      <c r="AT19" s="27" t="n">
        <f aca="false">SUMPRODUCT(AI18:AR18,$B$8:$K$8)</f>
        <v>191.3896975</v>
      </c>
      <c r="AU19" s="27" t="n">
        <f aca="false">MIN(AI18*(1+B$8),B$9)</f>
        <v>35</v>
      </c>
      <c r="AV19" s="27" t="n">
        <f aca="false">MIN(AJ18*(1+C$8),C$9)</f>
        <v>75</v>
      </c>
      <c r="AW19" s="27" t="n">
        <f aca="false">MIN(AK18*(1+D$8),D$9)</f>
        <v>95</v>
      </c>
      <c r="AX19" s="27" t="n">
        <f aca="false">MIN(AL18*(1+E$8),E$9)</f>
        <v>310</v>
      </c>
      <c r="AY19" s="27" t="n">
        <f aca="false">MIN(AM18*(1+F$8),F$9)</f>
        <v>50</v>
      </c>
      <c r="AZ19" s="27" t="n">
        <f aca="false">MIN(AN18*(1+G$8),G$9)</f>
        <v>0</v>
      </c>
      <c r="BA19" s="27" t="n">
        <f aca="false">MIN(AO18*(1+H$8),H$9)</f>
        <v>0</v>
      </c>
      <c r="BB19" s="27" t="n">
        <f aca="false">MIN(AP18*(1+I$8),I$9)</f>
        <v>0</v>
      </c>
      <c r="BC19" s="27" t="n">
        <f aca="false">MIN(AQ18*(1+J$8),J$9)</f>
        <v>0</v>
      </c>
      <c r="BD19" s="27" t="n">
        <f aca="false">MIN(AR18*(1+K$8),K$9)</f>
        <v>0</v>
      </c>
      <c r="BE19" s="27" t="n">
        <f aca="false">MIN(AI18*(1+B$8),MAX(AU19,$B$12-SUM(AV19:BD19)))</f>
        <v>35</v>
      </c>
      <c r="BF19" s="27" t="n">
        <f aca="false">MIN(AJ18*(1+C$8),MAX(AV19,$B$12-SUM(BE19:BE19)-SUM(AW19:BD19)))</f>
        <v>75</v>
      </c>
      <c r="BG19" s="27" t="n">
        <f aca="false">MIN(AK18*(1+D$8),MAX(AW19,$B$12-SUM(BE19:BF19)-SUM(AX19:BD19)))</f>
        <v>95</v>
      </c>
      <c r="BH19" s="27" t="n">
        <f aca="false">MIN(AL18*(1+E$8),MAX(AX19,$B$12-SUM(BE19:BG19)-SUM(AY19:BD19)))</f>
        <v>310</v>
      </c>
      <c r="BI19" s="27" t="n">
        <f aca="false">MIN(AM18*(1+F$8),MAX(AY19,$B$12-SUM(BE19:BH19)-SUM(AZ19:BD19)))</f>
        <v>50</v>
      </c>
      <c r="BJ19" s="27" t="n">
        <f aca="false">MIN(AN18*(1+G$8),MAX(AZ19,$B$12-SUM(BE19:BI19)-SUM(BA19:BD19)))</f>
        <v>0</v>
      </c>
      <c r="BK19" s="27" t="n">
        <f aca="false">MIN(AO18*(1+H$8),MAX(BA19,$B$12-SUM(BE19:BJ19)-SUM(BB19:BD19)))</f>
        <v>0</v>
      </c>
      <c r="BL19" s="27" t="n">
        <f aca="false">MIN(AP18*(1+I$8),MAX(BB19,$B$12-SUM(BE19:BK19)-SUM(BC19:BD19)))</f>
        <v>0</v>
      </c>
      <c r="BM19" s="27" t="n">
        <f aca="false">MIN(AQ18*(1+J$8),MAX(BC19,$B$12-SUM(BE19:BL19)-SUM(BD19:BD19)))</f>
        <v>0</v>
      </c>
      <c r="BN19" s="27" t="n">
        <f aca="false">MIN(AR18*(1+K$8),MAX(BD19,$B$12-SUM(BE19:BM19)))</f>
        <v>0</v>
      </c>
    </row>
    <row r="20" customFormat="false" ht="15" hidden="false" customHeight="false" outlineLevel="0" collapsed="false">
      <c r="A20" s="0" t="n">
        <v>6</v>
      </c>
      <c r="B20" s="27" t="n">
        <f aca="false">ROUND(MAX(0,B19*(1+B$8)-X20),2)</f>
        <v>0</v>
      </c>
      <c r="C20" s="27" t="n">
        <f aca="false">ROUND(MAX(0,C19*(1+C$8)-Y20),2)</f>
        <v>2304.27</v>
      </c>
      <c r="D20" s="27" t="n">
        <f aca="false">ROUND(MAX(0,D19*(1+D$8)-Z20),2)</f>
        <v>3973.3</v>
      </c>
      <c r="E20" s="27" t="n">
        <f aca="false">ROUND(MAX(0,E19*(1+E$8)-AA20),2)</f>
        <v>7842.06</v>
      </c>
      <c r="F20" s="27" t="n">
        <f aca="false">ROUND(MAX(0,F19*(1+F$8)-AB20),2)</f>
        <v>900</v>
      </c>
      <c r="G20" s="27" t="n">
        <f aca="false">ROUND(MAX(0,G19*(1+G$8)-AC20),2)</f>
        <v>0</v>
      </c>
      <c r="H20" s="27" t="n">
        <f aca="false">ROUND(MAX(0,H19*(1+H$8)-AD20),2)</f>
        <v>0</v>
      </c>
      <c r="I20" s="27" t="n">
        <f aca="false">ROUND(MAX(0,I19*(1+I$8)-AE20),2)</f>
        <v>0</v>
      </c>
      <c r="J20" s="27" t="n">
        <f aca="false">ROUND(MAX(0,J19*(1+J$8)-AF20),2)</f>
        <v>0</v>
      </c>
      <c r="K20" s="27" t="n">
        <f aca="false">ROUND(MAX(0,K19*(1+K$8)-AG20),2)</f>
        <v>0</v>
      </c>
      <c r="L20" s="30" t="n">
        <f aca="false">SUM(B20:K20)</f>
        <v>15019.63</v>
      </c>
      <c r="M20" s="27" t="n">
        <f aca="false">SUMPRODUCT(B19:K19,$B$8:$K$8)</f>
        <v>171.0336025</v>
      </c>
      <c r="N20" s="27" t="n">
        <f aca="false">MIN(B19*(1+B$8),B$9)</f>
        <v>0</v>
      </c>
      <c r="O20" s="27" t="n">
        <f aca="false">MIN(C19*(1+C$8),C$9)</f>
        <v>75</v>
      </c>
      <c r="P20" s="27" t="n">
        <f aca="false">MIN(D19*(1+D$8),D$9)</f>
        <v>95</v>
      </c>
      <c r="Q20" s="27" t="n">
        <f aca="false">MIN(E19*(1+E$8),E$9)</f>
        <v>310</v>
      </c>
      <c r="R20" s="27" t="n">
        <f aca="false">MIN(F19*(1+F$8),F$9)</f>
        <v>50</v>
      </c>
      <c r="S20" s="27" t="n">
        <f aca="false">MIN(G19*(1+G$8),G$9)</f>
        <v>0</v>
      </c>
      <c r="T20" s="27" t="n">
        <f aca="false">MIN(H19*(1+H$8),H$9)</f>
        <v>0</v>
      </c>
      <c r="U20" s="27" t="n">
        <f aca="false">MIN(I19*(1+I$8),I$9)</f>
        <v>0</v>
      </c>
      <c r="V20" s="27" t="n">
        <f aca="false">MIN(J19*(1+J$8),J$9)</f>
        <v>0</v>
      </c>
      <c r="W20" s="27" t="n">
        <f aca="false">MIN(K19*(1+K$8),K$9)</f>
        <v>0</v>
      </c>
      <c r="X20" s="27" t="n">
        <f aca="false">MIN(B19*(1+B$8),MAX(N20,$B$11-SUM(O20:W20)))</f>
        <v>0</v>
      </c>
      <c r="Y20" s="27" t="n">
        <f aca="false">MIN(C19*(1+C$8),MAX(O20,$B$11-SUM(X20:X20)-SUM(P20:W20)))</f>
        <v>260</v>
      </c>
      <c r="Z20" s="27" t="n">
        <f aca="false">MIN(D19*(1+D$8),MAX(P20,$B$11-SUM(X20:Y20)-SUM(Q20:W20)))</f>
        <v>95</v>
      </c>
      <c r="AA20" s="27" t="n">
        <f aca="false">MIN(E19*(1+E$8),MAX(Q20,$B$11-SUM(X20:Z20)-SUM(R20:W20)))</f>
        <v>310</v>
      </c>
      <c r="AB20" s="27" t="n">
        <f aca="false">MIN(F19*(1+F$8),MAX(R20,$B$11-SUM(X20:AA20)-SUM(S20:W20)))</f>
        <v>50</v>
      </c>
      <c r="AC20" s="27" t="n">
        <f aca="false">MIN(G19*(1+G$8),MAX(S20,$B$11-SUM(X20:AB20)-SUM(T20:W20)))</f>
        <v>0</v>
      </c>
      <c r="AD20" s="27" t="n">
        <f aca="false">MIN(H19*(1+H$8),MAX(T20,$B$11-SUM(X20:AC20)-SUM(U20:W20)))</f>
        <v>0</v>
      </c>
      <c r="AE20" s="27" t="n">
        <f aca="false">MIN(I19*(1+I$8),MAX(U20,$B$11-SUM(X20:AD20)-SUM(V20:W20)))</f>
        <v>0</v>
      </c>
      <c r="AF20" s="27" t="n">
        <f aca="false">MIN(J19*(1+J$8),MAX(V20,$B$11-SUM(X20:AE20)-SUM(W20:W20)))</f>
        <v>0</v>
      </c>
      <c r="AG20" s="27" t="n">
        <f aca="false">MIN(K19*(1+K$8),MAX(W20,$B$11-SUM(X20:AF20)))</f>
        <v>0</v>
      </c>
      <c r="AI20" s="27" t="n">
        <f aca="false">ROUND(MAX(0,AI19*(1+B$8)-BE20),2)</f>
        <v>512.03</v>
      </c>
      <c r="AJ20" s="27" t="n">
        <f aca="false">ROUND(MAX(0,AJ19*(1+C$8)-BF20),2)</f>
        <v>2745.32</v>
      </c>
      <c r="AK20" s="27" t="n">
        <f aca="false">ROUND(MAX(0,AK19*(1+D$8)-BG20),2)</f>
        <v>3973.3</v>
      </c>
      <c r="AL20" s="27" t="n">
        <f aca="false">ROUND(MAX(0,AL19*(1+E$8)-BH20),2)</f>
        <v>7842.06</v>
      </c>
      <c r="AM20" s="27" t="n">
        <f aca="false">ROUND(MAX(0,AM19*(1+F$8)-BI20),2)</f>
        <v>900</v>
      </c>
      <c r="AN20" s="27" t="n">
        <f aca="false">ROUND(MAX(0,AN19*(1+G$8)-BJ20),2)</f>
        <v>0</v>
      </c>
      <c r="AO20" s="27" t="n">
        <f aca="false">ROUND(MAX(0,AO19*(1+H$8)-BK20),2)</f>
        <v>0</v>
      </c>
      <c r="AP20" s="27" t="n">
        <f aca="false">ROUND(MAX(0,AP19*(1+I$8)-BL20),2)</f>
        <v>0</v>
      </c>
      <c r="AQ20" s="27" t="n">
        <f aca="false">ROUND(MAX(0,AQ19*(1+J$8)-BM20),2)</f>
        <v>0</v>
      </c>
      <c r="AR20" s="27" t="n">
        <f aca="false">ROUND(MAX(0,AR19*(1+K$8)-BN20),2)</f>
        <v>0</v>
      </c>
      <c r="AS20" s="27" t="n">
        <f aca="false">SUM(AI20:AR20)</f>
        <v>15972.71</v>
      </c>
      <c r="AT20" s="27" t="n">
        <f aca="false">SUMPRODUCT(AI19:AR19,$B$8:$K$8)</f>
        <v>188.6065025</v>
      </c>
      <c r="AU20" s="27" t="n">
        <f aca="false">MIN(AI19*(1+B$8),B$9)</f>
        <v>35</v>
      </c>
      <c r="AV20" s="27" t="n">
        <f aca="false">MIN(AJ19*(1+C$8),C$9)</f>
        <v>75</v>
      </c>
      <c r="AW20" s="27" t="n">
        <f aca="false">MIN(AK19*(1+D$8),D$9)</f>
        <v>95</v>
      </c>
      <c r="AX20" s="27" t="n">
        <f aca="false">MIN(AL19*(1+E$8),E$9)</f>
        <v>310</v>
      </c>
      <c r="AY20" s="27" t="n">
        <f aca="false">MIN(AM19*(1+F$8),F$9)</f>
        <v>50</v>
      </c>
      <c r="AZ20" s="27" t="n">
        <f aca="false">MIN(AN19*(1+G$8),G$9)</f>
        <v>0</v>
      </c>
      <c r="BA20" s="27" t="n">
        <f aca="false">MIN(AO19*(1+H$8),H$9)</f>
        <v>0</v>
      </c>
      <c r="BB20" s="27" t="n">
        <f aca="false">MIN(AP19*(1+I$8),I$9)</f>
        <v>0</v>
      </c>
      <c r="BC20" s="27" t="n">
        <f aca="false">MIN(AQ19*(1+J$8),J$9)</f>
        <v>0</v>
      </c>
      <c r="BD20" s="27" t="n">
        <f aca="false">MIN(AR19*(1+K$8),K$9)</f>
        <v>0</v>
      </c>
      <c r="BE20" s="27" t="n">
        <f aca="false">MIN(AI19*(1+B$8),MAX(AU20,$B$12-SUM(AV20:BD20)))</f>
        <v>35</v>
      </c>
      <c r="BF20" s="27" t="n">
        <f aca="false">MIN(AJ19*(1+C$8),MAX(AV20,$B$12-SUM(BE20:BE20)-SUM(AW20:BD20)))</f>
        <v>75</v>
      </c>
      <c r="BG20" s="27" t="n">
        <f aca="false">MIN(AK19*(1+D$8),MAX(AW20,$B$12-SUM(BE20:BF20)-SUM(AX20:BD20)))</f>
        <v>95</v>
      </c>
      <c r="BH20" s="27" t="n">
        <f aca="false">MIN(AL19*(1+E$8),MAX(AX20,$B$12-SUM(BE20:BG20)-SUM(AY20:BD20)))</f>
        <v>310</v>
      </c>
      <c r="BI20" s="27" t="n">
        <f aca="false">MIN(AM19*(1+F$8),MAX(AY20,$B$12-SUM(BE20:BH20)-SUM(AZ20:BD20)))</f>
        <v>50</v>
      </c>
      <c r="BJ20" s="27" t="n">
        <f aca="false">MIN(AN19*(1+G$8),MAX(AZ20,$B$12-SUM(BE20:BI20)-SUM(BA20:BD20)))</f>
        <v>0</v>
      </c>
      <c r="BK20" s="27" t="n">
        <f aca="false">MIN(AO19*(1+H$8),MAX(BA20,$B$12-SUM(BE20:BJ20)-SUM(BB20:BD20)))</f>
        <v>0</v>
      </c>
      <c r="BL20" s="27" t="n">
        <f aca="false">MIN(AP19*(1+I$8),MAX(BB20,$B$12-SUM(BE20:BK20)-SUM(BC20:BD20)))</f>
        <v>0</v>
      </c>
      <c r="BM20" s="27" t="n">
        <f aca="false">MIN(AQ19*(1+J$8),MAX(BC20,$B$12-SUM(BE20:BL20)-SUM(BD20:BD20)))</f>
        <v>0</v>
      </c>
      <c r="BN20" s="27" t="n">
        <f aca="false">MIN(AR19*(1+K$8),MAX(BD20,$B$12-SUM(BE20:BM20)))</f>
        <v>0</v>
      </c>
    </row>
    <row r="21" customFormat="false" ht="15" hidden="false" customHeight="false" outlineLevel="0" collapsed="false">
      <c r="A21" s="0" t="n">
        <v>7</v>
      </c>
      <c r="B21" s="27" t="n">
        <f aca="false">ROUND(MAX(0,B20*(1+B$8)-X21),2)</f>
        <v>0</v>
      </c>
      <c r="C21" s="27" t="n">
        <f aca="false">ROUND(MAX(0,C20*(1+C$8)-Y21),2)</f>
        <v>2091.51</v>
      </c>
      <c r="D21" s="27" t="n">
        <f aca="false">ROUND(MAX(0,D20*(1+D$8)-Z21),2)</f>
        <v>3950.81</v>
      </c>
      <c r="E21" s="27" t="n">
        <f aca="false">ROUND(MAX(0,E20*(1+E$8)-AA21),2)</f>
        <v>7577.15</v>
      </c>
      <c r="F21" s="27" t="n">
        <f aca="false">ROUND(MAX(0,F20*(1+F$8)-AB21),2)</f>
        <v>850</v>
      </c>
      <c r="G21" s="27" t="n">
        <f aca="false">ROUND(MAX(0,G20*(1+G$8)-AC21),2)</f>
        <v>0</v>
      </c>
      <c r="H21" s="27" t="n">
        <f aca="false">ROUND(MAX(0,H20*(1+H$8)-AD21),2)</f>
        <v>0</v>
      </c>
      <c r="I21" s="27" t="n">
        <f aca="false">ROUND(MAX(0,I20*(1+I$8)-AE21),2)</f>
        <v>0</v>
      </c>
      <c r="J21" s="27" t="n">
        <f aca="false">ROUND(MAX(0,J20*(1+J$8)-AF21),2)</f>
        <v>0</v>
      </c>
      <c r="K21" s="27" t="n">
        <f aca="false">ROUND(MAX(0,K20*(1+K$8)-AG21),2)</f>
        <v>0</v>
      </c>
      <c r="L21" s="30" t="n">
        <f aca="false">SUM(B21:K21)</f>
        <v>14469.47</v>
      </c>
      <c r="M21" s="27" t="n">
        <f aca="false">SUMPRODUCT(B20:K20,$B$8:$K$8)</f>
        <v>164.842105</v>
      </c>
      <c r="N21" s="27" t="n">
        <f aca="false">MIN(B20*(1+B$8),B$9)</f>
        <v>0</v>
      </c>
      <c r="O21" s="27" t="n">
        <f aca="false">MIN(C20*(1+C$8),C$9)</f>
        <v>75</v>
      </c>
      <c r="P21" s="27" t="n">
        <f aca="false">MIN(D20*(1+D$8),D$9)</f>
        <v>95</v>
      </c>
      <c r="Q21" s="27" t="n">
        <f aca="false">MIN(E20*(1+E$8),E$9)</f>
        <v>310</v>
      </c>
      <c r="R21" s="27" t="n">
        <f aca="false">MIN(F20*(1+F$8),F$9)</f>
        <v>50</v>
      </c>
      <c r="S21" s="27" t="n">
        <f aca="false">MIN(G20*(1+G$8),G$9)</f>
        <v>0</v>
      </c>
      <c r="T21" s="27" t="n">
        <f aca="false">MIN(H20*(1+H$8),H$9)</f>
        <v>0</v>
      </c>
      <c r="U21" s="27" t="n">
        <f aca="false">MIN(I20*(1+I$8),I$9)</f>
        <v>0</v>
      </c>
      <c r="V21" s="27" t="n">
        <f aca="false">MIN(J20*(1+J$8),J$9)</f>
        <v>0</v>
      </c>
      <c r="W21" s="27" t="n">
        <f aca="false">MIN(K20*(1+K$8),K$9)</f>
        <v>0</v>
      </c>
      <c r="X21" s="27" t="n">
        <f aca="false">MIN(B20*(1+B$8),MAX(N21,$B$11-SUM(O21:W21)))</f>
        <v>0</v>
      </c>
      <c r="Y21" s="27" t="n">
        <f aca="false">MIN(C20*(1+C$8),MAX(O21,$B$11-SUM(X21:X21)-SUM(P21:W21)))</f>
        <v>260</v>
      </c>
      <c r="Z21" s="27" t="n">
        <f aca="false">MIN(D20*(1+D$8),MAX(P21,$B$11-SUM(X21:Y21)-SUM(Q21:W21)))</f>
        <v>95</v>
      </c>
      <c r="AA21" s="27" t="n">
        <f aca="false">MIN(E20*(1+E$8),MAX(Q21,$B$11-SUM(X21:Z21)-SUM(R21:W21)))</f>
        <v>310</v>
      </c>
      <c r="AB21" s="27" t="n">
        <f aca="false">MIN(F20*(1+F$8),MAX(R21,$B$11-SUM(X21:AA21)-SUM(S21:W21)))</f>
        <v>50</v>
      </c>
      <c r="AC21" s="27" t="n">
        <f aca="false">MIN(G20*(1+G$8),MAX(S21,$B$11-SUM(X21:AB21)-SUM(T21:W21)))</f>
        <v>0</v>
      </c>
      <c r="AD21" s="27" t="n">
        <f aca="false">MIN(H20*(1+H$8),MAX(T21,$B$11-SUM(X21:AC21)-SUM(U21:W21)))</f>
        <v>0</v>
      </c>
      <c r="AE21" s="27" t="n">
        <f aca="false">MIN(I20*(1+I$8),MAX(U21,$B$11-SUM(X21:AD21)-SUM(V21:W21)))</f>
        <v>0</v>
      </c>
      <c r="AF21" s="27" t="n">
        <f aca="false">MIN(J20*(1+J$8),MAX(V21,$B$11-SUM(X21:AE21)-SUM(W21:W21)))</f>
        <v>0</v>
      </c>
      <c r="AG21" s="27" t="n">
        <f aca="false">MIN(K20*(1+K$8),MAX(W21,$B$11-SUM(X21:AF21)))</f>
        <v>0</v>
      </c>
      <c r="AI21" s="27" t="n">
        <f aca="false">ROUND(MAX(0,AI20*(1+B$8)-BE21),2)</f>
        <v>488.93</v>
      </c>
      <c r="AJ21" s="27" t="n">
        <f aca="false">ROUND(MAX(0,AJ20*(1+C$8)-BF21),2)</f>
        <v>2726.6</v>
      </c>
      <c r="AK21" s="27" t="n">
        <f aca="false">ROUND(MAX(0,AK20*(1+D$8)-BG21),2)</f>
        <v>3950.81</v>
      </c>
      <c r="AL21" s="27" t="n">
        <f aca="false">ROUND(MAX(0,AL20*(1+E$8)-BH21),2)</f>
        <v>7577.15</v>
      </c>
      <c r="AM21" s="27" t="n">
        <f aca="false">ROUND(MAX(0,AM20*(1+F$8)-BI21),2)</f>
        <v>850</v>
      </c>
      <c r="AN21" s="27" t="n">
        <f aca="false">ROUND(MAX(0,AN20*(1+G$8)-BJ21),2)</f>
        <v>0</v>
      </c>
      <c r="AO21" s="27" t="n">
        <f aca="false">ROUND(MAX(0,AO20*(1+H$8)-BK21),2)</f>
        <v>0</v>
      </c>
      <c r="AP21" s="27" t="n">
        <f aca="false">ROUND(MAX(0,AP20*(1+I$8)-BL21),2)</f>
        <v>0</v>
      </c>
      <c r="AQ21" s="27" t="n">
        <f aca="false">ROUND(MAX(0,AQ20*(1+J$8)-BM21),2)</f>
        <v>0</v>
      </c>
      <c r="AR21" s="27" t="n">
        <f aca="false">ROUND(MAX(0,AR20*(1+K$8)-BN21),2)</f>
        <v>0</v>
      </c>
      <c r="AS21" s="27" t="n">
        <f aca="false">SUM(AI21:AR21)</f>
        <v>15593.49</v>
      </c>
      <c r="AT21" s="27" t="n">
        <f aca="false">SUMPRODUCT(AI20:AR20,$B$8:$K$8)</f>
        <v>185.7883275</v>
      </c>
      <c r="AU21" s="27" t="n">
        <f aca="false">MIN(AI20*(1+B$8),B$9)</f>
        <v>35</v>
      </c>
      <c r="AV21" s="27" t="n">
        <f aca="false">MIN(AJ20*(1+C$8),C$9)</f>
        <v>75</v>
      </c>
      <c r="AW21" s="27" t="n">
        <f aca="false">MIN(AK20*(1+D$8),D$9)</f>
        <v>95</v>
      </c>
      <c r="AX21" s="27" t="n">
        <f aca="false">MIN(AL20*(1+E$8),E$9)</f>
        <v>310</v>
      </c>
      <c r="AY21" s="27" t="n">
        <f aca="false">MIN(AM20*(1+F$8),F$9)</f>
        <v>50</v>
      </c>
      <c r="AZ21" s="27" t="n">
        <f aca="false">MIN(AN20*(1+G$8),G$9)</f>
        <v>0</v>
      </c>
      <c r="BA21" s="27" t="n">
        <f aca="false">MIN(AO20*(1+H$8),H$9)</f>
        <v>0</v>
      </c>
      <c r="BB21" s="27" t="n">
        <f aca="false">MIN(AP20*(1+I$8),I$9)</f>
        <v>0</v>
      </c>
      <c r="BC21" s="27" t="n">
        <f aca="false">MIN(AQ20*(1+J$8),J$9)</f>
        <v>0</v>
      </c>
      <c r="BD21" s="27" t="n">
        <f aca="false">MIN(AR20*(1+K$8),K$9)</f>
        <v>0</v>
      </c>
      <c r="BE21" s="27" t="n">
        <f aca="false">MIN(AI20*(1+B$8),MAX(AU21,$B$12-SUM(AV21:BD21)))</f>
        <v>35</v>
      </c>
      <c r="BF21" s="27" t="n">
        <f aca="false">MIN(AJ20*(1+C$8),MAX(AV21,$B$12-SUM(BE21:BE21)-SUM(AW21:BD21)))</f>
        <v>75</v>
      </c>
      <c r="BG21" s="27" t="n">
        <f aca="false">MIN(AK20*(1+D$8),MAX(AW21,$B$12-SUM(BE21:BF21)-SUM(AX21:BD21)))</f>
        <v>95</v>
      </c>
      <c r="BH21" s="27" t="n">
        <f aca="false">MIN(AL20*(1+E$8),MAX(AX21,$B$12-SUM(BE21:BG21)-SUM(AY21:BD21)))</f>
        <v>310</v>
      </c>
      <c r="BI21" s="27" t="n">
        <f aca="false">MIN(AM20*(1+F$8),MAX(AY21,$B$12-SUM(BE21:BH21)-SUM(AZ21:BD21)))</f>
        <v>50</v>
      </c>
      <c r="BJ21" s="27" t="n">
        <f aca="false">MIN(AN20*(1+G$8),MAX(AZ21,$B$12-SUM(BE21:BI21)-SUM(BA21:BD21)))</f>
        <v>0</v>
      </c>
      <c r="BK21" s="27" t="n">
        <f aca="false">MIN(AO20*(1+H$8),MAX(BA21,$B$12-SUM(BE21:BJ21)-SUM(BB21:BD21)))</f>
        <v>0</v>
      </c>
      <c r="BL21" s="27" t="n">
        <f aca="false">MIN(AP20*(1+I$8),MAX(BB21,$B$12-SUM(BE21:BK21)-SUM(BC21:BD21)))</f>
        <v>0</v>
      </c>
      <c r="BM21" s="27" t="n">
        <f aca="false">MIN(AQ20*(1+J$8),MAX(BC21,$B$12-SUM(BE21:BL21)-SUM(BD21:BD21)))</f>
        <v>0</v>
      </c>
      <c r="BN21" s="27" t="n">
        <f aca="false">MIN(AR20*(1+K$8),MAX(BD21,$B$12-SUM(BE21:BM21)))</f>
        <v>0</v>
      </c>
    </row>
    <row r="22" customFormat="false" ht="15" hidden="false" customHeight="false" outlineLevel="0" collapsed="false">
      <c r="A22" s="0" t="n">
        <v>8</v>
      </c>
      <c r="B22" s="27" t="n">
        <f aca="false">ROUND(MAX(0,B21*(1+B$8)-X22),2)</f>
        <v>0</v>
      </c>
      <c r="C22" s="27" t="n">
        <f aca="false">ROUND(MAX(0,C21*(1+C$8)-Y22),2)</f>
        <v>1874.39</v>
      </c>
      <c r="D22" s="27" t="n">
        <f aca="false">ROUND(MAX(0,D21*(1+D$8)-Z22),2)</f>
        <v>3927.91</v>
      </c>
      <c r="E22" s="27" t="n">
        <f aca="false">ROUND(MAX(0,E21*(1+E$8)-AA22),2)</f>
        <v>7310.72</v>
      </c>
      <c r="F22" s="27" t="n">
        <f aca="false">ROUND(MAX(0,F21*(1+F$8)-AB22),2)</f>
        <v>800</v>
      </c>
      <c r="G22" s="27" t="n">
        <f aca="false">ROUND(MAX(0,G21*(1+G$8)-AC22),2)</f>
        <v>0</v>
      </c>
      <c r="H22" s="27" t="n">
        <f aca="false">ROUND(MAX(0,H21*(1+H$8)-AD22),2)</f>
        <v>0</v>
      </c>
      <c r="I22" s="27" t="n">
        <f aca="false">ROUND(MAX(0,I21*(1+I$8)-AE22),2)</f>
        <v>0</v>
      </c>
      <c r="J22" s="27" t="n">
        <f aca="false">ROUND(MAX(0,J21*(1+J$8)-AF22),2)</f>
        <v>0</v>
      </c>
      <c r="K22" s="27" t="n">
        <f aca="false">ROUND(MAX(0,K21*(1+K$8)-AG22),2)</f>
        <v>0</v>
      </c>
      <c r="L22" s="30" t="n">
        <f aca="false">SUM(B22:K22)</f>
        <v>13913.02</v>
      </c>
      <c r="M22" s="27" t="n">
        <f aca="false">SUMPRODUCT(B21:K21,$B$8:$K$8)</f>
        <v>158.54685</v>
      </c>
      <c r="N22" s="27" t="n">
        <f aca="false">MIN(B21*(1+B$8),B$9)</f>
        <v>0</v>
      </c>
      <c r="O22" s="27" t="n">
        <f aca="false">MIN(C21*(1+C$8),C$9)</f>
        <v>75</v>
      </c>
      <c r="P22" s="27" t="n">
        <f aca="false">MIN(D21*(1+D$8),D$9)</f>
        <v>95</v>
      </c>
      <c r="Q22" s="27" t="n">
        <f aca="false">MIN(E21*(1+E$8),E$9)</f>
        <v>310</v>
      </c>
      <c r="R22" s="27" t="n">
        <f aca="false">MIN(F21*(1+F$8),F$9)</f>
        <v>50</v>
      </c>
      <c r="S22" s="27" t="n">
        <f aca="false">MIN(G21*(1+G$8),G$9)</f>
        <v>0</v>
      </c>
      <c r="T22" s="27" t="n">
        <f aca="false">MIN(H21*(1+H$8),H$9)</f>
        <v>0</v>
      </c>
      <c r="U22" s="27" t="n">
        <f aca="false">MIN(I21*(1+I$8),I$9)</f>
        <v>0</v>
      </c>
      <c r="V22" s="27" t="n">
        <f aca="false">MIN(J21*(1+J$8),J$9)</f>
        <v>0</v>
      </c>
      <c r="W22" s="27" t="n">
        <f aca="false">MIN(K21*(1+K$8),K$9)</f>
        <v>0</v>
      </c>
      <c r="X22" s="27" t="n">
        <f aca="false">MIN(B21*(1+B$8),MAX(N22,$B$11-SUM(O22:W22)))</f>
        <v>0</v>
      </c>
      <c r="Y22" s="27" t="n">
        <f aca="false">MIN(C21*(1+C$8),MAX(O22,$B$11-SUM(X22:X22)-SUM(P22:W22)))</f>
        <v>260</v>
      </c>
      <c r="Z22" s="27" t="n">
        <f aca="false">MIN(D21*(1+D$8),MAX(P22,$B$11-SUM(X22:Y22)-SUM(Q22:W22)))</f>
        <v>95</v>
      </c>
      <c r="AA22" s="27" t="n">
        <f aca="false">MIN(E21*(1+E$8),MAX(Q22,$B$11-SUM(X22:Z22)-SUM(R22:W22)))</f>
        <v>310</v>
      </c>
      <c r="AB22" s="27" t="n">
        <f aca="false">MIN(F21*(1+F$8),MAX(R22,$B$11-SUM(X22:AA22)-SUM(S22:W22)))</f>
        <v>50</v>
      </c>
      <c r="AC22" s="27" t="n">
        <f aca="false">MIN(G21*(1+G$8),MAX(S22,$B$11-SUM(X22:AB22)-SUM(T22:W22)))</f>
        <v>0</v>
      </c>
      <c r="AD22" s="27" t="n">
        <f aca="false">MIN(H21*(1+H$8),MAX(T22,$B$11-SUM(X22:AC22)-SUM(U22:W22)))</f>
        <v>0</v>
      </c>
      <c r="AE22" s="27" t="n">
        <f aca="false">MIN(I21*(1+I$8),MAX(U22,$B$11-SUM(X22:AD22)-SUM(V22:W22)))</f>
        <v>0</v>
      </c>
      <c r="AF22" s="27" t="n">
        <f aca="false">MIN(J21*(1+J$8),MAX(V22,$B$11-SUM(X22:AE22)-SUM(W22:W22)))</f>
        <v>0</v>
      </c>
      <c r="AG22" s="27" t="n">
        <f aca="false">MIN(K21*(1+K$8),MAX(W22,$B$11-SUM(X22:AF22)))</f>
        <v>0</v>
      </c>
      <c r="AI22" s="27" t="n">
        <f aca="false">ROUND(MAX(0,AI21*(1+B$8)-BE22),2)</f>
        <v>465.3</v>
      </c>
      <c r="AJ22" s="27" t="n">
        <f aca="false">ROUND(MAX(0,AJ21*(1+C$8)-BF22),2)</f>
        <v>2707.5</v>
      </c>
      <c r="AK22" s="27" t="n">
        <f aca="false">ROUND(MAX(0,AK21*(1+D$8)-BG22),2)</f>
        <v>3927.91</v>
      </c>
      <c r="AL22" s="27" t="n">
        <f aca="false">ROUND(MAX(0,AL21*(1+E$8)-BH22),2)</f>
        <v>7310.72</v>
      </c>
      <c r="AM22" s="27" t="n">
        <f aca="false">ROUND(MAX(0,AM21*(1+F$8)-BI22),2)</f>
        <v>800</v>
      </c>
      <c r="AN22" s="27" t="n">
        <f aca="false">ROUND(MAX(0,AN21*(1+G$8)-BJ22),2)</f>
        <v>0</v>
      </c>
      <c r="AO22" s="27" t="n">
        <f aca="false">ROUND(MAX(0,AO21*(1+H$8)-BK22),2)</f>
        <v>0</v>
      </c>
      <c r="AP22" s="27" t="n">
        <f aca="false">ROUND(MAX(0,AP21*(1+I$8)-BL22),2)</f>
        <v>0</v>
      </c>
      <c r="AQ22" s="27" t="n">
        <f aca="false">ROUND(MAX(0,AQ21*(1+J$8)-BM22),2)</f>
        <v>0</v>
      </c>
      <c r="AR22" s="27" t="n">
        <f aca="false">ROUND(MAX(0,AR21*(1+K$8)-BN22),2)</f>
        <v>0</v>
      </c>
      <c r="AS22" s="27" t="n">
        <f aca="false">SUM(AI22:AR22)</f>
        <v>15211.43</v>
      </c>
      <c r="AT22" s="27" t="n">
        <f aca="false">SUMPRODUCT(AI21:AR21,$B$8:$K$8)</f>
        <v>182.9338175</v>
      </c>
      <c r="AU22" s="27" t="n">
        <f aca="false">MIN(AI21*(1+B$8),B$9)</f>
        <v>35</v>
      </c>
      <c r="AV22" s="27" t="n">
        <f aca="false">MIN(AJ21*(1+C$8),C$9)</f>
        <v>75</v>
      </c>
      <c r="AW22" s="27" t="n">
        <f aca="false">MIN(AK21*(1+D$8),D$9)</f>
        <v>95</v>
      </c>
      <c r="AX22" s="27" t="n">
        <f aca="false">MIN(AL21*(1+E$8),E$9)</f>
        <v>310</v>
      </c>
      <c r="AY22" s="27" t="n">
        <f aca="false">MIN(AM21*(1+F$8),F$9)</f>
        <v>50</v>
      </c>
      <c r="AZ22" s="27" t="n">
        <f aca="false">MIN(AN21*(1+G$8),G$9)</f>
        <v>0</v>
      </c>
      <c r="BA22" s="27" t="n">
        <f aca="false">MIN(AO21*(1+H$8),H$9)</f>
        <v>0</v>
      </c>
      <c r="BB22" s="27" t="n">
        <f aca="false">MIN(AP21*(1+I$8),I$9)</f>
        <v>0</v>
      </c>
      <c r="BC22" s="27" t="n">
        <f aca="false">MIN(AQ21*(1+J$8),J$9)</f>
        <v>0</v>
      </c>
      <c r="BD22" s="27" t="n">
        <f aca="false">MIN(AR21*(1+K$8),K$9)</f>
        <v>0</v>
      </c>
      <c r="BE22" s="27" t="n">
        <f aca="false">MIN(AI21*(1+B$8),MAX(AU22,$B$12-SUM(AV22:BD22)))</f>
        <v>35</v>
      </c>
      <c r="BF22" s="27" t="n">
        <f aca="false">MIN(AJ21*(1+C$8),MAX(AV22,$B$12-SUM(BE22:BE22)-SUM(AW22:BD22)))</f>
        <v>75</v>
      </c>
      <c r="BG22" s="27" t="n">
        <f aca="false">MIN(AK21*(1+D$8),MAX(AW22,$B$12-SUM(BE22:BF22)-SUM(AX22:BD22)))</f>
        <v>95</v>
      </c>
      <c r="BH22" s="27" t="n">
        <f aca="false">MIN(AL21*(1+E$8),MAX(AX22,$B$12-SUM(BE22:BG22)-SUM(AY22:BD22)))</f>
        <v>310</v>
      </c>
      <c r="BI22" s="27" t="n">
        <f aca="false">MIN(AM21*(1+F$8),MAX(AY22,$B$12-SUM(BE22:BH22)-SUM(AZ22:BD22)))</f>
        <v>50</v>
      </c>
      <c r="BJ22" s="27" t="n">
        <f aca="false">MIN(AN21*(1+G$8),MAX(AZ22,$B$12-SUM(BE22:BI22)-SUM(BA22:BD22)))</f>
        <v>0</v>
      </c>
      <c r="BK22" s="27" t="n">
        <f aca="false">MIN(AO21*(1+H$8),MAX(BA22,$B$12-SUM(BE22:BJ22)-SUM(BB22:BD22)))</f>
        <v>0</v>
      </c>
      <c r="BL22" s="27" t="n">
        <f aca="false">MIN(AP21*(1+I$8),MAX(BB22,$B$12-SUM(BE22:BK22)-SUM(BC22:BD22)))</f>
        <v>0</v>
      </c>
      <c r="BM22" s="27" t="n">
        <f aca="false">MIN(AQ21*(1+J$8),MAX(BC22,$B$12-SUM(BE22:BL22)-SUM(BD22:BD22)))</f>
        <v>0</v>
      </c>
      <c r="BN22" s="27" t="n">
        <f aca="false">MIN(AR21*(1+K$8),MAX(BD22,$B$12-SUM(BE22:BM22)))</f>
        <v>0</v>
      </c>
    </row>
    <row r="23" customFormat="false" ht="15" hidden="false" customHeight="false" outlineLevel="0" collapsed="false">
      <c r="A23" s="0" t="n">
        <v>9</v>
      </c>
      <c r="B23" s="27" t="n">
        <f aca="false">ROUND(MAX(0,B22*(1+B$8)-X23),2)</f>
        <v>0</v>
      </c>
      <c r="C23" s="27" t="n">
        <f aca="false">ROUND(MAX(0,C22*(1+C$8)-Y23),2)</f>
        <v>1652.81</v>
      </c>
      <c r="D23" s="27" t="n">
        <f aca="false">ROUND(MAX(0,D22*(1+D$8)-Z23),2)</f>
        <v>3904.59</v>
      </c>
      <c r="E23" s="27" t="n">
        <f aca="false">ROUND(MAX(0,E22*(1+E$8)-AA23),2)</f>
        <v>7042.76</v>
      </c>
      <c r="F23" s="27" t="n">
        <f aca="false">ROUND(MAX(0,F22*(1+F$8)-AB23),2)</f>
        <v>750</v>
      </c>
      <c r="G23" s="27" t="n">
        <f aca="false">ROUND(MAX(0,G22*(1+G$8)-AC23),2)</f>
        <v>0</v>
      </c>
      <c r="H23" s="27" t="n">
        <f aca="false">ROUND(MAX(0,H22*(1+H$8)-AD23),2)</f>
        <v>0</v>
      </c>
      <c r="I23" s="27" t="n">
        <f aca="false">ROUND(MAX(0,I22*(1+I$8)-AE23),2)</f>
        <v>0</v>
      </c>
      <c r="J23" s="27" t="n">
        <f aca="false">ROUND(MAX(0,J22*(1+J$8)-AF23),2)</f>
        <v>0</v>
      </c>
      <c r="K23" s="27" t="n">
        <f aca="false">ROUND(MAX(0,K22*(1+K$8)-AG23),2)</f>
        <v>0</v>
      </c>
      <c r="L23" s="30" t="n">
        <f aca="false">SUM(B23:K23)</f>
        <v>13350.16</v>
      </c>
      <c r="M23" s="27" t="n">
        <f aca="false">SUMPRODUCT(B22:K22,$B$8:$K$8)</f>
        <v>152.1459925</v>
      </c>
      <c r="N23" s="27" t="n">
        <f aca="false">MIN(B22*(1+B$8),B$9)</f>
        <v>0</v>
      </c>
      <c r="O23" s="27" t="n">
        <f aca="false">MIN(C22*(1+C$8),C$9)</f>
        <v>75</v>
      </c>
      <c r="P23" s="27" t="n">
        <f aca="false">MIN(D22*(1+D$8),D$9)</f>
        <v>95</v>
      </c>
      <c r="Q23" s="27" t="n">
        <f aca="false">MIN(E22*(1+E$8),E$9)</f>
        <v>310</v>
      </c>
      <c r="R23" s="27" t="n">
        <f aca="false">MIN(F22*(1+F$8),F$9)</f>
        <v>50</v>
      </c>
      <c r="S23" s="27" t="n">
        <f aca="false">MIN(G22*(1+G$8),G$9)</f>
        <v>0</v>
      </c>
      <c r="T23" s="27" t="n">
        <f aca="false">MIN(H22*(1+H$8),H$9)</f>
        <v>0</v>
      </c>
      <c r="U23" s="27" t="n">
        <f aca="false">MIN(I22*(1+I$8),I$9)</f>
        <v>0</v>
      </c>
      <c r="V23" s="27" t="n">
        <f aca="false">MIN(J22*(1+J$8),J$9)</f>
        <v>0</v>
      </c>
      <c r="W23" s="27" t="n">
        <f aca="false">MIN(K22*(1+K$8),K$9)</f>
        <v>0</v>
      </c>
      <c r="X23" s="27" t="n">
        <f aca="false">MIN(B22*(1+B$8),MAX(N23,$B$11-SUM(O23:W23)))</f>
        <v>0</v>
      </c>
      <c r="Y23" s="27" t="n">
        <f aca="false">MIN(C22*(1+C$8),MAX(O23,$B$11-SUM(X23:X23)-SUM(P23:W23)))</f>
        <v>260</v>
      </c>
      <c r="Z23" s="27" t="n">
        <f aca="false">MIN(D22*(1+D$8),MAX(P23,$B$11-SUM(X23:Y23)-SUM(Q23:W23)))</f>
        <v>95</v>
      </c>
      <c r="AA23" s="27" t="n">
        <f aca="false">MIN(E22*(1+E$8),MAX(Q23,$B$11-SUM(X23:Z23)-SUM(R23:W23)))</f>
        <v>310</v>
      </c>
      <c r="AB23" s="27" t="n">
        <f aca="false">MIN(F22*(1+F$8),MAX(R23,$B$11-SUM(X23:AA23)-SUM(S23:W23)))</f>
        <v>50</v>
      </c>
      <c r="AC23" s="27" t="n">
        <f aca="false">MIN(G22*(1+G$8),MAX(S23,$B$11-SUM(X23:AB23)-SUM(T23:W23)))</f>
        <v>0</v>
      </c>
      <c r="AD23" s="27" t="n">
        <f aca="false">MIN(H22*(1+H$8),MAX(T23,$B$11-SUM(X23:AC23)-SUM(U23:W23)))</f>
        <v>0</v>
      </c>
      <c r="AE23" s="27" t="n">
        <f aca="false">MIN(I22*(1+I$8),MAX(U23,$B$11-SUM(X23:AD23)-SUM(V23:W23)))</f>
        <v>0</v>
      </c>
      <c r="AF23" s="27" t="n">
        <f aca="false">MIN(J22*(1+J$8),MAX(V23,$B$11-SUM(X23:AE23)-SUM(W23:W23)))</f>
        <v>0</v>
      </c>
      <c r="AG23" s="27" t="n">
        <f aca="false">MIN(K22*(1+K$8),MAX(W23,$B$11-SUM(X23:AF23)))</f>
        <v>0</v>
      </c>
      <c r="AI23" s="27" t="n">
        <f aca="false">ROUND(MAX(0,AI22*(1+B$8)-BE23),2)</f>
        <v>441.12</v>
      </c>
      <c r="AJ23" s="27" t="n">
        <f aca="false">ROUND(MAX(0,AJ22*(1+C$8)-BF23),2)</f>
        <v>2688</v>
      </c>
      <c r="AK23" s="27" t="n">
        <f aca="false">ROUND(MAX(0,AK22*(1+D$8)-BG23),2)</f>
        <v>3904.59</v>
      </c>
      <c r="AL23" s="27" t="n">
        <f aca="false">ROUND(MAX(0,AL22*(1+E$8)-BH23),2)</f>
        <v>7042.76</v>
      </c>
      <c r="AM23" s="27" t="n">
        <f aca="false">ROUND(MAX(0,AM22*(1+F$8)-BI23),2)</f>
        <v>750</v>
      </c>
      <c r="AN23" s="27" t="n">
        <f aca="false">ROUND(MAX(0,AN22*(1+G$8)-BJ23),2)</f>
        <v>0</v>
      </c>
      <c r="AO23" s="27" t="n">
        <f aca="false">ROUND(MAX(0,AO22*(1+H$8)-BK23),2)</f>
        <v>0</v>
      </c>
      <c r="AP23" s="27" t="n">
        <f aca="false">ROUND(MAX(0,AP22*(1+I$8)-BL23),2)</f>
        <v>0</v>
      </c>
      <c r="AQ23" s="27" t="n">
        <f aca="false">ROUND(MAX(0,AQ22*(1+J$8)-BM23),2)</f>
        <v>0</v>
      </c>
      <c r="AR23" s="27" t="n">
        <f aca="false">ROUND(MAX(0,AR22*(1+K$8)-BN23),2)</f>
        <v>0</v>
      </c>
      <c r="AS23" s="27" t="n">
        <f aca="false">SUM(AI23:AR23)</f>
        <v>14826.47</v>
      </c>
      <c r="AT23" s="27" t="n">
        <f aca="false">SUMPRODUCT(AI22:AR22,$B$8:$K$8)</f>
        <v>180.0429725</v>
      </c>
      <c r="AU23" s="27" t="n">
        <f aca="false">MIN(AI22*(1+B$8),B$9)</f>
        <v>35</v>
      </c>
      <c r="AV23" s="27" t="n">
        <f aca="false">MIN(AJ22*(1+C$8),C$9)</f>
        <v>75</v>
      </c>
      <c r="AW23" s="27" t="n">
        <f aca="false">MIN(AK22*(1+D$8),D$9)</f>
        <v>95</v>
      </c>
      <c r="AX23" s="27" t="n">
        <f aca="false">MIN(AL22*(1+E$8),E$9)</f>
        <v>310</v>
      </c>
      <c r="AY23" s="27" t="n">
        <f aca="false">MIN(AM22*(1+F$8),F$9)</f>
        <v>50</v>
      </c>
      <c r="AZ23" s="27" t="n">
        <f aca="false">MIN(AN22*(1+G$8),G$9)</f>
        <v>0</v>
      </c>
      <c r="BA23" s="27" t="n">
        <f aca="false">MIN(AO22*(1+H$8),H$9)</f>
        <v>0</v>
      </c>
      <c r="BB23" s="27" t="n">
        <f aca="false">MIN(AP22*(1+I$8),I$9)</f>
        <v>0</v>
      </c>
      <c r="BC23" s="27" t="n">
        <f aca="false">MIN(AQ22*(1+J$8),J$9)</f>
        <v>0</v>
      </c>
      <c r="BD23" s="27" t="n">
        <f aca="false">MIN(AR22*(1+K$8),K$9)</f>
        <v>0</v>
      </c>
      <c r="BE23" s="27" t="n">
        <f aca="false">MIN(AI22*(1+B$8),MAX(AU23,$B$12-SUM(AV23:BD23)))</f>
        <v>35</v>
      </c>
      <c r="BF23" s="27" t="n">
        <f aca="false">MIN(AJ22*(1+C$8),MAX(AV23,$B$12-SUM(BE23:BE23)-SUM(AW23:BD23)))</f>
        <v>75</v>
      </c>
      <c r="BG23" s="27" t="n">
        <f aca="false">MIN(AK22*(1+D$8),MAX(AW23,$B$12-SUM(BE23:BF23)-SUM(AX23:BD23)))</f>
        <v>95</v>
      </c>
      <c r="BH23" s="27" t="n">
        <f aca="false">MIN(AL22*(1+E$8),MAX(AX23,$B$12-SUM(BE23:BG23)-SUM(AY23:BD23)))</f>
        <v>310</v>
      </c>
      <c r="BI23" s="27" t="n">
        <f aca="false">MIN(AM22*(1+F$8),MAX(AY23,$B$12-SUM(BE23:BH23)-SUM(AZ23:BD23)))</f>
        <v>50</v>
      </c>
      <c r="BJ23" s="27" t="n">
        <f aca="false">MIN(AN22*(1+G$8),MAX(AZ23,$B$12-SUM(BE23:BI23)-SUM(BA23:BD23)))</f>
        <v>0</v>
      </c>
      <c r="BK23" s="27" t="n">
        <f aca="false">MIN(AO22*(1+H$8),MAX(BA23,$B$12-SUM(BE23:BJ23)-SUM(BB23:BD23)))</f>
        <v>0</v>
      </c>
      <c r="BL23" s="27" t="n">
        <f aca="false">MIN(AP22*(1+I$8),MAX(BB23,$B$12-SUM(BE23:BK23)-SUM(BC23:BD23)))</f>
        <v>0</v>
      </c>
      <c r="BM23" s="27" t="n">
        <f aca="false">MIN(AQ22*(1+J$8),MAX(BC23,$B$12-SUM(BE23:BL23)-SUM(BD23:BD23)))</f>
        <v>0</v>
      </c>
      <c r="BN23" s="27" t="n">
        <f aca="false">MIN(AR22*(1+K$8),MAX(BD23,$B$12-SUM(BE23:BM23)))</f>
        <v>0</v>
      </c>
    </row>
    <row r="24" customFormat="false" ht="15" hidden="false" customHeight="false" outlineLevel="0" collapsed="false">
      <c r="A24" s="0" t="n">
        <v>10</v>
      </c>
      <c r="B24" s="27" t="n">
        <f aca="false">ROUND(MAX(0,B23*(1+B$8)-X24),2)</f>
        <v>0</v>
      </c>
      <c r="C24" s="27" t="n">
        <f aca="false">ROUND(MAX(0,C23*(1+C$8)-Y24),2)</f>
        <v>1426.69</v>
      </c>
      <c r="D24" s="27" t="n">
        <f aca="false">ROUND(MAX(0,D23*(1+D$8)-Z24),2)</f>
        <v>3880.85</v>
      </c>
      <c r="E24" s="27" t="n">
        <f aca="false">ROUND(MAX(0,E23*(1+E$8)-AA24),2)</f>
        <v>6773.26</v>
      </c>
      <c r="F24" s="27" t="n">
        <f aca="false">ROUND(MAX(0,F23*(1+F$8)-AB24),2)</f>
        <v>700</v>
      </c>
      <c r="G24" s="27" t="n">
        <f aca="false">ROUND(MAX(0,G23*(1+G$8)-AC24),2)</f>
        <v>0</v>
      </c>
      <c r="H24" s="27" t="n">
        <f aca="false">ROUND(MAX(0,H23*(1+H$8)-AD24),2)</f>
        <v>0</v>
      </c>
      <c r="I24" s="27" t="n">
        <f aca="false">ROUND(MAX(0,I23*(1+I$8)-AE24),2)</f>
        <v>0</v>
      </c>
      <c r="J24" s="27" t="n">
        <f aca="false">ROUND(MAX(0,J23*(1+J$8)-AF24),2)</f>
        <v>0</v>
      </c>
      <c r="K24" s="27" t="n">
        <f aca="false">ROUND(MAX(0,K23*(1+K$8)-AG24),2)</f>
        <v>0</v>
      </c>
      <c r="L24" s="30" t="n">
        <f aca="false">SUM(B24:K24)</f>
        <v>12780.8</v>
      </c>
      <c r="M24" s="27" t="n">
        <f aca="false">SUMPRODUCT(B23:K23,$B$8:$K$8)</f>
        <v>145.6372425</v>
      </c>
      <c r="N24" s="27" t="n">
        <f aca="false">MIN(B23*(1+B$8),B$9)</f>
        <v>0</v>
      </c>
      <c r="O24" s="27" t="n">
        <f aca="false">MIN(C23*(1+C$8),C$9)</f>
        <v>75</v>
      </c>
      <c r="P24" s="27" t="n">
        <f aca="false">MIN(D23*(1+D$8),D$9)</f>
        <v>95</v>
      </c>
      <c r="Q24" s="27" t="n">
        <f aca="false">MIN(E23*(1+E$8),E$9)</f>
        <v>310</v>
      </c>
      <c r="R24" s="27" t="n">
        <f aca="false">MIN(F23*(1+F$8),F$9)</f>
        <v>50</v>
      </c>
      <c r="S24" s="27" t="n">
        <f aca="false">MIN(G23*(1+G$8),G$9)</f>
        <v>0</v>
      </c>
      <c r="T24" s="27" t="n">
        <f aca="false">MIN(H23*(1+H$8),H$9)</f>
        <v>0</v>
      </c>
      <c r="U24" s="27" t="n">
        <f aca="false">MIN(I23*(1+I$8),I$9)</f>
        <v>0</v>
      </c>
      <c r="V24" s="27" t="n">
        <f aca="false">MIN(J23*(1+J$8),J$9)</f>
        <v>0</v>
      </c>
      <c r="W24" s="27" t="n">
        <f aca="false">MIN(K23*(1+K$8),K$9)</f>
        <v>0</v>
      </c>
      <c r="X24" s="27" t="n">
        <f aca="false">MIN(B23*(1+B$8),MAX(N24,$B$11-SUM(O24:W24)))</f>
        <v>0</v>
      </c>
      <c r="Y24" s="27" t="n">
        <f aca="false">MIN(C23*(1+C$8),MAX(O24,$B$11-SUM(X24:X24)-SUM(P24:W24)))</f>
        <v>260</v>
      </c>
      <c r="Z24" s="27" t="n">
        <f aca="false">MIN(D23*(1+D$8),MAX(P24,$B$11-SUM(X24:Y24)-SUM(Q24:W24)))</f>
        <v>95</v>
      </c>
      <c r="AA24" s="27" t="n">
        <f aca="false">MIN(E23*(1+E$8),MAX(Q24,$B$11-SUM(X24:Z24)-SUM(R24:W24)))</f>
        <v>310</v>
      </c>
      <c r="AB24" s="27" t="n">
        <f aca="false">MIN(F23*(1+F$8),MAX(R24,$B$11-SUM(X24:AA24)-SUM(S24:W24)))</f>
        <v>50</v>
      </c>
      <c r="AC24" s="27" t="n">
        <f aca="false">MIN(G23*(1+G$8),MAX(S24,$B$11-SUM(X24:AB24)-SUM(T24:W24)))</f>
        <v>0</v>
      </c>
      <c r="AD24" s="27" t="n">
        <f aca="false">MIN(H23*(1+H$8),MAX(T24,$B$11-SUM(X24:AC24)-SUM(U24:W24)))</f>
        <v>0</v>
      </c>
      <c r="AE24" s="27" t="n">
        <f aca="false">MIN(I23*(1+I$8),MAX(U24,$B$11-SUM(X24:AD24)-SUM(V24:W24)))</f>
        <v>0</v>
      </c>
      <c r="AF24" s="27" t="n">
        <f aca="false">MIN(J23*(1+J$8),MAX(V24,$B$11-SUM(X24:AE24)-SUM(W24:W24)))</f>
        <v>0</v>
      </c>
      <c r="AG24" s="27" t="n">
        <f aca="false">MIN(K23*(1+K$8),MAX(W24,$B$11-SUM(X24:AF24)))</f>
        <v>0</v>
      </c>
      <c r="AI24" s="27" t="n">
        <f aca="false">ROUND(MAX(0,AI23*(1+B$8)-BE24),2)</f>
        <v>416.38</v>
      </c>
      <c r="AJ24" s="27" t="n">
        <f aca="false">ROUND(MAX(0,AJ23*(1+C$8)-BF24),2)</f>
        <v>2668.1</v>
      </c>
      <c r="AK24" s="27" t="n">
        <f aca="false">ROUND(MAX(0,AK23*(1+D$8)-BG24),2)</f>
        <v>3880.85</v>
      </c>
      <c r="AL24" s="27" t="n">
        <f aca="false">ROUND(MAX(0,AL23*(1+E$8)-BH24),2)</f>
        <v>6773.26</v>
      </c>
      <c r="AM24" s="27" t="n">
        <f aca="false">ROUND(MAX(0,AM23*(1+F$8)-BI24),2)</f>
        <v>700</v>
      </c>
      <c r="AN24" s="27" t="n">
        <f aca="false">ROUND(MAX(0,AN23*(1+G$8)-BJ24),2)</f>
        <v>0</v>
      </c>
      <c r="AO24" s="27" t="n">
        <f aca="false">ROUND(MAX(0,AO23*(1+H$8)-BK24),2)</f>
        <v>0</v>
      </c>
      <c r="AP24" s="27" t="n">
        <f aca="false">ROUND(MAX(0,AP23*(1+I$8)-BL24),2)</f>
        <v>0</v>
      </c>
      <c r="AQ24" s="27" t="n">
        <f aca="false">ROUND(MAX(0,AQ23*(1+J$8)-BM24),2)</f>
        <v>0</v>
      </c>
      <c r="AR24" s="27" t="n">
        <f aca="false">ROUND(MAX(0,AR23*(1+K$8)-BN24),2)</f>
        <v>0</v>
      </c>
      <c r="AS24" s="27" t="n">
        <f aca="false">SUM(AI24:AR24)</f>
        <v>14438.59</v>
      </c>
      <c r="AT24" s="27" t="n">
        <f aca="false">SUMPRODUCT(AI23:AR23,$B$8:$K$8)</f>
        <v>177.1146775</v>
      </c>
      <c r="AU24" s="27" t="n">
        <f aca="false">MIN(AI23*(1+B$8),B$9)</f>
        <v>35</v>
      </c>
      <c r="AV24" s="27" t="n">
        <f aca="false">MIN(AJ23*(1+C$8),C$9)</f>
        <v>75</v>
      </c>
      <c r="AW24" s="27" t="n">
        <f aca="false">MIN(AK23*(1+D$8),D$9)</f>
        <v>95</v>
      </c>
      <c r="AX24" s="27" t="n">
        <f aca="false">MIN(AL23*(1+E$8),E$9)</f>
        <v>310</v>
      </c>
      <c r="AY24" s="27" t="n">
        <f aca="false">MIN(AM23*(1+F$8),F$9)</f>
        <v>50</v>
      </c>
      <c r="AZ24" s="27" t="n">
        <f aca="false">MIN(AN23*(1+G$8),G$9)</f>
        <v>0</v>
      </c>
      <c r="BA24" s="27" t="n">
        <f aca="false">MIN(AO23*(1+H$8),H$9)</f>
        <v>0</v>
      </c>
      <c r="BB24" s="27" t="n">
        <f aca="false">MIN(AP23*(1+I$8),I$9)</f>
        <v>0</v>
      </c>
      <c r="BC24" s="27" t="n">
        <f aca="false">MIN(AQ23*(1+J$8),J$9)</f>
        <v>0</v>
      </c>
      <c r="BD24" s="27" t="n">
        <f aca="false">MIN(AR23*(1+K$8),K$9)</f>
        <v>0</v>
      </c>
      <c r="BE24" s="27" t="n">
        <f aca="false">MIN(AI23*(1+B$8),MAX(AU24,$B$12-SUM(AV24:BD24)))</f>
        <v>35</v>
      </c>
      <c r="BF24" s="27" t="n">
        <f aca="false">MIN(AJ23*(1+C$8),MAX(AV24,$B$12-SUM(BE24:BE24)-SUM(AW24:BD24)))</f>
        <v>75</v>
      </c>
      <c r="BG24" s="27" t="n">
        <f aca="false">MIN(AK23*(1+D$8),MAX(AW24,$B$12-SUM(BE24:BF24)-SUM(AX24:BD24)))</f>
        <v>95</v>
      </c>
      <c r="BH24" s="27" t="n">
        <f aca="false">MIN(AL23*(1+E$8),MAX(AX24,$B$12-SUM(BE24:BG24)-SUM(AY24:BD24)))</f>
        <v>310</v>
      </c>
      <c r="BI24" s="27" t="n">
        <f aca="false">MIN(AM23*(1+F$8),MAX(AY24,$B$12-SUM(BE24:BH24)-SUM(AZ24:BD24)))</f>
        <v>50</v>
      </c>
      <c r="BJ24" s="27" t="n">
        <f aca="false">MIN(AN23*(1+G$8),MAX(AZ24,$B$12-SUM(BE24:BI24)-SUM(BA24:BD24)))</f>
        <v>0</v>
      </c>
      <c r="BK24" s="27" t="n">
        <f aca="false">MIN(AO23*(1+H$8),MAX(BA24,$B$12-SUM(BE24:BJ24)-SUM(BB24:BD24)))</f>
        <v>0</v>
      </c>
      <c r="BL24" s="27" t="n">
        <f aca="false">MIN(AP23*(1+I$8),MAX(BB24,$B$12-SUM(BE24:BK24)-SUM(BC24:BD24)))</f>
        <v>0</v>
      </c>
      <c r="BM24" s="27" t="n">
        <f aca="false">MIN(AQ23*(1+J$8),MAX(BC24,$B$12-SUM(BE24:BL24)-SUM(BD24:BD24)))</f>
        <v>0</v>
      </c>
      <c r="BN24" s="27" t="n">
        <f aca="false">MIN(AR23*(1+K$8),MAX(BD24,$B$12-SUM(BE24:BM24)))</f>
        <v>0</v>
      </c>
    </row>
    <row r="25" customFormat="false" ht="15" hidden="false" customHeight="false" outlineLevel="0" collapsed="false">
      <c r="A25" s="0" t="n">
        <v>11</v>
      </c>
      <c r="B25" s="27" t="n">
        <f aca="false">ROUND(MAX(0,B24*(1+B$8)-X25),2)</f>
        <v>0</v>
      </c>
      <c r="C25" s="27" t="n">
        <f aca="false">ROUND(MAX(0,C24*(1+C$8)-Y25),2)</f>
        <v>1195.94</v>
      </c>
      <c r="D25" s="27" t="n">
        <f aca="false">ROUND(MAX(0,D24*(1+D$8)-Z25),2)</f>
        <v>3856.68</v>
      </c>
      <c r="E25" s="27" t="n">
        <f aca="false">ROUND(MAX(0,E24*(1+E$8)-AA25),2)</f>
        <v>6502.21</v>
      </c>
      <c r="F25" s="27" t="n">
        <f aca="false">ROUND(MAX(0,F24*(1+F$8)-AB25),2)</f>
        <v>650</v>
      </c>
      <c r="G25" s="27" t="n">
        <f aca="false">ROUND(MAX(0,G24*(1+G$8)-AC25),2)</f>
        <v>0</v>
      </c>
      <c r="H25" s="27" t="n">
        <f aca="false">ROUND(MAX(0,H24*(1+H$8)-AD25),2)</f>
        <v>0</v>
      </c>
      <c r="I25" s="27" t="n">
        <f aca="false">ROUND(MAX(0,I24*(1+I$8)-AE25),2)</f>
        <v>0</v>
      </c>
      <c r="J25" s="27" t="n">
        <f aca="false">ROUND(MAX(0,J24*(1+J$8)-AF25),2)</f>
        <v>0</v>
      </c>
      <c r="K25" s="27" t="n">
        <f aca="false">ROUND(MAX(0,K24*(1+K$8)-AG25),2)</f>
        <v>0</v>
      </c>
      <c r="L25" s="30" t="n">
        <f aca="false">SUM(B25:K25)</f>
        <v>12204.83</v>
      </c>
      <c r="M25" s="27" t="n">
        <f aca="false">SUMPRODUCT(B24:K24,$B$8:$K$8)</f>
        <v>139.0189025</v>
      </c>
      <c r="N25" s="27" t="n">
        <f aca="false">MIN(B24*(1+B$8),B$9)</f>
        <v>0</v>
      </c>
      <c r="O25" s="27" t="n">
        <f aca="false">MIN(C24*(1+C$8),C$9)</f>
        <v>75</v>
      </c>
      <c r="P25" s="27" t="n">
        <f aca="false">MIN(D24*(1+D$8),D$9)</f>
        <v>95</v>
      </c>
      <c r="Q25" s="27" t="n">
        <f aca="false">MIN(E24*(1+E$8),E$9)</f>
        <v>310</v>
      </c>
      <c r="R25" s="27" t="n">
        <f aca="false">MIN(F24*(1+F$8),F$9)</f>
        <v>50</v>
      </c>
      <c r="S25" s="27" t="n">
        <f aca="false">MIN(G24*(1+G$8),G$9)</f>
        <v>0</v>
      </c>
      <c r="T25" s="27" t="n">
        <f aca="false">MIN(H24*(1+H$8),H$9)</f>
        <v>0</v>
      </c>
      <c r="U25" s="27" t="n">
        <f aca="false">MIN(I24*(1+I$8),I$9)</f>
        <v>0</v>
      </c>
      <c r="V25" s="27" t="n">
        <f aca="false">MIN(J24*(1+J$8),J$9)</f>
        <v>0</v>
      </c>
      <c r="W25" s="27" t="n">
        <f aca="false">MIN(K24*(1+K$8),K$9)</f>
        <v>0</v>
      </c>
      <c r="X25" s="27" t="n">
        <f aca="false">MIN(B24*(1+B$8),MAX(N25,$B$11-SUM(O25:W25)))</f>
        <v>0</v>
      </c>
      <c r="Y25" s="27" t="n">
        <f aca="false">MIN(C24*(1+C$8),MAX(O25,$B$11-SUM(X25:X25)-SUM(P25:W25)))</f>
        <v>260</v>
      </c>
      <c r="Z25" s="27" t="n">
        <f aca="false">MIN(D24*(1+D$8),MAX(P25,$B$11-SUM(X25:Y25)-SUM(Q25:W25)))</f>
        <v>95</v>
      </c>
      <c r="AA25" s="27" t="n">
        <f aca="false">MIN(E24*(1+E$8),MAX(Q25,$B$11-SUM(X25:Z25)-SUM(R25:W25)))</f>
        <v>310</v>
      </c>
      <c r="AB25" s="27" t="n">
        <f aca="false">MIN(F24*(1+F$8),MAX(R25,$B$11-SUM(X25:AA25)-SUM(S25:W25)))</f>
        <v>50</v>
      </c>
      <c r="AC25" s="27" t="n">
        <f aca="false">MIN(G24*(1+G$8),MAX(S25,$B$11-SUM(X25:AB25)-SUM(T25:W25)))</f>
        <v>0</v>
      </c>
      <c r="AD25" s="27" t="n">
        <f aca="false">MIN(H24*(1+H$8),MAX(T25,$B$11-SUM(X25:AC25)-SUM(U25:W25)))</f>
        <v>0</v>
      </c>
      <c r="AE25" s="27" t="n">
        <f aca="false">MIN(I24*(1+I$8),MAX(U25,$B$11-SUM(X25:AD25)-SUM(V25:W25)))</f>
        <v>0</v>
      </c>
      <c r="AF25" s="27" t="n">
        <f aca="false">MIN(J24*(1+J$8),MAX(V25,$B$11-SUM(X25:AE25)-SUM(W25:W25)))</f>
        <v>0</v>
      </c>
      <c r="AG25" s="27" t="n">
        <f aca="false">MIN(K24*(1+K$8),MAX(W25,$B$11-SUM(X25:AF25)))</f>
        <v>0</v>
      </c>
      <c r="AI25" s="27" t="n">
        <f aca="false">ROUND(MAX(0,AI24*(1+B$8)-BE25),2)</f>
        <v>391.06</v>
      </c>
      <c r="AJ25" s="27" t="n">
        <f aca="false">ROUND(MAX(0,AJ24*(1+C$8)-BF25),2)</f>
        <v>2647.8</v>
      </c>
      <c r="AK25" s="27" t="n">
        <f aca="false">ROUND(MAX(0,AK24*(1+D$8)-BG25),2)</f>
        <v>3856.68</v>
      </c>
      <c r="AL25" s="27" t="n">
        <f aca="false">ROUND(MAX(0,AL24*(1+E$8)-BH25),2)</f>
        <v>6502.21</v>
      </c>
      <c r="AM25" s="27" t="n">
        <f aca="false">ROUND(MAX(0,AM24*(1+F$8)-BI25),2)</f>
        <v>650</v>
      </c>
      <c r="AN25" s="27" t="n">
        <f aca="false">ROUND(MAX(0,AN24*(1+G$8)-BJ25),2)</f>
        <v>0</v>
      </c>
      <c r="AO25" s="27" t="n">
        <f aca="false">ROUND(MAX(0,AO24*(1+H$8)-BK25),2)</f>
        <v>0</v>
      </c>
      <c r="AP25" s="27" t="n">
        <f aca="false">ROUND(MAX(0,AP24*(1+I$8)-BL25),2)</f>
        <v>0</v>
      </c>
      <c r="AQ25" s="27" t="n">
        <f aca="false">ROUND(MAX(0,AQ24*(1+J$8)-BM25),2)</f>
        <v>0</v>
      </c>
      <c r="AR25" s="27" t="n">
        <f aca="false">ROUND(MAX(0,AR24*(1+K$8)-BN25),2)</f>
        <v>0</v>
      </c>
      <c r="AS25" s="27" t="n">
        <f aca="false">SUM(AI25:AR25)</f>
        <v>14047.75</v>
      </c>
      <c r="AT25" s="27" t="n">
        <f aca="false">SUMPRODUCT(AI24:AR24,$B$8:$K$8)</f>
        <v>174.1486425</v>
      </c>
      <c r="AU25" s="27" t="n">
        <f aca="false">MIN(AI24*(1+B$8),B$9)</f>
        <v>35</v>
      </c>
      <c r="AV25" s="27" t="n">
        <f aca="false">MIN(AJ24*(1+C$8),C$9)</f>
        <v>75</v>
      </c>
      <c r="AW25" s="27" t="n">
        <f aca="false">MIN(AK24*(1+D$8),D$9)</f>
        <v>95</v>
      </c>
      <c r="AX25" s="27" t="n">
        <f aca="false">MIN(AL24*(1+E$8),E$9)</f>
        <v>310</v>
      </c>
      <c r="AY25" s="27" t="n">
        <f aca="false">MIN(AM24*(1+F$8),F$9)</f>
        <v>50</v>
      </c>
      <c r="AZ25" s="27" t="n">
        <f aca="false">MIN(AN24*(1+G$8),G$9)</f>
        <v>0</v>
      </c>
      <c r="BA25" s="27" t="n">
        <f aca="false">MIN(AO24*(1+H$8),H$9)</f>
        <v>0</v>
      </c>
      <c r="BB25" s="27" t="n">
        <f aca="false">MIN(AP24*(1+I$8),I$9)</f>
        <v>0</v>
      </c>
      <c r="BC25" s="27" t="n">
        <f aca="false">MIN(AQ24*(1+J$8),J$9)</f>
        <v>0</v>
      </c>
      <c r="BD25" s="27" t="n">
        <f aca="false">MIN(AR24*(1+K$8),K$9)</f>
        <v>0</v>
      </c>
      <c r="BE25" s="27" t="n">
        <f aca="false">MIN(AI24*(1+B$8),MAX(AU25,$B$12-SUM(AV25:BD25)))</f>
        <v>35</v>
      </c>
      <c r="BF25" s="27" t="n">
        <f aca="false">MIN(AJ24*(1+C$8),MAX(AV25,$B$12-SUM(BE25:BE25)-SUM(AW25:BD25)))</f>
        <v>75</v>
      </c>
      <c r="BG25" s="27" t="n">
        <f aca="false">MIN(AK24*(1+D$8),MAX(AW25,$B$12-SUM(BE25:BF25)-SUM(AX25:BD25)))</f>
        <v>95</v>
      </c>
      <c r="BH25" s="27" t="n">
        <f aca="false">MIN(AL24*(1+E$8),MAX(AX25,$B$12-SUM(BE25:BG25)-SUM(AY25:BD25)))</f>
        <v>310</v>
      </c>
      <c r="BI25" s="27" t="n">
        <f aca="false">MIN(AM24*(1+F$8),MAX(AY25,$B$12-SUM(BE25:BH25)-SUM(AZ25:BD25)))</f>
        <v>50</v>
      </c>
      <c r="BJ25" s="27" t="n">
        <f aca="false">MIN(AN24*(1+G$8),MAX(AZ25,$B$12-SUM(BE25:BI25)-SUM(BA25:BD25)))</f>
        <v>0</v>
      </c>
      <c r="BK25" s="27" t="n">
        <f aca="false">MIN(AO24*(1+H$8),MAX(BA25,$B$12-SUM(BE25:BJ25)-SUM(BB25:BD25)))</f>
        <v>0</v>
      </c>
      <c r="BL25" s="27" t="n">
        <f aca="false">MIN(AP24*(1+I$8),MAX(BB25,$B$12-SUM(BE25:BK25)-SUM(BC25:BD25)))</f>
        <v>0</v>
      </c>
      <c r="BM25" s="27" t="n">
        <f aca="false">MIN(AQ24*(1+J$8),MAX(BC25,$B$12-SUM(BE25:BL25)-SUM(BD25:BD25)))</f>
        <v>0</v>
      </c>
      <c r="BN25" s="27" t="n">
        <f aca="false">MIN(AR24*(1+K$8),MAX(BD25,$B$12-SUM(BE25:BM25)))</f>
        <v>0</v>
      </c>
    </row>
    <row r="26" customFormat="false" ht="15" hidden="false" customHeight="false" outlineLevel="0" collapsed="false">
      <c r="A26" s="0" t="n">
        <v>12</v>
      </c>
      <c r="B26" s="27" t="n">
        <f aca="false">ROUND(MAX(0,B25*(1+B$8)-X26),2)</f>
        <v>0</v>
      </c>
      <c r="C26" s="27" t="n">
        <f aca="false">ROUND(MAX(0,C25*(1+C$8)-Y26),2)</f>
        <v>960.46</v>
      </c>
      <c r="D26" s="27" t="n">
        <f aca="false">ROUND(MAX(0,D25*(1+D$8)-Z26),2)</f>
        <v>3832.06</v>
      </c>
      <c r="E26" s="27" t="n">
        <f aca="false">ROUND(MAX(0,E25*(1+E$8)-AA26),2)</f>
        <v>6229.6</v>
      </c>
      <c r="F26" s="27" t="n">
        <f aca="false">ROUND(MAX(0,F25*(1+F$8)-AB26),2)</f>
        <v>600</v>
      </c>
      <c r="G26" s="27" t="n">
        <f aca="false">ROUND(MAX(0,G25*(1+G$8)-AC26),2)</f>
        <v>0</v>
      </c>
      <c r="H26" s="27" t="n">
        <f aca="false">ROUND(MAX(0,H25*(1+H$8)-AD26),2)</f>
        <v>0</v>
      </c>
      <c r="I26" s="27" t="n">
        <f aca="false">ROUND(MAX(0,I25*(1+I$8)-AE26),2)</f>
        <v>0</v>
      </c>
      <c r="J26" s="27" t="n">
        <f aca="false">ROUND(MAX(0,J25*(1+J$8)-AF26),2)</f>
        <v>0</v>
      </c>
      <c r="K26" s="27" t="n">
        <f aca="false">ROUND(MAX(0,K25*(1+K$8)-AG26),2)</f>
        <v>0</v>
      </c>
      <c r="L26" s="30" t="n">
        <f aca="false">SUM(B26:K26)</f>
        <v>11622.12</v>
      </c>
      <c r="M26" s="27" t="n">
        <f aca="false">SUMPRODUCT(B25:K25,$B$8:$K$8)</f>
        <v>132.2888875</v>
      </c>
      <c r="N26" s="27" t="n">
        <f aca="false">MIN(B25*(1+B$8),B$9)</f>
        <v>0</v>
      </c>
      <c r="O26" s="27" t="n">
        <f aca="false">MIN(C25*(1+C$8),C$9)</f>
        <v>75</v>
      </c>
      <c r="P26" s="27" t="n">
        <f aca="false">MIN(D25*(1+D$8),D$9)</f>
        <v>95</v>
      </c>
      <c r="Q26" s="27" t="n">
        <f aca="false">MIN(E25*(1+E$8),E$9)</f>
        <v>310</v>
      </c>
      <c r="R26" s="27" t="n">
        <f aca="false">MIN(F25*(1+F$8),F$9)</f>
        <v>50</v>
      </c>
      <c r="S26" s="27" t="n">
        <f aca="false">MIN(G25*(1+G$8),G$9)</f>
        <v>0</v>
      </c>
      <c r="T26" s="27" t="n">
        <f aca="false">MIN(H25*(1+H$8),H$9)</f>
        <v>0</v>
      </c>
      <c r="U26" s="27" t="n">
        <f aca="false">MIN(I25*(1+I$8),I$9)</f>
        <v>0</v>
      </c>
      <c r="V26" s="27" t="n">
        <f aca="false">MIN(J25*(1+J$8),J$9)</f>
        <v>0</v>
      </c>
      <c r="W26" s="27" t="n">
        <f aca="false">MIN(K25*(1+K$8),K$9)</f>
        <v>0</v>
      </c>
      <c r="X26" s="27" t="n">
        <f aca="false">MIN(B25*(1+B$8),MAX(N26,$B$11-SUM(O26:W26)))</f>
        <v>0</v>
      </c>
      <c r="Y26" s="27" t="n">
        <f aca="false">MIN(C25*(1+C$8),MAX(O26,$B$11-SUM(X26:X26)-SUM(P26:W26)))</f>
        <v>260</v>
      </c>
      <c r="Z26" s="27" t="n">
        <f aca="false">MIN(D25*(1+D$8),MAX(P26,$B$11-SUM(X26:Y26)-SUM(Q26:W26)))</f>
        <v>95</v>
      </c>
      <c r="AA26" s="27" t="n">
        <f aca="false">MIN(E25*(1+E$8),MAX(Q26,$B$11-SUM(X26:Z26)-SUM(R26:W26)))</f>
        <v>310</v>
      </c>
      <c r="AB26" s="27" t="n">
        <f aca="false">MIN(F25*(1+F$8),MAX(R26,$B$11-SUM(X26:AA26)-SUM(S26:W26)))</f>
        <v>50</v>
      </c>
      <c r="AC26" s="27" t="n">
        <f aca="false">MIN(G25*(1+G$8),MAX(S26,$B$11-SUM(X26:AB26)-SUM(T26:W26)))</f>
        <v>0</v>
      </c>
      <c r="AD26" s="27" t="n">
        <f aca="false">MIN(H25*(1+H$8),MAX(T26,$B$11-SUM(X26:AC26)-SUM(U26:W26)))</f>
        <v>0</v>
      </c>
      <c r="AE26" s="27" t="n">
        <f aca="false">MIN(I25*(1+I$8),MAX(U26,$B$11-SUM(X26:AD26)-SUM(V26:W26)))</f>
        <v>0</v>
      </c>
      <c r="AF26" s="27" t="n">
        <f aca="false">MIN(J25*(1+J$8),MAX(V26,$B$11-SUM(X26:AE26)-SUM(W26:W26)))</f>
        <v>0</v>
      </c>
      <c r="AG26" s="27" t="n">
        <f aca="false">MIN(K25*(1+K$8),MAX(W26,$B$11-SUM(X26:AF26)))</f>
        <v>0</v>
      </c>
      <c r="AI26" s="27" t="n">
        <f aca="false">ROUND(MAX(0,AI25*(1+B$8)-BE26),2)</f>
        <v>365.15</v>
      </c>
      <c r="AJ26" s="27" t="n">
        <f aca="false">ROUND(MAX(0,AJ25*(1+C$8)-BF26),2)</f>
        <v>2627.08</v>
      </c>
      <c r="AK26" s="27" t="n">
        <f aca="false">ROUND(MAX(0,AK25*(1+D$8)-BG26),2)</f>
        <v>3832.06</v>
      </c>
      <c r="AL26" s="27" t="n">
        <f aca="false">ROUND(MAX(0,AL25*(1+E$8)-BH26),2)</f>
        <v>6229.6</v>
      </c>
      <c r="AM26" s="27" t="n">
        <f aca="false">ROUND(MAX(0,AM25*(1+F$8)-BI26),2)</f>
        <v>600</v>
      </c>
      <c r="AN26" s="27" t="n">
        <f aca="false">ROUND(MAX(0,AN25*(1+G$8)-BJ26),2)</f>
        <v>0</v>
      </c>
      <c r="AO26" s="27" t="n">
        <f aca="false">ROUND(MAX(0,AO25*(1+H$8)-BK26),2)</f>
        <v>0</v>
      </c>
      <c r="AP26" s="27" t="n">
        <f aca="false">ROUND(MAX(0,AP25*(1+I$8)-BL26),2)</f>
        <v>0</v>
      </c>
      <c r="AQ26" s="27" t="n">
        <f aca="false">ROUND(MAX(0,AQ25*(1+J$8)-BM26),2)</f>
        <v>0</v>
      </c>
      <c r="AR26" s="27" t="n">
        <f aca="false">ROUND(MAX(0,AR25*(1+K$8)-BN26),2)</f>
        <v>0</v>
      </c>
      <c r="AS26" s="27" t="n">
        <f aca="false">SUM(AI26:AR26)</f>
        <v>13653.89</v>
      </c>
      <c r="AT26" s="27" t="n">
        <f aca="false">SUMPRODUCT(AI25:AR25,$B$8:$K$8)</f>
        <v>171.1441625</v>
      </c>
      <c r="AU26" s="27" t="n">
        <f aca="false">MIN(AI25*(1+B$8),B$9)</f>
        <v>35</v>
      </c>
      <c r="AV26" s="27" t="n">
        <f aca="false">MIN(AJ25*(1+C$8),C$9)</f>
        <v>75</v>
      </c>
      <c r="AW26" s="27" t="n">
        <f aca="false">MIN(AK25*(1+D$8),D$9)</f>
        <v>95</v>
      </c>
      <c r="AX26" s="27" t="n">
        <f aca="false">MIN(AL25*(1+E$8),E$9)</f>
        <v>310</v>
      </c>
      <c r="AY26" s="27" t="n">
        <f aca="false">MIN(AM25*(1+F$8),F$9)</f>
        <v>50</v>
      </c>
      <c r="AZ26" s="27" t="n">
        <f aca="false">MIN(AN25*(1+G$8),G$9)</f>
        <v>0</v>
      </c>
      <c r="BA26" s="27" t="n">
        <f aca="false">MIN(AO25*(1+H$8),H$9)</f>
        <v>0</v>
      </c>
      <c r="BB26" s="27" t="n">
        <f aca="false">MIN(AP25*(1+I$8),I$9)</f>
        <v>0</v>
      </c>
      <c r="BC26" s="27" t="n">
        <f aca="false">MIN(AQ25*(1+J$8),J$9)</f>
        <v>0</v>
      </c>
      <c r="BD26" s="27" t="n">
        <f aca="false">MIN(AR25*(1+K$8),K$9)</f>
        <v>0</v>
      </c>
      <c r="BE26" s="27" t="n">
        <f aca="false">MIN(AI25*(1+B$8),MAX(AU26,$B$12-SUM(AV26:BD26)))</f>
        <v>35</v>
      </c>
      <c r="BF26" s="27" t="n">
        <f aca="false">MIN(AJ25*(1+C$8),MAX(AV26,$B$12-SUM(BE26:BE26)-SUM(AW26:BD26)))</f>
        <v>75</v>
      </c>
      <c r="BG26" s="27" t="n">
        <f aca="false">MIN(AK25*(1+D$8),MAX(AW26,$B$12-SUM(BE26:BF26)-SUM(AX26:BD26)))</f>
        <v>95</v>
      </c>
      <c r="BH26" s="27" t="n">
        <f aca="false">MIN(AL25*(1+E$8),MAX(AX26,$B$12-SUM(BE26:BG26)-SUM(AY26:BD26)))</f>
        <v>310</v>
      </c>
      <c r="BI26" s="27" t="n">
        <f aca="false">MIN(AM25*(1+F$8),MAX(AY26,$B$12-SUM(BE26:BH26)-SUM(AZ26:BD26)))</f>
        <v>50</v>
      </c>
      <c r="BJ26" s="27" t="n">
        <f aca="false">MIN(AN25*(1+G$8),MAX(AZ26,$B$12-SUM(BE26:BI26)-SUM(BA26:BD26)))</f>
        <v>0</v>
      </c>
      <c r="BK26" s="27" t="n">
        <f aca="false">MIN(AO25*(1+H$8),MAX(BA26,$B$12-SUM(BE26:BJ26)-SUM(BB26:BD26)))</f>
        <v>0</v>
      </c>
      <c r="BL26" s="27" t="n">
        <f aca="false">MIN(AP25*(1+I$8),MAX(BB26,$B$12-SUM(BE26:BK26)-SUM(BC26:BD26)))</f>
        <v>0</v>
      </c>
      <c r="BM26" s="27" t="n">
        <f aca="false">MIN(AQ25*(1+J$8),MAX(BC26,$B$12-SUM(BE26:BL26)-SUM(BD26:BD26)))</f>
        <v>0</v>
      </c>
      <c r="BN26" s="27" t="n">
        <f aca="false">MIN(AR25*(1+K$8),MAX(BD26,$B$12-SUM(BE26:BM26)))</f>
        <v>0</v>
      </c>
    </row>
    <row r="27" customFormat="false" ht="15" hidden="false" customHeight="false" outlineLevel="0" collapsed="false">
      <c r="A27" s="0" t="n">
        <v>13</v>
      </c>
      <c r="B27" s="27" t="n">
        <f aca="false">ROUND(MAX(0,B26*(1+B$8)-X27),2)</f>
        <v>0</v>
      </c>
      <c r="C27" s="27" t="n">
        <f aca="false">ROUND(MAX(0,C26*(1+C$8)-Y27),2)</f>
        <v>720.15</v>
      </c>
      <c r="D27" s="27" t="n">
        <f aca="false">ROUND(MAX(0,D26*(1+D$8)-Z27),2)</f>
        <v>3807</v>
      </c>
      <c r="E27" s="27" t="n">
        <f aca="false">ROUND(MAX(0,E26*(1+E$8)-AA27),2)</f>
        <v>5955.42</v>
      </c>
      <c r="F27" s="27" t="n">
        <f aca="false">ROUND(MAX(0,F26*(1+F$8)-AB27),2)</f>
        <v>550</v>
      </c>
      <c r="G27" s="27" t="n">
        <f aca="false">ROUND(MAX(0,G26*(1+G$8)-AC27),2)</f>
        <v>0</v>
      </c>
      <c r="H27" s="27" t="n">
        <f aca="false">ROUND(MAX(0,H26*(1+H$8)-AD27),2)</f>
        <v>0</v>
      </c>
      <c r="I27" s="27" t="n">
        <f aca="false">ROUND(MAX(0,I26*(1+I$8)-AE27),2)</f>
        <v>0</v>
      </c>
      <c r="J27" s="27" t="n">
        <f aca="false">ROUND(MAX(0,J26*(1+J$8)-AF27),2)</f>
        <v>0</v>
      </c>
      <c r="K27" s="27" t="n">
        <f aca="false">ROUND(MAX(0,K26*(1+K$8)-AG27),2)</f>
        <v>0</v>
      </c>
      <c r="L27" s="30" t="n">
        <f aca="false">SUM(B27:K27)</f>
        <v>11032.57</v>
      </c>
      <c r="M27" s="27" t="n">
        <f aca="false">SUMPRODUCT(B26:K26,$B$8:$K$8)</f>
        <v>125.444725</v>
      </c>
      <c r="N27" s="27" t="n">
        <f aca="false">MIN(B26*(1+B$8),B$9)</f>
        <v>0</v>
      </c>
      <c r="O27" s="27" t="n">
        <f aca="false">MIN(C26*(1+C$8),C$9)</f>
        <v>75</v>
      </c>
      <c r="P27" s="27" t="n">
        <f aca="false">MIN(D26*(1+D$8),D$9)</f>
        <v>95</v>
      </c>
      <c r="Q27" s="27" t="n">
        <f aca="false">MIN(E26*(1+E$8),E$9)</f>
        <v>310</v>
      </c>
      <c r="R27" s="27" t="n">
        <f aca="false">MIN(F26*(1+F$8),F$9)</f>
        <v>50</v>
      </c>
      <c r="S27" s="27" t="n">
        <f aca="false">MIN(G26*(1+G$8),G$9)</f>
        <v>0</v>
      </c>
      <c r="T27" s="27" t="n">
        <f aca="false">MIN(H26*(1+H$8),H$9)</f>
        <v>0</v>
      </c>
      <c r="U27" s="27" t="n">
        <f aca="false">MIN(I26*(1+I$8),I$9)</f>
        <v>0</v>
      </c>
      <c r="V27" s="27" t="n">
        <f aca="false">MIN(J26*(1+J$8),J$9)</f>
        <v>0</v>
      </c>
      <c r="W27" s="27" t="n">
        <f aca="false">MIN(K26*(1+K$8),K$9)</f>
        <v>0</v>
      </c>
      <c r="X27" s="27" t="n">
        <f aca="false">MIN(B26*(1+B$8),MAX(N27,$B$11-SUM(O27:W27)))</f>
        <v>0</v>
      </c>
      <c r="Y27" s="27" t="n">
        <f aca="false">MIN(C26*(1+C$8),MAX(O27,$B$11-SUM(X27:X27)-SUM(P27:W27)))</f>
        <v>260</v>
      </c>
      <c r="Z27" s="27" t="n">
        <f aca="false">MIN(D26*(1+D$8),MAX(P27,$B$11-SUM(X27:Y27)-SUM(Q27:W27)))</f>
        <v>95</v>
      </c>
      <c r="AA27" s="27" t="n">
        <f aca="false">MIN(E26*(1+E$8),MAX(Q27,$B$11-SUM(X27:Z27)-SUM(R27:W27)))</f>
        <v>310</v>
      </c>
      <c r="AB27" s="27" t="n">
        <f aca="false">MIN(F26*(1+F$8),MAX(R27,$B$11-SUM(X27:AA27)-SUM(S27:W27)))</f>
        <v>50</v>
      </c>
      <c r="AC27" s="27" t="n">
        <f aca="false">MIN(G26*(1+G$8),MAX(S27,$B$11-SUM(X27:AB27)-SUM(T27:W27)))</f>
        <v>0</v>
      </c>
      <c r="AD27" s="27" t="n">
        <f aca="false">MIN(H26*(1+H$8),MAX(T27,$B$11-SUM(X27:AC27)-SUM(U27:W27)))</f>
        <v>0</v>
      </c>
      <c r="AE27" s="27" t="n">
        <f aca="false">MIN(I26*(1+I$8),MAX(U27,$B$11-SUM(X27:AD27)-SUM(V27:W27)))</f>
        <v>0</v>
      </c>
      <c r="AF27" s="27" t="n">
        <f aca="false">MIN(J26*(1+J$8),MAX(V27,$B$11-SUM(X27:AE27)-SUM(W27:W27)))</f>
        <v>0</v>
      </c>
      <c r="AG27" s="27" t="n">
        <f aca="false">MIN(K26*(1+K$8),MAX(W27,$B$11-SUM(X27:AF27)))</f>
        <v>0</v>
      </c>
      <c r="AI27" s="27" t="n">
        <f aca="false">ROUND(MAX(0,AI26*(1+B$8)-BE27),2)</f>
        <v>338.64</v>
      </c>
      <c r="AJ27" s="27" t="n">
        <f aca="false">ROUND(MAX(0,AJ26*(1+C$8)-BF27),2)</f>
        <v>2605.94</v>
      </c>
      <c r="AK27" s="27" t="n">
        <f aca="false">ROUND(MAX(0,AK26*(1+D$8)-BG27),2)</f>
        <v>3807</v>
      </c>
      <c r="AL27" s="27" t="n">
        <f aca="false">ROUND(MAX(0,AL26*(1+E$8)-BH27),2)</f>
        <v>5955.42</v>
      </c>
      <c r="AM27" s="27" t="n">
        <f aca="false">ROUND(MAX(0,AM26*(1+F$8)-BI27),2)</f>
        <v>550</v>
      </c>
      <c r="AN27" s="27" t="n">
        <f aca="false">ROUND(MAX(0,AN26*(1+G$8)-BJ27),2)</f>
        <v>0</v>
      </c>
      <c r="AO27" s="27" t="n">
        <f aca="false">ROUND(MAX(0,AO26*(1+H$8)-BK27),2)</f>
        <v>0</v>
      </c>
      <c r="AP27" s="27" t="n">
        <f aca="false">ROUND(MAX(0,AP26*(1+I$8)-BL27),2)</f>
        <v>0</v>
      </c>
      <c r="AQ27" s="27" t="n">
        <f aca="false">ROUND(MAX(0,AQ26*(1+J$8)-BM27),2)</f>
        <v>0</v>
      </c>
      <c r="AR27" s="27" t="n">
        <f aca="false">ROUND(MAX(0,AR26*(1+K$8)-BN27),2)</f>
        <v>0</v>
      </c>
      <c r="AS27" s="27" t="n">
        <f aca="false">SUM(AI27:AR27)</f>
        <v>13257</v>
      </c>
      <c r="AT27" s="27" t="n">
        <f aca="false">SUMPRODUCT(AI26:AR26,$B$8:$K$8)</f>
        <v>168.1001725</v>
      </c>
      <c r="AU27" s="27" t="n">
        <f aca="false">MIN(AI26*(1+B$8),B$9)</f>
        <v>35</v>
      </c>
      <c r="AV27" s="27" t="n">
        <f aca="false">MIN(AJ26*(1+C$8),C$9)</f>
        <v>75</v>
      </c>
      <c r="AW27" s="27" t="n">
        <f aca="false">MIN(AK26*(1+D$8),D$9)</f>
        <v>95</v>
      </c>
      <c r="AX27" s="27" t="n">
        <f aca="false">MIN(AL26*(1+E$8),E$9)</f>
        <v>310</v>
      </c>
      <c r="AY27" s="27" t="n">
        <f aca="false">MIN(AM26*(1+F$8),F$9)</f>
        <v>50</v>
      </c>
      <c r="AZ27" s="27" t="n">
        <f aca="false">MIN(AN26*(1+G$8),G$9)</f>
        <v>0</v>
      </c>
      <c r="BA27" s="27" t="n">
        <f aca="false">MIN(AO26*(1+H$8),H$9)</f>
        <v>0</v>
      </c>
      <c r="BB27" s="27" t="n">
        <f aca="false">MIN(AP26*(1+I$8),I$9)</f>
        <v>0</v>
      </c>
      <c r="BC27" s="27" t="n">
        <f aca="false">MIN(AQ26*(1+J$8),J$9)</f>
        <v>0</v>
      </c>
      <c r="BD27" s="27" t="n">
        <f aca="false">MIN(AR26*(1+K$8),K$9)</f>
        <v>0</v>
      </c>
      <c r="BE27" s="27" t="n">
        <f aca="false">MIN(AI26*(1+B$8),MAX(AU27,$B$12-SUM(AV27:BD27)))</f>
        <v>35</v>
      </c>
      <c r="BF27" s="27" t="n">
        <f aca="false">MIN(AJ26*(1+C$8),MAX(AV27,$B$12-SUM(BE27:BE27)-SUM(AW27:BD27)))</f>
        <v>75</v>
      </c>
      <c r="BG27" s="27" t="n">
        <f aca="false">MIN(AK26*(1+D$8),MAX(AW27,$B$12-SUM(BE27:BF27)-SUM(AX27:BD27)))</f>
        <v>95</v>
      </c>
      <c r="BH27" s="27" t="n">
        <f aca="false">MIN(AL26*(1+E$8),MAX(AX27,$B$12-SUM(BE27:BG27)-SUM(AY27:BD27)))</f>
        <v>310</v>
      </c>
      <c r="BI27" s="27" t="n">
        <f aca="false">MIN(AM26*(1+F$8),MAX(AY27,$B$12-SUM(BE27:BH27)-SUM(AZ27:BD27)))</f>
        <v>50</v>
      </c>
      <c r="BJ27" s="27" t="n">
        <f aca="false">MIN(AN26*(1+G$8),MAX(AZ27,$B$12-SUM(BE27:BI27)-SUM(BA27:BD27)))</f>
        <v>0</v>
      </c>
      <c r="BK27" s="27" t="n">
        <f aca="false">MIN(AO26*(1+H$8),MAX(BA27,$B$12-SUM(BE27:BJ27)-SUM(BB27:BD27)))</f>
        <v>0</v>
      </c>
      <c r="BL27" s="27" t="n">
        <f aca="false">MIN(AP26*(1+I$8),MAX(BB27,$B$12-SUM(BE27:BK27)-SUM(BC27:BD27)))</f>
        <v>0</v>
      </c>
      <c r="BM27" s="27" t="n">
        <f aca="false">MIN(AQ26*(1+J$8),MAX(BC27,$B$12-SUM(BE27:BL27)-SUM(BD27:BD27)))</f>
        <v>0</v>
      </c>
      <c r="BN27" s="27" t="n">
        <f aca="false">MIN(AR26*(1+K$8),MAX(BD27,$B$12-SUM(BE27:BM27)))</f>
        <v>0</v>
      </c>
    </row>
    <row r="28" customFormat="false" ht="15" hidden="false" customHeight="false" outlineLevel="0" collapsed="false">
      <c r="A28" s="0" t="n">
        <v>14</v>
      </c>
      <c r="B28" s="27" t="n">
        <f aca="false">ROUND(MAX(0,B27*(1+B$8)-X28),2)</f>
        <v>0</v>
      </c>
      <c r="C28" s="27" t="n">
        <f aca="false">ROUND(MAX(0,C27*(1+C$8)-Y28),2)</f>
        <v>474.91</v>
      </c>
      <c r="D28" s="27" t="n">
        <f aca="false">ROUND(MAX(0,D27*(1+D$8)-Z28),2)</f>
        <v>3781.48</v>
      </c>
      <c r="E28" s="27" t="n">
        <f aca="false">ROUND(MAX(0,E27*(1+E$8)-AA28),2)</f>
        <v>5679.66</v>
      </c>
      <c r="F28" s="27" t="n">
        <f aca="false">ROUND(MAX(0,F27*(1+F$8)-AB28),2)</f>
        <v>500</v>
      </c>
      <c r="G28" s="27" t="n">
        <f aca="false">ROUND(MAX(0,G27*(1+G$8)-AC28),2)</f>
        <v>0</v>
      </c>
      <c r="H28" s="27" t="n">
        <f aca="false">ROUND(MAX(0,H27*(1+H$8)-AD28),2)</f>
        <v>0</v>
      </c>
      <c r="I28" s="27" t="n">
        <f aca="false">ROUND(MAX(0,I27*(1+I$8)-AE28),2)</f>
        <v>0</v>
      </c>
      <c r="J28" s="27" t="n">
        <f aca="false">ROUND(MAX(0,J27*(1+J$8)-AF28),2)</f>
        <v>0</v>
      </c>
      <c r="K28" s="27" t="n">
        <f aca="false">ROUND(MAX(0,K27*(1+K$8)-AG28),2)</f>
        <v>0</v>
      </c>
      <c r="L28" s="30" t="n">
        <f aca="false">SUM(B28:K28)</f>
        <v>10436.05</v>
      </c>
      <c r="M28" s="27" t="n">
        <f aca="false">SUMPRODUCT(B27:K27,$B$8:$K$8)</f>
        <v>118.48449</v>
      </c>
      <c r="N28" s="27" t="n">
        <f aca="false">MIN(B27*(1+B$8),B$9)</f>
        <v>0</v>
      </c>
      <c r="O28" s="27" t="n">
        <f aca="false">MIN(C27*(1+C$8),C$9)</f>
        <v>75</v>
      </c>
      <c r="P28" s="27" t="n">
        <f aca="false">MIN(D27*(1+D$8),D$9)</f>
        <v>95</v>
      </c>
      <c r="Q28" s="27" t="n">
        <f aca="false">MIN(E27*(1+E$8),E$9)</f>
        <v>310</v>
      </c>
      <c r="R28" s="27" t="n">
        <f aca="false">MIN(F27*(1+F$8),F$9)</f>
        <v>50</v>
      </c>
      <c r="S28" s="27" t="n">
        <f aca="false">MIN(G27*(1+G$8),G$9)</f>
        <v>0</v>
      </c>
      <c r="T28" s="27" t="n">
        <f aca="false">MIN(H27*(1+H$8),H$9)</f>
        <v>0</v>
      </c>
      <c r="U28" s="27" t="n">
        <f aca="false">MIN(I27*(1+I$8),I$9)</f>
        <v>0</v>
      </c>
      <c r="V28" s="27" t="n">
        <f aca="false">MIN(J27*(1+J$8),J$9)</f>
        <v>0</v>
      </c>
      <c r="W28" s="27" t="n">
        <f aca="false">MIN(K27*(1+K$8),K$9)</f>
        <v>0</v>
      </c>
      <c r="X28" s="27" t="n">
        <f aca="false">MIN(B27*(1+B$8),MAX(N28,$B$11-SUM(O28:W28)))</f>
        <v>0</v>
      </c>
      <c r="Y28" s="27" t="n">
        <f aca="false">MIN(C27*(1+C$8),MAX(O28,$B$11-SUM(X28:X28)-SUM(P28:W28)))</f>
        <v>260</v>
      </c>
      <c r="Z28" s="27" t="n">
        <f aca="false">MIN(D27*(1+D$8),MAX(P28,$B$11-SUM(X28:Y28)-SUM(Q28:W28)))</f>
        <v>95</v>
      </c>
      <c r="AA28" s="27" t="n">
        <f aca="false">MIN(E27*(1+E$8),MAX(Q28,$B$11-SUM(X28:Z28)-SUM(R28:W28)))</f>
        <v>310</v>
      </c>
      <c r="AB28" s="27" t="n">
        <f aca="false">MIN(F27*(1+F$8),MAX(R28,$B$11-SUM(X28:AA28)-SUM(S28:W28)))</f>
        <v>50</v>
      </c>
      <c r="AC28" s="27" t="n">
        <f aca="false">MIN(G27*(1+G$8),MAX(S28,$B$11-SUM(X28:AB28)-SUM(T28:W28)))</f>
        <v>0</v>
      </c>
      <c r="AD28" s="27" t="n">
        <f aca="false">MIN(H27*(1+H$8),MAX(T28,$B$11-SUM(X28:AC28)-SUM(U28:W28)))</f>
        <v>0</v>
      </c>
      <c r="AE28" s="27" t="n">
        <f aca="false">MIN(I27*(1+I$8),MAX(U28,$B$11-SUM(X28:AD28)-SUM(V28:W28)))</f>
        <v>0</v>
      </c>
      <c r="AF28" s="27" t="n">
        <f aca="false">MIN(J27*(1+J$8),MAX(V28,$B$11-SUM(X28:AE28)-SUM(W28:W28)))</f>
        <v>0</v>
      </c>
      <c r="AG28" s="27" t="n">
        <f aca="false">MIN(K27*(1+K$8),MAX(W28,$B$11-SUM(X28:AF28)))</f>
        <v>0</v>
      </c>
      <c r="AI28" s="27" t="n">
        <f aca="false">ROUND(MAX(0,AI27*(1+B$8)-BE28),2)</f>
        <v>311.51</v>
      </c>
      <c r="AJ28" s="27" t="n">
        <f aca="false">ROUND(MAX(0,AJ27*(1+C$8)-BF28),2)</f>
        <v>2584.36</v>
      </c>
      <c r="AK28" s="27" t="n">
        <f aca="false">ROUND(MAX(0,AK27*(1+D$8)-BG28),2)</f>
        <v>3781.48</v>
      </c>
      <c r="AL28" s="27" t="n">
        <f aca="false">ROUND(MAX(0,AL27*(1+E$8)-BH28),2)</f>
        <v>5679.66</v>
      </c>
      <c r="AM28" s="27" t="n">
        <f aca="false">ROUND(MAX(0,AM27*(1+F$8)-BI28),2)</f>
        <v>500</v>
      </c>
      <c r="AN28" s="27" t="n">
        <f aca="false">ROUND(MAX(0,AN27*(1+G$8)-BJ28),2)</f>
        <v>0</v>
      </c>
      <c r="AO28" s="27" t="n">
        <f aca="false">ROUND(MAX(0,AO27*(1+H$8)-BK28),2)</f>
        <v>0</v>
      </c>
      <c r="AP28" s="27" t="n">
        <f aca="false">ROUND(MAX(0,AP27*(1+I$8)-BL28),2)</f>
        <v>0</v>
      </c>
      <c r="AQ28" s="27" t="n">
        <f aca="false">ROUND(MAX(0,AQ27*(1+J$8)-BM28),2)</f>
        <v>0</v>
      </c>
      <c r="AR28" s="27" t="n">
        <f aca="false">ROUND(MAX(0,AR27*(1+K$8)-BN28),2)</f>
        <v>0</v>
      </c>
      <c r="AS28" s="27" t="n">
        <f aca="false">SUM(AI28:AR28)</f>
        <v>12857.01</v>
      </c>
      <c r="AT28" s="27" t="n">
        <f aca="false">SUMPRODUCT(AI27:AR27,$B$8:$K$8)</f>
        <v>165.016565</v>
      </c>
      <c r="AU28" s="27" t="n">
        <f aca="false">MIN(AI27*(1+B$8),B$9)</f>
        <v>35</v>
      </c>
      <c r="AV28" s="27" t="n">
        <f aca="false">MIN(AJ27*(1+C$8),C$9)</f>
        <v>75</v>
      </c>
      <c r="AW28" s="27" t="n">
        <f aca="false">MIN(AK27*(1+D$8),D$9)</f>
        <v>95</v>
      </c>
      <c r="AX28" s="27" t="n">
        <f aca="false">MIN(AL27*(1+E$8),E$9)</f>
        <v>310</v>
      </c>
      <c r="AY28" s="27" t="n">
        <f aca="false">MIN(AM27*(1+F$8),F$9)</f>
        <v>50</v>
      </c>
      <c r="AZ28" s="27" t="n">
        <f aca="false">MIN(AN27*(1+G$8),G$9)</f>
        <v>0</v>
      </c>
      <c r="BA28" s="27" t="n">
        <f aca="false">MIN(AO27*(1+H$8),H$9)</f>
        <v>0</v>
      </c>
      <c r="BB28" s="27" t="n">
        <f aca="false">MIN(AP27*(1+I$8),I$9)</f>
        <v>0</v>
      </c>
      <c r="BC28" s="27" t="n">
        <f aca="false">MIN(AQ27*(1+J$8),J$9)</f>
        <v>0</v>
      </c>
      <c r="BD28" s="27" t="n">
        <f aca="false">MIN(AR27*(1+K$8),K$9)</f>
        <v>0</v>
      </c>
      <c r="BE28" s="27" t="n">
        <f aca="false">MIN(AI27*(1+B$8),MAX(AU28,$B$12-SUM(AV28:BD28)))</f>
        <v>35</v>
      </c>
      <c r="BF28" s="27" t="n">
        <f aca="false">MIN(AJ27*(1+C$8),MAX(AV28,$B$12-SUM(BE28:BE28)-SUM(AW28:BD28)))</f>
        <v>75</v>
      </c>
      <c r="BG28" s="27" t="n">
        <f aca="false">MIN(AK27*(1+D$8),MAX(AW28,$B$12-SUM(BE28:BF28)-SUM(AX28:BD28)))</f>
        <v>95</v>
      </c>
      <c r="BH28" s="27" t="n">
        <f aca="false">MIN(AL27*(1+E$8),MAX(AX28,$B$12-SUM(BE28:BG28)-SUM(AY28:BD28)))</f>
        <v>310</v>
      </c>
      <c r="BI28" s="27" t="n">
        <f aca="false">MIN(AM27*(1+F$8),MAX(AY28,$B$12-SUM(BE28:BH28)-SUM(AZ28:BD28)))</f>
        <v>50</v>
      </c>
      <c r="BJ28" s="27" t="n">
        <f aca="false">MIN(AN27*(1+G$8),MAX(AZ28,$B$12-SUM(BE28:BI28)-SUM(BA28:BD28)))</f>
        <v>0</v>
      </c>
      <c r="BK28" s="27" t="n">
        <f aca="false">MIN(AO27*(1+H$8),MAX(BA28,$B$12-SUM(BE28:BJ28)-SUM(BB28:BD28)))</f>
        <v>0</v>
      </c>
      <c r="BL28" s="27" t="n">
        <f aca="false">MIN(AP27*(1+I$8),MAX(BB28,$B$12-SUM(BE28:BK28)-SUM(BC28:BD28)))</f>
        <v>0</v>
      </c>
      <c r="BM28" s="27" t="n">
        <f aca="false">MIN(AQ27*(1+J$8),MAX(BC28,$B$12-SUM(BE28:BL28)-SUM(BD28:BD28)))</f>
        <v>0</v>
      </c>
      <c r="BN28" s="27" t="n">
        <f aca="false">MIN(AR27*(1+K$8),MAX(BD28,$B$12-SUM(BE28:BM28)))</f>
        <v>0</v>
      </c>
    </row>
    <row r="29" customFormat="false" ht="15" hidden="false" customHeight="false" outlineLevel="0" collapsed="false">
      <c r="A29" s="0" t="n">
        <v>15</v>
      </c>
      <c r="B29" s="27" t="n">
        <f aca="false">ROUND(MAX(0,B28*(1+B$8)-X29),2)</f>
        <v>0</v>
      </c>
      <c r="C29" s="27" t="n">
        <f aca="false">ROUND(MAX(0,C28*(1+C$8)-Y29),2)</f>
        <v>224.65</v>
      </c>
      <c r="D29" s="27" t="n">
        <f aca="false">ROUND(MAX(0,D28*(1+D$8)-Z29),2)</f>
        <v>3755.49</v>
      </c>
      <c r="E29" s="27" t="n">
        <f aca="false">ROUND(MAX(0,E28*(1+E$8)-AA29),2)</f>
        <v>5402.32</v>
      </c>
      <c r="F29" s="27" t="n">
        <f aca="false">ROUND(MAX(0,F28*(1+F$8)-AB29),2)</f>
        <v>450</v>
      </c>
      <c r="G29" s="27" t="n">
        <f aca="false">ROUND(MAX(0,G28*(1+G$8)-AC29),2)</f>
        <v>0</v>
      </c>
      <c r="H29" s="27" t="n">
        <f aca="false">ROUND(MAX(0,H28*(1+H$8)-AD29),2)</f>
        <v>0</v>
      </c>
      <c r="I29" s="27" t="n">
        <f aca="false">ROUND(MAX(0,I28*(1+I$8)-AE29),2)</f>
        <v>0</v>
      </c>
      <c r="J29" s="27" t="n">
        <f aca="false">ROUND(MAX(0,J28*(1+J$8)-AF29),2)</f>
        <v>0</v>
      </c>
      <c r="K29" s="27" t="n">
        <f aca="false">ROUND(MAX(0,K28*(1+K$8)-AG29),2)</f>
        <v>0</v>
      </c>
      <c r="L29" s="30" t="n">
        <f aca="false">SUM(B29:K29)</f>
        <v>9832.46</v>
      </c>
      <c r="M29" s="27" t="n">
        <f aca="false">SUMPRODUCT(B28:K28,$B$8:$K$8)</f>
        <v>111.40571</v>
      </c>
      <c r="N29" s="27" t="n">
        <f aca="false">MIN(B28*(1+B$8),B$9)</f>
        <v>0</v>
      </c>
      <c r="O29" s="27" t="n">
        <f aca="false">MIN(C28*(1+C$8),C$9)</f>
        <v>75</v>
      </c>
      <c r="P29" s="27" t="n">
        <f aca="false">MIN(D28*(1+D$8),D$9)</f>
        <v>95</v>
      </c>
      <c r="Q29" s="27" t="n">
        <f aca="false">MIN(E28*(1+E$8),E$9)</f>
        <v>310</v>
      </c>
      <c r="R29" s="27" t="n">
        <f aca="false">MIN(F28*(1+F$8),F$9)</f>
        <v>50</v>
      </c>
      <c r="S29" s="27" t="n">
        <f aca="false">MIN(G28*(1+G$8),G$9)</f>
        <v>0</v>
      </c>
      <c r="T29" s="27" t="n">
        <f aca="false">MIN(H28*(1+H$8),H$9)</f>
        <v>0</v>
      </c>
      <c r="U29" s="27" t="n">
        <f aca="false">MIN(I28*(1+I$8),I$9)</f>
        <v>0</v>
      </c>
      <c r="V29" s="27" t="n">
        <f aca="false">MIN(J28*(1+J$8),J$9)</f>
        <v>0</v>
      </c>
      <c r="W29" s="27" t="n">
        <f aca="false">MIN(K28*(1+K$8),K$9)</f>
        <v>0</v>
      </c>
      <c r="X29" s="27" t="n">
        <f aca="false">MIN(B28*(1+B$8),MAX(N29,$B$11-SUM(O29:W29)))</f>
        <v>0</v>
      </c>
      <c r="Y29" s="27" t="n">
        <f aca="false">MIN(C28*(1+C$8),MAX(O29,$B$11-SUM(X29:X29)-SUM(P29:W29)))</f>
        <v>260</v>
      </c>
      <c r="Z29" s="27" t="n">
        <f aca="false">MIN(D28*(1+D$8),MAX(P29,$B$11-SUM(X29:Y29)-SUM(Q29:W29)))</f>
        <v>95</v>
      </c>
      <c r="AA29" s="27" t="n">
        <f aca="false">MIN(E28*(1+E$8),MAX(Q29,$B$11-SUM(X29:Z29)-SUM(R29:W29)))</f>
        <v>310</v>
      </c>
      <c r="AB29" s="27" t="n">
        <f aca="false">MIN(F28*(1+F$8),MAX(R29,$B$11-SUM(X29:AA29)-SUM(S29:W29)))</f>
        <v>50</v>
      </c>
      <c r="AC29" s="27" t="n">
        <f aca="false">MIN(G28*(1+G$8),MAX(S29,$B$11-SUM(X29:AB29)-SUM(T29:W29)))</f>
        <v>0</v>
      </c>
      <c r="AD29" s="27" t="n">
        <f aca="false">MIN(H28*(1+H$8),MAX(T29,$B$11-SUM(X29:AC29)-SUM(U29:W29)))</f>
        <v>0</v>
      </c>
      <c r="AE29" s="27" t="n">
        <f aca="false">MIN(I28*(1+I$8),MAX(U29,$B$11-SUM(X29:AD29)-SUM(V29:W29)))</f>
        <v>0</v>
      </c>
      <c r="AF29" s="27" t="n">
        <f aca="false">MIN(J28*(1+J$8),MAX(V29,$B$11-SUM(X29:AE29)-SUM(W29:W29)))</f>
        <v>0</v>
      </c>
      <c r="AG29" s="27" t="n">
        <f aca="false">MIN(K28*(1+K$8),MAX(W29,$B$11-SUM(X29:AF29)))</f>
        <v>0</v>
      </c>
      <c r="AI29" s="27" t="n">
        <f aca="false">ROUND(MAX(0,AI28*(1+B$8)-BE29),2)</f>
        <v>283.75</v>
      </c>
      <c r="AJ29" s="27" t="n">
        <f aca="false">ROUND(MAX(0,AJ28*(1+C$8)-BF29),2)</f>
        <v>2562.34</v>
      </c>
      <c r="AK29" s="27" t="n">
        <f aca="false">ROUND(MAX(0,AK28*(1+D$8)-BG29),2)</f>
        <v>3755.49</v>
      </c>
      <c r="AL29" s="27" t="n">
        <f aca="false">ROUND(MAX(0,AL28*(1+E$8)-BH29),2)</f>
        <v>5402.32</v>
      </c>
      <c r="AM29" s="27" t="n">
        <f aca="false">ROUND(MAX(0,AM28*(1+F$8)-BI29),2)</f>
        <v>450</v>
      </c>
      <c r="AN29" s="27" t="n">
        <f aca="false">ROUND(MAX(0,AN28*(1+G$8)-BJ29),2)</f>
        <v>0</v>
      </c>
      <c r="AO29" s="27" t="n">
        <f aca="false">ROUND(MAX(0,AO28*(1+H$8)-BK29),2)</f>
        <v>0</v>
      </c>
      <c r="AP29" s="27" t="n">
        <f aca="false">ROUND(MAX(0,AP28*(1+I$8)-BL29),2)</f>
        <v>0</v>
      </c>
      <c r="AQ29" s="27" t="n">
        <f aca="false">ROUND(MAX(0,AQ28*(1+J$8)-BM29),2)</f>
        <v>0</v>
      </c>
      <c r="AR29" s="27" t="n">
        <f aca="false">ROUND(MAX(0,AR28*(1+K$8)-BN29),2)</f>
        <v>0</v>
      </c>
      <c r="AS29" s="27" t="n">
        <f aca="false">SUM(AI29:AR29)</f>
        <v>12453.9</v>
      </c>
      <c r="AT29" s="27" t="n">
        <f aca="false">SUMPRODUCT(AI28:AR28,$B$8:$K$8)</f>
        <v>161.8920425</v>
      </c>
      <c r="AU29" s="27" t="n">
        <f aca="false">MIN(AI28*(1+B$8),B$9)</f>
        <v>35</v>
      </c>
      <c r="AV29" s="27" t="n">
        <f aca="false">MIN(AJ28*(1+C$8),C$9)</f>
        <v>75</v>
      </c>
      <c r="AW29" s="27" t="n">
        <f aca="false">MIN(AK28*(1+D$8),D$9)</f>
        <v>95</v>
      </c>
      <c r="AX29" s="27" t="n">
        <f aca="false">MIN(AL28*(1+E$8),E$9)</f>
        <v>310</v>
      </c>
      <c r="AY29" s="27" t="n">
        <f aca="false">MIN(AM28*(1+F$8),F$9)</f>
        <v>50</v>
      </c>
      <c r="AZ29" s="27" t="n">
        <f aca="false">MIN(AN28*(1+G$8),G$9)</f>
        <v>0</v>
      </c>
      <c r="BA29" s="27" t="n">
        <f aca="false">MIN(AO28*(1+H$8),H$9)</f>
        <v>0</v>
      </c>
      <c r="BB29" s="27" t="n">
        <f aca="false">MIN(AP28*(1+I$8),I$9)</f>
        <v>0</v>
      </c>
      <c r="BC29" s="27" t="n">
        <f aca="false">MIN(AQ28*(1+J$8),J$9)</f>
        <v>0</v>
      </c>
      <c r="BD29" s="27" t="n">
        <f aca="false">MIN(AR28*(1+K$8),K$9)</f>
        <v>0</v>
      </c>
      <c r="BE29" s="27" t="n">
        <f aca="false">MIN(AI28*(1+B$8),MAX(AU29,$B$12-SUM(AV29:BD29)))</f>
        <v>35</v>
      </c>
      <c r="BF29" s="27" t="n">
        <f aca="false">MIN(AJ28*(1+C$8),MAX(AV29,$B$12-SUM(BE29:BE29)-SUM(AW29:BD29)))</f>
        <v>75</v>
      </c>
      <c r="BG29" s="27" t="n">
        <f aca="false">MIN(AK28*(1+D$8),MAX(AW29,$B$12-SUM(BE29:BF29)-SUM(AX29:BD29)))</f>
        <v>95</v>
      </c>
      <c r="BH29" s="27" t="n">
        <f aca="false">MIN(AL28*(1+E$8),MAX(AX29,$B$12-SUM(BE29:BG29)-SUM(AY29:BD29)))</f>
        <v>310</v>
      </c>
      <c r="BI29" s="27" t="n">
        <f aca="false">MIN(AM28*(1+F$8),MAX(AY29,$B$12-SUM(BE29:BH29)-SUM(AZ29:BD29)))</f>
        <v>50</v>
      </c>
      <c r="BJ29" s="27" t="n">
        <f aca="false">MIN(AN28*(1+G$8),MAX(AZ29,$B$12-SUM(BE29:BI29)-SUM(BA29:BD29)))</f>
        <v>0</v>
      </c>
      <c r="BK29" s="27" t="n">
        <f aca="false">MIN(AO28*(1+H$8),MAX(BA29,$B$12-SUM(BE29:BJ29)-SUM(BB29:BD29)))</f>
        <v>0</v>
      </c>
      <c r="BL29" s="27" t="n">
        <f aca="false">MIN(AP28*(1+I$8),MAX(BB29,$B$12-SUM(BE29:BK29)-SUM(BC29:BD29)))</f>
        <v>0</v>
      </c>
      <c r="BM29" s="27" t="n">
        <f aca="false">MIN(AQ28*(1+J$8),MAX(BC29,$B$12-SUM(BE29:BL29)-SUM(BD29:BD29)))</f>
        <v>0</v>
      </c>
      <c r="BN29" s="27" t="n">
        <f aca="false">MIN(AR28*(1+K$8),MAX(BD29,$B$12-SUM(BE29:BM29)))</f>
        <v>0</v>
      </c>
    </row>
    <row r="30" customFormat="false" ht="15" hidden="false" customHeight="false" outlineLevel="0" collapsed="false">
      <c r="A30" s="0" t="n">
        <v>16</v>
      </c>
      <c r="B30" s="27" t="n">
        <f aca="false">ROUND(MAX(0,B29*(1+B$8)-X30),2)</f>
        <v>0</v>
      </c>
      <c r="C30" s="27" t="n">
        <f aca="false">ROUND(MAX(0,C29*(1+C$8)-Y30),2)</f>
        <v>0</v>
      </c>
      <c r="D30" s="27" t="n">
        <f aca="false">ROUND(MAX(0,D29*(1+D$8)-Z30),2)</f>
        <v>3698.28</v>
      </c>
      <c r="E30" s="27" t="n">
        <f aca="false">ROUND(MAX(0,E29*(1+E$8)-AA30),2)</f>
        <v>5123.38</v>
      </c>
      <c r="F30" s="27" t="n">
        <f aca="false">ROUND(MAX(0,F29*(1+F$8)-AB30),2)</f>
        <v>400</v>
      </c>
      <c r="G30" s="27" t="n">
        <f aca="false">ROUND(MAX(0,G29*(1+G$8)-AC30),2)</f>
        <v>0</v>
      </c>
      <c r="H30" s="27" t="n">
        <f aca="false">ROUND(MAX(0,H29*(1+H$8)-AD30),2)</f>
        <v>0</v>
      </c>
      <c r="I30" s="27" t="n">
        <f aca="false">ROUND(MAX(0,I29*(1+I$8)-AE30),2)</f>
        <v>0</v>
      </c>
      <c r="J30" s="27" t="n">
        <f aca="false">ROUND(MAX(0,J29*(1+J$8)-AF30),2)</f>
        <v>0</v>
      </c>
      <c r="K30" s="27" t="n">
        <f aca="false">ROUND(MAX(0,K29*(1+K$8)-AG30),2)</f>
        <v>0</v>
      </c>
      <c r="L30" s="30" t="n">
        <f aca="false">SUM(B30:K30)</f>
        <v>9221.66</v>
      </c>
      <c r="M30" s="27" t="n">
        <f aca="false">SUMPRODUCT(B29:K29,$B$8:$K$8)</f>
        <v>104.2063575</v>
      </c>
      <c r="N30" s="27" t="n">
        <f aca="false">MIN(B29*(1+B$8),B$9)</f>
        <v>0</v>
      </c>
      <c r="O30" s="27" t="n">
        <f aca="false">MIN(C29*(1+C$8),C$9)</f>
        <v>75</v>
      </c>
      <c r="P30" s="27" t="n">
        <f aca="false">MIN(D29*(1+D$8),D$9)</f>
        <v>95</v>
      </c>
      <c r="Q30" s="27" t="n">
        <f aca="false">MIN(E29*(1+E$8),E$9)</f>
        <v>310</v>
      </c>
      <c r="R30" s="27" t="n">
        <f aca="false">MIN(F29*(1+F$8),F$9)</f>
        <v>50</v>
      </c>
      <c r="S30" s="27" t="n">
        <f aca="false">MIN(G29*(1+G$8),G$9)</f>
        <v>0</v>
      </c>
      <c r="T30" s="27" t="n">
        <f aca="false">MIN(H29*(1+H$8),H$9)</f>
        <v>0</v>
      </c>
      <c r="U30" s="27" t="n">
        <f aca="false">MIN(I29*(1+I$8),I$9)</f>
        <v>0</v>
      </c>
      <c r="V30" s="27" t="n">
        <f aca="false">MIN(J29*(1+J$8),J$9)</f>
        <v>0</v>
      </c>
      <c r="W30" s="27" t="n">
        <f aca="false">MIN(K29*(1+K$8),K$9)</f>
        <v>0</v>
      </c>
      <c r="X30" s="27" t="n">
        <f aca="false">MIN(B29*(1+B$8),MAX(N30,$B$11-SUM(O30:W30)))</f>
        <v>0</v>
      </c>
      <c r="Y30" s="27" t="n">
        <f aca="false">MIN(C29*(1+C$8),MAX(O30,$B$11-SUM(X30:X30)-SUM(P30:W30)))</f>
        <v>229.255325</v>
      </c>
      <c r="Z30" s="27" t="n">
        <f aca="false">MIN(D29*(1+D$8),MAX(P30,$B$11-SUM(X30:Y30)-SUM(Q30:W30)))</f>
        <v>125.744675</v>
      </c>
      <c r="AA30" s="27" t="n">
        <f aca="false">MIN(E29*(1+E$8),MAX(Q30,$B$11-SUM(X30:Z30)-SUM(R30:W30)))</f>
        <v>310</v>
      </c>
      <c r="AB30" s="27" t="n">
        <f aca="false">MIN(F29*(1+F$8),MAX(R30,$B$11-SUM(X30:AA30)-SUM(S30:W30)))</f>
        <v>50</v>
      </c>
      <c r="AC30" s="27" t="n">
        <f aca="false">MIN(G29*(1+G$8),MAX(S30,$B$11-SUM(X30:AB30)-SUM(T30:W30)))</f>
        <v>0</v>
      </c>
      <c r="AD30" s="27" t="n">
        <f aca="false">MIN(H29*(1+H$8),MAX(T30,$B$11-SUM(X30:AC30)-SUM(U30:W30)))</f>
        <v>0</v>
      </c>
      <c r="AE30" s="27" t="n">
        <f aca="false">MIN(I29*(1+I$8),MAX(U30,$B$11-SUM(X30:AD30)-SUM(V30:W30)))</f>
        <v>0</v>
      </c>
      <c r="AF30" s="27" t="n">
        <f aca="false">MIN(J29*(1+J$8),MAX(V30,$B$11-SUM(X30:AE30)-SUM(W30:W30)))</f>
        <v>0</v>
      </c>
      <c r="AG30" s="27" t="n">
        <f aca="false">MIN(K29*(1+K$8),MAX(W30,$B$11-SUM(X30:AF30)))</f>
        <v>0</v>
      </c>
      <c r="AI30" s="27" t="n">
        <f aca="false">ROUND(MAX(0,AI29*(1+B$8)-BE30),2)</f>
        <v>255.35</v>
      </c>
      <c r="AJ30" s="27" t="n">
        <f aca="false">ROUND(MAX(0,AJ29*(1+C$8)-BF30),2)</f>
        <v>2539.87</v>
      </c>
      <c r="AK30" s="27" t="n">
        <f aca="false">ROUND(MAX(0,AK29*(1+D$8)-BG30),2)</f>
        <v>3729.03</v>
      </c>
      <c r="AL30" s="27" t="n">
        <f aca="false">ROUND(MAX(0,AL29*(1+E$8)-BH30),2)</f>
        <v>5123.38</v>
      </c>
      <c r="AM30" s="27" t="n">
        <f aca="false">ROUND(MAX(0,AM29*(1+F$8)-BI30),2)</f>
        <v>400</v>
      </c>
      <c r="AN30" s="27" t="n">
        <f aca="false">ROUND(MAX(0,AN29*(1+G$8)-BJ30),2)</f>
        <v>0</v>
      </c>
      <c r="AO30" s="27" t="n">
        <f aca="false">ROUND(MAX(0,AO29*(1+H$8)-BK30),2)</f>
        <v>0</v>
      </c>
      <c r="AP30" s="27" t="n">
        <f aca="false">ROUND(MAX(0,AP29*(1+I$8)-BL30),2)</f>
        <v>0</v>
      </c>
      <c r="AQ30" s="27" t="n">
        <f aca="false">ROUND(MAX(0,AQ29*(1+J$8)-BM30),2)</f>
        <v>0</v>
      </c>
      <c r="AR30" s="27" t="n">
        <f aca="false">ROUND(MAX(0,AR29*(1+K$8)-BN30),2)</f>
        <v>0</v>
      </c>
      <c r="AS30" s="27" t="n">
        <f aca="false">SUM(AI30:AR30)</f>
        <v>12047.63</v>
      </c>
      <c r="AT30" s="27" t="n">
        <f aca="false">SUMPRODUCT(AI29:AR29,$B$8:$K$8)</f>
        <v>158.72619</v>
      </c>
      <c r="AU30" s="27" t="n">
        <f aca="false">MIN(AI29*(1+B$8),B$9)</f>
        <v>35</v>
      </c>
      <c r="AV30" s="27" t="n">
        <f aca="false">MIN(AJ29*(1+C$8),C$9)</f>
        <v>75</v>
      </c>
      <c r="AW30" s="27" t="n">
        <f aca="false">MIN(AK29*(1+D$8),D$9)</f>
        <v>95</v>
      </c>
      <c r="AX30" s="27" t="n">
        <f aca="false">MIN(AL29*(1+E$8),E$9)</f>
        <v>310</v>
      </c>
      <c r="AY30" s="27" t="n">
        <f aca="false">MIN(AM29*(1+F$8),F$9)</f>
        <v>50</v>
      </c>
      <c r="AZ30" s="27" t="n">
        <f aca="false">MIN(AN29*(1+G$8),G$9)</f>
        <v>0</v>
      </c>
      <c r="BA30" s="27" t="n">
        <f aca="false">MIN(AO29*(1+H$8),H$9)</f>
        <v>0</v>
      </c>
      <c r="BB30" s="27" t="n">
        <f aca="false">MIN(AP29*(1+I$8),I$9)</f>
        <v>0</v>
      </c>
      <c r="BC30" s="27" t="n">
        <f aca="false">MIN(AQ29*(1+J$8),J$9)</f>
        <v>0</v>
      </c>
      <c r="BD30" s="27" t="n">
        <f aca="false">MIN(AR29*(1+K$8),K$9)</f>
        <v>0</v>
      </c>
      <c r="BE30" s="27" t="n">
        <f aca="false">MIN(AI29*(1+B$8),MAX(AU30,$B$12-SUM(AV30:BD30)))</f>
        <v>35</v>
      </c>
      <c r="BF30" s="27" t="n">
        <f aca="false">MIN(AJ29*(1+C$8),MAX(AV30,$B$12-SUM(BE30:BE30)-SUM(AW30:BD30)))</f>
        <v>75</v>
      </c>
      <c r="BG30" s="27" t="n">
        <f aca="false">MIN(AK29*(1+D$8),MAX(AW30,$B$12-SUM(BE30:BF30)-SUM(AX30:BD30)))</f>
        <v>95</v>
      </c>
      <c r="BH30" s="27" t="n">
        <f aca="false">MIN(AL29*(1+E$8),MAX(AX30,$B$12-SUM(BE30:BG30)-SUM(AY30:BD30)))</f>
        <v>310</v>
      </c>
      <c r="BI30" s="27" t="n">
        <f aca="false">MIN(AM29*(1+F$8),MAX(AY30,$B$12-SUM(BE30:BH30)-SUM(AZ30:BD30)))</f>
        <v>50</v>
      </c>
      <c r="BJ30" s="27" t="n">
        <f aca="false">MIN(AN29*(1+G$8),MAX(AZ30,$B$12-SUM(BE30:BI30)-SUM(BA30:BD30)))</f>
        <v>0</v>
      </c>
      <c r="BK30" s="27" t="n">
        <f aca="false">MIN(AO29*(1+H$8),MAX(BA30,$B$12-SUM(BE30:BJ30)-SUM(BB30:BD30)))</f>
        <v>0</v>
      </c>
      <c r="BL30" s="27" t="n">
        <f aca="false">MIN(AP29*(1+I$8),MAX(BB30,$B$12-SUM(BE30:BK30)-SUM(BC30:BD30)))</f>
        <v>0</v>
      </c>
      <c r="BM30" s="27" t="n">
        <f aca="false">MIN(AQ29*(1+J$8),MAX(BC30,$B$12-SUM(BE30:BL30)-SUM(BD30:BD30)))</f>
        <v>0</v>
      </c>
      <c r="BN30" s="27" t="n">
        <f aca="false">MIN(AR29*(1+K$8),MAX(BD30,$B$12-SUM(BE30:BM30)))</f>
        <v>0</v>
      </c>
    </row>
    <row r="31" customFormat="false" ht="15" hidden="false" customHeight="false" outlineLevel="0" collapsed="false">
      <c r="A31" s="0" t="n">
        <v>17</v>
      </c>
      <c r="B31" s="27" t="n">
        <f aca="false">ROUND(MAX(0,B30*(1+B$8)-X31),2)</f>
        <v>0</v>
      </c>
      <c r="C31" s="27" t="n">
        <f aca="false">ROUND(MAX(0,C30*(1+C$8)-Y31),2)</f>
        <v>0</v>
      </c>
      <c r="D31" s="27" t="n">
        <f aca="false">ROUND(MAX(0,D30*(1+D$8)-Z31),2)</f>
        <v>3410.77</v>
      </c>
      <c r="E31" s="27" t="n">
        <f aca="false">ROUND(MAX(0,E30*(1+E$8)-AA31),2)</f>
        <v>4842.84</v>
      </c>
      <c r="F31" s="27" t="n">
        <f aca="false">ROUND(MAX(0,F30*(1+F$8)-AB31),2)</f>
        <v>350</v>
      </c>
      <c r="G31" s="27" t="n">
        <f aca="false">ROUND(MAX(0,G30*(1+G$8)-AC31),2)</f>
        <v>0</v>
      </c>
      <c r="H31" s="27" t="n">
        <f aca="false">ROUND(MAX(0,H30*(1+H$8)-AD31),2)</f>
        <v>0</v>
      </c>
      <c r="I31" s="27" t="n">
        <f aca="false">ROUND(MAX(0,I30*(1+I$8)-AE31),2)</f>
        <v>0</v>
      </c>
      <c r="J31" s="27" t="n">
        <f aca="false">ROUND(MAX(0,J30*(1+J$8)-AF31),2)</f>
        <v>0</v>
      </c>
      <c r="K31" s="27" t="n">
        <f aca="false">ROUND(MAX(0,K30*(1+K$8)-AG31),2)</f>
        <v>0</v>
      </c>
      <c r="L31" s="30" t="n">
        <f aca="false">SUM(B31:K31)</f>
        <v>8603.61</v>
      </c>
      <c r="M31" s="27" t="n">
        <f aca="false">SUMPRODUCT(B30:K30,$B$8:$K$8)</f>
        <v>96.953045</v>
      </c>
      <c r="N31" s="27" t="n">
        <f aca="false">MIN(B30*(1+B$8),B$9)</f>
        <v>0</v>
      </c>
      <c r="O31" s="27" t="n">
        <f aca="false">MIN(C30*(1+C$8),C$9)</f>
        <v>0</v>
      </c>
      <c r="P31" s="27" t="n">
        <f aca="false">MIN(D30*(1+D$8),D$9)</f>
        <v>95</v>
      </c>
      <c r="Q31" s="27" t="n">
        <f aca="false">MIN(E30*(1+E$8),E$9)</f>
        <v>310</v>
      </c>
      <c r="R31" s="27" t="n">
        <f aca="false">MIN(F30*(1+F$8),F$9)</f>
        <v>50</v>
      </c>
      <c r="S31" s="27" t="n">
        <f aca="false">MIN(G30*(1+G$8),G$9)</f>
        <v>0</v>
      </c>
      <c r="T31" s="27" t="n">
        <f aca="false">MIN(H30*(1+H$8),H$9)</f>
        <v>0</v>
      </c>
      <c r="U31" s="27" t="n">
        <f aca="false">MIN(I30*(1+I$8),I$9)</f>
        <v>0</v>
      </c>
      <c r="V31" s="27" t="n">
        <f aca="false">MIN(J30*(1+J$8),J$9)</f>
        <v>0</v>
      </c>
      <c r="W31" s="27" t="n">
        <f aca="false">MIN(K30*(1+K$8),K$9)</f>
        <v>0</v>
      </c>
      <c r="X31" s="27" t="n">
        <f aca="false">MIN(B30*(1+B$8),MAX(N31,$B$11-SUM(O31:W31)))</f>
        <v>0</v>
      </c>
      <c r="Y31" s="27" t="n">
        <f aca="false">MIN(C30*(1+C$8),MAX(O31,$B$11-SUM(X31:X31)-SUM(P31:W31)))</f>
        <v>0</v>
      </c>
      <c r="Z31" s="27" t="n">
        <f aca="false">MIN(D30*(1+D$8),MAX(P31,$B$11-SUM(X31:Y31)-SUM(Q31:W31)))</f>
        <v>355</v>
      </c>
      <c r="AA31" s="27" t="n">
        <f aca="false">MIN(E30*(1+E$8),MAX(Q31,$B$11-SUM(X31:Z31)-SUM(R31:W31)))</f>
        <v>310</v>
      </c>
      <c r="AB31" s="27" t="n">
        <f aca="false">MIN(F30*(1+F$8),MAX(R31,$B$11-SUM(X31:AA31)-SUM(S31:W31)))</f>
        <v>50</v>
      </c>
      <c r="AC31" s="27" t="n">
        <f aca="false">MIN(G30*(1+G$8),MAX(S31,$B$11-SUM(X31:AB31)-SUM(T31:W31)))</f>
        <v>0</v>
      </c>
      <c r="AD31" s="27" t="n">
        <f aca="false">MIN(H30*(1+H$8),MAX(T31,$B$11-SUM(X31:AC31)-SUM(U31:W31)))</f>
        <v>0</v>
      </c>
      <c r="AE31" s="27" t="n">
        <f aca="false">MIN(I30*(1+I$8),MAX(U31,$B$11-SUM(X31:AD31)-SUM(V31:W31)))</f>
        <v>0</v>
      </c>
      <c r="AF31" s="27" t="n">
        <f aca="false">MIN(J30*(1+J$8),MAX(V31,$B$11-SUM(X31:AE31)-SUM(W31:W31)))</f>
        <v>0</v>
      </c>
      <c r="AG31" s="27" t="n">
        <f aca="false">MIN(K30*(1+K$8),MAX(W31,$B$11-SUM(X31:AF31)))</f>
        <v>0</v>
      </c>
      <c r="AI31" s="27" t="n">
        <f aca="false">ROUND(MAX(0,AI30*(1+B$8)-BE31),2)</f>
        <v>226.29</v>
      </c>
      <c r="AJ31" s="27" t="n">
        <f aca="false">ROUND(MAX(0,AJ30*(1+C$8)-BF31),2)</f>
        <v>2516.94</v>
      </c>
      <c r="AK31" s="27" t="n">
        <f aca="false">ROUND(MAX(0,AK30*(1+D$8)-BG31),2)</f>
        <v>3702.08</v>
      </c>
      <c r="AL31" s="27" t="n">
        <f aca="false">ROUND(MAX(0,AL30*(1+E$8)-BH31),2)</f>
        <v>4842.84</v>
      </c>
      <c r="AM31" s="27" t="n">
        <f aca="false">ROUND(MAX(0,AM30*(1+F$8)-BI31),2)</f>
        <v>350</v>
      </c>
      <c r="AN31" s="27" t="n">
        <f aca="false">ROUND(MAX(0,AN30*(1+G$8)-BJ31),2)</f>
        <v>0</v>
      </c>
      <c r="AO31" s="27" t="n">
        <f aca="false">ROUND(MAX(0,AO30*(1+H$8)-BK31),2)</f>
        <v>0</v>
      </c>
      <c r="AP31" s="27" t="n">
        <f aca="false">ROUND(MAX(0,AP30*(1+I$8)-BL31),2)</f>
        <v>0</v>
      </c>
      <c r="AQ31" s="27" t="n">
        <f aca="false">ROUND(MAX(0,AQ30*(1+J$8)-BM31),2)</f>
        <v>0</v>
      </c>
      <c r="AR31" s="27" t="n">
        <f aca="false">ROUND(MAX(0,AR30*(1+K$8)-BN31),2)</f>
        <v>0</v>
      </c>
      <c r="AS31" s="27" t="n">
        <f aca="false">SUM(AI31:AR31)</f>
        <v>11638.15</v>
      </c>
      <c r="AT31" s="27" t="n">
        <f aca="false">SUMPRODUCT(AI30:AR30,$B$8:$K$8)</f>
        <v>155.518455</v>
      </c>
      <c r="AU31" s="27" t="n">
        <f aca="false">MIN(AI30*(1+B$8),B$9)</f>
        <v>35</v>
      </c>
      <c r="AV31" s="27" t="n">
        <f aca="false">MIN(AJ30*(1+C$8),C$9)</f>
        <v>75</v>
      </c>
      <c r="AW31" s="27" t="n">
        <f aca="false">MIN(AK30*(1+D$8),D$9)</f>
        <v>95</v>
      </c>
      <c r="AX31" s="27" t="n">
        <f aca="false">MIN(AL30*(1+E$8),E$9)</f>
        <v>310</v>
      </c>
      <c r="AY31" s="27" t="n">
        <f aca="false">MIN(AM30*(1+F$8),F$9)</f>
        <v>50</v>
      </c>
      <c r="AZ31" s="27" t="n">
        <f aca="false">MIN(AN30*(1+G$8),G$9)</f>
        <v>0</v>
      </c>
      <c r="BA31" s="27" t="n">
        <f aca="false">MIN(AO30*(1+H$8),H$9)</f>
        <v>0</v>
      </c>
      <c r="BB31" s="27" t="n">
        <f aca="false">MIN(AP30*(1+I$8),I$9)</f>
        <v>0</v>
      </c>
      <c r="BC31" s="27" t="n">
        <f aca="false">MIN(AQ30*(1+J$8),J$9)</f>
        <v>0</v>
      </c>
      <c r="BD31" s="27" t="n">
        <f aca="false">MIN(AR30*(1+K$8),K$9)</f>
        <v>0</v>
      </c>
      <c r="BE31" s="27" t="n">
        <f aca="false">MIN(AI30*(1+B$8),MAX(AU31,$B$12-SUM(AV31:BD31)))</f>
        <v>35</v>
      </c>
      <c r="BF31" s="27" t="n">
        <f aca="false">MIN(AJ30*(1+C$8),MAX(AV31,$B$12-SUM(BE31:BE31)-SUM(AW31:BD31)))</f>
        <v>75</v>
      </c>
      <c r="BG31" s="27" t="n">
        <f aca="false">MIN(AK30*(1+D$8),MAX(AW31,$B$12-SUM(BE31:BF31)-SUM(AX31:BD31)))</f>
        <v>95</v>
      </c>
      <c r="BH31" s="27" t="n">
        <f aca="false">MIN(AL30*(1+E$8),MAX(AX31,$B$12-SUM(BE31:BG31)-SUM(AY31:BD31)))</f>
        <v>310</v>
      </c>
      <c r="BI31" s="27" t="n">
        <f aca="false">MIN(AM30*(1+F$8),MAX(AY31,$B$12-SUM(BE31:BH31)-SUM(AZ31:BD31)))</f>
        <v>50</v>
      </c>
      <c r="BJ31" s="27" t="n">
        <f aca="false">MIN(AN30*(1+G$8),MAX(AZ31,$B$12-SUM(BE31:BI31)-SUM(BA31:BD31)))</f>
        <v>0</v>
      </c>
      <c r="BK31" s="27" t="n">
        <f aca="false">MIN(AO30*(1+H$8),MAX(BA31,$B$12-SUM(BE31:BJ31)-SUM(BB31:BD31)))</f>
        <v>0</v>
      </c>
      <c r="BL31" s="27" t="n">
        <f aca="false">MIN(AP30*(1+I$8),MAX(BB31,$B$12-SUM(BE31:BK31)-SUM(BC31:BD31)))</f>
        <v>0</v>
      </c>
      <c r="BM31" s="27" t="n">
        <f aca="false">MIN(AQ30*(1+J$8),MAX(BC31,$B$12-SUM(BE31:BL31)-SUM(BD31:BD31)))</f>
        <v>0</v>
      </c>
      <c r="BN31" s="27" t="n">
        <f aca="false">MIN(AR30*(1+K$8),MAX(BD31,$B$12-SUM(BE31:BM31)))</f>
        <v>0</v>
      </c>
    </row>
    <row r="32" customFormat="false" ht="15" hidden="false" customHeight="false" outlineLevel="0" collapsed="false">
      <c r="A32" s="0" t="n">
        <v>18</v>
      </c>
      <c r="B32" s="27" t="n">
        <f aca="false">ROUND(MAX(0,B31*(1+B$8)-X32),2)</f>
        <v>0</v>
      </c>
      <c r="C32" s="27" t="n">
        <f aca="false">ROUND(MAX(0,C31*(1+C$8)-Y32),2)</f>
        <v>0</v>
      </c>
      <c r="D32" s="27" t="n">
        <f aca="false">ROUND(MAX(0,D31*(1+D$8)-Z32),2)</f>
        <v>3118.02</v>
      </c>
      <c r="E32" s="27" t="n">
        <f aca="false">ROUND(MAX(0,E31*(1+E$8)-AA32),2)</f>
        <v>4560.69</v>
      </c>
      <c r="F32" s="27" t="n">
        <f aca="false">ROUND(MAX(0,F31*(1+F$8)-AB32),2)</f>
        <v>300</v>
      </c>
      <c r="G32" s="27" t="n">
        <f aca="false">ROUND(MAX(0,G31*(1+G$8)-AC32),2)</f>
        <v>0</v>
      </c>
      <c r="H32" s="27" t="n">
        <f aca="false">ROUND(MAX(0,H31*(1+H$8)-AD32),2)</f>
        <v>0</v>
      </c>
      <c r="I32" s="27" t="n">
        <f aca="false">ROUND(MAX(0,I31*(1+I$8)-AE32),2)</f>
        <v>0</v>
      </c>
      <c r="J32" s="27" t="n">
        <f aca="false">ROUND(MAX(0,J31*(1+J$8)-AF32),2)</f>
        <v>0</v>
      </c>
      <c r="K32" s="27" t="n">
        <f aca="false">ROUND(MAX(0,K31*(1+K$8)-AG32),2)</f>
        <v>0</v>
      </c>
      <c r="L32" s="30" t="n">
        <f aca="false">SUM(B32:K32)</f>
        <v>7978.71</v>
      </c>
      <c r="M32" s="27" t="n">
        <f aca="false">SUMPRODUCT(B31:K31,$B$8:$K$8)</f>
        <v>90.0928825</v>
      </c>
      <c r="N32" s="27" t="n">
        <f aca="false">MIN(B31*(1+B$8),B$9)</f>
        <v>0</v>
      </c>
      <c r="O32" s="27" t="n">
        <f aca="false">MIN(C31*(1+C$8),C$9)</f>
        <v>0</v>
      </c>
      <c r="P32" s="27" t="n">
        <f aca="false">MIN(D31*(1+D$8),D$9)</f>
        <v>95</v>
      </c>
      <c r="Q32" s="27" t="n">
        <f aca="false">MIN(E31*(1+E$8),E$9)</f>
        <v>310</v>
      </c>
      <c r="R32" s="27" t="n">
        <f aca="false">MIN(F31*(1+F$8),F$9)</f>
        <v>50</v>
      </c>
      <c r="S32" s="27" t="n">
        <f aca="false">MIN(G31*(1+G$8),G$9)</f>
        <v>0</v>
      </c>
      <c r="T32" s="27" t="n">
        <f aca="false">MIN(H31*(1+H$8),H$9)</f>
        <v>0</v>
      </c>
      <c r="U32" s="27" t="n">
        <f aca="false">MIN(I31*(1+I$8),I$9)</f>
        <v>0</v>
      </c>
      <c r="V32" s="27" t="n">
        <f aca="false">MIN(J31*(1+J$8),J$9)</f>
        <v>0</v>
      </c>
      <c r="W32" s="27" t="n">
        <f aca="false">MIN(K31*(1+K$8),K$9)</f>
        <v>0</v>
      </c>
      <c r="X32" s="27" t="n">
        <f aca="false">MIN(B31*(1+B$8),MAX(N32,$B$11-SUM(O32:W32)))</f>
        <v>0</v>
      </c>
      <c r="Y32" s="27" t="n">
        <f aca="false">MIN(C31*(1+C$8),MAX(O32,$B$11-SUM(X32:X32)-SUM(P32:W32)))</f>
        <v>0</v>
      </c>
      <c r="Z32" s="27" t="n">
        <f aca="false">MIN(D31*(1+D$8),MAX(P32,$B$11-SUM(X32:Y32)-SUM(Q32:W32)))</f>
        <v>355</v>
      </c>
      <c r="AA32" s="27" t="n">
        <f aca="false">MIN(E31*(1+E$8),MAX(Q32,$B$11-SUM(X32:Z32)-SUM(R32:W32)))</f>
        <v>310</v>
      </c>
      <c r="AB32" s="27" t="n">
        <f aca="false">MIN(F31*(1+F$8),MAX(R32,$B$11-SUM(X32:AA32)-SUM(S32:W32)))</f>
        <v>50</v>
      </c>
      <c r="AC32" s="27" t="n">
        <f aca="false">MIN(G31*(1+G$8),MAX(S32,$B$11-SUM(X32:AB32)-SUM(T32:W32)))</f>
        <v>0</v>
      </c>
      <c r="AD32" s="27" t="n">
        <f aca="false">MIN(H31*(1+H$8),MAX(T32,$B$11-SUM(X32:AC32)-SUM(U32:W32)))</f>
        <v>0</v>
      </c>
      <c r="AE32" s="27" t="n">
        <f aca="false">MIN(I31*(1+I$8),MAX(U32,$B$11-SUM(X32:AD32)-SUM(V32:W32)))</f>
        <v>0</v>
      </c>
      <c r="AF32" s="27" t="n">
        <f aca="false">MIN(J31*(1+J$8),MAX(V32,$B$11-SUM(X32:AE32)-SUM(W32:W32)))</f>
        <v>0</v>
      </c>
      <c r="AG32" s="27" t="n">
        <f aca="false">MIN(K31*(1+K$8),MAX(W32,$B$11-SUM(X32:AF32)))</f>
        <v>0</v>
      </c>
      <c r="AI32" s="27" t="n">
        <f aca="false">ROUND(MAX(0,AI31*(1+B$8)-BE32),2)</f>
        <v>196.55</v>
      </c>
      <c r="AJ32" s="27" t="n">
        <f aca="false">ROUND(MAX(0,AJ31*(1+C$8)-BF32),2)</f>
        <v>2493.54</v>
      </c>
      <c r="AK32" s="27" t="n">
        <f aca="false">ROUND(MAX(0,AK31*(1+D$8)-BG32),2)</f>
        <v>3674.64</v>
      </c>
      <c r="AL32" s="27" t="n">
        <f aca="false">ROUND(MAX(0,AL31*(1+E$8)-BH32),2)</f>
        <v>4560.69</v>
      </c>
      <c r="AM32" s="27" t="n">
        <f aca="false">ROUND(MAX(0,AM31*(1+F$8)-BI32),2)</f>
        <v>300</v>
      </c>
      <c r="AN32" s="27" t="n">
        <f aca="false">ROUND(MAX(0,AN31*(1+G$8)-BJ32),2)</f>
        <v>0</v>
      </c>
      <c r="AO32" s="27" t="n">
        <f aca="false">ROUND(MAX(0,AO31*(1+H$8)-BK32),2)</f>
        <v>0</v>
      </c>
      <c r="AP32" s="27" t="n">
        <f aca="false">ROUND(MAX(0,AP31*(1+I$8)-BL32),2)</f>
        <v>0</v>
      </c>
      <c r="AQ32" s="27" t="n">
        <f aca="false">ROUND(MAX(0,AQ31*(1+J$8)-BM32),2)</f>
        <v>0</v>
      </c>
      <c r="AR32" s="27" t="n">
        <f aca="false">ROUND(MAX(0,AR31*(1+K$8)-BN32),2)</f>
        <v>0</v>
      </c>
      <c r="AS32" s="27" t="n">
        <f aca="false">SUM(AI32:AR32)</f>
        <v>11225.42</v>
      </c>
      <c r="AT32" s="27" t="n">
        <f aca="false">SUMPRODUCT(AI31:AR31,$B$8:$K$8)</f>
        <v>152.2678025</v>
      </c>
      <c r="AU32" s="27" t="n">
        <f aca="false">MIN(AI31*(1+B$8),B$9)</f>
        <v>35</v>
      </c>
      <c r="AV32" s="27" t="n">
        <f aca="false">MIN(AJ31*(1+C$8),C$9)</f>
        <v>75</v>
      </c>
      <c r="AW32" s="27" t="n">
        <f aca="false">MIN(AK31*(1+D$8),D$9)</f>
        <v>95</v>
      </c>
      <c r="AX32" s="27" t="n">
        <f aca="false">MIN(AL31*(1+E$8),E$9)</f>
        <v>310</v>
      </c>
      <c r="AY32" s="27" t="n">
        <f aca="false">MIN(AM31*(1+F$8),F$9)</f>
        <v>50</v>
      </c>
      <c r="AZ32" s="27" t="n">
        <f aca="false">MIN(AN31*(1+G$8),G$9)</f>
        <v>0</v>
      </c>
      <c r="BA32" s="27" t="n">
        <f aca="false">MIN(AO31*(1+H$8),H$9)</f>
        <v>0</v>
      </c>
      <c r="BB32" s="27" t="n">
        <f aca="false">MIN(AP31*(1+I$8),I$9)</f>
        <v>0</v>
      </c>
      <c r="BC32" s="27" t="n">
        <f aca="false">MIN(AQ31*(1+J$8),J$9)</f>
        <v>0</v>
      </c>
      <c r="BD32" s="27" t="n">
        <f aca="false">MIN(AR31*(1+K$8),K$9)</f>
        <v>0</v>
      </c>
      <c r="BE32" s="27" t="n">
        <f aca="false">MIN(AI31*(1+B$8),MAX(AU32,$B$12-SUM(AV32:BD32)))</f>
        <v>35</v>
      </c>
      <c r="BF32" s="27" t="n">
        <f aca="false">MIN(AJ31*(1+C$8),MAX(AV32,$B$12-SUM(BE32:BE32)-SUM(AW32:BD32)))</f>
        <v>75</v>
      </c>
      <c r="BG32" s="27" t="n">
        <f aca="false">MIN(AK31*(1+D$8),MAX(AW32,$B$12-SUM(BE32:BF32)-SUM(AX32:BD32)))</f>
        <v>95</v>
      </c>
      <c r="BH32" s="27" t="n">
        <f aca="false">MIN(AL31*(1+E$8),MAX(AX32,$B$12-SUM(BE32:BG32)-SUM(AY32:BD32)))</f>
        <v>310</v>
      </c>
      <c r="BI32" s="27" t="n">
        <f aca="false">MIN(AM31*(1+F$8),MAX(AY32,$B$12-SUM(BE32:BH32)-SUM(AZ32:BD32)))</f>
        <v>50</v>
      </c>
      <c r="BJ32" s="27" t="n">
        <f aca="false">MIN(AN31*(1+G$8),MAX(AZ32,$B$12-SUM(BE32:BI32)-SUM(BA32:BD32)))</f>
        <v>0</v>
      </c>
      <c r="BK32" s="27" t="n">
        <f aca="false">MIN(AO31*(1+H$8),MAX(BA32,$B$12-SUM(BE32:BJ32)-SUM(BB32:BD32)))</f>
        <v>0</v>
      </c>
      <c r="BL32" s="27" t="n">
        <f aca="false">MIN(AP31*(1+I$8),MAX(BB32,$B$12-SUM(BE32:BK32)-SUM(BC32:BD32)))</f>
        <v>0</v>
      </c>
      <c r="BM32" s="27" t="n">
        <f aca="false">MIN(AQ31*(1+J$8),MAX(BC32,$B$12-SUM(BE32:BL32)-SUM(BD32:BD32)))</f>
        <v>0</v>
      </c>
      <c r="BN32" s="27" t="n">
        <f aca="false">MIN(AR31*(1+K$8),MAX(BD32,$B$12-SUM(BE32:BM32)))</f>
        <v>0</v>
      </c>
    </row>
    <row r="33" customFormat="false" ht="15" hidden="false" customHeight="false" outlineLevel="0" collapsed="false">
      <c r="A33" s="0" t="n">
        <v>19</v>
      </c>
      <c r="B33" s="27" t="n">
        <f aca="false">ROUND(MAX(0,B32*(1+B$8)-X33),2)</f>
        <v>0</v>
      </c>
      <c r="C33" s="27" t="n">
        <f aca="false">ROUND(MAX(0,C32*(1+C$8)-Y33),2)</f>
        <v>0</v>
      </c>
      <c r="D33" s="27" t="n">
        <f aca="false">ROUND(MAX(0,D32*(1+D$8)-Z33),2)</f>
        <v>2819.92</v>
      </c>
      <c r="E33" s="27" t="n">
        <f aca="false">ROUND(MAX(0,E32*(1+E$8)-AA33),2)</f>
        <v>4276.91</v>
      </c>
      <c r="F33" s="27" t="n">
        <f aca="false">ROUND(MAX(0,F32*(1+F$8)-AB33),2)</f>
        <v>250</v>
      </c>
      <c r="G33" s="27" t="n">
        <f aca="false">ROUND(MAX(0,G32*(1+G$8)-AC33),2)</f>
        <v>0</v>
      </c>
      <c r="H33" s="27" t="n">
        <f aca="false">ROUND(MAX(0,H32*(1+H$8)-AD33),2)</f>
        <v>0</v>
      </c>
      <c r="I33" s="27" t="n">
        <f aca="false">ROUND(MAX(0,I32*(1+I$8)-AE33),2)</f>
        <v>0</v>
      </c>
      <c r="J33" s="27" t="n">
        <f aca="false">ROUND(MAX(0,J32*(1+J$8)-AF33),2)</f>
        <v>0</v>
      </c>
      <c r="K33" s="27" t="n">
        <f aca="false">ROUND(MAX(0,K32*(1+K$8)-AG33),2)</f>
        <v>0</v>
      </c>
      <c r="L33" s="30" t="n">
        <f aca="false">SUM(B33:K33)</f>
        <v>7346.83</v>
      </c>
      <c r="M33" s="27" t="n">
        <f aca="false">SUMPRODUCT(B32:K32,$B$8:$K$8)</f>
        <v>83.1278325</v>
      </c>
      <c r="N33" s="27" t="n">
        <f aca="false">MIN(B32*(1+B$8),B$9)</f>
        <v>0</v>
      </c>
      <c r="O33" s="27" t="n">
        <f aca="false">MIN(C32*(1+C$8),C$9)</f>
        <v>0</v>
      </c>
      <c r="P33" s="27" t="n">
        <f aca="false">MIN(D32*(1+D$8),D$9)</f>
        <v>95</v>
      </c>
      <c r="Q33" s="27" t="n">
        <f aca="false">MIN(E32*(1+E$8),E$9)</f>
        <v>310</v>
      </c>
      <c r="R33" s="27" t="n">
        <f aca="false">MIN(F32*(1+F$8),F$9)</f>
        <v>50</v>
      </c>
      <c r="S33" s="27" t="n">
        <f aca="false">MIN(G32*(1+G$8),G$9)</f>
        <v>0</v>
      </c>
      <c r="T33" s="27" t="n">
        <f aca="false">MIN(H32*(1+H$8),H$9)</f>
        <v>0</v>
      </c>
      <c r="U33" s="27" t="n">
        <f aca="false">MIN(I32*(1+I$8),I$9)</f>
        <v>0</v>
      </c>
      <c r="V33" s="27" t="n">
        <f aca="false">MIN(J32*(1+J$8),J$9)</f>
        <v>0</v>
      </c>
      <c r="W33" s="27" t="n">
        <f aca="false">MIN(K32*(1+K$8),K$9)</f>
        <v>0</v>
      </c>
      <c r="X33" s="27" t="n">
        <f aca="false">MIN(B32*(1+B$8),MAX(N33,$B$11-SUM(O33:W33)))</f>
        <v>0</v>
      </c>
      <c r="Y33" s="27" t="n">
        <f aca="false">MIN(C32*(1+C$8),MAX(O33,$B$11-SUM(X33:X33)-SUM(P33:W33)))</f>
        <v>0</v>
      </c>
      <c r="Z33" s="27" t="n">
        <f aca="false">MIN(D32*(1+D$8),MAX(P33,$B$11-SUM(X33:Y33)-SUM(Q33:W33)))</f>
        <v>355</v>
      </c>
      <c r="AA33" s="27" t="n">
        <f aca="false">MIN(E32*(1+E$8),MAX(Q33,$B$11-SUM(X33:Z33)-SUM(R33:W33)))</f>
        <v>310</v>
      </c>
      <c r="AB33" s="27" t="n">
        <f aca="false">MIN(F32*(1+F$8),MAX(R33,$B$11-SUM(X33:AA33)-SUM(S33:W33)))</f>
        <v>50</v>
      </c>
      <c r="AC33" s="27" t="n">
        <f aca="false">MIN(G32*(1+G$8),MAX(S33,$B$11-SUM(X33:AB33)-SUM(T33:W33)))</f>
        <v>0</v>
      </c>
      <c r="AD33" s="27" t="n">
        <f aca="false">MIN(H32*(1+H$8),MAX(T33,$B$11-SUM(X33:AC33)-SUM(U33:W33)))</f>
        <v>0</v>
      </c>
      <c r="AE33" s="27" t="n">
        <f aca="false">MIN(I32*(1+I$8),MAX(U33,$B$11-SUM(X33:AD33)-SUM(V33:W33)))</f>
        <v>0</v>
      </c>
      <c r="AF33" s="27" t="n">
        <f aca="false">MIN(J32*(1+J$8),MAX(V33,$B$11-SUM(X33:AE33)-SUM(W33:W33)))</f>
        <v>0</v>
      </c>
      <c r="AG33" s="27" t="n">
        <f aca="false">MIN(K32*(1+K$8),MAX(W33,$B$11-SUM(X33:AF33)))</f>
        <v>0</v>
      </c>
      <c r="AI33" s="27" t="n">
        <f aca="false">ROUND(MAX(0,AI32*(1+B$8)-BE33),2)</f>
        <v>166.12</v>
      </c>
      <c r="AJ33" s="27" t="n">
        <f aca="false">ROUND(MAX(0,AJ32*(1+C$8)-BF33),2)</f>
        <v>2469.66</v>
      </c>
      <c r="AK33" s="27" t="n">
        <f aca="false">ROUND(MAX(0,AK32*(1+D$8)-BG33),2)</f>
        <v>3646.7</v>
      </c>
      <c r="AL33" s="27" t="n">
        <f aca="false">ROUND(MAX(0,AL32*(1+E$8)-BH33),2)</f>
        <v>4276.91</v>
      </c>
      <c r="AM33" s="27" t="n">
        <f aca="false">ROUND(MAX(0,AM32*(1+F$8)-BI33),2)</f>
        <v>250</v>
      </c>
      <c r="AN33" s="27" t="n">
        <f aca="false">ROUND(MAX(0,AN32*(1+G$8)-BJ33),2)</f>
        <v>0</v>
      </c>
      <c r="AO33" s="27" t="n">
        <f aca="false">ROUND(MAX(0,AO32*(1+H$8)-BK33),2)</f>
        <v>0</v>
      </c>
      <c r="AP33" s="27" t="n">
        <f aca="false">ROUND(MAX(0,AP32*(1+I$8)-BL33),2)</f>
        <v>0</v>
      </c>
      <c r="AQ33" s="27" t="n">
        <f aca="false">ROUND(MAX(0,AQ32*(1+J$8)-BM33),2)</f>
        <v>0</v>
      </c>
      <c r="AR33" s="27" t="n">
        <f aca="false">ROUND(MAX(0,AR32*(1+K$8)-BN33),2)</f>
        <v>0</v>
      </c>
      <c r="AS33" s="27" t="n">
        <f aca="false">SUM(AI33:AR33)</f>
        <v>10809.39</v>
      </c>
      <c r="AT33" s="27" t="n">
        <f aca="false">SUMPRODUCT(AI32:AR32,$B$8:$K$8)</f>
        <v>148.973505</v>
      </c>
      <c r="AU33" s="27" t="n">
        <f aca="false">MIN(AI32*(1+B$8),B$9)</f>
        <v>35</v>
      </c>
      <c r="AV33" s="27" t="n">
        <f aca="false">MIN(AJ32*(1+C$8),C$9)</f>
        <v>75</v>
      </c>
      <c r="AW33" s="27" t="n">
        <f aca="false">MIN(AK32*(1+D$8),D$9)</f>
        <v>95</v>
      </c>
      <c r="AX33" s="27" t="n">
        <f aca="false">MIN(AL32*(1+E$8),E$9)</f>
        <v>310</v>
      </c>
      <c r="AY33" s="27" t="n">
        <f aca="false">MIN(AM32*(1+F$8),F$9)</f>
        <v>50</v>
      </c>
      <c r="AZ33" s="27" t="n">
        <f aca="false">MIN(AN32*(1+G$8),G$9)</f>
        <v>0</v>
      </c>
      <c r="BA33" s="27" t="n">
        <f aca="false">MIN(AO32*(1+H$8),H$9)</f>
        <v>0</v>
      </c>
      <c r="BB33" s="27" t="n">
        <f aca="false">MIN(AP32*(1+I$8),I$9)</f>
        <v>0</v>
      </c>
      <c r="BC33" s="27" t="n">
        <f aca="false">MIN(AQ32*(1+J$8),J$9)</f>
        <v>0</v>
      </c>
      <c r="BD33" s="27" t="n">
        <f aca="false">MIN(AR32*(1+K$8),K$9)</f>
        <v>0</v>
      </c>
      <c r="BE33" s="27" t="n">
        <f aca="false">MIN(AI32*(1+B$8),MAX(AU33,$B$12-SUM(AV33:BD33)))</f>
        <v>35</v>
      </c>
      <c r="BF33" s="27" t="n">
        <f aca="false">MIN(AJ32*(1+C$8),MAX(AV33,$B$12-SUM(BE33:BE33)-SUM(AW33:BD33)))</f>
        <v>75</v>
      </c>
      <c r="BG33" s="27" t="n">
        <f aca="false">MIN(AK32*(1+D$8),MAX(AW33,$B$12-SUM(BE33:BF33)-SUM(AX33:BD33)))</f>
        <v>95</v>
      </c>
      <c r="BH33" s="27" t="n">
        <f aca="false">MIN(AL32*(1+E$8),MAX(AX33,$B$12-SUM(BE33:BG33)-SUM(AY33:BD33)))</f>
        <v>310</v>
      </c>
      <c r="BI33" s="27" t="n">
        <f aca="false">MIN(AM32*(1+F$8),MAX(AY33,$B$12-SUM(BE33:BH33)-SUM(AZ33:BD33)))</f>
        <v>50</v>
      </c>
      <c r="BJ33" s="27" t="n">
        <f aca="false">MIN(AN32*(1+G$8),MAX(AZ33,$B$12-SUM(BE33:BI33)-SUM(BA33:BD33)))</f>
        <v>0</v>
      </c>
      <c r="BK33" s="27" t="n">
        <f aca="false">MIN(AO32*(1+H$8),MAX(BA33,$B$12-SUM(BE33:BJ33)-SUM(BB33:BD33)))</f>
        <v>0</v>
      </c>
      <c r="BL33" s="27" t="n">
        <f aca="false">MIN(AP32*(1+I$8),MAX(BB33,$B$12-SUM(BE33:BK33)-SUM(BC33:BD33)))</f>
        <v>0</v>
      </c>
      <c r="BM33" s="27" t="n">
        <f aca="false">MIN(AQ32*(1+J$8),MAX(BC33,$B$12-SUM(BE33:BL33)-SUM(BD33:BD33)))</f>
        <v>0</v>
      </c>
      <c r="BN33" s="27" t="n">
        <f aca="false">MIN(AR32*(1+K$8),MAX(BD33,$B$12-SUM(BE33:BM33)))</f>
        <v>0</v>
      </c>
    </row>
    <row r="34" customFormat="false" ht="15" hidden="false" customHeight="false" outlineLevel="0" collapsed="false">
      <c r="A34" s="0" t="n">
        <v>20</v>
      </c>
      <c r="B34" s="27" t="n">
        <f aca="false">ROUND(MAX(0,B33*(1+B$8)-X34),2)</f>
        <v>0</v>
      </c>
      <c r="C34" s="27" t="n">
        <f aca="false">ROUND(MAX(0,C33*(1+C$8)-Y34),2)</f>
        <v>0</v>
      </c>
      <c r="D34" s="27" t="n">
        <f aca="false">ROUND(MAX(0,D33*(1+D$8)-Z34),2)</f>
        <v>2516.38</v>
      </c>
      <c r="E34" s="27" t="n">
        <f aca="false">ROUND(MAX(0,E33*(1+E$8)-AA34),2)</f>
        <v>3991.5</v>
      </c>
      <c r="F34" s="27" t="n">
        <f aca="false">ROUND(MAX(0,F33*(1+F$8)-AB34),2)</f>
        <v>200</v>
      </c>
      <c r="G34" s="27" t="n">
        <f aca="false">ROUND(MAX(0,G33*(1+G$8)-AC34),2)</f>
        <v>0</v>
      </c>
      <c r="H34" s="27" t="n">
        <f aca="false">ROUND(MAX(0,H33*(1+H$8)-AD34),2)</f>
        <v>0</v>
      </c>
      <c r="I34" s="27" t="n">
        <f aca="false">ROUND(MAX(0,I33*(1+I$8)-AE34),2)</f>
        <v>0</v>
      </c>
      <c r="J34" s="27" t="n">
        <f aca="false">ROUND(MAX(0,J33*(1+J$8)-AF34),2)</f>
        <v>0</v>
      </c>
      <c r="K34" s="27" t="n">
        <f aca="false">ROUND(MAX(0,K33*(1+K$8)-AG34),2)</f>
        <v>0</v>
      </c>
      <c r="L34" s="30" t="n">
        <f aca="false">SUM(B34:K34)</f>
        <v>6707.88</v>
      </c>
      <c r="M34" s="27" t="n">
        <f aca="false">SUMPRODUCT(B33:K33,$B$8:$K$8)</f>
        <v>76.0557725</v>
      </c>
      <c r="N34" s="27" t="n">
        <f aca="false">MIN(B33*(1+B$8),B$9)</f>
        <v>0</v>
      </c>
      <c r="O34" s="27" t="n">
        <f aca="false">MIN(C33*(1+C$8),C$9)</f>
        <v>0</v>
      </c>
      <c r="P34" s="27" t="n">
        <f aca="false">MIN(D33*(1+D$8),D$9)</f>
        <v>95</v>
      </c>
      <c r="Q34" s="27" t="n">
        <f aca="false">MIN(E33*(1+E$8),E$9)</f>
        <v>310</v>
      </c>
      <c r="R34" s="27" t="n">
        <f aca="false">MIN(F33*(1+F$8),F$9)</f>
        <v>50</v>
      </c>
      <c r="S34" s="27" t="n">
        <f aca="false">MIN(G33*(1+G$8),G$9)</f>
        <v>0</v>
      </c>
      <c r="T34" s="27" t="n">
        <f aca="false">MIN(H33*(1+H$8),H$9)</f>
        <v>0</v>
      </c>
      <c r="U34" s="27" t="n">
        <f aca="false">MIN(I33*(1+I$8),I$9)</f>
        <v>0</v>
      </c>
      <c r="V34" s="27" t="n">
        <f aca="false">MIN(J33*(1+J$8),J$9)</f>
        <v>0</v>
      </c>
      <c r="W34" s="27" t="n">
        <f aca="false">MIN(K33*(1+K$8),K$9)</f>
        <v>0</v>
      </c>
      <c r="X34" s="27" t="n">
        <f aca="false">MIN(B33*(1+B$8),MAX(N34,$B$11-SUM(O34:W34)))</f>
        <v>0</v>
      </c>
      <c r="Y34" s="27" t="n">
        <f aca="false">MIN(C33*(1+C$8),MAX(O34,$B$11-SUM(X34:X34)-SUM(P34:W34)))</f>
        <v>0</v>
      </c>
      <c r="Z34" s="27" t="n">
        <f aca="false">MIN(D33*(1+D$8),MAX(P34,$B$11-SUM(X34:Y34)-SUM(Q34:W34)))</f>
        <v>355</v>
      </c>
      <c r="AA34" s="27" t="n">
        <f aca="false">MIN(E33*(1+E$8),MAX(Q34,$B$11-SUM(X34:Z34)-SUM(R34:W34)))</f>
        <v>310</v>
      </c>
      <c r="AB34" s="27" t="n">
        <f aca="false">MIN(F33*(1+F$8),MAX(R34,$B$11-SUM(X34:AA34)-SUM(S34:W34)))</f>
        <v>50</v>
      </c>
      <c r="AC34" s="27" t="n">
        <f aca="false">MIN(G33*(1+G$8),MAX(S34,$B$11-SUM(X34:AB34)-SUM(T34:W34)))</f>
        <v>0</v>
      </c>
      <c r="AD34" s="27" t="n">
        <f aca="false">MIN(H33*(1+H$8),MAX(T34,$B$11-SUM(X34:AC34)-SUM(U34:W34)))</f>
        <v>0</v>
      </c>
      <c r="AE34" s="27" t="n">
        <f aca="false">MIN(I33*(1+I$8),MAX(U34,$B$11-SUM(X34:AD34)-SUM(V34:W34)))</f>
        <v>0</v>
      </c>
      <c r="AF34" s="27" t="n">
        <f aca="false">MIN(J33*(1+J$8),MAX(V34,$B$11-SUM(X34:AE34)-SUM(W34:W34)))</f>
        <v>0</v>
      </c>
      <c r="AG34" s="27" t="n">
        <f aca="false">MIN(K33*(1+K$8),MAX(W34,$B$11-SUM(X34:AF34)))</f>
        <v>0</v>
      </c>
      <c r="AI34" s="27" t="n">
        <f aca="false">ROUND(MAX(0,AI33*(1+B$8)-BE34),2)</f>
        <v>134.98</v>
      </c>
      <c r="AJ34" s="27" t="n">
        <f aca="false">ROUND(MAX(0,AJ33*(1+C$8)-BF34),2)</f>
        <v>2445.29</v>
      </c>
      <c r="AK34" s="27" t="n">
        <f aca="false">ROUND(MAX(0,AK33*(1+D$8)-BG34),2)</f>
        <v>3618.25</v>
      </c>
      <c r="AL34" s="27" t="n">
        <f aca="false">ROUND(MAX(0,AL33*(1+E$8)-BH34),2)</f>
        <v>3991.5</v>
      </c>
      <c r="AM34" s="27" t="n">
        <f aca="false">ROUND(MAX(0,AM33*(1+F$8)-BI34),2)</f>
        <v>200</v>
      </c>
      <c r="AN34" s="27" t="n">
        <f aca="false">ROUND(MAX(0,AN33*(1+G$8)-BJ34),2)</f>
        <v>0</v>
      </c>
      <c r="AO34" s="27" t="n">
        <f aca="false">ROUND(MAX(0,AO33*(1+H$8)-BK34),2)</f>
        <v>0</v>
      </c>
      <c r="AP34" s="27" t="n">
        <f aca="false">ROUND(MAX(0,AP33*(1+I$8)-BL34),2)</f>
        <v>0</v>
      </c>
      <c r="AQ34" s="27" t="n">
        <f aca="false">ROUND(MAX(0,AQ33*(1+J$8)-BM34),2)</f>
        <v>0</v>
      </c>
      <c r="AR34" s="27" t="n">
        <f aca="false">ROUND(MAX(0,AR33*(1+K$8)-BN34),2)</f>
        <v>0</v>
      </c>
      <c r="AS34" s="27" t="n">
        <f aca="false">SUM(AI34:AR34)</f>
        <v>10390.02</v>
      </c>
      <c r="AT34" s="27" t="n">
        <f aca="false">SUMPRODUCT(AI33:AR33,$B$8:$K$8)</f>
        <v>145.6348275</v>
      </c>
      <c r="AU34" s="27" t="n">
        <f aca="false">MIN(AI33*(1+B$8),B$9)</f>
        <v>35</v>
      </c>
      <c r="AV34" s="27" t="n">
        <f aca="false">MIN(AJ33*(1+C$8),C$9)</f>
        <v>75</v>
      </c>
      <c r="AW34" s="27" t="n">
        <f aca="false">MIN(AK33*(1+D$8),D$9)</f>
        <v>95</v>
      </c>
      <c r="AX34" s="27" t="n">
        <f aca="false">MIN(AL33*(1+E$8),E$9)</f>
        <v>310</v>
      </c>
      <c r="AY34" s="27" t="n">
        <f aca="false">MIN(AM33*(1+F$8),F$9)</f>
        <v>50</v>
      </c>
      <c r="AZ34" s="27" t="n">
        <f aca="false">MIN(AN33*(1+G$8),G$9)</f>
        <v>0</v>
      </c>
      <c r="BA34" s="27" t="n">
        <f aca="false">MIN(AO33*(1+H$8),H$9)</f>
        <v>0</v>
      </c>
      <c r="BB34" s="27" t="n">
        <f aca="false">MIN(AP33*(1+I$8),I$9)</f>
        <v>0</v>
      </c>
      <c r="BC34" s="27" t="n">
        <f aca="false">MIN(AQ33*(1+J$8),J$9)</f>
        <v>0</v>
      </c>
      <c r="BD34" s="27" t="n">
        <f aca="false">MIN(AR33*(1+K$8),K$9)</f>
        <v>0</v>
      </c>
      <c r="BE34" s="27" t="n">
        <f aca="false">MIN(AI33*(1+B$8),MAX(AU34,$B$12-SUM(AV34:BD34)))</f>
        <v>35</v>
      </c>
      <c r="BF34" s="27" t="n">
        <f aca="false">MIN(AJ33*(1+C$8),MAX(AV34,$B$12-SUM(BE34:BE34)-SUM(AW34:BD34)))</f>
        <v>75</v>
      </c>
      <c r="BG34" s="27" t="n">
        <f aca="false">MIN(AK33*(1+D$8),MAX(AW34,$B$12-SUM(BE34:BF34)-SUM(AX34:BD34)))</f>
        <v>95</v>
      </c>
      <c r="BH34" s="27" t="n">
        <f aca="false">MIN(AL33*(1+E$8),MAX(AX34,$B$12-SUM(BE34:BG34)-SUM(AY34:BD34)))</f>
        <v>310</v>
      </c>
      <c r="BI34" s="27" t="n">
        <f aca="false">MIN(AM33*(1+F$8),MAX(AY34,$B$12-SUM(BE34:BH34)-SUM(AZ34:BD34)))</f>
        <v>50</v>
      </c>
      <c r="BJ34" s="27" t="n">
        <f aca="false">MIN(AN33*(1+G$8),MAX(AZ34,$B$12-SUM(BE34:BI34)-SUM(BA34:BD34)))</f>
        <v>0</v>
      </c>
      <c r="BK34" s="27" t="n">
        <f aca="false">MIN(AO33*(1+H$8),MAX(BA34,$B$12-SUM(BE34:BJ34)-SUM(BB34:BD34)))</f>
        <v>0</v>
      </c>
      <c r="BL34" s="27" t="n">
        <f aca="false">MIN(AP33*(1+I$8),MAX(BB34,$B$12-SUM(BE34:BK34)-SUM(BC34:BD34)))</f>
        <v>0</v>
      </c>
      <c r="BM34" s="27" t="n">
        <f aca="false">MIN(AQ33*(1+J$8),MAX(BC34,$B$12-SUM(BE34:BL34)-SUM(BD34:BD34)))</f>
        <v>0</v>
      </c>
      <c r="BN34" s="27" t="n">
        <f aca="false">MIN(AR33*(1+K$8),MAX(BD34,$B$12-SUM(BE34:BM34)))</f>
        <v>0</v>
      </c>
    </row>
    <row r="35" customFormat="false" ht="15" hidden="false" customHeight="false" outlineLevel="0" collapsed="false">
      <c r="A35" s="0" t="n">
        <v>21</v>
      </c>
      <c r="B35" s="27" t="n">
        <f aca="false">ROUND(MAX(0,B34*(1+B$8)-X35),2)</f>
        <v>0</v>
      </c>
      <c r="C35" s="27" t="n">
        <f aca="false">ROUND(MAX(0,C34*(1+C$8)-Y35),2)</f>
        <v>0</v>
      </c>
      <c r="D35" s="27" t="n">
        <f aca="false">ROUND(MAX(0,D34*(1+D$8)-Z35),2)</f>
        <v>2207.3</v>
      </c>
      <c r="E35" s="27" t="n">
        <f aca="false">ROUND(MAX(0,E34*(1+E$8)-AA35),2)</f>
        <v>3704.45</v>
      </c>
      <c r="F35" s="27" t="n">
        <f aca="false">ROUND(MAX(0,F34*(1+F$8)-AB35),2)</f>
        <v>150</v>
      </c>
      <c r="G35" s="27" t="n">
        <f aca="false">ROUND(MAX(0,G34*(1+G$8)-AC35),2)</f>
        <v>0</v>
      </c>
      <c r="H35" s="27" t="n">
        <f aca="false">ROUND(MAX(0,H34*(1+H$8)-AD35),2)</f>
        <v>0</v>
      </c>
      <c r="I35" s="27" t="n">
        <f aca="false">ROUND(MAX(0,I34*(1+I$8)-AE35),2)</f>
        <v>0</v>
      </c>
      <c r="J35" s="27" t="n">
        <f aca="false">ROUND(MAX(0,J34*(1+J$8)-AF35),2)</f>
        <v>0</v>
      </c>
      <c r="K35" s="27" t="n">
        <f aca="false">ROUND(MAX(0,K34*(1+K$8)-AG35),2)</f>
        <v>0</v>
      </c>
      <c r="L35" s="30" t="n">
        <f aca="false">SUM(B35:K35)</f>
        <v>6061.75</v>
      </c>
      <c r="M35" s="27" t="n">
        <f aca="false">SUMPRODUCT(B34:K34,$B$8:$K$8)</f>
        <v>68.87506</v>
      </c>
      <c r="N35" s="27" t="n">
        <f aca="false">MIN(B34*(1+B$8),B$9)</f>
        <v>0</v>
      </c>
      <c r="O35" s="27" t="n">
        <f aca="false">MIN(C34*(1+C$8),C$9)</f>
        <v>0</v>
      </c>
      <c r="P35" s="27" t="n">
        <f aca="false">MIN(D34*(1+D$8),D$9)</f>
        <v>95</v>
      </c>
      <c r="Q35" s="27" t="n">
        <f aca="false">MIN(E34*(1+E$8),E$9)</f>
        <v>310</v>
      </c>
      <c r="R35" s="27" t="n">
        <f aca="false">MIN(F34*(1+F$8),F$9)</f>
        <v>50</v>
      </c>
      <c r="S35" s="27" t="n">
        <f aca="false">MIN(G34*(1+G$8),G$9)</f>
        <v>0</v>
      </c>
      <c r="T35" s="27" t="n">
        <f aca="false">MIN(H34*(1+H$8),H$9)</f>
        <v>0</v>
      </c>
      <c r="U35" s="27" t="n">
        <f aca="false">MIN(I34*(1+I$8),I$9)</f>
        <v>0</v>
      </c>
      <c r="V35" s="27" t="n">
        <f aca="false">MIN(J34*(1+J$8),J$9)</f>
        <v>0</v>
      </c>
      <c r="W35" s="27" t="n">
        <f aca="false">MIN(K34*(1+K$8),K$9)</f>
        <v>0</v>
      </c>
      <c r="X35" s="27" t="n">
        <f aca="false">MIN(B34*(1+B$8),MAX(N35,$B$11-SUM(O35:W35)))</f>
        <v>0</v>
      </c>
      <c r="Y35" s="27" t="n">
        <f aca="false">MIN(C34*(1+C$8),MAX(O35,$B$11-SUM(X35:X35)-SUM(P35:W35)))</f>
        <v>0</v>
      </c>
      <c r="Z35" s="27" t="n">
        <f aca="false">MIN(D34*(1+D$8),MAX(P35,$B$11-SUM(X35:Y35)-SUM(Q35:W35)))</f>
        <v>355</v>
      </c>
      <c r="AA35" s="27" t="n">
        <f aca="false">MIN(E34*(1+E$8),MAX(Q35,$B$11-SUM(X35:Z35)-SUM(R35:W35)))</f>
        <v>310</v>
      </c>
      <c r="AB35" s="27" t="n">
        <f aca="false">MIN(F34*(1+F$8),MAX(R35,$B$11-SUM(X35:AA35)-SUM(S35:W35)))</f>
        <v>50</v>
      </c>
      <c r="AC35" s="27" t="n">
        <f aca="false">MIN(G34*(1+G$8),MAX(S35,$B$11-SUM(X35:AB35)-SUM(T35:W35)))</f>
        <v>0</v>
      </c>
      <c r="AD35" s="27" t="n">
        <f aca="false">MIN(H34*(1+H$8),MAX(T35,$B$11-SUM(X35:AC35)-SUM(U35:W35)))</f>
        <v>0</v>
      </c>
      <c r="AE35" s="27" t="n">
        <f aca="false">MIN(I34*(1+I$8),MAX(U35,$B$11-SUM(X35:AD35)-SUM(V35:W35)))</f>
        <v>0</v>
      </c>
      <c r="AF35" s="27" t="n">
        <f aca="false">MIN(J34*(1+J$8),MAX(V35,$B$11-SUM(X35:AE35)-SUM(W35:W35)))</f>
        <v>0</v>
      </c>
      <c r="AG35" s="27" t="n">
        <f aca="false">MIN(K34*(1+K$8),MAX(W35,$B$11-SUM(X35:AF35)))</f>
        <v>0</v>
      </c>
      <c r="AI35" s="27" t="n">
        <f aca="false">ROUND(MAX(0,AI34*(1+B$8)-BE35),2)</f>
        <v>103.12</v>
      </c>
      <c r="AJ35" s="27" t="n">
        <f aca="false">ROUND(MAX(0,AJ34*(1+C$8)-BF35),2)</f>
        <v>2420.42</v>
      </c>
      <c r="AK35" s="27" t="n">
        <f aca="false">ROUND(MAX(0,AK34*(1+D$8)-BG35),2)</f>
        <v>3589.28</v>
      </c>
      <c r="AL35" s="27" t="n">
        <f aca="false">ROUND(MAX(0,AL34*(1+E$8)-BH35),2)</f>
        <v>3704.45</v>
      </c>
      <c r="AM35" s="27" t="n">
        <f aca="false">ROUND(MAX(0,AM34*(1+F$8)-BI35),2)</f>
        <v>150</v>
      </c>
      <c r="AN35" s="27" t="n">
        <f aca="false">ROUND(MAX(0,AN34*(1+G$8)-BJ35),2)</f>
        <v>0</v>
      </c>
      <c r="AO35" s="27" t="n">
        <f aca="false">ROUND(MAX(0,AO34*(1+H$8)-BK35),2)</f>
        <v>0</v>
      </c>
      <c r="AP35" s="27" t="n">
        <f aca="false">ROUND(MAX(0,AP34*(1+I$8)-BL35),2)</f>
        <v>0</v>
      </c>
      <c r="AQ35" s="27" t="n">
        <f aca="false">ROUND(MAX(0,AQ34*(1+J$8)-BM35),2)</f>
        <v>0</v>
      </c>
      <c r="AR35" s="27" t="n">
        <f aca="false">ROUND(MAX(0,AR34*(1+K$8)-BN35),2)</f>
        <v>0</v>
      </c>
      <c r="AS35" s="27" t="n">
        <f aca="false">SUM(AI35:AR35)</f>
        <v>9967.27</v>
      </c>
      <c r="AT35" s="27" t="n">
        <f aca="false">SUMPRODUCT(AI34:AR34,$B$8:$K$8)</f>
        <v>142.2509175</v>
      </c>
      <c r="AU35" s="27" t="n">
        <f aca="false">MIN(AI34*(1+B$8),B$9)</f>
        <v>35</v>
      </c>
      <c r="AV35" s="27" t="n">
        <f aca="false">MIN(AJ34*(1+C$8),C$9)</f>
        <v>75</v>
      </c>
      <c r="AW35" s="27" t="n">
        <f aca="false">MIN(AK34*(1+D$8),D$9)</f>
        <v>95</v>
      </c>
      <c r="AX35" s="27" t="n">
        <f aca="false">MIN(AL34*(1+E$8),E$9)</f>
        <v>310</v>
      </c>
      <c r="AY35" s="27" t="n">
        <f aca="false">MIN(AM34*(1+F$8),F$9)</f>
        <v>50</v>
      </c>
      <c r="AZ35" s="27" t="n">
        <f aca="false">MIN(AN34*(1+G$8),G$9)</f>
        <v>0</v>
      </c>
      <c r="BA35" s="27" t="n">
        <f aca="false">MIN(AO34*(1+H$8),H$9)</f>
        <v>0</v>
      </c>
      <c r="BB35" s="27" t="n">
        <f aca="false">MIN(AP34*(1+I$8),I$9)</f>
        <v>0</v>
      </c>
      <c r="BC35" s="27" t="n">
        <f aca="false">MIN(AQ34*(1+J$8),J$9)</f>
        <v>0</v>
      </c>
      <c r="BD35" s="27" t="n">
        <f aca="false">MIN(AR34*(1+K$8),K$9)</f>
        <v>0</v>
      </c>
      <c r="BE35" s="27" t="n">
        <f aca="false">MIN(AI34*(1+B$8),MAX(AU35,$B$12-SUM(AV35:BD35)))</f>
        <v>35</v>
      </c>
      <c r="BF35" s="27" t="n">
        <f aca="false">MIN(AJ34*(1+C$8),MAX(AV35,$B$12-SUM(BE35:BE35)-SUM(AW35:BD35)))</f>
        <v>75</v>
      </c>
      <c r="BG35" s="27" t="n">
        <f aca="false">MIN(AK34*(1+D$8),MAX(AW35,$B$12-SUM(BE35:BF35)-SUM(AX35:BD35)))</f>
        <v>95</v>
      </c>
      <c r="BH35" s="27" t="n">
        <f aca="false">MIN(AL34*(1+E$8),MAX(AX35,$B$12-SUM(BE35:BG35)-SUM(AY35:BD35)))</f>
        <v>310</v>
      </c>
      <c r="BI35" s="27" t="n">
        <f aca="false">MIN(AM34*(1+F$8),MAX(AY35,$B$12-SUM(BE35:BH35)-SUM(AZ35:BD35)))</f>
        <v>50</v>
      </c>
      <c r="BJ35" s="27" t="n">
        <f aca="false">MIN(AN34*(1+G$8),MAX(AZ35,$B$12-SUM(BE35:BI35)-SUM(BA35:BD35)))</f>
        <v>0</v>
      </c>
      <c r="BK35" s="27" t="n">
        <f aca="false">MIN(AO34*(1+H$8),MAX(BA35,$B$12-SUM(BE35:BJ35)-SUM(BB35:BD35)))</f>
        <v>0</v>
      </c>
      <c r="BL35" s="27" t="n">
        <f aca="false">MIN(AP34*(1+I$8),MAX(BB35,$B$12-SUM(BE35:BK35)-SUM(BC35:BD35)))</f>
        <v>0</v>
      </c>
      <c r="BM35" s="27" t="n">
        <f aca="false">MIN(AQ34*(1+J$8),MAX(BC35,$B$12-SUM(BE35:BL35)-SUM(BD35:BD35)))</f>
        <v>0</v>
      </c>
      <c r="BN35" s="27" t="n">
        <f aca="false">MIN(AR34*(1+K$8),MAX(BD35,$B$12-SUM(BE35:BM35)))</f>
        <v>0</v>
      </c>
    </row>
    <row r="36" customFormat="false" ht="15" hidden="false" customHeight="false" outlineLevel="0" collapsed="false">
      <c r="A36" s="0" t="n">
        <v>22</v>
      </c>
      <c r="B36" s="27" t="n">
        <f aca="false">ROUND(MAX(0,B35*(1+B$8)-X36),2)</f>
        <v>0</v>
      </c>
      <c r="C36" s="27" t="n">
        <f aca="false">ROUND(MAX(0,C35*(1+C$8)-Y36),2)</f>
        <v>0</v>
      </c>
      <c r="D36" s="27" t="n">
        <f aca="false">ROUND(MAX(0,D35*(1+D$8)-Z36),2)</f>
        <v>1892.58</v>
      </c>
      <c r="E36" s="27" t="n">
        <f aca="false">ROUND(MAX(0,E35*(1+E$8)-AA36),2)</f>
        <v>3415.75</v>
      </c>
      <c r="F36" s="27" t="n">
        <f aca="false">ROUND(MAX(0,F35*(1+F$8)-AB36),2)</f>
        <v>100</v>
      </c>
      <c r="G36" s="27" t="n">
        <f aca="false">ROUND(MAX(0,G35*(1+G$8)-AC36),2)</f>
        <v>0</v>
      </c>
      <c r="H36" s="27" t="n">
        <f aca="false">ROUND(MAX(0,H35*(1+H$8)-AD36),2)</f>
        <v>0</v>
      </c>
      <c r="I36" s="27" t="n">
        <f aca="false">ROUND(MAX(0,I35*(1+I$8)-AE36),2)</f>
        <v>0</v>
      </c>
      <c r="J36" s="27" t="n">
        <f aca="false">ROUND(MAX(0,J35*(1+J$8)-AF36),2)</f>
        <v>0</v>
      </c>
      <c r="K36" s="27" t="n">
        <f aca="false">ROUND(MAX(0,K35*(1+K$8)-AG36),2)</f>
        <v>0</v>
      </c>
      <c r="L36" s="30" t="n">
        <f aca="false">SUM(B36:K36)</f>
        <v>5408.33</v>
      </c>
      <c r="M36" s="27" t="n">
        <f aca="false">SUMPRODUCT(B35:K35,$B$8:$K$8)</f>
        <v>61.5838125</v>
      </c>
      <c r="N36" s="27" t="n">
        <f aca="false">MIN(B35*(1+B$8),B$9)</f>
        <v>0</v>
      </c>
      <c r="O36" s="27" t="n">
        <f aca="false">MIN(C35*(1+C$8),C$9)</f>
        <v>0</v>
      </c>
      <c r="P36" s="27" t="n">
        <f aca="false">MIN(D35*(1+D$8),D$9)</f>
        <v>95</v>
      </c>
      <c r="Q36" s="27" t="n">
        <f aca="false">MIN(E35*(1+E$8),E$9)</f>
        <v>310</v>
      </c>
      <c r="R36" s="27" t="n">
        <f aca="false">MIN(F35*(1+F$8),F$9)</f>
        <v>50</v>
      </c>
      <c r="S36" s="27" t="n">
        <f aca="false">MIN(G35*(1+G$8),G$9)</f>
        <v>0</v>
      </c>
      <c r="T36" s="27" t="n">
        <f aca="false">MIN(H35*(1+H$8),H$9)</f>
        <v>0</v>
      </c>
      <c r="U36" s="27" t="n">
        <f aca="false">MIN(I35*(1+I$8),I$9)</f>
        <v>0</v>
      </c>
      <c r="V36" s="27" t="n">
        <f aca="false">MIN(J35*(1+J$8),J$9)</f>
        <v>0</v>
      </c>
      <c r="W36" s="27" t="n">
        <f aca="false">MIN(K35*(1+K$8),K$9)</f>
        <v>0</v>
      </c>
      <c r="X36" s="27" t="n">
        <f aca="false">MIN(B35*(1+B$8),MAX(N36,$B$11-SUM(O36:W36)))</f>
        <v>0</v>
      </c>
      <c r="Y36" s="27" t="n">
        <f aca="false">MIN(C35*(1+C$8),MAX(O36,$B$11-SUM(X36:X36)-SUM(P36:W36)))</f>
        <v>0</v>
      </c>
      <c r="Z36" s="27" t="n">
        <f aca="false">MIN(D35*(1+D$8),MAX(P36,$B$11-SUM(X36:Y36)-SUM(Q36:W36)))</f>
        <v>355</v>
      </c>
      <c r="AA36" s="27" t="n">
        <f aca="false">MIN(E35*(1+E$8),MAX(Q36,$B$11-SUM(X36:Z36)-SUM(R36:W36)))</f>
        <v>310</v>
      </c>
      <c r="AB36" s="27" t="n">
        <f aca="false">MIN(F35*(1+F$8),MAX(R36,$B$11-SUM(X36:AA36)-SUM(S36:W36)))</f>
        <v>50</v>
      </c>
      <c r="AC36" s="27" t="n">
        <f aca="false">MIN(G35*(1+G$8),MAX(S36,$B$11-SUM(X36:AB36)-SUM(T36:W36)))</f>
        <v>0</v>
      </c>
      <c r="AD36" s="27" t="n">
        <f aca="false">MIN(H35*(1+H$8),MAX(T36,$B$11-SUM(X36:AC36)-SUM(U36:W36)))</f>
        <v>0</v>
      </c>
      <c r="AE36" s="27" t="n">
        <f aca="false">MIN(I35*(1+I$8),MAX(U36,$B$11-SUM(X36:AD36)-SUM(V36:W36)))</f>
        <v>0</v>
      </c>
      <c r="AF36" s="27" t="n">
        <f aca="false">MIN(J35*(1+J$8),MAX(V36,$B$11-SUM(X36:AE36)-SUM(W36:W36)))</f>
        <v>0</v>
      </c>
      <c r="AG36" s="27" t="n">
        <f aca="false">MIN(K35*(1+K$8),MAX(W36,$B$11-SUM(X36:AF36)))</f>
        <v>0</v>
      </c>
      <c r="AI36" s="27" t="n">
        <f aca="false">ROUND(MAX(0,AI35*(1+B$8)-BE36),2)</f>
        <v>70.52</v>
      </c>
      <c r="AJ36" s="27" t="n">
        <f aca="false">ROUND(MAX(0,AJ35*(1+C$8)-BF36),2)</f>
        <v>2395.04</v>
      </c>
      <c r="AK36" s="27" t="n">
        <f aca="false">ROUND(MAX(0,AK35*(1+D$8)-BG36),2)</f>
        <v>3559.78</v>
      </c>
      <c r="AL36" s="27" t="n">
        <f aca="false">ROUND(MAX(0,AL35*(1+E$8)-BH36),2)</f>
        <v>3415.75</v>
      </c>
      <c r="AM36" s="27" t="n">
        <f aca="false">ROUND(MAX(0,AM35*(1+F$8)-BI36),2)</f>
        <v>100</v>
      </c>
      <c r="AN36" s="27" t="n">
        <f aca="false">ROUND(MAX(0,AN35*(1+G$8)-BJ36),2)</f>
        <v>0</v>
      </c>
      <c r="AO36" s="27" t="n">
        <f aca="false">ROUND(MAX(0,AO35*(1+H$8)-BK36),2)</f>
        <v>0</v>
      </c>
      <c r="AP36" s="27" t="n">
        <f aca="false">ROUND(MAX(0,AP35*(1+I$8)-BL36),2)</f>
        <v>0</v>
      </c>
      <c r="AQ36" s="27" t="n">
        <f aca="false">ROUND(MAX(0,AQ35*(1+J$8)-BM36),2)</f>
        <v>0</v>
      </c>
      <c r="AR36" s="27" t="n">
        <f aca="false">ROUND(MAX(0,AR35*(1+K$8)-BN36),2)</f>
        <v>0</v>
      </c>
      <c r="AS36" s="27" t="n">
        <f aca="false">SUM(AI36:AR36)</f>
        <v>9541.09</v>
      </c>
      <c r="AT36" s="27" t="n">
        <f aca="false">SUMPRODUCT(AI35:AR35,$B$8:$K$8)</f>
        <v>138.8210975</v>
      </c>
      <c r="AU36" s="27" t="n">
        <f aca="false">MIN(AI35*(1+B$8),B$9)</f>
        <v>35</v>
      </c>
      <c r="AV36" s="27" t="n">
        <f aca="false">MIN(AJ35*(1+C$8),C$9)</f>
        <v>75</v>
      </c>
      <c r="AW36" s="27" t="n">
        <f aca="false">MIN(AK35*(1+D$8),D$9)</f>
        <v>95</v>
      </c>
      <c r="AX36" s="27" t="n">
        <f aca="false">MIN(AL35*(1+E$8),E$9)</f>
        <v>310</v>
      </c>
      <c r="AY36" s="27" t="n">
        <f aca="false">MIN(AM35*(1+F$8),F$9)</f>
        <v>50</v>
      </c>
      <c r="AZ36" s="27" t="n">
        <f aca="false">MIN(AN35*(1+G$8),G$9)</f>
        <v>0</v>
      </c>
      <c r="BA36" s="27" t="n">
        <f aca="false">MIN(AO35*(1+H$8),H$9)</f>
        <v>0</v>
      </c>
      <c r="BB36" s="27" t="n">
        <f aca="false">MIN(AP35*(1+I$8),I$9)</f>
        <v>0</v>
      </c>
      <c r="BC36" s="27" t="n">
        <f aca="false">MIN(AQ35*(1+J$8),J$9)</f>
        <v>0</v>
      </c>
      <c r="BD36" s="27" t="n">
        <f aca="false">MIN(AR35*(1+K$8),K$9)</f>
        <v>0</v>
      </c>
      <c r="BE36" s="27" t="n">
        <f aca="false">MIN(AI35*(1+B$8),MAX(AU36,$B$12-SUM(AV36:BD36)))</f>
        <v>35</v>
      </c>
      <c r="BF36" s="27" t="n">
        <f aca="false">MIN(AJ35*(1+C$8),MAX(AV36,$B$12-SUM(BE36:BE36)-SUM(AW36:BD36)))</f>
        <v>75</v>
      </c>
      <c r="BG36" s="27" t="n">
        <f aca="false">MIN(AK35*(1+D$8),MAX(AW36,$B$12-SUM(BE36:BF36)-SUM(AX36:BD36)))</f>
        <v>95</v>
      </c>
      <c r="BH36" s="27" t="n">
        <f aca="false">MIN(AL35*(1+E$8),MAX(AX36,$B$12-SUM(BE36:BG36)-SUM(AY36:BD36)))</f>
        <v>310</v>
      </c>
      <c r="BI36" s="27" t="n">
        <f aca="false">MIN(AM35*(1+F$8),MAX(AY36,$B$12-SUM(BE36:BH36)-SUM(AZ36:BD36)))</f>
        <v>50</v>
      </c>
      <c r="BJ36" s="27" t="n">
        <f aca="false">MIN(AN35*(1+G$8),MAX(AZ36,$B$12-SUM(BE36:BI36)-SUM(BA36:BD36)))</f>
        <v>0</v>
      </c>
      <c r="BK36" s="27" t="n">
        <f aca="false">MIN(AO35*(1+H$8),MAX(BA36,$B$12-SUM(BE36:BJ36)-SUM(BB36:BD36)))</f>
        <v>0</v>
      </c>
      <c r="BL36" s="27" t="n">
        <f aca="false">MIN(AP35*(1+I$8),MAX(BB36,$B$12-SUM(BE36:BK36)-SUM(BC36:BD36)))</f>
        <v>0</v>
      </c>
      <c r="BM36" s="27" t="n">
        <f aca="false">MIN(AQ35*(1+J$8),MAX(BC36,$B$12-SUM(BE36:BL36)-SUM(BD36:BD36)))</f>
        <v>0</v>
      </c>
      <c r="BN36" s="27" t="n">
        <f aca="false">MIN(AR35*(1+K$8),MAX(BD36,$B$12-SUM(BE36:BM36)))</f>
        <v>0</v>
      </c>
    </row>
    <row r="37" customFormat="false" ht="15" hidden="false" customHeight="false" outlineLevel="0" collapsed="false">
      <c r="A37" s="0" t="n">
        <v>23</v>
      </c>
      <c r="B37" s="27" t="n">
        <f aca="false">ROUND(MAX(0,B36*(1+B$8)-X37),2)</f>
        <v>0</v>
      </c>
      <c r="C37" s="27" t="n">
        <f aca="false">ROUND(MAX(0,C36*(1+C$8)-Y37),2)</f>
        <v>0</v>
      </c>
      <c r="D37" s="27" t="n">
        <f aca="false">ROUND(MAX(0,D36*(1+D$8)-Z37),2)</f>
        <v>1572.12</v>
      </c>
      <c r="E37" s="27" t="n">
        <f aca="false">ROUND(MAX(0,E36*(1+E$8)-AA37),2)</f>
        <v>3125.39</v>
      </c>
      <c r="F37" s="27" t="n">
        <f aca="false">ROUND(MAX(0,F36*(1+F$8)-AB37),2)</f>
        <v>50</v>
      </c>
      <c r="G37" s="27" t="n">
        <f aca="false">ROUND(MAX(0,G36*(1+G$8)-AC37),2)</f>
        <v>0</v>
      </c>
      <c r="H37" s="27" t="n">
        <f aca="false">ROUND(MAX(0,H36*(1+H$8)-AD37),2)</f>
        <v>0</v>
      </c>
      <c r="I37" s="27" t="n">
        <f aca="false">ROUND(MAX(0,I36*(1+I$8)-AE37),2)</f>
        <v>0</v>
      </c>
      <c r="J37" s="27" t="n">
        <f aca="false">ROUND(MAX(0,J36*(1+J$8)-AF37),2)</f>
        <v>0</v>
      </c>
      <c r="K37" s="27" t="n">
        <f aca="false">ROUND(MAX(0,K36*(1+K$8)-AG37),2)</f>
        <v>0</v>
      </c>
      <c r="L37" s="30" t="n">
        <f aca="false">SUM(B37:K37)</f>
        <v>4747.51</v>
      </c>
      <c r="M37" s="27" t="n">
        <f aca="false">SUMPRODUCT(B36:K36,$B$8:$K$8)</f>
        <v>54.1801475</v>
      </c>
      <c r="N37" s="27" t="n">
        <f aca="false">MIN(B36*(1+B$8),B$9)</f>
        <v>0</v>
      </c>
      <c r="O37" s="27" t="n">
        <f aca="false">MIN(C36*(1+C$8),C$9)</f>
        <v>0</v>
      </c>
      <c r="P37" s="27" t="n">
        <f aca="false">MIN(D36*(1+D$8),D$9)</f>
        <v>95</v>
      </c>
      <c r="Q37" s="27" t="n">
        <f aca="false">MIN(E36*(1+E$8),E$9)</f>
        <v>310</v>
      </c>
      <c r="R37" s="27" t="n">
        <f aca="false">MIN(F36*(1+F$8),F$9)</f>
        <v>50</v>
      </c>
      <c r="S37" s="27" t="n">
        <f aca="false">MIN(G36*(1+G$8),G$9)</f>
        <v>0</v>
      </c>
      <c r="T37" s="27" t="n">
        <f aca="false">MIN(H36*(1+H$8),H$9)</f>
        <v>0</v>
      </c>
      <c r="U37" s="27" t="n">
        <f aca="false">MIN(I36*(1+I$8),I$9)</f>
        <v>0</v>
      </c>
      <c r="V37" s="27" t="n">
        <f aca="false">MIN(J36*(1+J$8),J$9)</f>
        <v>0</v>
      </c>
      <c r="W37" s="27" t="n">
        <f aca="false">MIN(K36*(1+K$8),K$9)</f>
        <v>0</v>
      </c>
      <c r="X37" s="27" t="n">
        <f aca="false">MIN(B36*(1+B$8),MAX(N37,$B$11-SUM(O37:W37)))</f>
        <v>0</v>
      </c>
      <c r="Y37" s="27" t="n">
        <f aca="false">MIN(C36*(1+C$8),MAX(O37,$B$11-SUM(X37:X37)-SUM(P37:W37)))</f>
        <v>0</v>
      </c>
      <c r="Z37" s="27" t="n">
        <f aca="false">MIN(D36*(1+D$8),MAX(P37,$B$11-SUM(X37:Y37)-SUM(Q37:W37)))</f>
        <v>355</v>
      </c>
      <c r="AA37" s="27" t="n">
        <f aca="false">MIN(E36*(1+E$8),MAX(Q37,$B$11-SUM(X37:Z37)-SUM(R37:W37)))</f>
        <v>310</v>
      </c>
      <c r="AB37" s="27" t="n">
        <f aca="false">MIN(F36*(1+F$8),MAX(R37,$B$11-SUM(X37:AA37)-SUM(S37:W37)))</f>
        <v>50</v>
      </c>
      <c r="AC37" s="27" t="n">
        <f aca="false">MIN(G36*(1+G$8),MAX(S37,$B$11-SUM(X37:AB37)-SUM(T37:W37)))</f>
        <v>0</v>
      </c>
      <c r="AD37" s="27" t="n">
        <f aca="false">MIN(H36*(1+H$8),MAX(T37,$B$11-SUM(X37:AC37)-SUM(U37:W37)))</f>
        <v>0</v>
      </c>
      <c r="AE37" s="27" t="n">
        <f aca="false">MIN(I36*(1+I$8),MAX(U37,$B$11-SUM(X37:AD37)-SUM(V37:W37)))</f>
        <v>0</v>
      </c>
      <c r="AF37" s="27" t="n">
        <f aca="false">MIN(J36*(1+J$8),MAX(V37,$B$11-SUM(X37:AE37)-SUM(W37:W37)))</f>
        <v>0</v>
      </c>
      <c r="AG37" s="27" t="n">
        <f aca="false">MIN(K36*(1+K$8),MAX(W37,$B$11-SUM(X37:AF37)))</f>
        <v>0</v>
      </c>
      <c r="AI37" s="27" t="n">
        <f aca="false">ROUND(MAX(0,AI36*(1+B$8)-BE37),2)</f>
        <v>37.16</v>
      </c>
      <c r="AJ37" s="27" t="n">
        <f aca="false">ROUND(MAX(0,AJ36*(1+C$8)-BF37),2)</f>
        <v>2369.14</v>
      </c>
      <c r="AK37" s="27" t="n">
        <f aca="false">ROUND(MAX(0,AK36*(1+D$8)-BG37),2)</f>
        <v>3529.75</v>
      </c>
      <c r="AL37" s="27" t="n">
        <f aca="false">ROUND(MAX(0,AL36*(1+E$8)-BH37),2)</f>
        <v>3125.39</v>
      </c>
      <c r="AM37" s="27" t="n">
        <f aca="false">ROUND(MAX(0,AM36*(1+F$8)-BI37),2)</f>
        <v>50</v>
      </c>
      <c r="AN37" s="27" t="n">
        <f aca="false">ROUND(MAX(0,AN36*(1+G$8)-BJ37),2)</f>
        <v>0</v>
      </c>
      <c r="AO37" s="27" t="n">
        <f aca="false">ROUND(MAX(0,AO36*(1+H$8)-BK37),2)</f>
        <v>0</v>
      </c>
      <c r="AP37" s="27" t="n">
        <f aca="false">ROUND(MAX(0,AP36*(1+I$8)-BL37),2)</f>
        <v>0</v>
      </c>
      <c r="AQ37" s="27" t="n">
        <f aca="false">ROUND(MAX(0,AQ36*(1+J$8)-BM37),2)</f>
        <v>0</v>
      </c>
      <c r="AR37" s="27" t="n">
        <f aca="false">ROUND(MAX(0,AR36*(1+K$8)-BN37),2)</f>
        <v>0</v>
      </c>
      <c r="AS37" s="27" t="n">
        <f aca="false">SUM(AI37:AR37)</f>
        <v>9111.44</v>
      </c>
      <c r="AT37" s="27" t="n">
        <f aca="false">SUMPRODUCT(AI36:AR36,$B$8:$K$8)</f>
        <v>135.3444575</v>
      </c>
      <c r="AU37" s="27" t="n">
        <f aca="false">MIN(AI36*(1+B$8),B$9)</f>
        <v>35</v>
      </c>
      <c r="AV37" s="27" t="n">
        <f aca="false">MIN(AJ36*(1+C$8),C$9)</f>
        <v>75</v>
      </c>
      <c r="AW37" s="27" t="n">
        <f aca="false">MIN(AK36*(1+D$8),D$9)</f>
        <v>95</v>
      </c>
      <c r="AX37" s="27" t="n">
        <f aca="false">MIN(AL36*(1+E$8),E$9)</f>
        <v>310</v>
      </c>
      <c r="AY37" s="27" t="n">
        <f aca="false">MIN(AM36*(1+F$8),F$9)</f>
        <v>50</v>
      </c>
      <c r="AZ37" s="27" t="n">
        <f aca="false">MIN(AN36*(1+G$8),G$9)</f>
        <v>0</v>
      </c>
      <c r="BA37" s="27" t="n">
        <f aca="false">MIN(AO36*(1+H$8),H$9)</f>
        <v>0</v>
      </c>
      <c r="BB37" s="27" t="n">
        <f aca="false">MIN(AP36*(1+I$8),I$9)</f>
        <v>0</v>
      </c>
      <c r="BC37" s="27" t="n">
        <f aca="false">MIN(AQ36*(1+J$8),J$9)</f>
        <v>0</v>
      </c>
      <c r="BD37" s="27" t="n">
        <f aca="false">MIN(AR36*(1+K$8),K$9)</f>
        <v>0</v>
      </c>
      <c r="BE37" s="27" t="n">
        <f aca="false">MIN(AI36*(1+B$8),MAX(AU37,$B$12-SUM(AV37:BD37)))</f>
        <v>35</v>
      </c>
      <c r="BF37" s="27" t="n">
        <f aca="false">MIN(AJ36*(1+C$8),MAX(AV37,$B$12-SUM(BE37:BE37)-SUM(AW37:BD37)))</f>
        <v>75</v>
      </c>
      <c r="BG37" s="27" t="n">
        <f aca="false">MIN(AK36*(1+D$8),MAX(AW37,$B$12-SUM(BE37:BF37)-SUM(AX37:BD37)))</f>
        <v>95</v>
      </c>
      <c r="BH37" s="27" t="n">
        <f aca="false">MIN(AL36*(1+E$8),MAX(AX37,$B$12-SUM(BE37:BG37)-SUM(AY37:BD37)))</f>
        <v>310</v>
      </c>
      <c r="BI37" s="27" t="n">
        <f aca="false">MIN(AM36*(1+F$8),MAX(AY37,$B$12-SUM(BE37:BH37)-SUM(AZ37:BD37)))</f>
        <v>50</v>
      </c>
      <c r="BJ37" s="27" t="n">
        <f aca="false">MIN(AN36*(1+G$8),MAX(AZ37,$B$12-SUM(BE37:BI37)-SUM(BA37:BD37)))</f>
        <v>0</v>
      </c>
      <c r="BK37" s="27" t="n">
        <f aca="false">MIN(AO36*(1+H$8),MAX(BA37,$B$12-SUM(BE37:BJ37)-SUM(BB37:BD37)))</f>
        <v>0</v>
      </c>
      <c r="BL37" s="27" t="n">
        <f aca="false">MIN(AP36*(1+I$8),MAX(BB37,$B$12-SUM(BE37:BK37)-SUM(BC37:BD37)))</f>
        <v>0</v>
      </c>
      <c r="BM37" s="27" t="n">
        <f aca="false">MIN(AQ36*(1+J$8),MAX(BC37,$B$12-SUM(BE37:BL37)-SUM(BD37:BD37)))</f>
        <v>0</v>
      </c>
      <c r="BN37" s="27" t="n">
        <f aca="false">MIN(AR36*(1+K$8),MAX(BD37,$B$12-SUM(BE37:BM37)))</f>
        <v>0</v>
      </c>
    </row>
    <row r="38" customFormat="false" ht="15" hidden="false" customHeight="false" outlineLevel="0" collapsed="false">
      <c r="A38" s="0" t="n">
        <v>24</v>
      </c>
      <c r="B38" s="27" t="n">
        <f aca="false">ROUND(MAX(0,B37*(1+B$8)-X38),2)</f>
        <v>0</v>
      </c>
      <c r="C38" s="27" t="n">
        <f aca="false">ROUND(MAX(0,C37*(1+C$8)-Y38),2)</f>
        <v>0</v>
      </c>
      <c r="D38" s="27" t="n">
        <f aca="false">ROUND(MAX(0,D37*(1+D$8)-Z38),2)</f>
        <v>1245.81</v>
      </c>
      <c r="E38" s="27" t="n">
        <f aca="false">ROUND(MAX(0,E37*(1+E$8)-AA38),2)</f>
        <v>2833.36</v>
      </c>
      <c r="F38" s="27" t="n">
        <f aca="false">ROUND(MAX(0,F37*(1+F$8)-AB38),2)</f>
        <v>0</v>
      </c>
      <c r="G38" s="27" t="n">
        <f aca="false">ROUND(MAX(0,G37*(1+G$8)-AC38),2)</f>
        <v>0</v>
      </c>
      <c r="H38" s="27" t="n">
        <f aca="false">ROUND(MAX(0,H37*(1+H$8)-AD38),2)</f>
        <v>0</v>
      </c>
      <c r="I38" s="27" t="n">
        <f aca="false">ROUND(MAX(0,I37*(1+I$8)-AE38),2)</f>
        <v>0</v>
      </c>
      <c r="J38" s="27" t="n">
        <f aca="false">ROUND(MAX(0,J37*(1+J$8)-AF38),2)</f>
        <v>0</v>
      </c>
      <c r="K38" s="27" t="n">
        <f aca="false">ROUND(MAX(0,K37*(1+K$8)-AG38),2)</f>
        <v>0</v>
      </c>
      <c r="L38" s="30" t="n">
        <f aca="false">SUM(B38:K38)</f>
        <v>4079.17</v>
      </c>
      <c r="M38" s="27" t="n">
        <f aca="false">SUMPRODUCT(B37:K37,$B$8:$K$8)</f>
        <v>46.6621825</v>
      </c>
      <c r="N38" s="27" t="n">
        <f aca="false">MIN(B37*(1+B$8),B$9)</f>
        <v>0</v>
      </c>
      <c r="O38" s="27" t="n">
        <f aca="false">MIN(C37*(1+C$8),C$9)</f>
        <v>0</v>
      </c>
      <c r="P38" s="27" t="n">
        <f aca="false">MIN(D37*(1+D$8),D$9)</f>
        <v>95</v>
      </c>
      <c r="Q38" s="27" t="n">
        <f aca="false">MIN(E37*(1+E$8),E$9)</f>
        <v>310</v>
      </c>
      <c r="R38" s="27" t="n">
        <f aca="false">MIN(F37*(1+F$8),F$9)</f>
        <v>50</v>
      </c>
      <c r="S38" s="27" t="n">
        <f aca="false">MIN(G37*(1+G$8),G$9)</f>
        <v>0</v>
      </c>
      <c r="T38" s="27" t="n">
        <f aca="false">MIN(H37*(1+H$8),H$9)</f>
        <v>0</v>
      </c>
      <c r="U38" s="27" t="n">
        <f aca="false">MIN(I37*(1+I$8),I$9)</f>
        <v>0</v>
      </c>
      <c r="V38" s="27" t="n">
        <f aca="false">MIN(J37*(1+J$8),J$9)</f>
        <v>0</v>
      </c>
      <c r="W38" s="27" t="n">
        <f aca="false">MIN(K37*(1+K$8),K$9)</f>
        <v>0</v>
      </c>
      <c r="X38" s="27" t="n">
        <f aca="false">MIN(B37*(1+B$8),MAX(N38,$B$11-SUM(O38:W38)))</f>
        <v>0</v>
      </c>
      <c r="Y38" s="27" t="n">
        <f aca="false">MIN(C37*(1+C$8),MAX(O38,$B$11-SUM(X38:X38)-SUM(P38:W38)))</f>
        <v>0</v>
      </c>
      <c r="Z38" s="27" t="n">
        <f aca="false">MIN(D37*(1+D$8),MAX(P38,$B$11-SUM(X38:Y38)-SUM(Q38:W38)))</f>
        <v>355</v>
      </c>
      <c r="AA38" s="27" t="n">
        <f aca="false">MIN(E37*(1+E$8),MAX(Q38,$B$11-SUM(X38:Z38)-SUM(R38:W38)))</f>
        <v>310</v>
      </c>
      <c r="AB38" s="27" t="n">
        <f aca="false">MIN(F37*(1+F$8),MAX(R38,$B$11-SUM(X38:AA38)-SUM(S38:W38)))</f>
        <v>50</v>
      </c>
      <c r="AC38" s="27" t="n">
        <f aca="false">MIN(G37*(1+G$8),MAX(S38,$B$11-SUM(X38:AB38)-SUM(T38:W38)))</f>
        <v>0</v>
      </c>
      <c r="AD38" s="27" t="n">
        <f aca="false">MIN(H37*(1+H$8),MAX(T38,$B$11-SUM(X38:AC38)-SUM(U38:W38)))</f>
        <v>0</v>
      </c>
      <c r="AE38" s="27" t="n">
        <f aca="false">MIN(I37*(1+I$8),MAX(U38,$B$11-SUM(X38:AD38)-SUM(V38:W38)))</f>
        <v>0</v>
      </c>
      <c r="AF38" s="27" t="n">
        <f aca="false">MIN(J37*(1+J$8),MAX(V38,$B$11-SUM(X38:AE38)-SUM(W38:W38)))</f>
        <v>0</v>
      </c>
      <c r="AG38" s="27" t="n">
        <f aca="false">MIN(K37*(1+K$8),MAX(W38,$B$11-SUM(X38:AF38)))</f>
        <v>0</v>
      </c>
      <c r="AI38" s="27" t="n">
        <f aca="false">ROUND(MAX(0,AI37*(1+B$8)-BE38),2)</f>
        <v>3.02</v>
      </c>
      <c r="AJ38" s="27" t="n">
        <f aca="false">ROUND(MAX(0,AJ37*(1+C$8)-BF38),2)</f>
        <v>2342.71</v>
      </c>
      <c r="AK38" s="27" t="n">
        <f aca="false">ROUND(MAX(0,AK37*(1+D$8)-BG38),2)</f>
        <v>3499.17</v>
      </c>
      <c r="AL38" s="27" t="n">
        <f aca="false">ROUND(MAX(0,AL37*(1+E$8)-BH38),2)</f>
        <v>2833.36</v>
      </c>
      <c r="AM38" s="27" t="n">
        <f aca="false">ROUND(MAX(0,AM37*(1+F$8)-BI38),2)</f>
        <v>0</v>
      </c>
      <c r="AN38" s="27" t="n">
        <f aca="false">ROUND(MAX(0,AN37*(1+G$8)-BJ38),2)</f>
        <v>0</v>
      </c>
      <c r="AO38" s="27" t="n">
        <f aca="false">ROUND(MAX(0,AO37*(1+H$8)-BK38),2)</f>
        <v>0</v>
      </c>
      <c r="AP38" s="27" t="n">
        <f aca="false">ROUND(MAX(0,AP37*(1+I$8)-BL38),2)</f>
        <v>0</v>
      </c>
      <c r="AQ38" s="27" t="n">
        <f aca="false">ROUND(MAX(0,AQ37*(1+J$8)-BM38),2)</f>
        <v>0</v>
      </c>
      <c r="AR38" s="27" t="n">
        <f aca="false">ROUND(MAX(0,AR37*(1+K$8)-BN38),2)</f>
        <v>0</v>
      </c>
      <c r="AS38" s="27" t="n">
        <f aca="false">SUM(AI38:AR38)</f>
        <v>8678.26</v>
      </c>
      <c r="AT38" s="27" t="n">
        <f aca="false">SUMPRODUCT(AI37:AR37,$B$8:$K$8)</f>
        <v>131.82027</v>
      </c>
      <c r="AU38" s="27" t="n">
        <f aca="false">MIN(AI37*(1+B$8),B$9)</f>
        <v>35</v>
      </c>
      <c r="AV38" s="27" t="n">
        <f aca="false">MIN(AJ37*(1+C$8),C$9)</f>
        <v>75</v>
      </c>
      <c r="AW38" s="27" t="n">
        <f aca="false">MIN(AK37*(1+D$8),D$9)</f>
        <v>95</v>
      </c>
      <c r="AX38" s="27" t="n">
        <f aca="false">MIN(AL37*(1+E$8),E$9)</f>
        <v>310</v>
      </c>
      <c r="AY38" s="27" t="n">
        <f aca="false">MIN(AM37*(1+F$8),F$9)</f>
        <v>50</v>
      </c>
      <c r="AZ38" s="27" t="n">
        <f aca="false">MIN(AN37*(1+G$8),G$9)</f>
        <v>0</v>
      </c>
      <c r="BA38" s="27" t="n">
        <f aca="false">MIN(AO37*(1+H$8),H$9)</f>
        <v>0</v>
      </c>
      <c r="BB38" s="27" t="n">
        <f aca="false">MIN(AP37*(1+I$8),I$9)</f>
        <v>0</v>
      </c>
      <c r="BC38" s="27" t="n">
        <f aca="false">MIN(AQ37*(1+J$8),J$9)</f>
        <v>0</v>
      </c>
      <c r="BD38" s="27" t="n">
        <f aca="false">MIN(AR37*(1+K$8),K$9)</f>
        <v>0</v>
      </c>
      <c r="BE38" s="27" t="n">
        <f aca="false">MIN(AI37*(1+B$8),MAX(AU38,$B$12-SUM(AV38:BD38)))</f>
        <v>35</v>
      </c>
      <c r="BF38" s="27" t="n">
        <f aca="false">MIN(AJ37*(1+C$8),MAX(AV38,$B$12-SUM(BE38:BE38)-SUM(AW38:BD38)))</f>
        <v>75</v>
      </c>
      <c r="BG38" s="27" t="n">
        <f aca="false">MIN(AK37*(1+D$8),MAX(AW38,$B$12-SUM(BE38:BF38)-SUM(AX38:BD38)))</f>
        <v>95</v>
      </c>
      <c r="BH38" s="27" t="n">
        <f aca="false">MIN(AL37*(1+E$8),MAX(AX38,$B$12-SUM(BE38:BG38)-SUM(AY38:BD38)))</f>
        <v>310</v>
      </c>
      <c r="BI38" s="27" t="n">
        <f aca="false">MIN(AM37*(1+F$8),MAX(AY38,$B$12-SUM(BE38:BH38)-SUM(AZ38:BD38)))</f>
        <v>50</v>
      </c>
      <c r="BJ38" s="27" t="n">
        <f aca="false">MIN(AN37*(1+G$8),MAX(AZ38,$B$12-SUM(BE38:BI38)-SUM(BA38:BD38)))</f>
        <v>0</v>
      </c>
      <c r="BK38" s="27" t="n">
        <f aca="false">MIN(AO37*(1+H$8),MAX(BA38,$B$12-SUM(BE38:BJ38)-SUM(BB38:BD38)))</f>
        <v>0</v>
      </c>
      <c r="BL38" s="27" t="n">
        <f aca="false">MIN(AP37*(1+I$8),MAX(BB38,$B$12-SUM(BE38:BK38)-SUM(BC38:BD38)))</f>
        <v>0</v>
      </c>
      <c r="BM38" s="27" t="n">
        <f aca="false">MIN(AQ37*(1+J$8),MAX(BC38,$B$12-SUM(BE38:BL38)-SUM(BD38:BD38)))</f>
        <v>0</v>
      </c>
      <c r="BN38" s="27" t="n">
        <f aca="false">MIN(AR37*(1+K$8),MAX(BD38,$B$12-SUM(BE38:BM38)))</f>
        <v>0</v>
      </c>
    </row>
    <row r="39" customFormat="false" ht="15" hidden="false" customHeight="false" outlineLevel="0" collapsed="false">
      <c r="A39" s="0" t="n">
        <v>25</v>
      </c>
      <c r="B39" s="27" t="n">
        <f aca="false">ROUND(MAX(0,B38*(1+B$8)-X39),2)</f>
        <v>0</v>
      </c>
      <c r="C39" s="27" t="n">
        <f aca="false">ROUND(MAX(0,C38*(1+C$8)-Y39),2)</f>
        <v>0</v>
      </c>
      <c r="D39" s="27" t="n">
        <f aca="false">ROUND(MAX(0,D38*(1+D$8)-Z39),2)</f>
        <v>863.55</v>
      </c>
      <c r="E39" s="27" t="n">
        <f aca="false">ROUND(MAX(0,E38*(1+E$8)-AA39),2)</f>
        <v>2539.65</v>
      </c>
      <c r="F39" s="27" t="n">
        <f aca="false">ROUND(MAX(0,F38*(1+F$8)-AB39),2)</f>
        <v>0</v>
      </c>
      <c r="G39" s="27" t="n">
        <f aca="false">ROUND(MAX(0,G38*(1+G$8)-AC39),2)</f>
        <v>0</v>
      </c>
      <c r="H39" s="27" t="n">
        <f aca="false">ROUND(MAX(0,H38*(1+H$8)-AD39),2)</f>
        <v>0</v>
      </c>
      <c r="I39" s="27" t="n">
        <f aca="false">ROUND(MAX(0,I38*(1+I$8)-AE39),2)</f>
        <v>0</v>
      </c>
      <c r="J39" s="27" t="n">
        <f aca="false">ROUND(MAX(0,J38*(1+J$8)-AF39),2)</f>
        <v>0</v>
      </c>
      <c r="K39" s="27" t="n">
        <f aca="false">ROUND(MAX(0,K38*(1+K$8)-AG39),2)</f>
        <v>0</v>
      </c>
      <c r="L39" s="30" t="n">
        <f aca="false">SUM(B39:K39)</f>
        <v>3403.2</v>
      </c>
      <c r="M39" s="27" t="n">
        <f aca="false">SUMPRODUCT(B38:K38,$B$8:$K$8)</f>
        <v>39.0278525</v>
      </c>
      <c r="N39" s="27" t="n">
        <f aca="false">MIN(B38*(1+B$8),B$9)</f>
        <v>0</v>
      </c>
      <c r="O39" s="27" t="n">
        <f aca="false">MIN(C38*(1+C$8),C$9)</f>
        <v>0</v>
      </c>
      <c r="P39" s="27" t="n">
        <f aca="false">MIN(D38*(1+D$8),D$9)</f>
        <v>95</v>
      </c>
      <c r="Q39" s="27" t="n">
        <f aca="false">MIN(E38*(1+E$8),E$9)</f>
        <v>310</v>
      </c>
      <c r="R39" s="27" t="n">
        <f aca="false">MIN(F38*(1+F$8),F$9)</f>
        <v>0</v>
      </c>
      <c r="S39" s="27" t="n">
        <f aca="false">MIN(G38*(1+G$8),G$9)</f>
        <v>0</v>
      </c>
      <c r="T39" s="27" t="n">
        <f aca="false">MIN(H38*(1+H$8),H$9)</f>
        <v>0</v>
      </c>
      <c r="U39" s="27" t="n">
        <f aca="false">MIN(I38*(1+I$8),I$9)</f>
        <v>0</v>
      </c>
      <c r="V39" s="27" t="n">
        <f aca="false">MIN(J38*(1+J$8),J$9)</f>
        <v>0</v>
      </c>
      <c r="W39" s="27" t="n">
        <f aca="false">MIN(K38*(1+K$8),K$9)</f>
        <v>0</v>
      </c>
      <c r="X39" s="27" t="n">
        <f aca="false">MIN(B38*(1+B$8),MAX(N39,$B$11-SUM(O39:W39)))</f>
        <v>0</v>
      </c>
      <c r="Y39" s="27" t="n">
        <f aca="false">MIN(C38*(1+C$8),MAX(O39,$B$11-SUM(X39:X39)-SUM(P39:W39)))</f>
        <v>0</v>
      </c>
      <c r="Z39" s="27" t="n">
        <f aca="false">MIN(D38*(1+D$8),MAX(P39,$B$11-SUM(X39:Y39)-SUM(Q39:W39)))</f>
        <v>405</v>
      </c>
      <c r="AA39" s="27" t="n">
        <f aca="false">MIN(E38*(1+E$8),MAX(Q39,$B$11-SUM(X39:Z39)-SUM(R39:W39)))</f>
        <v>310</v>
      </c>
      <c r="AB39" s="27" t="n">
        <f aca="false">MIN(F38*(1+F$8),MAX(R39,$B$11-SUM(X39:AA39)-SUM(S39:W39)))</f>
        <v>0</v>
      </c>
      <c r="AC39" s="27" t="n">
        <f aca="false">MIN(G38*(1+G$8),MAX(S39,$B$11-SUM(X39:AB39)-SUM(T39:W39)))</f>
        <v>0</v>
      </c>
      <c r="AD39" s="27" t="n">
        <f aca="false">MIN(H38*(1+H$8),MAX(T39,$B$11-SUM(X39:AC39)-SUM(U39:W39)))</f>
        <v>0</v>
      </c>
      <c r="AE39" s="27" t="n">
        <f aca="false">MIN(I38*(1+I$8),MAX(U39,$B$11-SUM(X39:AD39)-SUM(V39:W39)))</f>
        <v>0</v>
      </c>
      <c r="AF39" s="27" t="n">
        <f aca="false">MIN(J38*(1+J$8),MAX(V39,$B$11-SUM(X39:AE39)-SUM(W39:W39)))</f>
        <v>0</v>
      </c>
      <c r="AG39" s="27" t="n">
        <f aca="false">MIN(K38*(1+K$8),MAX(W39,$B$11-SUM(X39:AF39)))</f>
        <v>0</v>
      </c>
      <c r="AI39" s="27" t="n">
        <f aca="false">ROUND(MAX(0,AI38*(1+B$8)-BE39),2)</f>
        <v>0</v>
      </c>
      <c r="AJ39" s="27" t="n">
        <f aca="false">ROUND(MAX(0,AJ38*(1+C$8)-BF39),2)</f>
        <v>2233.83</v>
      </c>
      <c r="AK39" s="27" t="n">
        <f aca="false">ROUND(MAX(0,AK38*(1+D$8)-BG39),2)</f>
        <v>3468.03</v>
      </c>
      <c r="AL39" s="27" t="n">
        <f aca="false">ROUND(MAX(0,AL38*(1+E$8)-BH39),2)</f>
        <v>2539.65</v>
      </c>
      <c r="AM39" s="27" t="n">
        <f aca="false">ROUND(MAX(0,AM38*(1+F$8)-BI39),2)</f>
        <v>0</v>
      </c>
      <c r="AN39" s="27" t="n">
        <f aca="false">ROUND(MAX(0,AN38*(1+G$8)-BJ39),2)</f>
        <v>0</v>
      </c>
      <c r="AO39" s="27" t="n">
        <f aca="false">ROUND(MAX(0,AO38*(1+H$8)-BK39),2)</f>
        <v>0</v>
      </c>
      <c r="AP39" s="27" t="n">
        <f aca="false">ROUND(MAX(0,AP38*(1+I$8)-BL39),2)</f>
        <v>0</v>
      </c>
      <c r="AQ39" s="27" t="n">
        <f aca="false">ROUND(MAX(0,AQ38*(1+J$8)-BM39),2)</f>
        <v>0</v>
      </c>
      <c r="AR39" s="27" t="n">
        <f aca="false">ROUND(MAX(0,AR38*(1+K$8)-BN39),2)</f>
        <v>0</v>
      </c>
      <c r="AS39" s="27" t="n">
        <f aca="false">SUM(AI39:AR39)</f>
        <v>8241.51</v>
      </c>
      <c r="AT39" s="27" t="n">
        <f aca="false">SUMPRODUCT(AI38:AR38,$B$8:$K$8)</f>
        <v>128.2474425</v>
      </c>
      <c r="AU39" s="27" t="n">
        <f aca="false">MIN(AI38*(1+B$8),B$9)</f>
        <v>3.090215</v>
      </c>
      <c r="AV39" s="27" t="n">
        <f aca="false">MIN(AJ38*(1+C$8),C$9)</f>
        <v>75</v>
      </c>
      <c r="AW39" s="27" t="n">
        <f aca="false">MIN(AK38*(1+D$8),D$9)</f>
        <v>95</v>
      </c>
      <c r="AX39" s="27" t="n">
        <f aca="false">MIN(AL38*(1+E$8),E$9)</f>
        <v>310</v>
      </c>
      <c r="AY39" s="27" t="n">
        <f aca="false">MIN(AM38*(1+F$8),F$9)</f>
        <v>0</v>
      </c>
      <c r="AZ39" s="27" t="n">
        <f aca="false">MIN(AN38*(1+G$8),G$9)</f>
        <v>0</v>
      </c>
      <c r="BA39" s="27" t="n">
        <f aca="false">MIN(AO38*(1+H$8),H$9)</f>
        <v>0</v>
      </c>
      <c r="BB39" s="27" t="n">
        <f aca="false">MIN(AP38*(1+I$8),I$9)</f>
        <v>0</v>
      </c>
      <c r="BC39" s="27" t="n">
        <f aca="false">MIN(AQ38*(1+J$8),J$9)</f>
        <v>0</v>
      </c>
      <c r="BD39" s="27" t="n">
        <f aca="false">MIN(AR38*(1+K$8),K$9)</f>
        <v>0</v>
      </c>
      <c r="BE39" s="27" t="n">
        <f aca="false">MIN(AI38*(1+B$8),MAX(AU39,$B$12-SUM(AV39:BD39)))</f>
        <v>3.090215</v>
      </c>
      <c r="BF39" s="27" t="n">
        <f aca="false">MIN(AJ38*(1+C$8),MAX(AV39,$B$12-SUM(BE39:BE39)-SUM(AW39:BD39)))</f>
        <v>156.909785</v>
      </c>
      <c r="BG39" s="27" t="n">
        <f aca="false">MIN(AK38*(1+D$8),MAX(AW39,$B$12-SUM(BE39:BF39)-SUM(AX39:BD39)))</f>
        <v>95</v>
      </c>
      <c r="BH39" s="27" t="n">
        <f aca="false">MIN(AL38*(1+E$8),MAX(AX39,$B$12-SUM(BE39:BG39)-SUM(AY39:BD39)))</f>
        <v>310</v>
      </c>
      <c r="BI39" s="27" t="n">
        <f aca="false">MIN(AM38*(1+F$8),MAX(AY39,$B$12-SUM(BE39:BH39)-SUM(AZ39:BD39)))</f>
        <v>0</v>
      </c>
      <c r="BJ39" s="27" t="n">
        <f aca="false">MIN(AN38*(1+G$8),MAX(AZ39,$B$12-SUM(BE39:BI39)-SUM(BA39:BD39)))</f>
        <v>0</v>
      </c>
      <c r="BK39" s="27" t="n">
        <f aca="false">MIN(AO38*(1+H$8),MAX(BA39,$B$12-SUM(BE39:BJ39)-SUM(BB39:BD39)))</f>
        <v>0</v>
      </c>
      <c r="BL39" s="27" t="n">
        <f aca="false">MIN(AP38*(1+I$8),MAX(BB39,$B$12-SUM(BE39:BK39)-SUM(BC39:BD39)))</f>
        <v>0</v>
      </c>
      <c r="BM39" s="27" t="n">
        <f aca="false">MIN(AQ38*(1+J$8),MAX(BC39,$B$12-SUM(BE39:BL39)-SUM(BD39:BD39)))</f>
        <v>0</v>
      </c>
      <c r="BN39" s="27" t="n">
        <f aca="false">MIN(AR38*(1+K$8),MAX(BD39,$B$12-SUM(BE39:BM39)))</f>
        <v>0</v>
      </c>
    </row>
    <row r="40" customFormat="false" ht="15" hidden="false" customHeight="false" outlineLevel="0" collapsed="false">
      <c r="A40" s="0" t="n">
        <v>26</v>
      </c>
      <c r="B40" s="27" t="n">
        <f aca="false">ROUND(MAX(0,B39*(1+B$8)-X40),2)</f>
        <v>0</v>
      </c>
      <c r="C40" s="27" t="n">
        <f aca="false">ROUND(MAX(0,C39*(1+C$8)-Y40),2)</f>
        <v>0</v>
      </c>
      <c r="D40" s="27" t="n">
        <f aca="false">ROUND(MAX(0,D39*(1+D$8)-Z40),2)</f>
        <v>474.31</v>
      </c>
      <c r="E40" s="27" t="n">
        <f aca="false">ROUND(MAX(0,E39*(1+E$8)-AA40),2)</f>
        <v>2244.25</v>
      </c>
      <c r="F40" s="27" t="n">
        <f aca="false">ROUND(MAX(0,F39*(1+F$8)-AB40),2)</f>
        <v>0</v>
      </c>
      <c r="G40" s="27" t="n">
        <f aca="false">ROUND(MAX(0,G39*(1+G$8)-AC40),2)</f>
        <v>0</v>
      </c>
      <c r="H40" s="27" t="n">
        <f aca="false">ROUND(MAX(0,H39*(1+H$8)-AD40),2)</f>
        <v>0</v>
      </c>
      <c r="I40" s="27" t="n">
        <f aca="false">ROUND(MAX(0,I39*(1+I$8)-AE40),2)</f>
        <v>0</v>
      </c>
      <c r="J40" s="27" t="n">
        <f aca="false">ROUND(MAX(0,J39*(1+J$8)-AF40),2)</f>
        <v>0</v>
      </c>
      <c r="K40" s="27" t="n">
        <f aca="false">ROUND(MAX(0,K39*(1+K$8)-AG40),2)</f>
        <v>0</v>
      </c>
      <c r="L40" s="30" t="n">
        <f aca="false">SUM(B40:K40)</f>
        <v>2718.56</v>
      </c>
      <c r="M40" s="27" t="n">
        <f aca="false">SUMPRODUCT(B39:K39,$B$8:$K$8)</f>
        <v>30.362775</v>
      </c>
      <c r="N40" s="27" t="n">
        <f aca="false">MIN(B39*(1+B$8),B$9)</f>
        <v>0</v>
      </c>
      <c r="O40" s="27" t="n">
        <f aca="false">MIN(C39*(1+C$8),C$9)</f>
        <v>0</v>
      </c>
      <c r="P40" s="27" t="n">
        <f aca="false">MIN(D39*(1+D$8),D$9)</f>
        <v>95</v>
      </c>
      <c r="Q40" s="27" t="n">
        <f aca="false">MIN(E39*(1+E$8),E$9)</f>
        <v>310</v>
      </c>
      <c r="R40" s="27" t="n">
        <f aca="false">MIN(F39*(1+F$8),F$9)</f>
        <v>0</v>
      </c>
      <c r="S40" s="27" t="n">
        <f aca="false">MIN(G39*(1+G$8),G$9)</f>
        <v>0</v>
      </c>
      <c r="T40" s="27" t="n">
        <f aca="false">MIN(H39*(1+H$8),H$9)</f>
        <v>0</v>
      </c>
      <c r="U40" s="27" t="n">
        <f aca="false">MIN(I39*(1+I$8),I$9)</f>
        <v>0</v>
      </c>
      <c r="V40" s="27" t="n">
        <f aca="false">MIN(J39*(1+J$8),J$9)</f>
        <v>0</v>
      </c>
      <c r="W40" s="27" t="n">
        <f aca="false">MIN(K39*(1+K$8),K$9)</f>
        <v>0</v>
      </c>
      <c r="X40" s="27" t="n">
        <f aca="false">MIN(B39*(1+B$8),MAX(N40,$B$11-SUM(O40:W40)))</f>
        <v>0</v>
      </c>
      <c r="Y40" s="27" t="n">
        <f aca="false">MIN(C39*(1+C$8),MAX(O40,$B$11-SUM(X40:X40)-SUM(P40:W40)))</f>
        <v>0</v>
      </c>
      <c r="Z40" s="27" t="n">
        <f aca="false">MIN(D39*(1+D$8),MAX(P40,$B$11-SUM(X40:Y40)-SUM(Q40:W40)))</f>
        <v>405</v>
      </c>
      <c r="AA40" s="27" t="n">
        <f aca="false">MIN(E39*(1+E$8),MAX(Q40,$B$11-SUM(X40:Z40)-SUM(R40:W40)))</f>
        <v>310</v>
      </c>
      <c r="AB40" s="27" t="n">
        <f aca="false">MIN(F39*(1+F$8),MAX(R40,$B$11-SUM(X40:AA40)-SUM(S40:W40)))</f>
        <v>0</v>
      </c>
      <c r="AC40" s="27" t="n">
        <f aca="false">MIN(G39*(1+G$8),MAX(S40,$B$11-SUM(X40:AB40)-SUM(T40:W40)))</f>
        <v>0</v>
      </c>
      <c r="AD40" s="27" t="n">
        <f aca="false">MIN(H39*(1+H$8),MAX(T40,$B$11-SUM(X40:AC40)-SUM(U40:W40)))</f>
        <v>0</v>
      </c>
      <c r="AE40" s="27" t="n">
        <f aca="false">MIN(I39*(1+I$8),MAX(U40,$B$11-SUM(X40:AD40)-SUM(V40:W40)))</f>
        <v>0</v>
      </c>
      <c r="AF40" s="27" t="n">
        <f aca="false">MIN(J39*(1+J$8),MAX(V40,$B$11-SUM(X40:AE40)-SUM(W40:W40)))</f>
        <v>0</v>
      </c>
      <c r="AG40" s="27" t="n">
        <f aca="false">MIN(K39*(1+K$8),MAX(W40,$B$11-SUM(X40:AF40)))</f>
        <v>0</v>
      </c>
      <c r="AI40" s="27" t="n">
        <f aca="false">ROUND(MAX(0,AI39*(1+B$8)-BE40),2)</f>
        <v>0</v>
      </c>
      <c r="AJ40" s="27" t="n">
        <f aca="false">ROUND(MAX(0,AJ39*(1+C$8)-BF40),2)</f>
        <v>2119.62</v>
      </c>
      <c r="AK40" s="27" t="n">
        <f aca="false">ROUND(MAX(0,AK39*(1+D$8)-BG40),2)</f>
        <v>3436.32</v>
      </c>
      <c r="AL40" s="27" t="n">
        <f aca="false">ROUND(MAX(0,AL39*(1+E$8)-BH40),2)</f>
        <v>2244.25</v>
      </c>
      <c r="AM40" s="27" t="n">
        <f aca="false">ROUND(MAX(0,AM39*(1+F$8)-BI40),2)</f>
        <v>0</v>
      </c>
      <c r="AN40" s="27" t="n">
        <f aca="false">ROUND(MAX(0,AN39*(1+G$8)-BJ40),2)</f>
        <v>0</v>
      </c>
      <c r="AO40" s="27" t="n">
        <f aca="false">ROUND(MAX(0,AO39*(1+H$8)-BK40),2)</f>
        <v>0</v>
      </c>
      <c r="AP40" s="27" t="n">
        <f aca="false">ROUND(MAX(0,AP39*(1+I$8)-BL40),2)</f>
        <v>0</v>
      </c>
      <c r="AQ40" s="27" t="n">
        <f aca="false">ROUND(MAX(0,AQ39*(1+J$8)-BM40),2)</f>
        <v>0</v>
      </c>
      <c r="AR40" s="27" t="n">
        <f aca="false">ROUND(MAX(0,AR39*(1+K$8)-BN40),2)</f>
        <v>0</v>
      </c>
      <c r="AS40" s="27" t="n">
        <f aca="false">SUM(AI40:AR40)</f>
        <v>7800.19</v>
      </c>
      <c r="AT40" s="27" t="n">
        <f aca="false">SUMPRODUCT(AI39:AR39,$B$8:$K$8)</f>
        <v>123.68805</v>
      </c>
      <c r="AU40" s="27" t="n">
        <f aca="false">MIN(AI39*(1+B$8),B$9)</f>
        <v>0</v>
      </c>
      <c r="AV40" s="27" t="n">
        <f aca="false">MIN(AJ39*(1+C$8),C$9)</f>
        <v>75</v>
      </c>
      <c r="AW40" s="27" t="n">
        <f aca="false">MIN(AK39*(1+D$8),D$9)</f>
        <v>95</v>
      </c>
      <c r="AX40" s="27" t="n">
        <f aca="false">MIN(AL39*(1+E$8),E$9)</f>
        <v>310</v>
      </c>
      <c r="AY40" s="27" t="n">
        <f aca="false">MIN(AM39*(1+F$8),F$9)</f>
        <v>0</v>
      </c>
      <c r="AZ40" s="27" t="n">
        <f aca="false">MIN(AN39*(1+G$8),G$9)</f>
        <v>0</v>
      </c>
      <c r="BA40" s="27" t="n">
        <f aca="false">MIN(AO39*(1+H$8),H$9)</f>
        <v>0</v>
      </c>
      <c r="BB40" s="27" t="n">
        <f aca="false">MIN(AP39*(1+I$8),I$9)</f>
        <v>0</v>
      </c>
      <c r="BC40" s="27" t="n">
        <f aca="false">MIN(AQ39*(1+J$8),J$9)</f>
        <v>0</v>
      </c>
      <c r="BD40" s="27" t="n">
        <f aca="false">MIN(AR39*(1+K$8),K$9)</f>
        <v>0</v>
      </c>
      <c r="BE40" s="27" t="n">
        <f aca="false">MIN(AI39*(1+B$8),MAX(AU40,$B$12-SUM(AV40:BD40)))</f>
        <v>0</v>
      </c>
      <c r="BF40" s="27" t="n">
        <f aca="false">MIN(AJ39*(1+C$8),MAX(AV40,$B$12-SUM(BE40:BE40)-SUM(AW40:BD40)))</f>
        <v>160</v>
      </c>
      <c r="BG40" s="27" t="n">
        <f aca="false">MIN(AK39*(1+D$8),MAX(AW40,$B$12-SUM(BE40:BF40)-SUM(AX40:BD40)))</f>
        <v>95</v>
      </c>
      <c r="BH40" s="27" t="n">
        <f aca="false">MIN(AL39*(1+E$8),MAX(AX40,$B$12-SUM(BE40:BG40)-SUM(AY40:BD40)))</f>
        <v>310</v>
      </c>
      <c r="BI40" s="27" t="n">
        <f aca="false">MIN(AM39*(1+F$8),MAX(AY40,$B$12-SUM(BE40:BH40)-SUM(AZ40:BD40)))</f>
        <v>0</v>
      </c>
      <c r="BJ40" s="27" t="n">
        <f aca="false">MIN(AN39*(1+G$8),MAX(AZ40,$B$12-SUM(BE40:BI40)-SUM(BA40:BD40)))</f>
        <v>0</v>
      </c>
      <c r="BK40" s="27" t="n">
        <f aca="false">MIN(AO39*(1+H$8),MAX(BA40,$B$12-SUM(BE40:BJ40)-SUM(BB40:BD40)))</f>
        <v>0</v>
      </c>
      <c r="BL40" s="27" t="n">
        <f aca="false">MIN(AP39*(1+I$8),MAX(BB40,$B$12-SUM(BE40:BK40)-SUM(BC40:BD40)))</f>
        <v>0</v>
      </c>
      <c r="BM40" s="27" t="n">
        <f aca="false">MIN(AQ39*(1+J$8),MAX(BC40,$B$12-SUM(BE40:BL40)-SUM(BD40:BD40)))</f>
        <v>0</v>
      </c>
      <c r="BN40" s="27" t="n">
        <f aca="false">MIN(AR39*(1+K$8),MAX(BD40,$B$12-SUM(BE40:BM40)))</f>
        <v>0</v>
      </c>
    </row>
    <row r="41" customFormat="false" ht="15" hidden="false" customHeight="false" outlineLevel="0" collapsed="false">
      <c r="A41" s="0" t="n">
        <v>27</v>
      </c>
      <c r="B41" s="27" t="n">
        <f aca="false">ROUND(MAX(0,B40*(1+B$8)-X41),2)</f>
        <v>0</v>
      </c>
      <c r="C41" s="27" t="n">
        <f aca="false">ROUND(MAX(0,C40*(1+C$8)-Y41),2)</f>
        <v>0</v>
      </c>
      <c r="D41" s="27" t="n">
        <f aca="false">ROUND(MAX(0,D40*(1+D$8)-Z41),2)</f>
        <v>77.97</v>
      </c>
      <c r="E41" s="27" t="n">
        <f aca="false">ROUND(MAX(0,E40*(1+E$8)-AA41),2)</f>
        <v>1947.15</v>
      </c>
      <c r="F41" s="27" t="n">
        <f aca="false">ROUND(MAX(0,F40*(1+F$8)-AB41),2)</f>
        <v>0</v>
      </c>
      <c r="G41" s="27" t="n">
        <f aca="false">ROUND(MAX(0,G40*(1+G$8)-AC41),2)</f>
        <v>0</v>
      </c>
      <c r="H41" s="27" t="n">
        <f aca="false">ROUND(MAX(0,H40*(1+H$8)-AD41),2)</f>
        <v>0</v>
      </c>
      <c r="I41" s="27" t="n">
        <f aca="false">ROUND(MAX(0,I40*(1+I$8)-AE41),2)</f>
        <v>0</v>
      </c>
      <c r="J41" s="27" t="n">
        <f aca="false">ROUND(MAX(0,J40*(1+J$8)-AF41),2)</f>
        <v>0</v>
      </c>
      <c r="K41" s="27" t="n">
        <f aca="false">ROUND(MAX(0,K40*(1+K$8)-AG41),2)</f>
        <v>0</v>
      </c>
      <c r="L41" s="30" t="n">
        <f aca="false">SUM(B41:K41)</f>
        <v>2025.12</v>
      </c>
      <c r="M41" s="27" t="n">
        <f aca="false">SUMPRODUCT(B40:K40,$B$8:$K$8)</f>
        <v>21.560595</v>
      </c>
      <c r="N41" s="27" t="n">
        <f aca="false">MIN(B40*(1+B$8),B$9)</f>
        <v>0</v>
      </c>
      <c r="O41" s="27" t="n">
        <f aca="false">MIN(C40*(1+C$8),C$9)</f>
        <v>0</v>
      </c>
      <c r="P41" s="27" t="n">
        <f aca="false">MIN(D40*(1+D$8),D$9)</f>
        <v>95</v>
      </c>
      <c r="Q41" s="27" t="n">
        <f aca="false">MIN(E40*(1+E$8),E$9)</f>
        <v>310</v>
      </c>
      <c r="R41" s="27" t="n">
        <f aca="false">MIN(F40*(1+F$8),F$9)</f>
        <v>0</v>
      </c>
      <c r="S41" s="27" t="n">
        <f aca="false">MIN(G40*(1+G$8),G$9)</f>
        <v>0</v>
      </c>
      <c r="T41" s="27" t="n">
        <f aca="false">MIN(H40*(1+H$8),H$9)</f>
        <v>0</v>
      </c>
      <c r="U41" s="27" t="n">
        <f aca="false">MIN(I40*(1+I$8),I$9)</f>
        <v>0</v>
      </c>
      <c r="V41" s="27" t="n">
        <f aca="false">MIN(J40*(1+J$8),J$9)</f>
        <v>0</v>
      </c>
      <c r="W41" s="27" t="n">
        <f aca="false">MIN(K40*(1+K$8),K$9)</f>
        <v>0</v>
      </c>
      <c r="X41" s="27" t="n">
        <f aca="false">MIN(B40*(1+B$8),MAX(N41,$B$11-SUM(O41:W41)))</f>
        <v>0</v>
      </c>
      <c r="Y41" s="27" t="n">
        <f aca="false">MIN(C40*(1+C$8),MAX(O41,$B$11-SUM(X41:X41)-SUM(P41:W41)))</f>
        <v>0</v>
      </c>
      <c r="Z41" s="27" t="n">
        <f aca="false">MIN(D40*(1+D$8),MAX(P41,$B$11-SUM(X41:Y41)-SUM(Q41:W41)))</f>
        <v>405</v>
      </c>
      <c r="AA41" s="27" t="n">
        <f aca="false">MIN(E40*(1+E$8),MAX(Q41,$B$11-SUM(X41:Z41)-SUM(R41:W41)))</f>
        <v>310</v>
      </c>
      <c r="AB41" s="27" t="n">
        <f aca="false">MIN(F40*(1+F$8),MAX(R41,$B$11-SUM(X41:AA41)-SUM(S41:W41)))</f>
        <v>0</v>
      </c>
      <c r="AC41" s="27" t="n">
        <f aca="false">MIN(G40*(1+G$8),MAX(S41,$B$11-SUM(X41:AB41)-SUM(T41:W41)))</f>
        <v>0</v>
      </c>
      <c r="AD41" s="27" t="n">
        <f aca="false">MIN(H40*(1+H$8),MAX(T41,$B$11-SUM(X41:AC41)-SUM(U41:W41)))</f>
        <v>0</v>
      </c>
      <c r="AE41" s="27" t="n">
        <f aca="false">MIN(I40*(1+I$8),MAX(U41,$B$11-SUM(X41:AD41)-SUM(V41:W41)))</f>
        <v>0</v>
      </c>
      <c r="AF41" s="27" t="n">
        <f aca="false">MIN(J40*(1+J$8),MAX(V41,$B$11-SUM(X41:AE41)-SUM(W41:W41)))</f>
        <v>0</v>
      </c>
      <c r="AG41" s="27" t="n">
        <f aca="false">MIN(K40*(1+K$8),MAX(W41,$B$11-SUM(X41:AF41)))</f>
        <v>0</v>
      </c>
      <c r="AI41" s="27" t="n">
        <f aca="false">ROUND(MAX(0,AI40*(1+B$8)-BE41),2)</f>
        <v>0</v>
      </c>
      <c r="AJ41" s="27" t="n">
        <f aca="false">ROUND(MAX(0,AJ40*(1+C$8)-BF41),2)</f>
        <v>2003.07</v>
      </c>
      <c r="AK41" s="27" t="n">
        <f aca="false">ROUND(MAX(0,AK40*(1+D$8)-BG41),2)</f>
        <v>3404.03</v>
      </c>
      <c r="AL41" s="27" t="n">
        <f aca="false">ROUND(MAX(0,AL40*(1+E$8)-BH41),2)</f>
        <v>1947.15</v>
      </c>
      <c r="AM41" s="27" t="n">
        <f aca="false">ROUND(MAX(0,AM40*(1+F$8)-BI41),2)</f>
        <v>0</v>
      </c>
      <c r="AN41" s="27" t="n">
        <f aca="false">ROUND(MAX(0,AN40*(1+G$8)-BJ41),2)</f>
        <v>0</v>
      </c>
      <c r="AO41" s="27" t="n">
        <f aca="false">ROUND(MAX(0,AO40*(1+H$8)-BK41),2)</f>
        <v>0</v>
      </c>
      <c r="AP41" s="27" t="n">
        <f aca="false">ROUND(MAX(0,AP40*(1+I$8)-BL41),2)</f>
        <v>0</v>
      </c>
      <c r="AQ41" s="27" t="n">
        <f aca="false">ROUND(MAX(0,AQ40*(1+J$8)-BM41),2)</f>
        <v>0</v>
      </c>
      <c r="AR41" s="27" t="n">
        <f aca="false">ROUND(MAX(0,AR40*(1+K$8)-BN41),2)</f>
        <v>0</v>
      </c>
      <c r="AS41" s="27" t="n">
        <f aca="false">SUM(AI41:AR41)</f>
        <v>7354.25</v>
      </c>
      <c r="AT41" s="27" t="n">
        <f aca="false">SUMPRODUCT(AI40:AR40,$B$8:$K$8)</f>
        <v>119.0694875</v>
      </c>
      <c r="AU41" s="27" t="n">
        <f aca="false">MIN(AI40*(1+B$8),B$9)</f>
        <v>0</v>
      </c>
      <c r="AV41" s="27" t="n">
        <f aca="false">MIN(AJ40*(1+C$8),C$9)</f>
        <v>75</v>
      </c>
      <c r="AW41" s="27" t="n">
        <f aca="false">MIN(AK40*(1+D$8),D$9)</f>
        <v>95</v>
      </c>
      <c r="AX41" s="27" t="n">
        <f aca="false">MIN(AL40*(1+E$8),E$9)</f>
        <v>310</v>
      </c>
      <c r="AY41" s="27" t="n">
        <f aca="false">MIN(AM40*(1+F$8),F$9)</f>
        <v>0</v>
      </c>
      <c r="AZ41" s="27" t="n">
        <f aca="false">MIN(AN40*(1+G$8),G$9)</f>
        <v>0</v>
      </c>
      <c r="BA41" s="27" t="n">
        <f aca="false">MIN(AO40*(1+H$8),H$9)</f>
        <v>0</v>
      </c>
      <c r="BB41" s="27" t="n">
        <f aca="false">MIN(AP40*(1+I$8),I$9)</f>
        <v>0</v>
      </c>
      <c r="BC41" s="27" t="n">
        <f aca="false">MIN(AQ40*(1+J$8),J$9)</f>
        <v>0</v>
      </c>
      <c r="BD41" s="27" t="n">
        <f aca="false">MIN(AR40*(1+K$8),K$9)</f>
        <v>0</v>
      </c>
      <c r="BE41" s="27" t="n">
        <f aca="false">MIN(AI40*(1+B$8),MAX(AU41,$B$12-SUM(AV41:BD41)))</f>
        <v>0</v>
      </c>
      <c r="BF41" s="27" t="n">
        <f aca="false">MIN(AJ40*(1+C$8),MAX(AV41,$B$12-SUM(BE41:BE41)-SUM(AW41:BD41)))</f>
        <v>160</v>
      </c>
      <c r="BG41" s="27" t="n">
        <f aca="false">MIN(AK40*(1+D$8),MAX(AW41,$B$12-SUM(BE41:BF41)-SUM(AX41:BD41)))</f>
        <v>95</v>
      </c>
      <c r="BH41" s="27" t="n">
        <f aca="false">MIN(AL40*(1+E$8),MAX(AX41,$B$12-SUM(BE41:BG41)-SUM(AY41:BD41)))</f>
        <v>310</v>
      </c>
      <c r="BI41" s="27" t="n">
        <f aca="false">MIN(AM40*(1+F$8),MAX(AY41,$B$12-SUM(BE41:BH41)-SUM(AZ41:BD41)))</f>
        <v>0</v>
      </c>
      <c r="BJ41" s="27" t="n">
        <f aca="false">MIN(AN40*(1+G$8),MAX(AZ41,$B$12-SUM(BE41:BI41)-SUM(BA41:BD41)))</f>
        <v>0</v>
      </c>
      <c r="BK41" s="27" t="n">
        <f aca="false">MIN(AO40*(1+H$8),MAX(BA41,$B$12-SUM(BE41:BJ41)-SUM(BB41:BD41)))</f>
        <v>0</v>
      </c>
      <c r="BL41" s="27" t="n">
        <f aca="false">MIN(AP40*(1+I$8),MAX(BB41,$B$12-SUM(BE41:BK41)-SUM(BC41:BD41)))</f>
        <v>0</v>
      </c>
      <c r="BM41" s="27" t="n">
        <f aca="false">MIN(AQ40*(1+J$8),MAX(BC41,$B$12-SUM(BE41:BL41)-SUM(BD41:BD41)))</f>
        <v>0</v>
      </c>
      <c r="BN41" s="27" t="n">
        <f aca="false">MIN(AR40*(1+K$8),MAX(BD41,$B$12-SUM(BE41:BM41)))</f>
        <v>0</v>
      </c>
    </row>
    <row r="42" customFormat="false" ht="15" hidden="false" customHeight="false" outlineLevel="0" collapsed="false">
      <c r="A42" s="0" t="n">
        <v>28</v>
      </c>
      <c r="B42" s="27" t="n">
        <f aca="false">ROUND(MAX(0,B41*(1+B$8)-X42),2)</f>
        <v>0</v>
      </c>
      <c r="C42" s="27" t="n">
        <f aca="false">ROUND(MAX(0,C41*(1+C$8)-Y42),2)</f>
        <v>0</v>
      </c>
      <c r="D42" s="27" t="n">
        <f aca="false">ROUND(MAX(0,D41*(1+D$8)-Z42),2)</f>
        <v>0</v>
      </c>
      <c r="E42" s="27" t="n">
        <f aca="false">ROUND(MAX(0,E41*(1+E$8)-AA42),2)</f>
        <v>1322.74</v>
      </c>
      <c r="F42" s="27" t="n">
        <f aca="false">ROUND(MAX(0,F41*(1+F$8)-AB42),2)</f>
        <v>0</v>
      </c>
      <c r="G42" s="27" t="n">
        <f aca="false">ROUND(MAX(0,G41*(1+G$8)-AC42),2)</f>
        <v>0</v>
      </c>
      <c r="H42" s="27" t="n">
        <f aca="false">ROUND(MAX(0,H41*(1+H$8)-AD42),2)</f>
        <v>0</v>
      </c>
      <c r="I42" s="27" t="n">
        <f aca="false">ROUND(MAX(0,I41*(1+I$8)-AE42),2)</f>
        <v>0</v>
      </c>
      <c r="J42" s="27" t="n">
        <f aca="false">ROUND(MAX(0,J41*(1+J$8)-AF42),2)</f>
        <v>0</v>
      </c>
      <c r="K42" s="27" t="n">
        <f aca="false">ROUND(MAX(0,K41*(1+K$8)-AG42),2)</f>
        <v>0</v>
      </c>
      <c r="L42" s="30" t="n">
        <f aca="false">SUM(B42:K42)</f>
        <v>1322.74</v>
      </c>
      <c r="M42" s="27" t="n">
        <f aca="false">SUMPRODUCT(B41:K41,$B$8:$K$8)</f>
        <v>12.619065</v>
      </c>
      <c r="N42" s="27" t="n">
        <f aca="false">MIN(B41*(1+B$8),B$9)</f>
        <v>0</v>
      </c>
      <c r="O42" s="27" t="n">
        <f aca="false">MIN(C41*(1+C$8),C$9)</f>
        <v>0</v>
      </c>
      <c r="P42" s="27" t="n">
        <f aca="false">MIN(D41*(1+D$8),D$9)</f>
        <v>79.3929525</v>
      </c>
      <c r="Q42" s="27" t="n">
        <f aca="false">MIN(E41*(1+E$8),E$9)</f>
        <v>310</v>
      </c>
      <c r="R42" s="27" t="n">
        <f aca="false">MIN(F41*(1+F$8),F$9)</f>
        <v>0</v>
      </c>
      <c r="S42" s="27" t="n">
        <f aca="false">MIN(G41*(1+G$8),G$9)</f>
        <v>0</v>
      </c>
      <c r="T42" s="27" t="n">
        <f aca="false">MIN(H41*(1+H$8),H$9)</f>
        <v>0</v>
      </c>
      <c r="U42" s="27" t="n">
        <f aca="false">MIN(I41*(1+I$8),I$9)</f>
        <v>0</v>
      </c>
      <c r="V42" s="27" t="n">
        <f aca="false">MIN(J41*(1+J$8),J$9)</f>
        <v>0</v>
      </c>
      <c r="W42" s="27" t="n">
        <f aca="false">MIN(K41*(1+K$8),K$9)</f>
        <v>0</v>
      </c>
      <c r="X42" s="27" t="n">
        <f aca="false">MIN(B41*(1+B$8),MAX(N42,$B$11-SUM(O42:W42)))</f>
        <v>0</v>
      </c>
      <c r="Y42" s="27" t="n">
        <f aca="false">MIN(C41*(1+C$8),MAX(O42,$B$11-SUM(X42:X42)-SUM(P42:W42)))</f>
        <v>0</v>
      </c>
      <c r="Z42" s="27" t="n">
        <f aca="false">MIN(D41*(1+D$8),MAX(P42,$B$11-SUM(X42:Y42)-SUM(Q42:W42)))</f>
        <v>79.3929525</v>
      </c>
      <c r="AA42" s="27" t="n">
        <f aca="false">MIN(E41*(1+E$8),MAX(Q42,$B$11-SUM(X42:Z42)-SUM(R42:W42)))</f>
        <v>635.6070475</v>
      </c>
      <c r="AB42" s="27" t="n">
        <f aca="false">MIN(F41*(1+F$8),MAX(R42,$B$11-SUM(X42:AA42)-SUM(S42:W42)))</f>
        <v>0</v>
      </c>
      <c r="AC42" s="27" t="n">
        <f aca="false">MIN(G41*(1+G$8),MAX(S42,$B$11-SUM(X42:AB42)-SUM(T42:W42)))</f>
        <v>0</v>
      </c>
      <c r="AD42" s="27" t="n">
        <f aca="false">MIN(H41*(1+H$8),MAX(T42,$B$11-SUM(X42:AC42)-SUM(U42:W42)))</f>
        <v>0</v>
      </c>
      <c r="AE42" s="27" t="n">
        <f aca="false">MIN(I41*(1+I$8),MAX(U42,$B$11-SUM(X42:AD42)-SUM(V42:W42)))</f>
        <v>0</v>
      </c>
      <c r="AF42" s="27" t="n">
        <f aca="false">MIN(J41*(1+J$8),MAX(V42,$B$11-SUM(X42:AE42)-SUM(W42:W42)))</f>
        <v>0</v>
      </c>
      <c r="AG42" s="27" t="n">
        <f aca="false">MIN(K41*(1+K$8),MAX(W42,$B$11-SUM(X42:AF42)))</f>
        <v>0</v>
      </c>
      <c r="AI42" s="27" t="n">
        <f aca="false">ROUND(MAX(0,AI41*(1+B$8)-BE42),2)</f>
        <v>0</v>
      </c>
      <c r="AJ42" s="27" t="n">
        <f aca="false">ROUND(MAX(0,AJ41*(1+C$8)-BF42),2)</f>
        <v>1884.13</v>
      </c>
      <c r="AK42" s="27" t="n">
        <f aca="false">ROUND(MAX(0,AK41*(1+D$8)-BG42),2)</f>
        <v>3371.15</v>
      </c>
      <c r="AL42" s="27" t="n">
        <f aca="false">ROUND(MAX(0,AL41*(1+E$8)-BH42),2)</f>
        <v>1648.35</v>
      </c>
      <c r="AM42" s="27" t="n">
        <f aca="false">ROUND(MAX(0,AM41*(1+F$8)-BI42),2)</f>
        <v>0</v>
      </c>
      <c r="AN42" s="27" t="n">
        <f aca="false">ROUND(MAX(0,AN41*(1+G$8)-BJ42),2)</f>
        <v>0</v>
      </c>
      <c r="AO42" s="27" t="n">
        <f aca="false">ROUND(MAX(0,AO41*(1+H$8)-BK42),2)</f>
        <v>0</v>
      </c>
      <c r="AP42" s="27" t="n">
        <f aca="false">ROUND(MAX(0,AP41*(1+I$8)-BL42),2)</f>
        <v>0</v>
      </c>
      <c r="AQ42" s="27" t="n">
        <f aca="false">ROUND(MAX(0,AQ41*(1+J$8)-BM42),2)</f>
        <v>0</v>
      </c>
      <c r="AR42" s="27" t="n">
        <f aca="false">ROUND(MAX(0,AR41*(1+K$8)-BN42),2)</f>
        <v>0</v>
      </c>
      <c r="AS42" s="27" t="n">
        <f aca="false">SUM(AI42:AR42)</f>
        <v>6903.63</v>
      </c>
      <c r="AT42" s="27" t="n">
        <f aca="false">SUMPRODUCT(AI41:AR41,$B$8:$K$8)</f>
        <v>114.382595</v>
      </c>
      <c r="AU42" s="27" t="n">
        <f aca="false">MIN(AI41*(1+B$8),B$9)</f>
        <v>0</v>
      </c>
      <c r="AV42" s="27" t="n">
        <f aca="false">MIN(AJ41*(1+C$8),C$9)</f>
        <v>75</v>
      </c>
      <c r="AW42" s="27" t="n">
        <f aca="false">MIN(AK41*(1+D$8),D$9)</f>
        <v>95</v>
      </c>
      <c r="AX42" s="27" t="n">
        <f aca="false">MIN(AL41*(1+E$8),E$9)</f>
        <v>310</v>
      </c>
      <c r="AY42" s="27" t="n">
        <f aca="false">MIN(AM41*(1+F$8),F$9)</f>
        <v>0</v>
      </c>
      <c r="AZ42" s="27" t="n">
        <f aca="false">MIN(AN41*(1+G$8),G$9)</f>
        <v>0</v>
      </c>
      <c r="BA42" s="27" t="n">
        <f aca="false">MIN(AO41*(1+H$8),H$9)</f>
        <v>0</v>
      </c>
      <c r="BB42" s="27" t="n">
        <f aca="false">MIN(AP41*(1+I$8),I$9)</f>
        <v>0</v>
      </c>
      <c r="BC42" s="27" t="n">
        <f aca="false">MIN(AQ41*(1+J$8),J$9)</f>
        <v>0</v>
      </c>
      <c r="BD42" s="27" t="n">
        <f aca="false">MIN(AR41*(1+K$8),K$9)</f>
        <v>0</v>
      </c>
      <c r="BE42" s="27" t="n">
        <f aca="false">MIN(AI41*(1+B$8),MAX(AU42,$B$12-SUM(AV42:BD42)))</f>
        <v>0</v>
      </c>
      <c r="BF42" s="27" t="n">
        <f aca="false">MIN(AJ41*(1+C$8),MAX(AV42,$B$12-SUM(BE42:BE42)-SUM(AW42:BD42)))</f>
        <v>160</v>
      </c>
      <c r="BG42" s="27" t="n">
        <f aca="false">MIN(AK41*(1+D$8),MAX(AW42,$B$12-SUM(BE42:BF42)-SUM(AX42:BD42)))</f>
        <v>95</v>
      </c>
      <c r="BH42" s="27" t="n">
        <f aca="false">MIN(AL41*(1+E$8),MAX(AX42,$B$12-SUM(BE42:BG42)-SUM(AY42:BD42)))</f>
        <v>310</v>
      </c>
      <c r="BI42" s="27" t="n">
        <f aca="false">MIN(AM41*(1+F$8),MAX(AY42,$B$12-SUM(BE42:BH42)-SUM(AZ42:BD42)))</f>
        <v>0</v>
      </c>
      <c r="BJ42" s="27" t="n">
        <f aca="false">MIN(AN41*(1+G$8),MAX(AZ42,$B$12-SUM(BE42:BI42)-SUM(BA42:BD42)))</f>
        <v>0</v>
      </c>
      <c r="BK42" s="27" t="n">
        <f aca="false">MIN(AO41*(1+H$8),MAX(BA42,$B$12-SUM(BE42:BJ42)-SUM(BB42:BD42)))</f>
        <v>0</v>
      </c>
      <c r="BL42" s="27" t="n">
        <f aca="false">MIN(AP41*(1+I$8),MAX(BB42,$B$12-SUM(BE42:BK42)-SUM(BC42:BD42)))</f>
        <v>0</v>
      </c>
      <c r="BM42" s="27" t="n">
        <f aca="false">MIN(AQ41*(1+J$8),MAX(BC42,$B$12-SUM(BE42:BL42)-SUM(BD42:BD42)))</f>
        <v>0</v>
      </c>
      <c r="BN42" s="27" t="n">
        <f aca="false">MIN(AR41*(1+K$8),MAX(BD42,$B$12-SUM(BE42:BM42)))</f>
        <v>0</v>
      </c>
    </row>
    <row r="43" customFormat="false" ht="15" hidden="false" customHeight="false" outlineLevel="0" collapsed="false">
      <c r="A43" s="0" t="n">
        <v>29</v>
      </c>
      <c r="B43" s="27" t="n">
        <f aca="false">ROUND(MAX(0,B42*(1+B$8)-X43),2)</f>
        <v>0</v>
      </c>
      <c r="C43" s="27" t="n">
        <f aca="false">ROUND(MAX(0,C42*(1+C$8)-Y43),2)</f>
        <v>0</v>
      </c>
      <c r="D43" s="27" t="n">
        <f aca="false">ROUND(MAX(0,D42*(1+D$8)-Z43),2)</f>
        <v>0</v>
      </c>
      <c r="E43" s="27" t="n">
        <f aca="false">ROUND(MAX(0,E42*(1+E$8)-AA43),2)</f>
        <v>615.35</v>
      </c>
      <c r="F43" s="27" t="n">
        <f aca="false">ROUND(MAX(0,F42*(1+F$8)-AB43),2)</f>
        <v>0</v>
      </c>
      <c r="G43" s="27" t="n">
        <f aca="false">ROUND(MAX(0,G42*(1+G$8)-AC43),2)</f>
        <v>0</v>
      </c>
      <c r="H43" s="27" t="n">
        <f aca="false">ROUND(MAX(0,H42*(1+H$8)-AD43),2)</f>
        <v>0</v>
      </c>
      <c r="I43" s="27" t="n">
        <f aca="false">ROUND(MAX(0,I42*(1+I$8)-AE43),2)</f>
        <v>0</v>
      </c>
      <c r="J43" s="27" t="n">
        <f aca="false">ROUND(MAX(0,J42*(1+J$8)-AF43),2)</f>
        <v>0</v>
      </c>
      <c r="K43" s="27" t="n">
        <f aca="false">ROUND(MAX(0,K42*(1+K$8)-AG43),2)</f>
        <v>0</v>
      </c>
      <c r="L43" s="30" t="n">
        <f aca="false">SUM(B43:K43)</f>
        <v>615.35</v>
      </c>
      <c r="M43" s="27" t="n">
        <f aca="false">SUMPRODUCT(B42:K42,$B$8:$K$8)</f>
        <v>7.605755</v>
      </c>
      <c r="N43" s="27" t="n">
        <f aca="false">MIN(B42*(1+B$8),B$9)</f>
        <v>0</v>
      </c>
      <c r="O43" s="27" t="n">
        <f aca="false">MIN(C42*(1+C$8),C$9)</f>
        <v>0</v>
      </c>
      <c r="P43" s="27" t="n">
        <f aca="false">MIN(D42*(1+D$8),D$9)</f>
        <v>0</v>
      </c>
      <c r="Q43" s="27" t="n">
        <f aca="false">MIN(E42*(1+E$8),E$9)</f>
        <v>310</v>
      </c>
      <c r="R43" s="27" t="n">
        <f aca="false">MIN(F42*(1+F$8),F$9)</f>
        <v>0</v>
      </c>
      <c r="S43" s="27" t="n">
        <f aca="false">MIN(G42*(1+G$8),G$9)</f>
        <v>0</v>
      </c>
      <c r="T43" s="27" t="n">
        <f aca="false">MIN(H42*(1+H$8),H$9)</f>
        <v>0</v>
      </c>
      <c r="U43" s="27" t="n">
        <f aca="false">MIN(I42*(1+I$8),I$9)</f>
        <v>0</v>
      </c>
      <c r="V43" s="27" t="n">
        <f aca="false">MIN(J42*(1+J$8),J$9)</f>
        <v>0</v>
      </c>
      <c r="W43" s="27" t="n">
        <f aca="false">MIN(K42*(1+K$8),K$9)</f>
        <v>0</v>
      </c>
      <c r="X43" s="27" t="n">
        <f aca="false">MIN(B42*(1+B$8),MAX(N43,$B$11-SUM(O43:W43)))</f>
        <v>0</v>
      </c>
      <c r="Y43" s="27" t="n">
        <f aca="false">MIN(C42*(1+C$8),MAX(O43,$B$11-SUM(X43:X43)-SUM(P43:W43)))</f>
        <v>0</v>
      </c>
      <c r="Z43" s="27" t="n">
        <f aca="false">MIN(D42*(1+D$8),MAX(P43,$B$11-SUM(X43:Y43)-SUM(Q43:W43)))</f>
        <v>0</v>
      </c>
      <c r="AA43" s="27" t="n">
        <f aca="false">MIN(E42*(1+E$8),MAX(Q43,$B$11-SUM(X43:Z43)-SUM(R43:W43)))</f>
        <v>715</v>
      </c>
      <c r="AB43" s="27" t="n">
        <f aca="false">MIN(F42*(1+F$8),MAX(R43,$B$11-SUM(X43:AA43)-SUM(S43:W43)))</f>
        <v>0</v>
      </c>
      <c r="AC43" s="27" t="n">
        <f aca="false">MIN(G42*(1+G$8),MAX(S43,$B$11-SUM(X43:AB43)-SUM(T43:W43)))</f>
        <v>0</v>
      </c>
      <c r="AD43" s="27" t="n">
        <f aca="false">MIN(H42*(1+H$8),MAX(T43,$B$11-SUM(X43:AC43)-SUM(U43:W43)))</f>
        <v>0</v>
      </c>
      <c r="AE43" s="27" t="n">
        <f aca="false">MIN(I42*(1+I$8),MAX(U43,$B$11-SUM(X43:AD43)-SUM(V43:W43)))</f>
        <v>0</v>
      </c>
      <c r="AF43" s="27" t="n">
        <f aca="false">MIN(J42*(1+J$8),MAX(V43,$B$11-SUM(X43:AE43)-SUM(W43:W43)))</f>
        <v>0</v>
      </c>
      <c r="AG43" s="27" t="n">
        <f aca="false">MIN(K42*(1+K$8),MAX(W43,$B$11-SUM(X43:AF43)))</f>
        <v>0</v>
      </c>
      <c r="AI43" s="27" t="n">
        <f aca="false">ROUND(MAX(0,AI42*(1+B$8)-BE43),2)</f>
        <v>0</v>
      </c>
      <c r="AJ43" s="27" t="n">
        <f aca="false">ROUND(MAX(0,AJ42*(1+C$8)-BF43),2)</f>
        <v>1762.75</v>
      </c>
      <c r="AK43" s="27" t="n">
        <f aca="false">ROUND(MAX(0,AK42*(1+D$8)-BG43),2)</f>
        <v>3337.67</v>
      </c>
      <c r="AL43" s="27" t="n">
        <f aca="false">ROUND(MAX(0,AL42*(1+E$8)-BH43),2)</f>
        <v>1347.83</v>
      </c>
      <c r="AM43" s="27" t="n">
        <f aca="false">ROUND(MAX(0,AM42*(1+F$8)-BI43),2)</f>
        <v>0</v>
      </c>
      <c r="AN43" s="27" t="n">
        <f aca="false">ROUND(MAX(0,AN42*(1+G$8)-BJ43),2)</f>
        <v>0</v>
      </c>
      <c r="AO43" s="27" t="n">
        <f aca="false">ROUND(MAX(0,AO42*(1+H$8)-BK43),2)</f>
        <v>0</v>
      </c>
      <c r="AP43" s="27" t="n">
        <f aca="false">ROUND(MAX(0,AP42*(1+I$8)-BL43),2)</f>
        <v>0</v>
      </c>
      <c r="AQ43" s="27" t="n">
        <f aca="false">ROUND(MAX(0,AQ42*(1+J$8)-BM43),2)</f>
        <v>0</v>
      </c>
      <c r="AR43" s="27" t="n">
        <f aca="false">ROUND(MAX(0,AR42*(1+K$8)-BN43),2)</f>
        <v>0</v>
      </c>
      <c r="AS43" s="27" t="n">
        <f aca="false">SUM(AI43:AR43)</f>
        <v>6448.25</v>
      </c>
      <c r="AT43" s="27" t="n">
        <f aca="false">SUMPRODUCT(AI42:AR42,$B$8:$K$8)</f>
        <v>109.626165</v>
      </c>
      <c r="AU43" s="27" t="n">
        <f aca="false">MIN(AI42*(1+B$8),B$9)</f>
        <v>0</v>
      </c>
      <c r="AV43" s="27" t="n">
        <f aca="false">MIN(AJ42*(1+C$8),C$9)</f>
        <v>75</v>
      </c>
      <c r="AW43" s="27" t="n">
        <f aca="false">MIN(AK42*(1+D$8),D$9)</f>
        <v>95</v>
      </c>
      <c r="AX43" s="27" t="n">
        <f aca="false">MIN(AL42*(1+E$8),E$9)</f>
        <v>310</v>
      </c>
      <c r="AY43" s="27" t="n">
        <f aca="false">MIN(AM42*(1+F$8),F$9)</f>
        <v>0</v>
      </c>
      <c r="AZ43" s="27" t="n">
        <f aca="false">MIN(AN42*(1+G$8),G$9)</f>
        <v>0</v>
      </c>
      <c r="BA43" s="27" t="n">
        <f aca="false">MIN(AO42*(1+H$8),H$9)</f>
        <v>0</v>
      </c>
      <c r="BB43" s="27" t="n">
        <f aca="false">MIN(AP42*(1+I$8),I$9)</f>
        <v>0</v>
      </c>
      <c r="BC43" s="27" t="n">
        <f aca="false">MIN(AQ42*(1+J$8),J$9)</f>
        <v>0</v>
      </c>
      <c r="BD43" s="27" t="n">
        <f aca="false">MIN(AR42*(1+K$8),K$9)</f>
        <v>0</v>
      </c>
      <c r="BE43" s="27" t="n">
        <f aca="false">MIN(AI42*(1+B$8),MAX(AU43,$B$12-SUM(AV43:BD43)))</f>
        <v>0</v>
      </c>
      <c r="BF43" s="27" t="n">
        <f aca="false">MIN(AJ42*(1+C$8),MAX(AV43,$B$12-SUM(BE43:BE43)-SUM(AW43:BD43)))</f>
        <v>160</v>
      </c>
      <c r="BG43" s="27" t="n">
        <f aca="false">MIN(AK42*(1+D$8),MAX(AW43,$B$12-SUM(BE43:BF43)-SUM(AX43:BD43)))</f>
        <v>95</v>
      </c>
      <c r="BH43" s="27" t="n">
        <f aca="false">MIN(AL42*(1+E$8),MAX(AX43,$B$12-SUM(BE43:BG43)-SUM(AY43:BD43)))</f>
        <v>310</v>
      </c>
      <c r="BI43" s="27" t="n">
        <f aca="false">MIN(AM42*(1+F$8),MAX(AY43,$B$12-SUM(BE43:BH43)-SUM(AZ43:BD43)))</f>
        <v>0</v>
      </c>
      <c r="BJ43" s="27" t="n">
        <f aca="false">MIN(AN42*(1+G$8),MAX(AZ43,$B$12-SUM(BE43:BI43)-SUM(BA43:BD43)))</f>
        <v>0</v>
      </c>
      <c r="BK43" s="27" t="n">
        <f aca="false">MIN(AO42*(1+H$8),MAX(BA43,$B$12-SUM(BE43:BJ43)-SUM(BB43:BD43)))</f>
        <v>0</v>
      </c>
      <c r="BL43" s="27" t="n">
        <f aca="false">MIN(AP42*(1+I$8),MAX(BB43,$B$12-SUM(BE43:BK43)-SUM(BC43:BD43)))</f>
        <v>0</v>
      </c>
      <c r="BM43" s="27" t="n">
        <f aca="false">MIN(AQ42*(1+J$8),MAX(BC43,$B$12-SUM(BE43:BL43)-SUM(BD43:BD43)))</f>
        <v>0</v>
      </c>
      <c r="BN43" s="27" t="n">
        <f aca="false">MIN(AR42*(1+K$8),MAX(BD43,$B$12-SUM(BE43:BM43)))</f>
        <v>0</v>
      </c>
    </row>
    <row r="44" customFormat="false" ht="15" hidden="false" customHeight="false" outlineLevel="0" collapsed="false">
      <c r="A44" s="0" t="n">
        <v>30</v>
      </c>
      <c r="B44" s="27" t="n">
        <f aca="false">ROUND(MAX(0,B43*(1+B$8)-X44),2)</f>
        <v>0</v>
      </c>
      <c r="C44" s="27" t="n">
        <f aca="false">ROUND(MAX(0,C43*(1+C$8)-Y44),2)</f>
        <v>0</v>
      </c>
      <c r="D44" s="27" t="n">
        <f aca="false">ROUND(MAX(0,D43*(1+D$8)-Z44),2)</f>
        <v>0</v>
      </c>
      <c r="E44" s="27" t="n">
        <f aca="false">ROUND(MAX(0,E43*(1+E$8)-AA44),2)</f>
        <v>0</v>
      </c>
      <c r="F44" s="27" t="n">
        <f aca="false">ROUND(MAX(0,F43*(1+F$8)-AB44),2)</f>
        <v>0</v>
      </c>
      <c r="G44" s="27" t="n">
        <f aca="false">ROUND(MAX(0,G43*(1+G$8)-AC44),2)</f>
        <v>0</v>
      </c>
      <c r="H44" s="27" t="n">
        <f aca="false">ROUND(MAX(0,H43*(1+H$8)-AD44),2)</f>
        <v>0</v>
      </c>
      <c r="I44" s="27" t="n">
        <f aca="false">ROUND(MAX(0,I43*(1+I$8)-AE44),2)</f>
        <v>0</v>
      </c>
      <c r="J44" s="27" t="n">
        <f aca="false">ROUND(MAX(0,J43*(1+J$8)-AF44),2)</f>
        <v>0</v>
      </c>
      <c r="K44" s="27" t="n">
        <f aca="false">ROUND(MAX(0,K43*(1+K$8)-AG44),2)</f>
        <v>0</v>
      </c>
      <c r="L44" s="30" t="n">
        <f aca="false">SUM(B44:K44)</f>
        <v>0</v>
      </c>
      <c r="M44" s="27" t="n">
        <f aca="false">SUMPRODUCT(B43:K43,$B$8:$K$8)</f>
        <v>3.5382625</v>
      </c>
      <c r="N44" s="27" t="n">
        <f aca="false">MIN(B43*(1+B$8),B$9)</f>
        <v>0</v>
      </c>
      <c r="O44" s="27" t="n">
        <f aca="false">MIN(C43*(1+C$8),C$9)</f>
        <v>0</v>
      </c>
      <c r="P44" s="27" t="n">
        <f aca="false">MIN(D43*(1+D$8),D$9)</f>
        <v>0</v>
      </c>
      <c r="Q44" s="27" t="n">
        <f aca="false">MIN(E43*(1+E$8),E$9)</f>
        <v>310</v>
      </c>
      <c r="R44" s="27" t="n">
        <f aca="false">MIN(F43*(1+F$8),F$9)</f>
        <v>0</v>
      </c>
      <c r="S44" s="27" t="n">
        <f aca="false">MIN(G43*(1+G$8),G$9)</f>
        <v>0</v>
      </c>
      <c r="T44" s="27" t="n">
        <f aca="false">MIN(H43*(1+H$8),H$9)</f>
        <v>0</v>
      </c>
      <c r="U44" s="27" t="n">
        <f aca="false">MIN(I43*(1+I$8),I$9)</f>
        <v>0</v>
      </c>
      <c r="V44" s="27" t="n">
        <f aca="false">MIN(J43*(1+J$8),J$9)</f>
        <v>0</v>
      </c>
      <c r="W44" s="27" t="n">
        <f aca="false">MIN(K43*(1+K$8),K$9)</f>
        <v>0</v>
      </c>
      <c r="X44" s="27" t="n">
        <f aca="false">MIN(B43*(1+B$8),MAX(N44,$B$11-SUM(O44:W44)))</f>
        <v>0</v>
      </c>
      <c r="Y44" s="27" t="n">
        <f aca="false">MIN(C43*(1+C$8),MAX(O44,$B$11-SUM(X44:X44)-SUM(P44:W44)))</f>
        <v>0</v>
      </c>
      <c r="Z44" s="27" t="n">
        <f aca="false">MIN(D43*(1+D$8),MAX(P44,$B$11-SUM(X44:Y44)-SUM(Q44:W44)))</f>
        <v>0</v>
      </c>
      <c r="AA44" s="27" t="n">
        <f aca="false">MIN(E43*(1+E$8),MAX(Q44,$B$11-SUM(X44:Z44)-SUM(R44:W44)))</f>
        <v>618.8882625</v>
      </c>
      <c r="AB44" s="27" t="n">
        <f aca="false">MIN(F43*(1+F$8),MAX(R44,$B$11-SUM(X44:AA44)-SUM(S44:W44)))</f>
        <v>0</v>
      </c>
      <c r="AC44" s="27" t="n">
        <f aca="false">MIN(G43*(1+G$8),MAX(S44,$B$11-SUM(X44:AB44)-SUM(T44:W44)))</f>
        <v>0</v>
      </c>
      <c r="AD44" s="27" t="n">
        <f aca="false">MIN(H43*(1+H$8),MAX(T44,$B$11-SUM(X44:AC44)-SUM(U44:W44)))</f>
        <v>0</v>
      </c>
      <c r="AE44" s="27" t="n">
        <f aca="false">MIN(I43*(1+I$8),MAX(U44,$B$11-SUM(X44:AD44)-SUM(V44:W44)))</f>
        <v>0</v>
      </c>
      <c r="AF44" s="27" t="n">
        <f aca="false">MIN(J43*(1+J$8),MAX(V44,$B$11-SUM(X44:AE44)-SUM(W44:W44)))</f>
        <v>0</v>
      </c>
      <c r="AG44" s="27" t="n">
        <f aca="false">MIN(K43*(1+K$8),MAX(W44,$B$11-SUM(X44:AF44)))</f>
        <v>0</v>
      </c>
      <c r="AI44" s="27" t="n">
        <f aca="false">ROUND(MAX(0,AI43*(1+B$8)-BE44),2)</f>
        <v>0</v>
      </c>
      <c r="AJ44" s="27" t="n">
        <f aca="false">ROUND(MAX(0,AJ43*(1+C$8)-BF44),2)</f>
        <v>1638.89</v>
      </c>
      <c r="AK44" s="27" t="n">
        <f aca="false">ROUND(MAX(0,AK43*(1+D$8)-BG44),2)</f>
        <v>3303.58</v>
      </c>
      <c r="AL44" s="27" t="n">
        <f aca="false">ROUND(MAX(0,AL43*(1+E$8)-BH44),2)</f>
        <v>1045.58</v>
      </c>
      <c r="AM44" s="27" t="n">
        <f aca="false">ROUND(MAX(0,AM43*(1+F$8)-BI44),2)</f>
        <v>0</v>
      </c>
      <c r="AN44" s="27" t="n">
        <f aca="false">ROUND(MAX(0,AN43*(1+G$8)-BJ44),2)</f>
        <v>0</v>
      </c>
      <c r="AO44" s="27" t="n">
        <f aca="false">ROUND(MAX(0,AO43*(1+H$8)-BK44),2)</f>
        <v>0</v>
      </c>
      <c r="AP44" s="27" t="n">
        <f aca="false">ROUND(MAX(0,AP43*(1+I$8)-BL44),2)</f>
        <v>0</v>
      </c>
      <c r="AQ44" s="27" t="n">
        <f aca="false">ROUND(MAX(0,AQ43*(1+J$8)-BM44),2)</f>
        <v>0</v>
      </c>
      <c r="AR44" s="27" t="n">
        <f aca="false">ROUND(MAX(0,AR43*(1+K$8)-BN44),2)</f>
        <v>0</v>
      </c>
      <c r="AS44" s="27" t="n">
        <f aca="false">SUM(AI44:AR44)</f>
        <v>5988.05</v>
      </c>
      <c r="AT44" s="27" t="n">
        <f aca="false">SUMPRODUCT(AI43:AR43,$B$8:$K$8)</f>
        <v>104.798875</v>
      </c>
      <c r="AU44" s="27" t="n">
        <f aca="false">MIN(AI43*(1+B$8),B$9)</f>
        <v>0</v>
      </c>
      <c r="AV44" s="27" t="n">
        <f aca="false">MIN(AJ43*(1+C$8),C$9)</f>
        <v>75</v>
      </c>
      <c r="AW44" s="27" t="n">
        <f aca="false">MIN(AK43*(1+D$8),D$9)</f>
        <v>95</v>
      </c>
      <c r="AX44" s="27" t="n">
        <f aca="false">MIN(AL43*(1+E$8),E$9)</f>
        <v>310</v>
      </c>
      <c r="AY44" s="27" t="n">
        <f aca="false">MIN(AM43*(1+F$8),F$9)</f>
        <v>0</v>
      </c>
      <c r="AZ44" s="27" t="n">
        <f aca="false">MIN(AN43*(1+G$8),G$9)</f>
        <v>0</v>
      </c>
      <c r="BA44" s="27" t="n">
        <f aca="false">MIN(AO43*(1+H$8),H$9)</f>
        <v>0</v>
      </c>
      <c r="BB44" s="27" t="n">
        <f aca="false">MIN(AP43*(1+I$8),I$9)</f>
        <v>0</v>
      </c>
      <c r="BC44" s="27" t="n">
        <f aca="false">MIN(AQ43*(1+J$8),J$9)</f>
        <v>0</v>
      </c>
      <c r="BD44" s="27" t="n">
        <f aca="false">MIN(AR43*(1+K$8),K$9)</f>
        <v>0</v>
      </c>
      <c r="BE44" s="27" t="n">
        <f aca="false">MIN(AI43*(1+B$8),MAX(AU44,$B$12-SUM(AV44:BD44)))</f>
        <v>0</v>
      </c>
      <c r="BF44" s="27" t="n">
        <f aca="false">MIN(AJ43*(1+C$8),MAX(AV44,$B$12-SUM(BE44:BE44)-SUM(AW44:BD44)))</f>
        <v>160</v>
      </c>
      <c r="BG44" s="27" t="n">
        <f aca="false">MIN(AK43*(1+D$8),MAX(AW44,$B$12-SUM(BE44:BF44)-SUM(AX44:BD44)))</f>
        <v>95</v>
      </c>
      <c r="BH44" s="27" t="n">
        <f aca="false">MIN(AL43*(1+E$8),MAX(AX44,$B$12-SUM(BE44:BG44)-SUM(AY44:BD44)))</f>
        <v>310</v>
      </c>
      <c r="BI44" s="27" t="n">
        <f aca="false">MIN(AM43*(1+F$8),MAX(AY44,$B$12-SUM(BE44:BH44)-SUM(AZ44:BD44)))</f>
        <v>0</v>
      </c>
      <c r="BJ44" s="27" t="n">
        <f aca="false">MIN(AN43*(1+G$8),MAX(AZ44,$B$12-SUM(BE44:BI44)-SUM(BA44:BD44)))</f>
        <v>0</v>
      </c>
      <c r="BK44" s="27" t="n">
        <f aca="false">MIN(AO43*(1+H$8),MAX(BA44,$B$12-SUM(BE44:BJ44)-SUM(BB44:BD44)))</f>
        <v>0</v>
      </c>
      <c r="BL44" s="27" t="n">
        <f aca="false">MIN(AP43*(1+I$8),MAX(BB44,$B$12-SUM(BE44:BK44)-SUM(BC44:BD44)))</f>
        <v>0</v>
      </c>
      <c r="BM44" s="27" t="n">
        <f aca="false">MIN(AQ43*(1+J$8),MAX(BC44,$B$12-SUM(BE44:BL44)-SUM(BD44:BD44)))</f>
        <v>0</v>
      </c>
      <c r="BN44" s="27" t="n">
        <f aca="false">MIN(AR43*(1+K$8),MAX(BD44,$B$12-SUM(BE44:BM44)))</f>
        <v>0</v>
      </c>
    </row>
    <row r="45" customFormat="false" ht="15" hidden="false" customHeight="false" outlineLevel="0" collapsed="false">
      <c r="A45" s="0" t="n">
        <v>31</v>
      </c>
      <c r="B45" s="27" t="n">
        <f aca="false">ROUND(MAX(0,B44*(1+B$8)-X45),2)</f>
        <v>0</v>
      </c>
      <c r="C45" s="27" t="n">
        <f aca="false">ROUND(MAX(0,C44*(1+C$8)-Y45),2)</f>
        <v>0</v>
      </c>
      <c r="D45" s="27" t="n">
        <f aca="false">ROUND(MAX(0,D44*(1+D$8)-Z45),2)</f>
        <v>0</v>
      </c>
      <c r="E45" s="27" t="n">
        <f aca="false">ROUND(MAX(0,E44*(1+E$8)-AA45),2)</f>
        <v>0</v>
      </c>
      <c r="F45" s="27" t="n">
        <f aca="false">ROUND(MAX(0,F44*(1+F$8)-AB45),2)</f>
        <v>0</v>
      </c>
      <c r="G45" s="27" t="n">
        <f aca="false">ROUND(MAX(0,G44*(1+G$8)-AC45),2)</f>
        <v>0</v>
      </c>
      <c r="H45" s="27" t="n">
        <f aca="false">ROUND(MAX(0,H44*(1+H$8)-AD45),2)</f>
        <v>0</v>
      </c>
      <c r="I45" s="27" t="n">
        <f aca="false">ROUND(MAX(0,I44*(1+I$8)-AE45),2)</f>
        <v>0</v>
      </c>
      <c r="J45" s="27" t="n">
        <f aca="false">ROUND(MAX(0,J44*(1+J$8)-AF45),2)</f>
        <v>0</v>
      </c>
      <c r="K45" s="27" t="n">
        <f aca="false">ROUND(MAX(0,K44*(1+K$8)-AG45),2)</f>
        <v>0</v>
      </c>
      <c r="L45" s="30" t="n">
        <f aca="false">SUM(B45:K45)</f>
        <v>0</v>
      </c>
      <c r="M45" s="27" t="n">
        <f aca="false">SUMPRODUCT(B44:K44,$B$8:$K$8)</f>
        <v>0</v>
      </c>
      <c r="N45" s="27" t="n">
        <f aca="false">MIN(B44*(1+B$8),B$9)</f>
        <v>0</v>
      </c>
      <c r="O45" s="27" t="n">
        <f aca="false">MIN(C44*(1+C$8),C$9)</f>
        <v>0</v>
      </c>
      <c r="P45" s="27" t="n">
        <f aca="false">MIN(D44*(1+D$8),D$9)</f>
        <v>0</v>
      </c>
      <c r="Q45" s="27" t="n">
        <f aca="false">MIN(E44*(1+E$8),E$9)</f>
        <v>0</v>
      </c>
      <c r="R45" s="27" t="n">
        <f aca="false">MIN(F44*(1+F$8),F$9)</f>
        <v>0</v>
      </c>
      <c r="S45" s="27" t="n">
        <f aca="false">MIN(G44*(1+G$8),G$9)</f>
        <v>0</v>
      </c>
      <c r="T45" s="27" t="n">
        <f aca="false">MIN(H44*(1+H$8),H$9)</f>
        <v>0</v>
      </c>
      <c r="U45" s="27" t="n">
        <f aca="false">MIN(I44*(1+I$8),I$9)</f>
        <v>0</v>
      </c>
      <c r="V45" s="27" t="n">
        <f aca="false">MIN(J44*(1+J$8),J$9)</f>
        <v>0</v>
      </c>
      <c r="W45" s="27" t="n">
        <f aca="false">MIN(K44*(1+K$8),K$9)</f>
        <v>0</v>
      </c>
      <c r="X45" s="27" t="n">
        <f aca="false">MIN(B44*(1+B$8),MAX(N45,$B$11-SUM(O45:W45)))</f>
        <v>0</v>
      </c>
      <c r="Y45" s="27" t="n">
        <f aca="false">MIN(C44*(1+C$8),MAX(O45,$B$11-SUM(X45:X45)-SUM(P45:W45)))</f>
        <v>0</v>
      </c>
      <c r="Z45" s="27" t="n">
        <f aca="false">MIN(D44*(1+D$8),MAX(P45,$B$11-SUM(X45:Y45)-SUM(Q45:W45)))</f>
        <v>0</v>
      </c>
      <c r="AA45" s="27" t="n">
        <f aca="false">MIN(E44*(1+E$8),MAX(Q45,$B$11-SUM(X45:Z45)-SUM(R45:W45)))</f>
        <v>0</v>
      </c>
      <c r="AB45" s="27" t="n">
        <f aca="false">MIN(F44*(1+F$8),MAX(R45,$B$11-SUM(X45:AA45)-SUM(S45:W45)))</f>
        <v>0</v>
      </c>
      <c r="AC45" s="27" t="n">
        <f aca="false">MIN(G44*(1+G$8),MAX(S45,$B$11-SUM(X45:AB45)-SUM(T45:W45)))</f>
        <v>0</v>
      </c>
      <c r="AD45" s="27" t="n">
        <f aca="false">MIN(H44*(1+H$8),MAX(T45,$B$11-SUM(X45:AC45)-SUM(U45:W45)))</f>
        <v>0</v>
      </c>
      <c r="AE45" s="27" t="n">
        <f aca="false">MIN(I44*(1+I$8),MAX(U45,$B$11-SUM(X45:AD45)-SUM(V45:W45)))</f>
        <v>0</v>
      </c>
      <c r="AF45" s="27" t="n">
        <f aca="false">MIN(J44*(1+J$8),MAX(V45,$B$11-SUM(X45:AE45)-SUM(W45:W45)))</f>
        <v>0</v>
      </c>
      <c r="AG45" s="27" t="n">
        <f aca="false">MIN(K44*(1+K$8),MAX(W45,$B$11-SUM(X45:AF45)))</f>
        <v>0</v>
      </c>
      <c r="AI45" s="27" t="n">
        <f aca="false">ROUND(MAX(0,AI44*(1+B$8)-BE45),2)</f>
        <v>0</v>
      </c>
      <c r="AJ45" s="27" t="n">
        <f aca="false">ROUND(MAX(0,AJ44*(1+C$8)-BF45),2)</f>
        <v>1512.49</v>
      </c>
      <c r="AK45" s="27" t="n">
        <f aca="false">ROUND(MAX(0,AK44*(1+D$8)-BG45),2)</f>
        <v>3268.87</v>
      </c>
      <c r="AL45" s="27" t="n">
        <f aca="false">ROUND(MAX(0,AL44*(1+E$8)-BH45),2)</f>
        <v>741.59</v>
      </c>
      <c r="AM45" s="27" t="n">
        <f aca="false">ROUND(MAX(0,AM44*(1+F$8)-BI45),2)</f>
        <v>0</v>
      </c>
      <c r="AN45" s="27" t="n">
        <f aca="false">ROUND(MAX(0,AN44*(1+G$8)-BJ45),2)</f>
        <v>0</v>
      </c>
      <c r="AO45" s="27" t="n">
        <f aca="false">ROUND(MAX(0,AO44*(1+H$8)-BK45),2)</f>
        <v>0</v>
      </c>
      <c r="AP45" s="27" t="n">
        <f aca="false">ROUND(MAX(0,AP44*(1+I$8)-BL45),2)</f>
        <v>0</v>
      </c>
      <c r="AQ45" s="27" t="n">
        <f aca="false">ROUND(MAX(0,AQ44*(1+J$8)-BM45),2)</f>
        <v>0</v>
      </c>
      <c r="AR45" s="27" t="n">
        <f aca="false">ROUND(MAX(0,AR44*(1+K$8)-BN45),2)</f>
        <v>0</v>
      </c>
      <c r="AS45" s="27" t="n">
        <f aca="false">SUM(AI45:AR45)</f>
        <v>5522.95</v>
      </c>
      <c r="AT45" s="27" t="n">
        <f aca="false">SUMPRODUCT(AI44:AR44,$B$8:$K$8)</f>
        <v>99.899665</v>
      </c>
      <c r="AU45" s="27" t="n">
        <f aca="false">MIN(AI44*(1+B$8),B$9)</f>
        <v>0</v>
      </c>
      <c r="AV45" s="27" t="n">
        <f aca="false">MIN(AJ44*(1+C$8),C$9)</f>
        <v>75</v>
      </c>
      <c r="AW45" s="27" t="n">
        <f aca="false">MIN(AK44*(1+D$8),D$9)</f>
        <v>95</v>
      </c>
      <c r="AX45" s="27" t="n">
        <f aca="false">MIN(AL44*(1+E$8),E$9)</f>
        <v>310</v>
      </c>
      <c r="AY45" s="27" t="n">
        <f aca="false">MIN(AM44*(1+F$8),F$9)</f>
        <v>0</v>
      </c>
      <c r="AZ45" s="27" t="n">
        <f aca="false">MIN(AN44*(1+G$8),G$9)</f>
        <v>0</v>
      </c>
      <c r="BA45" s="27" t="n">
        <f aca="false">MIN(AO44*(1+H$8),H$9)</f>
        <v>0</v>
      </c>
      <c r="BB45" s="27" t="n">
        <f aca="false">MIN(AP44*(1+I$8),I$9)</f>
        <v>0</v>
      </c>
      <c r="BC45" s="27" t="n">
        <f aca="false">MIN(AQ44*(1+J$8),J$9)</f>
        <v>0</v>
      </c>
      <c r="BD45" s="27" t="n">
        <f aca="false">MIN(AR44*(1+K$8),K$9)</f>
        <v>0</v>
      </c>
      <c r="BE45" s="27" t="n">
        <f aca="false">MIN(AI44*(1+B$8),MAX(AU45,$B$12-SUM(AV45:BD45)))</f>
        <v>0</v>
      </c>
      <c r="BF45" s="27" t="n">
        <f aca="false">MIN(AJ44*(1+C$8),MAX(AV45,$B$12-SUM(BE45:BE45)-SUM(AW45:BD45)))</f>
        <v>160</v>
      </c>
      <c r="BG45" s="27" t="n">
        <f aca="false">MIN(AK44*(1+D$8),MAX(AW45,$B$12-SUM(BE45:BF45)-SUM(AX45:BD45)))</f>
        <v>95</v>
      </c>
      <c r="BH45" s="27" t="n">
        <f aca="false">MIN(AL44*(1+E$8),MAX(AX45,$B$12-SUM(BE45:BG45)-SUM(AY45:BD45)))</f>
        <v>310</v>
      </c>
      <c r="BI45" s="27" t="n">
        <f aca="false">MIN(AM44*(1+F$8),MAX(AY45,$B$12-SUM(BE45:BH45)-SUM(AZ45:BD45)))</f>
        <v>0</v>
      </c>
      <c r="BJ45" s="27" t="n">
        <f aca="false">MIN(AN44*(1+G$8),MAX(AZ45,$B$12-SUM(BE45:BI45)-SUM(BA45:BD45)))</f>
        <v>0</v>
      </c>
      <c r="BK45" s="27" t="n">
        <f aca="false">MIN(AO44*(1+H$8),MAX(BA45,$B$12-SUM(BE45:BJ45)-SUM(BB45:BD45)))</f>
        <v>0</v>
      </c>
      <c r="BL45" s="27" t="n">
        <f aca="false">MIN(AP44*(1+I$8),MAX(BB45,$B$12-SUM(BE45:BK45)-SUM(BC45:BD45)))</f>
        <v>0</v>
      </c>
      <c r="BM45" s="27" t="n">
        <f aca="false">MIN(AQ44*(1+J$8),MAX(BC45,$B$12-SUM(BE45:BL45)-SUM(BD45:BD45)))</f>
        <v>0</v>
      </c>
      <c r="BN45" s="27" t="n">
        <f aca="false">MIN(AR44*(1+K$8),MAX(BD45,$B$12-SUM(BE45:BM45)))</f>
        <v>0</v>
      </c>
    </row>
    <row r="46" customFormat="false" ht="15" hidden="false" customHeight="false" outlineLevel="0" collapsed="false">
      <c r="A46" s="0" t="n">
        <v>32</v>
      </c>
      <c r="B46" s="27" t="n">
        <f aca="false">ROUND(MAX(0,B45*(1+B$8)-X46),2)</f>
        <v>0</v>
      </c>
      <c r="C46" s="27" t="n">
        <f aca="false">ROUND(MAX(0,C45*(1+C$8)-Y46),2)</f>
        <v>0</v>
      </c>
      <c r="D46" s="27" t="n">
        <f aca="false">ROUND(MAX(0,D45*(1+D$8)-Z46),2)</f>
        <v>0</v>
      </c>
      <c r="E46" s="27" t="n">
        <f aca="false">ROUND(MAX(0,E45*(1+E$8)-AA46),2)</f>
        <v>0</v>
      </c>
      <c r="F46" s="27" t="n">
        <f aca="false">ROUND(MAX(0,F45*(1+F$8)-AB46),2)</f>
        <v>0</v>
      </c>
      <c r="G46" s="27" t="n">
        <f aca="false">ROUND(MAX(0,G45*(1+G$8)-AC46),2)</f>
        <v>0</v>
      </c>
      <c r="H46" s="27" t="n">
        <f aca="false">ROUND(MAX(0,H45*(1+H$8)-AD46),2)</f>
        <v>0</v>
      </c>
      <c r="I46" s="27" t="n">
        <f aca="false">ROUND(MAX(0,I45*(1+I$8)-AE46),2)</f>
        <v>0</v>
      </c>
      <c r="J46" s="27" t="n">
        <f aca="false">ROUND(MAX(0,J45*(1+J$8)-AF46),2)</f>
        <v>0</v>
      </c>
      <c r="K46" s="27" t="n">
        <f aca="false">ROUND(MAX(0,K45*(1+K$8)-AG46),2)</f>
        <v>0</v>
      </c>
      <c r="L46" s="30" t="n">
        <f aca="false">SUM(B46:K46)</f>
        <v>0</v>
      </c>
      <c r="M46" s="27" t="n">
        <f aca="false">SUMPRODUCT(B45:K45,$B$8:$K$8)</f>
        <v>0</v>
      </c>
      <c r="N46" s="27" t="n">
        <f aca="false">MIN(B45*(1+B$8),B$9)</f>
        <v>0</v>
      </c>
      <c r="O46" s="27" t="n">
        <f aca="false">MIN(C45*(1+C$8),C$9)</f>
        <v>0</v>
      </c>
      <c r="P46" s="27" t="n">
        <f aca="false">MIN(D45*(1+D$8),D$9)</f>
        <v>0</v>
      </c>
      <c r="Q46" s="27" t="n">
        <f aca="false">MIN(E45*(1+E$8),E$9)</f>
        <v>0</v>
      </c>
      <c r="R46" s="27" t="n">
        <f aca="false">MIN(F45*(1+F$8),F$9)</f>
        <v>0</v>
      </c>
      <c r="S46" s="27" t="n">
        <f aca="false">MIN(G45*(1+G$8),G$9)</f>
        <v>0</v>
      </c>
      <c r="T46" s="27" t="n">
        <f aca="false">MIN(H45*(1+H$8),H$9)</f>
        <v>0</v>
      </c>
      <c r="U46" s="27" t="n">
        <f aca="false">MIN(I45*(1+I$8),I$9)</f>
        <v>0</v>
      </c>
      <c r="V46" s="27" t="n">
        <f aca="false">MIN(J45*(1+J$8),J$9)</f>
        <v>0</v>
      </c>
      <c r="W46" s="27" t="n">
        <f aca="false">MIN(K45*(1+K$8),K$9)</f>
        <v>0</v>
      </c>
      <c r="X46" s="27" t="n">
        <f aca="false">MIN(B45*(1+B$8),MAX(N46,$B$11-SUM(O46:W46)))</f>
        <v>0</v>
      </c>
      <c r="Y46" s="27" t="n">
        <f aca="false">MIN(C45*(1+C$8),MAX(O46,$B$11-SUM(X46:X46)-SUM(P46:W46)))</f>
        <v>0</v>
      </c>
      <c r="Z46" s="27" t="n">
        <f aca="false">MIN(D45*(1+D$8),MAX(P46,$B$11-SUM(X46:Y46)-SUM(Q46:W46)))</f>
        <v>0</v>
      </c>
      <c r="AA46" s="27" t="n">
        <f aca="false">MIN(E45*(1+E$8),MAX(Q46,$B$11-SUM(X46:Z46)-SUM(R46:W46)))</f>
        <v>0</v>
      </c>
      <c r="AB46" s="27" t="n">
        <f aca="false">MIN(F45*(1+F$8),MAX(R46,$B$11-SUM(X46:AA46)-SUM(S46:W46)))</f>
        <v>0</v>
      </c>
      <c r="AC46" s="27" t="n">
        <f aca="false">MIN(G45*(1+G$8),MAX(S46,$B$11-SUM(X46:AB46)-SUM(T46:W46)))</f>
        <v>0</v>
      </c>
      <c r="AD46" s="27" t="n">
        <f aca="false">MIN(H45*(1+H$8),MAX(T46,$B$11-SUM(X46:AC46)-SUM(U46:W46)))</f>
        <v>0</v>
      </c>
      <c r="AE46" s="27" t="n">
        <f aca="false">MIN(I45*(1+I$8),MAX(U46,$B$11-SUM(X46:AD46)-SUM(V46:W46)))</f>
        <v>0</v>
      </c>
      <c r="AF46" s="27" t="n">
        <f aca="false">MIN(J45*(1+J$8),MAX(V46,$B$11-SUM(X46:AE46)-SUM(W46:W46)))</f>
        <v>0</v>
      </c>
      <c r="AG46" s="27" t="n">
        <f aca="false">MIN(K45*(1+K$8),MAX(W46,$B$11-SUM(X46:AF46)))</f>
        <v>0</v>
      </c>
      <c r="AI46" s="27" t="n">
        <f aca="false">ROUND(MAX(0,AI45*(1+B$8)-BE46),2)</f>
        <v>0</v>
      </c>
      <c r="AJ46" s="27" t="n">
        <f aca="false">ROUND(MAX(0,AJ45*(1+C$8)-BF46),2)</f>
        <v>1383.5</v>
      </c>
      <c r="AK46" s="27" t="n">
        <f aca="false">ROUND(MAX(0,AK45*(1+D$8)-BG46),2)</f>
        <v>3233.53</v>
      </c>
      <c r="AL46" s="27" t="n">
        <f aca="false">ROUND(MAX(0,AL45*(1+E$8)-BH46),2)</f>
        <v>435.85</v>
      </c>
      <c r="AM46" s="27" t="n">
        <f aca="false">ROUND(MAX(0,AM45*(1+F$8)-BI46),2)</f>
        <v>0</v>
      </c>
      <c r="AN46" s="27" t="n">
        <f aca="false">ROUND(MAX(0,AN45*(1+G$8)-BJ46),2)</f>
        <v>0</v>
      </c>
      <c r="AO46" s="27" t="n">
        <f aca="false">ROUND(MAX(0,AO45*(1+H$8)-BK46),2)</f>
        <v>0</v>
      </c>
      <c r="AP46" s="27" t="n">
        <f aca="false">ROUND(MAX(0,AP45*(1+I$8)-BL46),2)</f>
        <v>0</v>
      </c>
      <c r="AQ46" s="27" t="n">
        <f aca="false">ROUND(MAX(0,AQ45*(1+J$8)-BM46),2)</f>
        <v>0</v>
      </c>
      <c r="AR46" s="27" t="n">
        <f aca="false">ROUND(MAX(0,AR45*(1+K$8)-BN46),2)</f>
        <v>0</v>
      </c>
      <c r="AS46" s="27" t="n">
        <f aca="false">SUM(AI46:AR46)</f>
        <v>5052.88</v>
      </c>
      <c r="AT46" s="27" t="n">
        <f aca="false">SUMPRODUCT(AI45:AR45,$B$8:$K$8)</f>
        <v>94.927065</v>
      </c>
      <c r="AU46" s="27" t="n">
        <f aca="false">MIN(AI45*(1+B$8),B$9)</f>
        <v>0</v>
      </c>
      <c r="AV46" s="27" t="n">
        <f aca="false">MIN(AJ45*(1+C$8),C$9)</f>
        <v>75</v>
      </c>
      <c r="AW46" s="27" t="n">
        <f aca="false">MIN(AK45*(1+D$8),D$9)</f>
        <v>95</v>
      </c>
      <c r="AX46" s="27" t="n">
        <f aca="false">MIN(AL45*(1+E$8),E$9)</f>
        <v>310</v>
      </c>
      <c r="AY46" s="27" t="n">
        <f aca="false">MIN(AM45*(1+F$8),F$9)</f>
        <v>0</v>
      </c>
      <c r="AZ46" s="27" t="n">
        <f aca="false">MIN(AN45*(1+G$8),G$9)</f>
        <v>0</v>
      </c>
      <c r="BA46" s="27" t="n">
        <f aca="false">MIN(AO45*(1+H$8),H$9)</f>
        <v>0</v>
      </c>
      <c r="BB46" s="27" t="n">
        <f aca="false">MIN(AP45*(1+I$8),I$9)</f>
        <v>0</v>
      </c>
      <c r="BC46" s="27" t="n">
        <f aca="false">MIN(AQ45*(1+J$8),J$9)</f>
        <v>0</v>
      </c>
      <c r="BD46" s="27" t="n">
        <f aca="false">MIN(AR45*(1+K$8),K$9)</f>
        <v>0</v>
      </c>
      <c r="BE46" s="27" t="n">
        <f aca="false">MIN(AI45*(1+B$8),MAX(AU46,$B$12-SUM(AV46:BD46)))</f>
        <v>0</v>
      </c>
      <c r="BF46" s="27" t="n">
        <f aca="false">MIN(AJ45*(1+C$8),MAX(AV46,$B$12-SUM(BE46:BE46)-SUM(AW46:BD46)))</f>
        <v>160</v>
      </c>
      <c r="BG46" s="27" t="n">
        <f aca="false">MIN(AK45*(1+D$8),MAX(AW46,$B$12-SUM(BE46:BF46)-SUM(AX46:BD46)))</f>
        <v>95</v>
      </c>
      <c r="BH46" s="27" t="n">
        <f aca="false">MIN(AL45*(1+E$8),MAX(AX46,$B$12-SUM(BE46:BG46)-SUM(AY46:BD46)))</f>
        <v>310</v>
      </c>
      <c r="BI46" s="27" t="n">
        <f aca="false">MIN(AM45*(1+F$8),MAX(AY46,$B$12-SUM(BE46:BH46)-SUM(AZ46:BD46)))</f>
        <v>0</v>
      </c>
      <c r="BJ46" s="27" t="n">
        <f aca="false">MIN(AN45*(1+G$8),MAX(AZ46,$B$12-SUM(BE46:BI46)-SUM(BA46:BD46)))</f>
        <v>0</v>
      </c>
      <c r="BK46" s="27" t="n">
        <f aca="false">MIN(AO45*(1+H$8),MAX(BA46,$B$12-SUM(BE46:BJ46)-SUM(BB46:BD46)))</f>
        <v>0</v>
      </c>
      <c r="BL46" s="27" t="n">
        <f aca="false">MIN(AP45*(1+I$8),MAX(BB46,$B$12-SUM(BE46:BK46)-SUM(BC46:BD46)))</f>
        <v>0</v>
      </c>
      <c r="BM46" s="27" t="n">
        <f aca="false">MIN(AQ45*(1+J$8),MAX(BC46,$B$12-SUM(BE46:BL46)-SUM(BD46:BD46)))</f>
        <v>0</v>
      </c>
      <c r="BN46" s="27" t="n">
        <f aca="false">MIN(AR45*(1+K$8),MAX(BD46,$B$12-SUM(BE46:BM46)))</f>
        <v>0</v>
      </c>
    </row>
    <row r="47" customFormat="false" ht="15" hidden="false" customHeight="false" outlineLevel="0" collapsed="false">
      <c r="A47" s="0" t="n">
        <v>33</v>
      </c>
      <c r="B47" s="27" t="n">
        <f aca="false">ROUND(MAX(0,B46*(1+B$8)-X47),2)</f>
        <v>0</v>
      </c>
      <c r="C47" s="27" t="n">
        <f aca="false">ROUND(MAX(0,C46*(1+C$8)-Y47),2)</f>
        <v>0</v>
      </c>
      <c r="D47" s="27" t="n">
        <f aca="false">ROUND(MAX(0,D46*(1+D$8)-Z47),2)</f>
        <v>0</v>
      </c>
      <c r="E47" s="27" t="n">
        <f aca="false">ROUND(MAX(0,E46*(1+E$8)-AA47),2)</f>
        <v>0</v>
      </c>
      <c r="F47" s="27" t="n">
        <f aca="false">ROUND(MAX(0,F46*(1+F$8)-AB47),2)</f>
        <v>0</v>
      </c>
      <c r="G47" s="27" t="n">
        <f aca="false">ROUND(MAX(0,G46*(1+G$8)-AC47),2)</f>
        <v>0</v>
      </c>
      <c r="H47" s="27" t="n">
        <f aca="false">ROUND(MAX(0,H46*(1+H$8)-AD47),2)</f>
        <v>0</v>
      </c>
      <c r="I47" s="27" t="n">
        <f aca="false">ROUND(MAX(0,I46*(1+I$8)-AE47),2)</f>
        <v>0</v>
      </c>
      <c r="J47" s="27" t="n">
        <f aca="false">ROUND(MAX(0,J46*(1+J$8)-AF47),2)</f>
        <v>0</v>
      </c>
      <c r="K47" s="27" t="n">
        <f aca="false">ROUND(MAX(0,K46*(1+K$8)-AG47),2)</f>
        <v>0</v>
      </c>
      <c r="L47" s="30" t="n">
        <f aca="false">SUM(B47:K47)</f>
        <v>0</v>
      </c>
      <c r="M47" s="27" t="n">
        <f aca="false">SUMPRODUCT(B46:K46,$B$8:$K$8)</f>
        <v>0</v>
      </c>
      <c r="N47" s="27" t="n">
        <f aca="false">MIN(B46*(1+B$8),B$9)</f>
        <v>0</v>
      </c>
      <c r="O47" s="27" t="n">
        <f aca="false">MIN(C46*(1+C$8),C$9)</f>
        <v>0</v>
      </c>
      <c r="P47" s="27" t="n">
        <f aca="false">MIN(D46*(1+D$8),D$9)</f>
        <v>0</v>
      </c>
      <c r="Q47" s="27" t="n">
        <f aca="false">MIN(E46*(1+E$8),E$9)</f>
        <v>0</v>
      </c>
      <c r="R47" s="27" t="n">
        <f aca="false">MIN(F46*(1+F$8),F$9)</f>
        <v>0</v>
      </c>
      <c r="S47" s="27" t="n">
        <f aca="false">MIN(G46*(1+G$8),G$9)</f>
        <v>0</v>
      </c>
      <c r="T47" s="27" t="n">
        <f aca="false">MIN(H46*(1+H$8),H$9)</f>
        <v>0</v>
      </c>
      <c r="U47" s="27" t="n">
        <f aca="false">MIN(I46*(1+I$8),I$9)</f>
        <v>0</v>
      </c>
      <c r="V47" s="27" t="n">
        <f aca="false">MIN(J46*(1+J$8),J$9)</f>
        <v>0</v>
      </c>
      <c r="W47" s="27" t="n">
        <f aca="false">MIN(K46*(1+K$8),K$9)</f>
        <v>0</v>
      </c>
      <c r="X47" s="27" t="n">
        <f aca="false">MIN(B46*(1+B$8),MAX(N47,$B$11-SUM(O47:W47)))</f>
        <v>0</v>
      </c>
      <c r="Y47" s="27" t="n">
        <f aca="false">MIN(C46*(1+C$8),MAX(O47,$B$11-SUM(X47:X47)-SUM(P47:W47)))</f>
        <v>0</v>
      </c>
      <c r="Z47" s="27" t="n">
        <f aca="false">MIN(D46*(1+D$8),MAX(P47,$B$11-SUM(X47:Y47)-SUM(Q47:W47)))</f>
        <v>0</v>
      </c>
      <c r="AA47" s="27" t="n">
        <f aca="false">MIN(E46*(1+E$8),MAX(Q47,$B$11-SUM(X47:Z47)-SUM(R47:W47)))</f>
        <v>0</v>
      </c>
      <c r="AB47" s="27" t="n">
        <f aca="false">MIN(F46*(1+F$8),MAX(R47,$B$11-SUM(X47:AA47)-SUM(S47:W47)))</f>
        <v>0</v>
      </c>
      <c r="AC47" s="27" t="n">
        <f aca="false">MIN(G46*(1+G$8),MAX(S47,$B$11-SUM(X47:AB47)-SUM(T47:W47)))</f>
        <v>0</v>
      </c>
      <c r="AD47" s="27" t="n">
        <f aca="false">MIN(H46*(1+H$8),MAX(T47,$B$11-SUM(X47:AC47)-SUM(U47:W47)))</f>
        <v>0</v>
      </c>
      <c r="AE47" s="27" t="n">
        <f aca="false">MIN(I46*(1+I$8),MAX(U47,$B$11-SUM(X47:AD47)-SUM(V47:W47)))</f>
        <v>0</v>
      </c>
      <c r="AF47" s="27" t="n">
        <f aca="false">MIN(J46*(1+J$8),MAX(V47,$B$11-SUM(X47:AE47)-SUM(W47:W47)))</f>
        <v>0</v>
      </c>
      <c r="AG47" s="27" t="n">
        <f aca="false">MIN(K46*(1+K$8),MAX(W47,$B$11-SUM(X47:AF47)))</f>
        <v>0</v>
      </c>
      <c r="AI47" s="27" t="n">
        <f aca="false">ROUND(MAX(0,AI46*(1+B$8)-BE47),2)</f>
        <v>0</v>
      </c>
      <c r="AJ47" s="27" t="n">
        <f aca="false">ROUND(MAX(0,AJ46*(1+C$8)-BF47),2)</f>
        <v>1251.86</v>
      </c>
      <c r="AK47" s="27" t="n">
        <f aca="false">ROUND(MAX(0,AK46*(1+D$8)-BG47),2)</f>
        <v>3197.54</v>
      </c>
      <c r="AL47" s="27" t="n">
        <f aca="false">ROUND(MAX(0,AL46*(1+E$8)-BH47),2)</f>
        <v>128.36</v>
      </c>
      <c r="AM47" s="27" t="n">
        <f aca="false">ROUND(MAX(0,AM46*(1+F$8)-BI47),2)</f>
        <v>0</v>
      </c>
      <c r="AN47" s="27" t="n">
        <f aca="false">ROUND(MAX(0,AN46*(1+G$8)-BJ47),2)</f>
        <v>0</v>
      </c>
      <c r="AO47" s="27" t="n">
        <f aca="false">ROUND(MAX(0,AO46*(1+H$8)-BK47),2)</f>
        <v>0</v>
      </c>
      <c r="AP47" s="27" t="n">
        <f aca="false">ROUND(MAX(0,AP46*(1+I$8)-BL47),2)</f>
        <v>0</v>
      </c>
      <c r="AQ47" s="27" t="n">
        <f aca="false">ROUND(MAX(0,AQ46*(1+J$8)-BM47),2)</f>
        <v>0</v>
      </c>
      <c r="AR47" s="27" t="n">
        <f aca="false">ROUND(MAX(0,AR46*(1+K$8)-BN47),2)</f>
        <v>0</v>
      </c>
      <c r="AS47" s="27" t="n">
        <f aca="false">SUM(AI47:AR47)</f>
        <v>4577.76</v>
      </c>
      <c r="AT47" s="27" t="n">
        <f aca="false">SUMPRODUCT(AI46:AR46,$B$8:$K$8)</f>
        <v>89.87981</v>
      </c>
      <c r="AU47" s="27" t="n">
        <f aca="false">MIN(AI46*(1+B$8),B$9)</f>
        <v>0</v>
      </c>
      <c r="AV47" s="27" t="n">
        <f aca="false">MIN(AJ46*(1+C$8),C$9)</f>
        <v>75</v>
      </c>
      <c r="AW47" s="27" t="n">
        <f aca="false">MIN(AK46*(1+D$8),D$9)</f>
        <v>95</v>
      </c>
      <c r="AX47" s="27" t="n">
        <f aca="false">MIN(AL46*(1+E$8),E$9)</f>
        <v>310</v>
      </c>
      <c r="AY47" s="27" t="n">
        <f aca="false">MIN(AM46*(1+F$8),F$9)</f>
        <v>0</v>
      </c>
      <c r="AZ47" s="27" t="n">
        <f aca="false">MIN(AN46*(1+G$8),G$9)</f>
        <v>0</v>
      </c>
      <c r="BA47" s="27" t="n">
        <f aca="false">MIN(AO46*(1+H$8),H$9)</f>
        <v>0</v>
      </c>
      <c r="BB47" s="27" t="n">
        <f aca="false">MIN(AP46*(1+I$8),I$9)</f>
        <v>0</v>
      </c>
      <c r="BC47" s="27" t="n">
        <f aca="false">MIN(AQ46*(1+J$8),J$9)</f>
        <v>0</v>
      </c>
      <c r="BD47" s="27" t="n">
        <f aca="false">MIN(AR46*(1+K$8),K$9)</f>
        <v>0</v>
      </c>
      <c r="BE47" s="27" t="n">
        <f aca="false">MIN(AI46*(1+B$8),MAX(AU47,$B$12-SUM(AV47:BD47)))</f>
        <v>0</v>
      </c>
      <c r="BF47" s="27" t="n">
        <f aca="false">MIN(AJ46*(1+C$8),MAX(AV47,$B$12-SUM(BE47:BE47)-SUM(AW47:BD47)))</f>
        <v>160</v>
      </c>
      <c r="BG47" s="27" t="n">
        <f aca="false">MIN(AK46*(1+D$8),MAX(AW47,$B$12-SUM(BE47:BF47)-SUM(AX47:BD47)))</f>
        <v>95</v>
      </c>
      <c r="BH47" s="27" t="n">
        <f aca="false">MIN(AL46*(1+E$8),MAX(AX47,$B$12-SUM(BE47:BG47)-SUM(AY47:BD47)))</f>
        <v>310</v>
      </c>
      <c r="BI47" s="27" t="n">
        <f aca="false">MIN(AM46*(1+F$8),MAX(AY47,$B$12-SUM(BE47:BH47)-SUM(AZ47:BD47)))</f>
        <v>0</v>
      </c>
      <c r="BJ47" s="27" t="n">
        <f aca="false">MIN(AN46*(1+G$8),MAX(AZ47,$B$12-SUM(BE47:BI47)-SUM(BA47:BD47)))</f>
        <v>0</v>
      </c>
      <c r="BK47" s="27" t="n">
        <f aca="false">MIN(AO46*(1+H$8),MAX(BA47,$B$12-SUM(BE47:BJ47)-SUM(BB47:BD47)))</f>
        <v>0</v>
      </c>
      <c r="BL47" s="27" t="n">
        <f aca="false">MIN(AP46*(1+I$8),MAX(BB47,$B$12-SUM(BE47:BK47)-SUM(BC47:BD47)))</f>
        <v>0</v>
      </c>
      <c r="BM47" s="27" t="n">
        <f aca="false">MIN(AQ46*(1+J$8),MAX(BC47,$B$12-SUM(BE47:BL47)-SUM(BD47:BD47)))</f>
        <v>0</v>
      </c>
      <c r="BN47" s="27" t="n">
        <f aca="false">MIN(AR46*(1+K$8),MAX(BD47,$B$12-SUM(BE47:BM47)))</f>
        <v>0</v>
      </c>
    </row>
    <row r="48" customFormat="false" ht="15" hidden="false" customHeight="false" outlineLevel="0" collapsed="false">
      <c r="A48" s="0" t="n">
        <v>34</v>
      </c>
      <c r="B48" s="27" t="n">
        <f aca="false">ROUND(MAX(0,B47*(1+B$8)-X48),2)</f>
        <v>0</v>
      </c>
      <c r="C48" s="27" t="n">
        <f aca="false">ROUND(MAX(0,C47*(1+C$8)-Y48),2)</f>
        <v>0</v>
      </c>
      <c r="D48" s="27" t="n">
        <f aca="false">ROUND(MAX(0,D47*(1+D$8)-Z48),2)</f>
        <v>0</v>
      </c>
      <c r="E48" s="27" t="n">
        <f aca="false">ROUND(MAX(0,E47*(1+E$8)-AA48),2)</f>
        <v>0</v>
      </c>
      <c r="F48" s="27" t="n">
        <f aca="false">ROUND(MAX(0,F47*(1+F$8)-AB48),2)</f>
        <v>0</v>
      </c>
      <c r="G48" s="27" t="n">
        <f aca="false">ROUND(MAX(0,G47*(1+G$8)-AC48),2)</f>
        <v>0</v>
      </c>
      <c r="H48" s="27" t="n">
        <f aca="false">ROUND(MAX(0,H47*(1+H$8)-AD48),2)</f>
        <v>0</v>
      </c>
      <c r="I48" s="27" t="n">
        <f aca="false">ROUND(MAX(0,I47*(1+I$8)-AE48),2)</f>
        <v>0</v>
      </c>
      <c r="J48" s="27" t="n">
        <f aca="false">ROUND(MAX(0,J47*(1+J$8)-AF48),2)</f>
        <v>0</v>
      </c>
      <c r="K48" s="27" t="n">
        <f aca="false">ROUND(MAX(0,K47*(1+K$8)-AG48),2)</f>
        <v>0</v>
      </c>
      <c r="L48" s="30" t="n">
        <f aca="false">SUM(B48:K48)</f>
        <v>0</v>
      </c>
      <c r="M48" s="27" t="n">
        <f aca="false">SUMPRODUCT(B47:K47,$B$8:$K$8)</f>
        <v>0</v>
      </c>
      <c r="N48" s="27" t="n">
        <f aca="false">MIN(B47*(1+B$8),B$9)</f>
        <v>0</v>
      </c>
      <c r="O48" s="27" t="n">
        <f aca="false">MIN(C47*(1+C$8),C$9)</f>
        <v>0</v>
      </c>
      <c r="P48" s="27" t="n">
        <f aca="false">MIN(D47*(1+D$8),D$9)</f>
        <v>0</v>
      </c>
      <c r="Q48" s="27" t="n">
        <f aca="false">MIN(E47*(1+E$8),E$9)</f>
        <v>0</v>
      </c>
      <c r="R48" s="27" t="n">
        <f aca="false">MIN(F47*(1+F$8),F$9)</f>
        <v>0</v>
      </c>
      <c r="S48" s="27" t="n">
        <f aca="false">MIN(G47*(1+G$8),G$9)</f>
        <v>0</v>
      </c>
      <c r="T48" s="27" t="n">
        <f aca="false">MIN(H47*(1+H$8),H$9)</f>
        <v>0</v>
      </c>
      <c r="U48" s="27" t="n">
        <f aca="false">MIN(I47*(1+I$8),I$9)</f>
        <v>0</v>
      </c>
      <c r="V48" s="27" t="n">
        <f aca="false">MIN(J47*(1+J$8),J$9)</f>
        <v>0</v>
      </c>
      <c r="W48" s="27" t="n">
        <f aca="false">MIN(K47*(1+K$8),K$9)</f>
        <v>0</v>
      </c>
      <c r="X48" s="27" t="n">
        <f aca="false">MIN(B47*(1+B$8),MAX(N48,$B$11-SUM(O48:W48)))</f>
        <v>0</v>
      </c>
      <c r="Y48" s="27" t="n">
        <f aca="false">MIN(C47*(1+C$8),MAX(O48,$B$11-SUM(X48:X48)-SUM(P48:W48)))</f>
        <v>0</v>
      </c>
      <c r="Z48" s="27" t="n">
        <f aca="false">MIN(D47*(1+D$8),MAX(P48,$B$11-SUM(X48:Y48)-SUM(Q48:W48)))</f>
        <v>0</v>
      </c>
      <c r="AA48" s="27" t="n">
        <f aca="false">MIN(E47*(1+E$8),MAX(Q48,$B$11-SUM(X48:Z48)-SUM(R48:W48)))</f>
        <v>0</v>
      </c>
      <c r="AB48" s="27" t="n">
        <f aca="false">MIN(F47*(1+F$8),MAX(R48,$B$11-SUM(X48:AA48)-SUM(S48:W48)))</f>
        <v>0</v>
      </c>
      <c r="AC48" s="27" t="n">
        <f aca="false">MIN(G47*(1+G$8),MAX(S48,$B$11-SUM(X48:AB48)-SUM(T48:W48)))</f>
        <v>0</v>
      </c>
      <c r="AD48" s="27" t="n">
        <f aca="false">MIN(H47*(1+H$8),MAX(T48,$B$11-SUM(X48:AC48)-SUM(U48:W48)))</f>
        <v>0</v>
      </c>
      <c r="AE48" s="27" t="n">
        <f aca="false">MIN(I47*(1+I$8),MAX(U48,$B$11-SUM(X48:AD48)-SUM(V48:W48)))</f>
        <v>0</v>
      </c>
      <c r="AF48" s="27" t="n">
        <f aca="false">MIN(J47*(1+J$8),MAX(V48,$B$11-SUM(X48:AE48)-SUM(W48:W48)))</f>
        <v>0</v>
      </c>
      <c r="AG48" s="27" t="n">
        <f aca="false">MIN(K47*(1+K$8),MAX(W48,$B$11-SUM(X48:AF48)))</f>
        <v>0</v>
      </c>
      <c r="AI48" s="27" t="n">
        <f aca="false">ROUND(MAX(0,AI47*(1+B$8)-BE48),2)</f>
        <v>0</v>
      </c>
      <c r="AJ48" s="27" t="n">
        <f aca="false">ROUND(MAX(0,AJ47*(1+C$8)-BF48),2)</f>
        <v>936.62</v>
      </c>
      <c r="AK48" s="27" t="n">
        <f aca="false">ROUND(MAX(0,AK47*(1+D$8)-BG48),2)</f>
        <v>3160.9</v>
      </c>
      <c r="AL48" s="27" t="n">
        <f aca="false">ROUND(MAX(0,AL47*(1+E$8)-BH48),2)</f>
        <v>0</v>
      </c>
      <c r="AM48" s="27" t="n">
        <f aca="false">ROUND(MAX(0,AM47*(1+F$8)-BI48),2)</f>
        <v>0</v>
      </c>
      <c r="AN48" s="27" t="n">
        <f aca="false">ROUND(MAX(0,AN47*(1+G$8)-BJ48),2)</f>
        <v>0</v>
      </c>
      <c r="AO48" s="27" t="n">
        <f aca="false">ROUND(MAX(0,AO47*(1+H$8)-BK48),2)</f>
        <v>0</v>
      </c>
      <c r="AP48" s="27" t="n">
        <f aca="false">ROUND(MAX(0,AP47*(1+I$8)-BL48),2)</f>
        <v>0</v>
      </c>
      <c r="AQ48" s="27" t="n">
        <f aca="false">ROUND(MAX(0,AQ47*(1+J$8)-BM48),2)</f>
        <v>0</v>
      </c>
      <c r="AR48" s="27" t="n">
        <f aca="false">ROUND(MAX(0,AR47*(1+K$8)-BN48),2)</f>
        <v>0</v>
      </c>
      <c r="AS48" s="27" t="n">
        <f aca="false">SUM(AI48:AR48)</f>
        <v>4097.52</v>
      </c>
      <c r="AT48" s="27" t="n">
        <f aca="false">SUMPRODUCT(AI47:AR47,$B$8:$K$8)</f>
        <v>84.756305</v>
      </c>
      <c r="AU48" s="27" t="n">
        <f aca="false">MIN(AI47*(1+B$8),B$9)</f>
        <v>0</v>
      </c>
      <c r="AV48" s="27" t="n">
        <f aca="false">MIN(AJ47*(1+C$8),C$9)</f>
        <v>75</v>
      </c>
      <c r="AW48" s="27" t="n">
        <f aca="false">MIN(AK47*(1+D$8),D$9)</f>
        <v>95</v>
      </c>
      <c r="AX48" s="27" t="n">
        <f aca="false">MIN(AL47*(1+E$8),E$9)</f>
        <v>129.09807</v>
      </c>
      <c r="AY48" s="27" t="n">
        <f aca="false">MIN(AM47*(1+F$8),F$9)</f>
        <v>0</v>
      </c>
      <c r="AZ48" s="27" t="n">
        <f aca="false">MIN(AN47*(1+G$8),G$9)</f>
        <v>0</v>
      </c>
      <c r="BA48" s="27" t="n">
        <f aca="false">MIN(AO47*(1+H$8),H$9)</f>
        <v>0</v>
      </c>
      <c r="BB48" s="27" t="n">
        <f aca="false">MIN(AP47*(1+I$8),I$9)</f>
        <v>0</v>
      </c>
      <c r="BC48" s="27" t="n">
        <f aca="false">MIN(AQ47*(1+J$8),J$9)</f>
        <v>0</v>
      </c>
      <c r="BD48" s="27" t="n">
        <f aca="false">MIN(AR47*(1+K$8),K$9)</f>
        <v>0</v>
      </c>
      <c r="BE48" s="27" t="n">
        <f aca="false">MIN(AI47*(1+B$8),MAX(AU48,$B$12-SUM(AV48:BD48)))</f>
        <v>0</v>
      </c>
      <c r="BF48" s="27" t="n">
        <f aca="false">MIN(AJ47*(1+C$8),MAX(AV48,$B$12-SUM(BE48:BE48)-SUM(AW48:BD48)))</f>
        <v>340.90193</v>
      </c>
      <c r="BG48" s="27" t="n">
        <f aca="false">MIN(AK47*(1+D$8),MAX(AW48,$B$12-SUM(BE48:BF48)-SUM(AX48:BD48)))</f>
        <v>95</v>
      </c>
      <c r="BH48" s="27" t="n">
        <f aca="false">MIN(AL47*(1+E$8),MAX(AX48,$B$12-SUM(BE48:BG48)-SUM(AY48:BD48)))</f>
        <v>129.09807</v>
      </c>
      <c r="BI48" s="27" t="n">
        <f aca="false">MIN(AM47*(1+F$8),MAX(AY48,$B$12-SUM(BE48:BH48)-SUM(AZ48:BD48)))</f>
        <v>0</v>
      </c>
      <c r="BJ48" s="27" t="n">
        <f aca="false">MIN(AN47*(1+G$8),MAX(AZ48,$B$12-SUM(BE48:BI48)-SUM(BA48:BD48)))</f>
        <v>0</v>
      </c>
      <c r="BK48" s="27" t="n">
        <f aca="false">MIN(AO47*(1+H$8),MAX(BA48,$B$12-SUM(BE48:BJ48)-SUM(BB48:BD48)))</f>
        <v>0</v>
      </c>
      <c r="BL48" s="27" t="n">
        <f aca="false">MIN(AP47*(1+I$8),MAX(BB48,$B$12-SUM(BE48:BK48)-SUM(BC48:BD48)))</f>
        <v>0</v>
      </c>
      <c r="BM48" s="27" t="n">
        <f aca="false">MIN(AQ47*(1+J$8),MAX(BC48,$B$12-SUM(BE48:BL48)-SUM(BD48:BD48)))</f>
        <v>0</v>
      </c>
      <c r="BN48" s="27" t="n">
        <f aca="false">MIN(AR47*(1+K$8),MAX(BD48,$B$12-SUM(BE48:BM48)))</f>
        <v>0</v>
      </c>
    </row>
    <row r="49" customFormat="false" ht="15" hidden="false" customHeight="false" outlineLevel="0" collapsed="false">
      <c r="A49" s="0" t="n">
        <v>35</v>
      </c>
      <c r="B49" s="27" t="n">
        <f aca="false">ROUND(MAX(0,B48*(1+B$8)-X49),2)</f>
        <v>0</v>
      </c>
      <c r="C49" s="27" t="n">
        <f aca="false">ROUND(MAX(0,C48*(1+C$8)-Y49),2)</f>
        <v>0</v>
      </c>
      <c r="D49" s="27" t="n">
        <f aca="false">ROUND(MAX(0,D48*(1+D$8)-Z49),2)</f>
        <v>0</v>
      </c>
      <c r="E49" s="27" t="n">
        <f aca="false">ROUND(MAX(0,E48*(1+E$8)-AA49),2)</f>
        <v>0</v>
      </c>
      <c r="F49" s="27" t="n">
        <f aca="false">ROUND(MAX(0,F48*(1+F$8)-AB49),2)</f>
        <v>0</v>
      </c>
      <c r="G49" s="27" t="n">
        <f aca="false">ROUND(MAX(0,G48*(1+G$8)-AC49),2)</f>
        <v>0</v>
      </c>
      <c r="H49" s="27" t="n">
        <f aca="false">ROUND(MAX(0,H48*(1+H$8)-AD49),2)</f>
        <v>0</v>
      </c>
      <c r="I49" s="27" t="n">
        <f aca="false">ROUND(MAX(0,I48*(1+I$8)-AE49),2)</f>
        <v>0</v>
      </c>
      <c r="J49" s="27" t="n">
        <f aca="false">ROUND(MAX(0,J48*(1+J$8)-AF49),2)</f>
        <v>0</v>
      </c>
      <c r="K49" s="27" t="n">
        <f aca="false">ROUND(MAX(0,K48*(1+K$8)-AG49),2)</f>
        <v>0</v>
      </c>
      <c r="L49" s="30" t="n">
        <f aca="false">SUM(B49:K49)</f>
        <v>0</v>
      </c>
      <c r="M49" s="27" t="n">
        <f aca="false">SUMPRODUCT(B48:K48,$B$8:$K$8)</f>
        <v>0</v>
      </c>
      <c r="N49" s="27" t="n">
        <f aca="false">MIN(B48*(1+B$8),B$9)</f>
        <v>0</v>
      </c>
      <c r="O49" s="27" t="n">
        <f aca="false">MIN(C48*(1+C$8),C$9)</f>
        <v>0</v>
      </c>
      <c r="P49" s="27" t="n">
        <f aca="false">MIN(D48*(1+D$8),D$9)</f>
        <v>0</v>
      </c>
      <c r="Q49" s="27" t="n">
        <f aca="false">MIN(E48*(1+E$8),E$9)</f>
        <v>0</v>
      </c>
      <c r="R49" s="27" t="n">
        <f aca="false">MIN(F48*(1+F$8),F$9)</f>
        <v>0</v>
      </c>
      <c r="S49" s="27" t="n">
        <f aca="false">MIN(G48*(1+G$8),G$9)</f>
        <v>0</v>
      </c>
      <c r="T49" s="27" t="n">
        <f aca="false">MIN(H48*(1+H$8),H$9)</f>
        <v>0</v>
      </c>
      <c r="U49" s="27" t="n">
        <f aca="false">MIN(I48*(1+I$8),I$9)</f>
        <v>0</v>
      </c>
      <c r="V49" s="27" t="n">
        <f aca="false">MIN(J48*(1+J$8),J$9)</f>
        <v>0</v>
      </c>
      <c r="W49" s="27" t="n">
        <f aca="false">MIN(K48*(1+K$8),K$9)</f>
        <v>0</v>
      </c>
      <c r="X49" s="27" t="n">
        <f aca="false">MIN(B48*(1+B$8),MAX(N49,$B$11-SUM(O49:W49)))</f>
        <v>0</v>
      </c>
      <c r="Y49" s="27" t="n">
        <f aca="false">MIN(C48*(1+C$8),MAX(O49,$B$11-SUM(X49:X49)-SUM(P49:W49)))</f>
        <v>0</v>
      </c>
      <c r="Z49" s="27" t="n">
        <f aca="false">MIN(D48*(1+D$8),MAX(P49,$B$11-SUM(X49:Y49)-SUM(Q49:W49)))</f>
        <v>0</v>
      </c>
      <c r="AA49" s="27" t="n">
        <f aca="false">MIN(E48*(1+E$8),MAX(Q49,$B$11-SUM(X49:Z49)-SUM(R49:W49)))</f>
        <v>0</v>
      </c>
      <c r="AB49" s="27" t="n">
        <f aca="false">MIN(F48*(1+F$8),MAX(R49,$B$11-SUM(X49:AA49)-SUM(S49:W49)))</f>
        <v>0</v>
      </c>
      <c r="AC49" s="27" t="n">
        <f aca="false">MIN(G48*(1+G$8),MAX(S49,$B$11-SUM(X49:AB49)-SUM(T49:W49)))</f>
        <v>0</v>
      </c>
      <c r="AD49" s="27" t="n">
        <f aca="false">MIN(H48*(1+H$8),MAX(T49,$B$11-SUM(X49:AC49)-SUM(U49:W49)))</f>
        <v>0</v>
      </c>
      <c r="AE49" s="27" t="n">
        <f aca="false">MIN(I48*(1+I$8),MAX(U49,$B$11-SUM(X49:AD49)-SUM(V49:W49)))</f>
        <v>0</v>
      </c>
      <c r="AF49" s="27" t="n">
        <f aca="false">MIN(J48*(1+J$8),MAX(V49,$B$11-SUM(X49:AE49)-SUM(W49:W49)))</f>
        <v>0</v>
      </c>
      <c r="AG49" s="27" t="n">
        <f aca="false">MIN(K48*(1+K$8),MAX(W49,$B$11-SUM(X49:AF49)))</f>
        <v>0</v>
      </c>
      <c r="AI49" s="27" t="n">
        <f aca="false">ROUND(MAX(0,AI48*(1+B$8)-BE49),2)</f>
        <v>0</v>
      </c>
      <c r="AJ49" s="27" t="n">
        <f aca="false">ROUND(MAX(0,AJ48*(1+C$8)-BF49),2)</f>
        <v>485.82</v>
      </c>
      <c r="AK49" s="27" t="n">
        <f aca="false">ROUND(MAX(0,AK48*(1+D$8)-BG49),2)</f>
        <v>3123.59</v>
      </c>
      <c r="AL49" s="27" t="n">
        <f aca="false">ROUND(MAX(0,AL48*(1+E$8)-BH49),2)</f>
        <v>0</v>
      </c>
      <c r="AM49" s="27" t="n">
        <f aca="false">ROUND(MAX(0,AM48*(1+F$8)-BI49),2)</f>
        <v>0</v>
      </c>
      <c r="AN49" s="27" t="n">
        <f aca="false">ROUND(MAX(0,AN48*(1+G$8)-BJ49),2)</f>
        <v>0</v>
      </c>
      <c r="AO49" s="27" t="n">
        <f aca="false">ROUND(MAX(0,AO48*(1+H$8)-BK49),2)</f>
        <v>0</v>
      </c>
      <c r="AP49" s="27" t="n">
        <f aca="false">ROUND(MAX(0,AP48*(1+I$8)-BL49),2)</f>
        <v>0</v>
      </c>
      <c r="AQ49" s="27" t="n">
        <f aca="false">ROUND(MAX(0,AQ48*(1+J$8)-BM49),2)</f>
        <v>0</v>
      </c>
      <c r="AR49" s="27" t="n">
        <f aca="false">ROUND(MAX(0,AR48*(1+K$8)-BN49),2)</f>
        <v>0</v>
      </c>
      <c r="AS49" s="27" t="n">
        <f aca="false">SUM(AI49:AR49)</f>
        <v>3609.41</v>
      </c>
      <c r="AT49" s="27" t="n">
        <f aca="false">SUMPRODUCT(AI48:AR48,$B$8:$K$8)</f>
        <v>76.887135</v>
      </c>
      <c r="AU49" s="27" t="n">
        <f aca="false">MIN(AI48*(1+B$8),B$9)</f>
        <v>0</v>
      </c>
      <c r="AV49" s="27" t="n">
        <f aca="false">MIN(AJ48*(1+C$8),C$9)</f>
        <v>75</v>
      </c>
      <c r="AW49" s="27" t="n">
        <f aca="false">MIN(AK48*(1+D$8),D$9)</f>
        <v>95</v>
      </c>
      <c r="AX49" s="27" t="n">
        <f aca="false">MIN(AL48*(1+E$8),E$9)</f>
        <v>0</v>
      </c>
      <c r="AY49" s="27" t="n">
        <f aca="false">MIN(AM48*(1+F$8),F$9)</f>
        <v>0</v>
      </c>
      <c r="AZ49" s="27" t="n">
        <f aca="false">MIN(AN48*(1+G$8),G$9)</f>
        <v>0</v>
      </c>
      <c r="BA49" s="27" t="n">
        <f aca="false">MIN(AO48*(1+H$8),H$9)</f>
        <v>0</v>
      </c>
      <c r="BB49" s="27" t="n">
        <f aca="false">MIN(AP48*(1+I$8),I$9)</f>
        <v>0</v>
      </c>
      <c r="BC49" s="27" t="n">
        <f aca="false">MIN(AQ48*(1+J$8),J$9)</f>
        <v>0</v>
      </c>
      <c r="BD49" s="27" t="n">
        <f aca="false">MIN(AR48*(1+K$8),K$9)</f>
        <v>0</v>
      </c>
      <c r="BE49" s="27" t="n">
        <f aca="false">MIN(AI48*(1+B$8),MAX(AU49,$B$12-SUM(AV49:BD49)))</f>
        <v>0</v>
      </c>
      <c r="BF49" s="27" t="n">
        <f aca="false">MIN(AJ48*(1+C$8),MAX(AV49,$B$12-SUM(BE49:BE49)-SUM(AW49:BD49)))</f>
        <v>470</v>
      </c>
      <c r="BG49" s="27" t="n">
        <f aca="false">MIN(AK48*(1+D$8),MAX(AW49,$B$12-SUM(BE49:BF49)-SUM(AX49:BD49)))</f>
        <v>95</v>
      </c>
      <c r="BH49" s="27" t="n">
        <f aca="false">MIN(AL48*(1+E$8),MAX(AX49,$B$12-SUM(BE49:BG49)-SUM(AY49:BD49)))</f>
        <v>0</v>
      </c>
      <c r="BI49" s="27" t="n">
        <f aca="false">MIN(AM48*(1+F$8),MAX(AY49,$B$12-SUM(BE49:BH49)-SUM(AZ49:BD49)))</f>
        <v>0</v>
      </c>
      <c r="BJ49" s="27" t="n">
        <f aca="false">MIN(AN48*(1+G$8),MAX(AZ49,$B$12-SUM(BE49:BI49)-SUM(BA49:BD49)))</f>
        <v>0</v>
      </c>
      <c r="BK49" s="27" t="n">
        <f aca="false">MIN(AO48*(1+H$8),MAX(BA49,$B$12-SUM(BE49:BJ49)-SUM(BB49:BD49)))</f>
        <v>0</v>
      </c>
      <c r="BL49" s="27" t="n">
        <f aca="false">MIN(AP48*(1+I$8),MAX(BB49,$B$12-SUM(BE49:BK49)-SUM(BC49:BD49)))</f>
        <v>0</v>
      </c>
      <c r="BM49" s="27" t="n">
        <f aca="false">MIN(AQ48*(1+J$8),MAX(BC49,$B$12-SUM(BE49:BL49)-SUM(BD49:BD49)))</f>
        <v>0</v>
      </c>
      <c r="BN49" s="27" t="n">
        <f aca="false">MIN(AR48*(1+K$8),MAX(BD49,$B$12-SUM(BE49:BM49)))</f>
        <v>0</v>
      </c>
    </row>
    <row r="50" customFormat="false" ht="15" hidden="false" customHeight="false" outlineLevel="0" collapsed="false">
      <c r="A50" s="0" t="n">
        <v>36</v>
      </c>
      <c r="B50" s="27" t="n">
        <f aca="false">ROUND(MAX(0,B49*(1+B$8)-X50),2)</f>
        <v>0</v>
      </c>
      <c r="C50" s="27" t="n">
        <f aca="false">ROUND(MAX(0,C49*(1+C$8)-Y50),2)</f>
        <v>0</v>
      </c>
      <c r="D50" s="27" t="n">
        <f aca="false">ROUND(MAX(0,D49*(1+D$8)-Z50),2)</f>
        <v>0</v>
      </c>
      <c r="E50" s="27" t="n">
        <f aca="false">ROUND(MAX(0,E49*(1+E$8)-AA50),2)</f>
        <v>0</v>
      </c>
      <c r="F50" s="27" t="n">
        <f aca="false">ROUND(MAX(0,F49*(1+F$8)-AB50),2)</f>
        <v>0</v>
      </c>
      <c r="G50" s="27" t="n">
        <f aca="false">ROUND(MAX(0,G49*(1+G$8)-AC50),2)</f>
        <v>0</v>
      </c>
      <c r="H50" s="27" t="n">
        <f aca="false">ROUND(MAX(0,H49*(1+H$8)-AD50),2)</f>
        <v>0</v>
      </c>
      <c r="I50" s="27" t="n">
        <f aca="false">ROUND(MAX(0,I49*(1+I$8)-AE50),2)</f>
        <v>0</v>
      </c>
      <c r="J50" s="27" t="n">
        <f aca="false">ROUND(MAX(0,J49*(1+J$8)-AF50),2)</f>
        <v>0</v>
      </c>
      <c r="K50" s="27" t="n">
        <f aca="false">ROUND(MAX(0,K49*(1+K$8)-AG50),2)</f>
        <v>0</v>
      </c>
      <c r="L50" s="30" t="n">
        <f aca="false">SUM(B50:K50)</f>
        <v>0</v>
      </c>
      <c r="M50" s="27" t="n">
        <f aca="false">SUMPRODUCT(B49:K49,$B$8:$K$8)</f>
        <v>0</v>
      </c>
      <c r="N50" s="27" t="n">
        <f aca="false">MIN(B49*(1+B$8),B$9)</f>
        <v>0</v>
      </c>
      <c r="O50" s="27" t="n">
        <f aca="false">MIN(C49*(1+C$8),C$9)</f>
        <v>0</v>
      </c>
      <c r="P50" s="27" t="n">
        <f aca="false">MIN(D49*(1+D$8),D$9)</f>
        <v>0</v>
      </c>
      <c r="Q50" s="27" t="n">
        <f aca="false">MIN(E49*(1+E$8),E$9)</f>
        <v>0</v>
      </c>
      <c r="R50" s="27" t="n">
        <f aca="false">MIN(F49*(1+F$8),F$9)</f>
        <v>0</v>
      </c>
      <c r="S50" s="27" t="n">
        <f aca="false">MIN(G49*(1+G$8),G$9)</f>
        <v>0</v>
      </c>
      <c r="T50" s="27" t="n">
        <f aca="false">MIN(H49*(1+H$8),H$9)</f>
        <v>0</v>
      </c>
      <c r="U50" s="27" t="n">
        <f aca="false">MIN(I49*(1+I$8),I$9)</f>
        <v>0</v>
      </c>
      <c r="V50" s="27" t="n">
        <f aca="false">MIN(J49*(1+J$8),J$9)</f>
        <v>0</v>
      </c>
      <c r="W50" s="27" t="n">
        <f aca="false">MIN(K49*(1+K$8),K$9)</f>
        <v>0</v>
      </c>
      <c r="X50" s="27" t="n">
        <f aca="false">MIN(B49*(1+B$8),MAX(N50,$B$11-SUM(O50:W50)))</f>
        <v>0</v>
      </c>
      <c r="Y50" s="27" t="n">
        <f aca="false">MIN(C49*(1+C$8),MAX(O50,$B$11-SUM(X50:X50)-SUM(P50:W50)))</f>
        <v>0</v>
      </c>
      <c r="Z50" s="27" t="n">
        <f aca="false">MIN(D49*(1+D$8),MAX(P50,$B$11-SUM(X50:Y50)-SUM(Q50:W50)))</f>
        <v>0</v>
      </c>
      <c r="AA50" s="27" t="n">
        <f aca="false">MIN(E49*(1+E$8),MAX(Q50,$B$11-SUM(X50:Z50)-SUM(R50:W50)))</f>
        <v>0</v>
      </c>
      <c r="AB50" s="27" t="n">
        <f aca="false">MIN(F49*(1+F$8),MAX(R50,$B$11-SUM(X50:AA50)-SUM(S50:W50)))</f>
        <v>0</v>
      </c>
      <c r="AC50" s="27" t="n">
        <f aca="false">MIN(G49*(1+G$8),MAX(S50,$B$11-SUM(X50:AB50)-SUM(T50:W50)))</f>
        <v>0</v>
      </c>
      <c r="AD50" s="27" t="n">
        <f aca="false">MIN(H49*(1+H$8),MAX(T50,$B$11-SUM(X50:AC50)-SUM(U50:W50)))</f>
        <v>0</v>
      </c>
      <c r="AE50" s="27" t="n">
        <f aca="false">MIN(I49*(1+I$8),MAX(U50,$B$11-SUM(X50:AD50)-SUM(V50:W50)))</f>
        <v>0</v>
      </c>
      <c r="AF50" s="27" t="n">
        <f aca="false">MIN(J49*(1+J$8),MAX(V50,$B$11-SUM(X50:AE50)-SUM(W50:W50)))</f>
        <v>0</v>
      </c>
      <c r="AG50" s="27" t="n">
        <f aca="false">MIN(K49*(1+K$8),MAX(W50,$B$11-SUM(X50:AF50)))</f>
        <v>0</v>
      </c>
      <c r="AI50" s="27" t="n">
        <f aca="false">ROUND(MAX(0,AI49*(1+B$8)-BE50),2)</f>
        <v>0</v>
      </c>
      <c r="AJ50" s="27" t="n">
        <f aca="false">ROUND(MAX(0,AJ49*(1+C$8)-BF50),2)</f>
        <v>25.78</v>
      </c>
      <c r="AK50" s="27" t="n">
        <f aca="false">ROUND(MAX(0,AK49*(1+D$8)-BG50),2)</f>
        <v>3085.6</v>
      </c>
      <c r="AL50" s="27" t="n">
        <f aca="false">ROUND(MAX(0,AL49*(1+E$8)-BH50),2)</f>
        <v>0</v>
      </c>
      <c r="AM50" s="27" t="n">
        <f aca="false">ROUND(MAX(0,AM49*(1+F$8)-BI50),2)</f>
        <v>0</v>
      </c>
      <c r="AN50" s="27" t="n">
        <f aca="false">ROUND(MAX(0,AN49*(1+G$8)-BJ50),2)</f>
        <v>0</v>
      </c>
      <c r="AO50" s="27" t="n">
        <f aca="false">ROUND(MAX(0,AO49*(1+H$8)-BK50),2)</f>
        <v>0</v>
      </c>
      <c r="AP50" s="27" t="n">
        <f aca="false">ROUND(MAX(0,AP49*(1+I$8)-BL50),2)</f>
        <v>0</v>
      </c>
      <c r="AQ50" s="27" t="n">
        <f aca="false">ROUND(MAX(0,AQ49*(1+J$8)-BM50),2)</f>
        <v>0</v>
      </c>
      <c r="AR50" s="27" t="n">
        <f aca="false">ROUND(MAX(0,AR49*(1+K$8)-BN50),2)</f>
        <v>0</v>
      </c>
      <c r="AS50" s="27" t="n">
        <f aca="false">SUM(AI50:AR50)</f>
        <v>3111.38</v>
      </c>
      <c r="AT50" s="27" t="n">
        <f aca="false">SUMPRODUCT(AI49:AR49,$B$8:$K$8)</f>
        <v>66.9648275</v>
      </c>
      <c r="AU50" s="27" t="n">
        <f aca="false">MIN(AI49*(1+B$8),B$9)</f>
        <v>0</v>
      </c>
      <c r="AV50" s="27" t="n">
        <f aca="false">MIN(AJ49*(1+C$8),C$9)</f>
        <v>75</v>
      </c>
      <c r="AW50" s="27" t="n">
        <f aca="false">MIN(AK49*(1+D$8),D$9)</f>
        <v>95</v>
      </c>
      <c r="AX50" s="27" t="n">
        <f aca="false">MIN(AL49*(1+E$8),E$9)</f>
        <v>0</v>
      </c>
      <c r="AY50" s="27" t="n">
        <f aca="false">MIN(AM49*(1+F$8),F$9)</f>
        <v>0</v>
      </c>
      <c r="AZ50" s="27" t="n">
        <f aca="false">MIN(AN49*(1+G$8),G$9)</f>
        <v>0</v>
      </c>
      <c r="BA50" s="27" t="n">
        <f aca="false">MIN(AO49*(1+H$8),H$9)</f>
        <v>0</v>
      </c>
      <c r="BB50" s="27" t="n">
        <f aca="false">MIN(AP49*(1+I$8),I$9)</f>
        <v>0</v>
      </c>
      <c r="BC50" s="27" t="n">
        <f aca="false">MIN(AQ49*(1+J$8),J$9)</f>
        <v>0</v>
      </c>
      <c r="BD50" s="27" t="n">
        <f aca="false">MIN(AR49*(1+K$8),K$9)</f>
        <v>0</v>
      </c>
      <c r="BE50" s="27" t="n">
        <f aca="false">MIN(AI49*(1+B$8),MAX(AU50,$B$12-SUM(AV50:BD50)))</f>
        <v>0</v>
      </c>
      <c r="BF50" s="27" t="n">
        <f aca="false">MIN(AJ49*(1+C$8),MAX(AV50,$B$12-SUM(BE50:BE50)-SUM(AW50:BD50)))</f>
        <v>470</v>
      </c>
      <c r="BG50" s="27" t="n">
        <f aca="false">MIN(AK49*(1+D$8),MAX(AW50,$B$12-SUM(BE50:BF50)-SUM(AX50:BD50)))</f>
        <v>95</v>
      </c>
      <c r="BH50" s="27" t="n">
        <f aca="false">MIN(AL49*(1+E$8),MAX(AX50,$B$12-SUM(BE50:BG50)-SUM(AY50:BD50)))</f>
        <v>0</v>
      </c>
      <c r="BI50" s="27" t="n">
        <f aca="false">MIN(AM49*(1+F$8),MAX(AY50,$B$12-SUM(BE50:BH50)-SUM(AZ50:BD50)))</f>
        <v>0</v>
      </c>
      <c r="BJ50" s="27" t="n">
        <f aca="false">MIN(AN49*(1+G$8),MAX(AZ50,$B$12-SUM(BE50:BI50)-SUM(BA50:BD50)))</f>
        <v>0</v>
      </c>
      <c r="BK50" s="27" t="n">
        <f aca="false">MIN(AO49*(1+H$8),MAX(BA50,$B$12-SUM(BE50:BJ50)-SUM(BB50:BD50)))</f>
        <v>0</v>
      </c>
      <c r="BL50" s="27" t="n">
        <f aca="false">MIN(AP49*(1+I$8),MAX(BB50,$B$12-SUM(BE50:BK50)-SUM(BC50:BD50)))</f>
        <v>0</v>
      </c>
      <c r="BM50" s="27" t="n">
        <f aca="false">MIN(AQ49*(1+J$8),MAX(BC50,$B$12-SUM(BE50:BL50)-SUM(BD50:BD50)))</f>
        <v>0</v>
      </c>
      <c r="BN50" s="27" t="n">
        <f aca="false">MIN(AR49*(1+K$8),MAX(BD50,$B$12-SUM(BE50:BM50)))</f>
        <v>0</v>
      </c>
    </row>
    <row r="51" customFormat="false" ht="15" hidden="false" customHeight="false" outlineLevel="0" collapsed="false">
      <c r="A51" s="0" t="n">
        <v>37</v>
      </c>
      <c r="B51" s="27" t="n">
        <f aca="false">ROUND(MAX(0,B50*(1+B$8)-X51),2)</f>
        <v>0</v>
      </c>
      <c r="C51" s="27" t="n">
        <f aca="false">ROUND(MAX(0,C50*(1+C$8)-Y51),2)</f>
        <v>0</v>
      </c>
      <c r="D51" s="27" t="n">
        <f aca="false">ROUND(MAX(0,D50*(1+D$8)-Z51),2)</f>
        <v>0</v>
      </c>
      <c r="E51" s="27" t="n">
        <f aca="false">ROUND(MAX(0,E50*(1+E$8)-AA51),2)</f>
        <v>0</v>
      </c>
      <c r="F51" s="27" t="n">
        <f aca="false">ROUND(MAX(0,F50*(1+F$8)-AB51),2)</f>
        <v>0</v>
      </c>
      <c r="G51" s="27" t="n">
        <f aca="false">ROUND(MAX(0,G50*(1+G$8)-AC51),2)</f>
        <v>0</v>
      </c>
      <c r="H51" s="27" t="n">
        <f aca="false">ROUND(MAX(0,H50*(1+H$8)-AD51),2)</f>
        <v>0</v>
      </c>
      <c r="I51" s="27" t="n">
        <f aca="false">ROUND(MAX(0,I50*(1+I$8)-AE51),2)</f>
        <v>0</v>
      </c>
      <c r="J51" s="27" t="n">
        <f aca="false">ROUND(MAX(0,J50*(1+J$8)-AF51),2)</f>
        <v>0</v>
      </c>
      <c r="K51" s="27" t="n">
        <f aca="false">ROUND(MAX(0,K50*(1+K$8)-AG51),2)</f>
        <v>0</v>
      </c>
      <c r="L51" s="30" t="n">
        <f aca="false">SUM(B51:K51)</f>
        <v>0</v>
      </c>
      <c r="M51" s="27" t="n">
        <f aca="false">SUMPRODUCT(B50:K50,$B$8:$K$8)</f>
        <v>0</v>
      </c>
      <c r="N51" s="27" t="n">
        <f aca="false">MIN(B50*(1+B$8),B$9)</f>
        <v>0</v>
      </c>
      <c r="O51" s="27" t="n">
        <f aca="false">MIN(C50*(1+C$8),C$9)</f>
        <v>0</v>
      </c>
      <c r="P51" s="27" t="n">
        <f aca="false">MIN(D50*(1+D$8),D$9)</f>
        <v>0</v>
      </c>
      <c r="Q51" s="27" t="n">
        <f aca="false">MIN(E50*(1+E$8),E$9)</f>
        <v>0</v>
      </c>
      <c r="R51" s="27" t="n">
        <f aca="false">MIN(F50*(1+F$8),F$9)</f>
        <v>0</v>
      </c>
      <c r="S51" s="27" t="n">
        <f aca="false">MIN(G50*(1+G$8),G$9)</f>
        <v>0</v>
      </c>
      <c r="T51" s="27" t="n">
        <f aca="false">MIN(H50*(1+H$8),H$9)</f>
        <v>0</v>
      </c>
      <c r="U51" s="27" t="n">
        <f aca="false">MIN(I50*(1+I$8),I$9)</f>
        <v>0</v>
      </c>
      <c r="V51" s="27" t="n">
        <f aca="false">MIN(J50*(1+J$8),J$9)</f>
        <v>0</v>
      </c>
      <c r="W51" s="27" t="n">
        <f aca="false">MIN(K50*(1+K$8),K$9)</f>
        <v>0</v>
      </c>
      <c r="X51" s="27" t="n">
        <f aca="false">MIN(B50*(1+B$8),MAX(N51,$B$11-SUM(O51:W51)))</f>
        <v>0</v>
      </c>
      <c r="Y51" s="27" t="n">
        <f aca="false">MIN(C50*(1+C$8),MAX(O51,$B$11-SUM(X51:X51)-SUM(P51:W51)))</f>
        <v>0</v>
      </c>
      <c r="Z51" s="27" t="n">
        <f aca="false">MIN(D50*(1+D$8),MAX(P51,$B$11-SUM(X51:Y51)-SUM(Q51:W51)))</f>
        <v>0</v>
      </c>
      <c r="AA51" s="27" t="n">
        <f aca="false">MIN(E50*(1+E$8),MAX(Q51,$B$11-SUM(X51:Z51)-SUM(R51:W51)))</f>
        <v>0</v>
      </c>
      <c r="AB51" s="27" t="n">
        <f aca="false">MIN(F50*(1+F$8),MAX(R51,$B$11-SUM(X51:AA51)-SUM(S51:W51)))</f>
        <v>0</v>
      </c>
      <c r="AC51" s="27" t="n">
        <f aca="false">MIN(G50*(1+G$8),MAX(S51,$B$11-SUM(X51:AB51)-SUM(T51:W51)))</f>
        <v>0</v>
      </c>
      <c r="AD51" s="27" t="n">
        <f aca="false">MIN(H50*(1+H$8),MAX(T51,$B$11-SUM(X51:AC51)-SUM(U51:W51)))</f>
        <v>0</v>
      </c>
      <c r="AE51" s="27" t="n">
        <f aca="false">MIN(I50*(1+I$8),MAX(U51,$B$11-SUM(X51:AD51)-SUM(V51:W51)))</f>
        <v>0</v>
      </c>
      <c r="AF51" s="27" t="n">
        <f aca="false">MIN(J50*(1+J$8),MAX(V51,$B$11-SUM(X51:AE51)-SUM(W51:W51)))</f>
        <v>0</v>
      </c>
      <c r="AG51" s="27" t="n">
        <f aca="false">MIN(K50*(1+K$8),MAX(W51,$B$11-SUM(X51:AF51)))</f>
        <v>0</v>
      </c>
      <c r="AI51" s="27" t="n">
        <f aca="false">ROUND(MAX(0,AI50*(1+B$8)-BE51),2)</f>
        <v>0</v>
      </c>
      <c r="AJ51" s="27" t="n">
        <f aca="false">ROUND(MAX(0,AJ50*(1+C$8)-BF51),2)</f>
        <v>0</v>
      </c>
      <c r="AK51" s="27" t="n">
        <f aca="false">ROUND(MAX(0,AK50*(1+D$8)-BG51),2)</f>
        <v>2603.22</v>
      </c>
      <c r="AL51" s="27" t="n">
        <f aca="false">ROUND(MAX(0,AL50*(1+E$8)-BH51),2)</f>
        <v>0</v>
      </c>
      <c r="AM51" s="27" t="n">
        <f aca="false">ROUND(MAX(0,AM50*(1+F$8)-BI51),2)</f>
        <v>0</v>
      </c>
      <c r="AN51" s="27" t="n">
        <f aca="false">ROUND(MAX(0,AN50*(1+G$8)-BJ51),2)</f>
        <v>0</v>
      </c>
      <c r="AO51" s="27" t="n">
        <f aca="false">ROUND(MAX(0,AO50*(1+H$8)-BK51),2)</f>
        <v>0</v>
      </c>
      <c r="AP51" s="27" t="n">
        <f aca="false">ROUND(MAX(0,AP50*(1+I$8)-BL51),2)</f>
        <v>0</v>
      </c>
      <c r="AQ51" s="27" t="n">
        <f aca="false">ROUND(MAX(0,AQ50*(1+J$8)-BM51),2)</f>
        <v>0</v>
      </c>
      <c r="AR51" s="27" t="n">
        <f aca="false">ROUND(MAX(0,AR50*(1+K$8)-BN51),2)</f>
        <v>0</v>
      </c>
      <c r="AS51" s="27" t="n">
        <f aca="false">SUM(AI51:AR51)</f>
        <v>2603.22</v>
      </c>
      <c r="AT51" s="27" t="n">
        <f aca="false">SUMPRODUCT(AI50:AR50,$B$8:$K$8)</f>
        <v>56.84069</v>
      </c>
      <c r="AU51" s="27" t="n">
        <f aca="false">MIN(AI50*(1+B$8),B$9)</f>
        <v>0</v>
      </c>
      <c r="AV51" s="27" t="n">
        <f aca="false">MIN(AJ50*(1+C$8),C$9)</f>
        <v>26.30849</v>
      </c>
      <c r="AW51" s="27" t="n">
        <f aca="false">MIN(AK50*(1+D$8),D$9)</f>
        <v>95</v>
      </c>
      <c r="AX51" s="27" t="n">
        <f aca="false">MIN(AL50*(1+E$8),E$9)</f>
        <v>0</v>
      </c>
      <c r="AY51" s="27" t="n">
        <f aca="false">MIN(AM50*(1+F$8),F$9)</f>
        <v>0</v>
      </c>
      <c r="AZ51" s="27" t="n">
        <f aca="false">MIN(AN50*(1+G$8),G$9)</f>
        <v>0</v>
      </c>
      <c r="BA51" s="27" t="n">
        <f aca="false">MIN(AO50*(1+H$8),H$9)</f>
        <v>0</v>
      </c>
      <c r="BB51" s="27" t="n">
        <f aca="false">MIN(AP50*(1+I$8),I$9)</f>
        <v>0</v>
      </c>
      <c r="BC51" s="27" t="n">
        <f aca="false">MIN(AQ50*(1+J$8),J$9)</f>
        <v>0</v>
      </c>
      <c r="BD51" s="27" t="n">
        <f aca="false">MIN(AR50*(1+K$8),K$9)</f>
        <v>0</v>
      </c>
      <c r="BE51" s="27" t="n">
        <f aca="false">MIN(AI50*(1+B$8),MAX(AU51,$B$12-SUM(AV51:BD51)))</f>
        <v>0</v>
      </c>
      <c r="BF51" s="27" t="n">
        <f aca="false">MIN(AJ50*(1+C$8),MAX(AV51,$B$12-SUM(BE51:BE51)-SUM(AW51:BD51)))</f>
        <v>26.30849</v>
      </c>
      <c r="BG51" s="27" t="n">
        <f aca="false">MIN(AK50*(1+D$8),MAX(AW51,$B$12-SUM(BE51:BF51)-SUM(AX51:BD51)))</f>
        <v>538.69151</v>
      </c>
      <c r="BH51" s="27" t="n">
        <f aca="false">MIN(AL50*(1+E$8),MAX(AX51,$B$12-SUM(BE51:BG51)-SUM(AY51:BD51)))</f>
        <v>0</v>
      </c>
      <c r="BI51" s="27" t="n">
        <f aca="false">MIN(AM50*(1+F$8),MAX(AY51,$B$12-SUM(BE51:BH51)-SUM(AZ51:BD51)))</f>
        <v>0</v>
      </c>
      <c r="BJ51" s="27" t="n">
        <f aca="false">MIN(AN50*(1+G$8),MAX(AZ51,$B$12-SUM(BE51:BI51)-SUM(BA51:BD51)))</f>
        <v>0</v>
      </c>
      <c r="BK51" s="27" t="n">
        <f aca="false">MIN(AO50*(1+H$8),MAX(BA51,$B$12-SUM(BE51:BJ51)-SUM(BB51:BD51)))</f>
        <v>0</v>
      </c>
      <c r="BL51" s="27" t="n">
        <f aca="false">MIN(AP50*(1+I$8),MAX(BB51,$B$12-SUM(BE51:BK51)-SUM(BC51:BD51)))</f>
        <v>0</v>
      </c>
      <c r="BM51" s="27" t="n">
        <f aca="false">MIN(AQ50*(1+J$8),MAX(BC51,$B$12-SUM(BE51:BL51)-SUM(BD51:BD51)))</f>
        <v>0</v>
      </c>
      <c r="BN51" s="27" t="n">
        <f aca="false">MIN(AR50*(1+K$8),MAX(BD51,$B$12-SUM(BE51:BM51)))</f>
        <v>0</v>
      </c>
    </row>
    <row r="52" customFormat="false" ht="15" hidden="false" customHeight="false" outlineLevel="0" collapsed="false">
      <c r="A52" s="0" t="n">
        <v>38</v>
      </c>
      <c r="B52" s="27" t="n">
        <f aca="false">ROUND(MAX(0,B51*(1+B$8)-X52),2)</f>
        <v>0</v>
      </c>
      <c r="C52" s="27" t="n">
        <f aca="false">ROUND(MAX(0,C51*(1+C$8)-Y52),2)</f>
        <v>0</v>
      </c>
      <c r="D52" s="27" t="n">
        <f aca="false">ROUND(MAX(0,D51*(1+D$8)-Z52),2)</f>
        <v>0</v>
      </c>
      <c r="E52" s="27" t="n">
        <f aca="false">ROUND(MAX(0,E51*(1+E$8)-AA52),2)</f>
        <v>0</v>
      </c>
      <c r="F52" s="27" t="n">
        <f aca="false">ROUND(MAX(0,F51*(1+F$8)-AB52),2)</f>
        <v>0</v>
      </c>
      <c r="G52" s="27" t="n">
        <f aca="false">ROUND(MAX(0,G51*(1+G$8)-AC52),2)</f>
        <v>0</v>
      </c>
      <c r="H52" s="27" t="n">
        <f aca="false">ROUND(MAX(0,H51*(1+H$8)-AD52),2)</f>
        <v>0</v>
      </c>
      <c r="I52" s="27" t="n">
        <f aca="false">ROUND(MAX(0,I51*(1+I$8)-AE52),2)</f>
        <v>0</v>
      </c>
      <c r="J52" s="27" t="n">
        <f aca="false">ROUND(MAX(0,J51*(1+J$8)-AF52),2)</f>
        <v>0</v>
      </c>
      <c r="K52" s="27" t="n">
        <f aca="false">ROUND(MAX(0,K51*(1+K$8)-AG52),2)</f>
        <v>0</v>
      </c>
      <c r="L52" s="30" t="n">
        <f aca="false">SUM(B52:K52)</f>
        <v>0</v>
      </c>
      <c r="M52" s="27" t="n">
        <f aca="false">SUMPRODUCT(B51:K51,$B$8:$K$8)</f>
        <v>0</v>
      </c>
      <c r="N52" s="27" t="n">
        <f aca="false">MIN(B51*(1+B$8),B$9)</f>
        <v>0</v>
      </c>
      <c r="O52" s="27" t="n">
        <f aca="false">MIN(C51*(1+C$8),C$9)</f>
        <v>0</v>
      </c>
      <c r="P52" s="27" t="n">
        <f aca="false">MIN(D51*(1+D$8),D$9)</f>
        <v>0</v>
      </c>
      <c r="Q52" s="27" t="n">
        <f aca="false">MIN(E51*(1+E$8),E$9)</f>
        <v>0</v>
      </c>
      <c r="R52" s="27" t="n">
        <f aca="false">MIN(F51*(1+F$8),F$9)</f>
        <v>0</v>
      </c>
      <c r="S52" s="27" t="n">
        <f aca="false">MIN(G51*(1+G$8),G$9)</f>
        <v>0</v>
      </c>
      <c r="T52" s="27" t="n">
        <f aca="false">MIN(H51*(1+H$8),H$9)</f>
        <v>0</v>
      </c>
      <c r="U52" s="27" t="n">
        <f aca="false">MIN(I51*(1+I$8),I$9)</f>
        <v>0</v>
      </c>
      <c r="V52" s="27" t="n">
        <f aca="false">MIN(J51*(1+J$8),J$9)</f>
        <v>0</v>
      </c>
      <c r="W52" s="27" t="n">
        <f aca="false">MIN(K51*(1+K$8),K$9)</f>
        <v>0</v>
      </c>
      <c r="X52" s="27" t="n">
        <f aca="false">MIN(B51*(1+B$8),MAX(N52,$B$11-SUM(O52:W52)))</f>
        <v>0</v>
      </c>
      <c r="Y52" s="27" t="n">
        <f aca="false">MIN(C51*(1+C$8),MAX(O52,$B$11-SUM(X52:X52)-SUM(P52:W52)))</f>
        <v>0</v>
      </c>
      <c r="Z52" s="27" t="n">
        <f aca="false">MIN(D51*(1+D$8),MAX(P52,$B$11-SUM(X52:Y52)-SUM(Q52:W52)))</f>
        <v>0</v>
      </c>
      <c r="AA52" s="27" t="n">
        <f aca="false">MIN(E51*(1+E$8),MAX(Q52,$B$11-SUM(X52:Z52)-SUM(R52:W52)))</f>
        <v>0</v>
      </c>
      <c r="AB52" s="27" t="n">
        <f aca="false">MIN(F51*(1+F$8),MAX(R52,$B$11-SUM(X52:AA52)-SUM(S52:W52)))</f>
        <v>0</v>
      </c>
      <c r="AC52" s="27" t="n">
        <f aca="false">MIN(G51*(1+G$8),MAX(S52,$B$11-SUM(X52:AB52)-SUM(T52:W52)))</f>
        <v>0</v>
      </c>
      <c r="AD52" s="27" t="n">
        <f aca="false">MIN(H51*(1+H$8),MAX(T52,$B$11-SUM(X52:AC52)-SUM(U52:W52)))</f>
        <v>0</v>
      </c>
      <c r="AE52" s="27" t="n">
        <f aca="false">MIN(I51*(1+I$8),MAX(U52,$B$11-SUM(X52:AD52)-SUM(V52:W52)))</f>
        <v>0</v>
      </c>
      <c r="AF52" s="27" t="n">
        <f aca="false">MIN(J51*(1+J$8),MAX(V52,$B$11-SUM(X52:AE52)-SUM(W52:W52)))</f>
        <v>0</v>
      </c>
      <c r="AG52" s="27" t="n">
        <f aca="false">MIN(K51*(1+K$8),MAX(W52,$B$11-SUM(X52:AF52)))</f>
        <v>0</v>
      </c>
      <c r="AI52" s="27" t="n">
        <f aca="false">ROUND(MAX(0,AI51*(1+B$8)-BE52),2)</f>
        <v>0</v>
      </c>
      <c r="AJ52" s="27" t="n">
        <f aca="false">ROUND(MAX(0,AJ51*(1+C$8)-BF52),2)</f>
        <v>0</v>
      </c>
      <c r="AK52" s="27" t="n">
        <f aca="false">ROUND(MAX(0,AK51*(1+D$8)-BG52),2)</f>
        <v>2085.73</v>
      </c>
      <c r="AL52" s="27" t="n">
        <f aca="false">ROUND(MAX(0,AL51*(1+E$8)-BH52),2)</f>
        <v>0</v>
      </c>
      <c r="AM52" s="27" t="n">
        <f aca="false">ROUND(MAX(0,AM51*(1+F$8)-BI52),2)</f>
        <v>0</v>
      </c>
      <c r="AN52" s="27" t="n">
        <f aca="false">ROUND(MAX(0,AN51*(1+G$8)-BJ52),2)</f>
        <v>0</v>
      </c>
      <c r="AO52" s="27" t="n">
        <f aca="false">ROUND(MAX(0,AO51*(1+H$8)-BK52),2)</f>
        <v>0</v>
      </c>
      <c r="AP52" s="27" t="n">
        <f aca="false">ROUND(MAX(0,AP51*(1+I$8)-BL52),2)</f>
        <v>0</v>
      </c>
      <c r="AQ52" s="27" t="n">
        <f aca="false">ROUND(MAX(0,AQ51*(1+J$8)-BM52),2)</f>
        <v>0</v>
      </c>
      <c r="AR52" s="27" t="n">
        <f aca="false">ROUND(MAX(0,AR51*(1+K$8)-BN52),2)</f>
        <v>0</v>
      </c>
      <c r="AS52" s="27" t="n">
        <f aca="false">SUM(AI52:AR52)</f>
        <v>2085.73</v>
      </c>
      <c r="AT52" s="27" t="n">
        <f aca="false">SUMPRODUCT(AI51:AR51,$B$8:$K$8)</f>
        <v>47.508765</v>
      </c>
      <c r="AU52" s="27" t="n">
        <f aca="false">MIN(AI51*(1+B$8),B$9)</f>
        <v>0</v>
      </c>
      <c r="AV52" s="27" t="n">
        <f aca="false">MIN(AJ51*(1+C$8),C$9)</f>
        <v>0</v>
      </c>
      <c r="AW52" s="27" t="n">
        <f aca="false">MIN(AK51*(1+D$8),D$9)</f>
        <v>95</v>
      </c>
      <c r="AX52" s="27" t="n">
        <f aca="false">MIN(AL51*(1+E$8),E$9)</f>
        <v>0</v>
      </c>
      <c r="AY52" s="27" t="n">
        <f aca="false">MIN(AM51*(1+F$8),F$9)</f>
        <v>0</v>
      </c>
      <c r="AZ52" s="27" t="n">
        <f aca="false">MIN(AN51*(1+G$8),G$9)</f>
        <v>0</v>
      </c>
      <c r="BA52" s="27" t="n">
        <f aca="false">MIN(AO51*(1+H$8),H$9)</f>
        <v>0</v>
      </c>
      <c r="BB52" s="27" t="n">
        <f aca="false">MIN(AP51*(1+I$8),I$9)</f>
        <v>0</v>
      </c>
      <c r="BC52" s="27" t="n">
        <f aca="false">MIN(AQ51*(1+J$8),J$9)</f>
        <v>0</v>
      </c>
      <c r="BD52" s="27" t="n">
        <f aca="false">MIN(AR51*(1+K$8),K$9)</f>
        <v>0</v>
      </c>
      <c r="BE52" s="27" t="n">
        <f aca="false">MIN(AI51*(1+B$8),MAX(AU52,$B$12-SUM(AV52:BD52)))</f>
        <v>0</v>
      </c>
      <c r="BF52" s="27" t="n">
        <f aca="false">MIN(AJ51*(1+C$8),MAX(AV52,$B$12-SUM(BE52:BE52)-SUM(AW52:BD52)))</f>
        <v>0</v>
      </c>
      <c r="BG52" s="27" t="n">
        <f aca="false">MIN(AK51*(1+D$8),MAX(AW52,$B$12-SUM(BE52:BF52)-SUM(AX52:BD52)))</f>
        <v>565</v>
      </c>
      <c r="BH52" s="27" t="n">
        <f aca="false">MIN(AL51*(1+E$8),MAX(AX52,$B$12-SUM(BE52:BG52)-SUM(AY52:BD52)))</f>
        <v>0</v>
      </c>
      <c r="BI52" s="27" t="n">
        <f aca="false">MIN(AM51*(1+F$8),MAX(AY52,$B$12-SUM(BE52:BH52)-SUM(AZ52:BD52)))</f>
        <v>0</v>
      </c>
      <c r="BJ52" s="27" t="n">
        <f aca="false">MIN(AN51*(1+G$8),MAX(AZ52,$B$12-SUM(BE52:BI52)-SUM(BA52:BD52)))</f>
        <v>0</v>
      </c>
      <c r="BK52" s="27" t="n">
        <f aca="false">MIN(AO51*(1+H$8),MAX(BA52,$B$12-SUM(BE52:BJ52)-SUM(BB52:BD52)))</f>
        <v>0</v>
      </c>
      <c r="BL52" s="27" t="n">
        <f aca="false">MIN(AP51*(1+I$8),MAX(BB52,$B$12-SUM(BE52:BK52)-SUM(BC52:BD52)))</f>
        <v>0</v>
      </c>
      <c r="BM52" s="27" t="n">
        <f aca="false">MIN(AQ51*(1+J$8),MAX(BC52,$B$12-SUM(BE52:BL52)-SUM(BD52:BD52)))</f>
        <v>0</v>
      </c>
      <c r="BN52" s="27" t="n">
        <f aca="false">MIN(AR51*(1+K$8),MAX(BD52,$B$12-SUM(BE52:BM52)))</f>
        <v>0</v>
      </c>
    </row>
    <row r="53" customFormat="false" ht="15" hidden="false" customHeight="false" outlineLevel="0" collapsed="false">
      <c r="A53" s="0" t="n">
        <v>39</v>
      </c>
      <c r="B53" s="27" t="n">
        <f aca="false">ROUND(MAX(0,B52*(1+B$8)-X53),2)</f>
        <v>0</v>
      </c>
      <c r="C53" s="27" t="n">
        <f aca="false">ROUND(MAX(0,C52*(1+C$8)-Y53),2)</f>
        <v>0</v>
      </c>
      <c r="D53" s="27" t="n">
        <f aca="false">ROUND(MAX(0,D52*(1+D$8)-Z53),2)</f>
        <v>0</v>
      </c>
      <c r="E53" s="27" t="n">
        <f aca="false">ROUND(MAX(0,E52*(1+E$8)-AA53),2)</f>
        <v>0</v>
      </c>
      <c r="F53" s="27" t="n">
        <f aca="false">ROUND(MAX(0,F52*(1+F$8)-AB53),2)</f>
        <v>0</v>
      </c>
      <c r="G53" s="27" t="n">
        <f aca="false">ROUND(MAX(0,G52*(1+G$8)-AC53),2)</f>
        <v>0</v>
      </c>
      <c r="H53" s="27" t="n">
        <f aca="false">ROUND(MAX(0,H52*(1+H$8)-AD53),2)</f>
        <v>0</v>
      </c>
      <c r="I53" s="27" t="n">
        <f aca="false">ROUND(MAX(0,I52*(1+I$8)-AE53),2)</f>
        <v>0</v>
      </c>
      <c r="J53" s="27" t="n">
        <f aca="false">ROUND(MAX(0,J52*(1+J$8)-AF53),2)</f>
        <v>0</v>
      </c>
      <c r="K53" s="27" t="n">
        <f aca="false">ROUND(MAX(0,K52*(1+K$8)-AG53),2)</f>
        <v>0</v>
      </c>
      <c r="L53" s="30" t="n">
        <f aca="false">SUM(B53:K53)</f>
        <v>0</v>
      </c>
      <c r="M53" s="27" t="n">
        <f aca="false">SUMPRODUCT(B52:K52,$B$8:$K$8)</f>
        <v>0</v>
      </c>
      <c r="N53" s="27" t="n">
        <f aca="false">MIN(B52*(1+B$8),B$9)</f>
        <v>0</v>
      </c>
      <c r="O53" s="27" t="n">
        <f aca="false">MIN(C52*(1+C$8),C$9)</f>
        <v>0</v>
      </c>
      <c r="P53" s="27" t="n">
        <f aca="false">MIN(D52*(1+D$8),D$9)</f>
        <v>0</v>
      </c>
      <c r="Q53" s="27" t="n">
        <f aca="false">MIN(E52*(1+E$8),E$9)</f>
        <v>0</v>
      </c>
      <c r="R53" s="27" t="n">
        <f aca="false">MIN(F52*(1+F$8),F$9)</f>
        <v>0</v>
      </c>
      <c r="S53" s="27" t="n">
        <f aca="false">MIN(G52*(1+G$8),G$9)</f>
        <v>0</v>
      </c>
      <c r="T53" s="27" t="n">
        <f aca="false">MIN(H52*(1+H$8),H$9)</f>
        <v>0</v>
      </c>
      <c r="U53" s="27" t="n">
        <f aca="false">MIN(I52*(1+I$8),I$9)</f>
        <v>0</v>
      </c>
      <c r="V53" s="27" t="n">
        <f aca="false">MIN(J52*(1+J$8),J$9)</f>
        <v>0</v>
      </c>
      <c r="W53" s="27" t="n">
        <f aca="false">MIN(K52*(1+K$8),K$9)</f>
        <v>0</v>
      </c>
      <c r="X53" s="27" t="n">
        <f aca="false">MIN(B52*(1+B$8),MAX(N53,$B$11-SUM(O53:W53)))</f>
        <v>0</v>
      </c>
      <c r="Y53" s="27" t="n">
        <f aca="false">MIN(C52*(1+C$8),MAX(O53,$B$11-SUM(X53:X53)-SUM(P53:W53)))</f>
        <v>0</v>
      </c>
      <c r="Z53" s="27" t="n">
        <f aca="false">MIN(D52*(1+D$8),MAX(P53,$B$11-SUM(X53:Y53)-SUM(Q53:W53)))</f>
        <v>0</v>
      </c>
      <c r="AA53" s="27" t="n">
        <f aca="false">MIN(E52*(1+E$8),MAX(Q53,$B$11-SUM(X53:Z53)-SUM(R53:W53)))</f>
        <v>0</v>
      </c>
      <c r="AB53" s="27" t="n">
        <f aca="false">MIN(F52*(1+F$8),MAX(R53,$B$11-SUM(X53:AA53)-SUM(S53:W53)))</f>
        <v>0</v>
      </c>
      <c r="AC53" s="27" t="n">
        <f aca="false">MIN(G52*(1+G$8),MAX(S53,$B$11-SUM(X53:AB53)-SUM(T53:W53)))</f>
        <v>0</v>
      </c>
      <c r="AD53" s="27" t="n">
        <f aca="false">MIN(H52*(1+H$8),MAX(T53,$B$11-SUM(X53:AC53)-SUM(U53:W53)))</f>
        <v>0</v>
      </c>
      <c r="AE53" s="27" t="n">
        <f aca="false">MIN(I52*(1+I$8),MAX(U53,$B$11-SUM(X53:AD53)-SUM(V53:W53)))</f>
        <v>0</v>
      </c>
      <c r="AF53" s="27" t="n">
        <f aca="false">MIN(J52*(1+J$8),MAX(V53,$B$11-SUM(X53:AE53)-SUM(W53:W53)))</f>
        <v>0</v>
      </c>
      <c r="AG53" s="27" t="n">
        <f aca="false">MIN(K52*(1+K$8),MAX(W53,$B$11-SUM(X53:AF53)))</f>
        <v>0</v>
      </c>
      <c r="AI53" s="27" t="n">
        <f aca="false">ROUND(MAX(0,AI52*(1+B$8)-BE53),2)</f>
        <v>0</v>
      </c>
      <c r="AJ53" s="27" t="n">
        <f aca="false">ROUND(MAX(0,AJ52*(1+C$8)-BF53),2)</f>
        <v>0</v>
      </c>
      <c r="AK53" s="27" t="n">
        <f aca="false">ROUND(MAX(0,AK52*(1+D$8)-BG53),2)</f>
        <v>1558.79</v>
      </c>
      <c r="AL53" s="27" t="n">
        <f aca="false">ROUND(MAX(0,AL52*(1+E$8)-BH53),2)</f>
        <v>0</v>
      </c>
      <c r="AM53" s="27" t="n">
        <f aca="false">ROUND(MAX(0,AM52*(1+F$8)-BI53),2)</f>
        <v>0</v>
      </c>
      <c r="AN53" s="27" t="n">
        <f aca="false">ROUND(MAX(0,AN52*(1+G$8)-BJ53),2)</f>
        <v>0</v>
      </c>
      <c r="AO53" s="27" t="n">
        <f aca="false">ROUND(MAX(0,AO52*(1+H$8)-BK53),2)</f>
        <v>0</v>
      </c>
      <c r="AP53" s="27" t="n">
        <f aca="false">ROUND(MAX(0,AP52*(1+I$8)-BL53),2)</f>
        <v>0</v>
      </c>
      <c r="AQ53" s="27" t="n">
        <f aca="false">ROUND(MAX(0,AQ52*(1+J$8)-BM53),2)</f>
        <v>0</v>
      </c>
      <c r="AR53" s="27" t="n">
        <f aca="false">ROUND(MAX(0,AR52*(1+K$8)-BN53),2)</f>
        <v>0</v>
      </c>
      <c r="AS53" s="27" t="n">
        <f aca="false">SUM(AI53:AR53)</f>
        <v>1558.79</v>
      </c>
      <c r="AT53" s="27" t="n">
        <f aca="false">SUMPRODUCT(AI52:AR52,$B$8:$K$8)</f>
        <v>38.0645725</v>
      </c>
      <c r="AU53" s="27" t="n">
        <f aca="false">MIN(AI52*(1+B$8),B$9)</f>
        <v>0</v>
      </c>
      <c r="AV53" s="27" t="n">
        <f aca="false">MIN(AJ52*(1+C$8),C$9)</f>
        <v>0</v>
      </c>
      <c r="AW53" s="27" t="n">
        <f aca="false">MIN(AK52*(1+D$8),D$9)</f>
        <v>95</v>
      </c>
      <c r="AX53" s="27" t="n">
        <f aca="false">MIN(AL52*(1+E$8),E$9)</f>
        <v>0</v>
      </c>
      <c r="AY53" s="27" t="n">
        <f aca="false">MIN(AM52*(1+F$8),F$9)</f>
        <v>0</v>
      </c>
      <c r="AZ53" s="27" t="n">
        <f aca="false">MIN(AN52*(1+G$8),G$9)</f>
        <v>0</v>
      </c>
      <c r="BA53" s="27" t="n">
        <f aca="false">MIN(AO52*(1+H$8),H$9)</f>
        <v>0</v>
      </c>
      <c r="BB53" s="27" t="n">
        <f aca="false">MIN(AP52*(1+I$8),I$9)</f>
        <v>0</v>
      </c>
      <c r="BC53" s="27" t="n">
        <f aca="false">MIN(AQ52*(1+J$8),J$9)</f>
        <v>0</v>
      </c>
      <c r="BD53" s="27" t="n">
        <f aca="false">MIN(AR52*(1+K$8),K$9)</f>
        <v>0</v>
      </c>
      <c r="BE53" s="27" t="n">
        <f aca="false">MIN(AI52*(1+B$8),MAX(AU53,$B$12-SUM(AV53:BD53)))</f>
        <v>0</v>
      </c>
      <c r="BF53" s="27" t="n">
        <f aca="false">MIN(AJ52*(1+C$8),MAX(AV53,$B$12-SUM(BE53:BE53)-SUM(AW53:BD53)))</f>
        <v>0</v>
      </c>
      <c r="BG53" s="27" t="n">
        <f aca="false">MIN(AK52*(1+D$8),MAX(AW53,$B$12-SUM(BE53:BF53)-SUM(AX53:BD53)))</f>
        <v>565</v>
      </c>
      <c r="BH53" s="27" t="n">
        <f aca="false">MIN(AL52*(1+E$8),MAX(AX53,$B$12-SUM(BE53:BG53)-SUM(AY53:BD53)))</f>
        <v>0</v>
      </c>
      <c r="BI53" s="27" t="n">
        <f aca="false">MIN(AM52*(1+F$8),MAX(AY53,$B$12-SUM(BE53:BH53)-SUM(AZ53:BD53)))</f>
        <v>0</v>
      </c>
      <c r="BJ53" s="27" t="n">
        <f aca="false">MIN(AN52*(1+G$8),MAX(AZ53,$B$12-SUM(BE53:BI53)-SUM(BA53:BD53)))</f>
        <v>0</v>
      </c>
      <c r="BK53" s="27" t="n">
        <f aca="false">MIN(AO52*(1+H$8),MAX(BA53,$B$12-SUM(BE53:BJ53)-SUM(BB53:BD53)))</f>
        <v>0</v>
      </c>
      <c r="BL53" s="27" t="n">
        <f aca="false">MIN(AP52*(1+I$8),MAX(BB53,$B$12-SUM(BE53:BK53)-SUM(BC53:BD53)))</f>
        <v>0</v>
      </c>
      <c r="BM53" s="27" t="n">
        <f aca="false">MIN(AQ52*(1+J$8),MAX(BC53,$B$12-SUM(BE53:BL53)-SUM(BD53:BD53)))</f>
        <v>0</v>
      </c>
      <c r="BN53" s="27" t="n">
        <f aca="false">MIN(AR52*(1+K$8),MAX(BD53,$B$12-SUM(BE53:BM53)))</f>
        <v>0</v>
      </c>
    </row>
    <row r="54" customFormat="false" ht="15" hidden="false" customHeight="false" outlineLevel="0" collapsed="false">
      <c r="A54" s="0" t="n">
        <v>40</v>
      </c>
      <c r="B54" s="27" t="n">
        <f aca="false">ROUND(MAX(0,B53*(1+B$8)-X54),2)</f>
        <v>0</v>
      </c>
      <c r="C54" s="27" t="n">
        <f aca="false">ROUND(MAX(0,C53*(1+C$8)-Y54),2)</f>
        <v>0</v>
      </c>
      <c r="D54" s="27" t="n">
        <f aca="false">ROUND(MAX(0,D53*(1+D$8)-Z54),2)</f>
        <v>0</v>
      </c>
      <c r="E54" s="27" t="n">
        <f aca="false">ROUND(MAX(0,E53*(1+E$8)-AA54),2)</f>
        <v>0</v>
      </c>
      <c r="F54" s="27" t="n">
        <f aca="false">ROUND(MAX(0,F53*(1+F$8)-AB54),2)</f>
        <v>0</v>
      </c>
      <c r="G54" s="27" t="n">
        <f aca="false">ROUND(MAX(0,G53*(1+G$8)-AC54),2)</f>
        <v>0</v>
      </c>
      <c r="H54" s="27" t="n">
        <f aca="false">ROUND(MAX(0,H53*(1+H$8)-AD54),2)</f>
        <v>0</v>
      </c>
      <c r="I54" s="27" t="n">
        <f aca="false">ROUND(MAX(0,I53*(1+I$8)-AE54),2)</f>
        <v>0</v>
      </c>
      <c r="J54" s="27" t="n">
        <f aca="false">ROUND(MAX(0,J53*(1+J$8)-AF54),2)</f>
        <v>0</v>
      </c>
      <c r="K54" s="27" t="n">
        <f aca="false">ROUND(MAX(0,K53*(1+K$8)-AG54),2)</f>
        <v>0</v>
      </c>
      <c r="L54" s="30" t="n">
        <f aca="false">SUM(B54:K54)</f>
        <v>0</v>
      </c>
      <c r="M54" s="27" t="n">
        <f aca="false">SUMPRODUCT(B53:K53,$B$8:$K$8)</f>
        <v>0</v>
      </c>
      <c r="N54" s="27" t="n">
        <f aca="false">MIN(B53*(1+B$8),B$9)</f>
        <v>0</v>
      </c>
      <c r="O54" s="27" t="n">
        <f aca="false">MIN(C53*(1+C$8),C$9)</f>
        <v>0</v>
      </c>
      <c r="P54" s="27" t="n">
        <f aca="false">MIN(D53*(1+D$8),D$9)</f>
        <v>0</v>
      </c>
      <c r="Q54" s="27" t="n">
        <f aca="false">MIN(E53*(1+E$8),E$9)</f>
        <v>0</v>
      </c>
      <c r="R54" s="27" t="n">
        <f aca="false">MIN(F53*(1+F$8),F$9)</f>
        <v>0</v>
      </c>
      <c r="S54" s="27" t="n">
        <f aca="false">MIN(G53*(1+G$8),G$9)</f>
        <v>0</v>
      </c>
      <c r="T54" s="27" t="n">
        <f aca="false">MIN(H53*(1+H$8),H$9)</f>
        <v>0</v>
      </c>
      <c r="U54" s="27" t="n">
        <f aca="false">MIN(I53*(1+I$8),I$9)</f>
        <v>0</v>
      </c>
      <c r="V54" s="27" t="n">
        <f aca="false">MIN(J53*(1+J$8),J$9)</f>
        <v>0</v>
      </c>
      <c r="W54" s="27" t="n">
        <f aca="false">MIN(K53*(1+K$8),K$9)</f>
        <v>0</v>
      </c>
      <c r="X54" s="27" t="n">
        <f aca="false">MIN(B53*(1+B$8),MAX(N54,$B$11-SUM(O54:W54)))</f>
        <v>0</v>
      </c>
      <c r="Y54" s="27" t="n">
        <f aca="false">MIN(C53*(1+C$8),MAX(O54,$B$11-SUM(X54:X54)-SUM(P54:W54)))</f>
        <v>0</v>
      </c>
      <c r="Z54" s="27" t="n">
        <f aca="false">MIN(D53*(1+D$8),MAX(P54,$B$11-SUM(X54:Y54)-SUM(Q54:W54)))</f>
        <v>0</v>
      </c>
      <c r="AA54" s="27" t="n">
        <f aca="false">MIN(E53*(1+E$8),MAX(Q54,$B$11-SUM(X54:Z54)-SUM(R54:W54)))</f>
        <v>0</v>
      </c>
      <c r="AB54" s="27" t="n">
        <f aca="false">MIN(F53*(1+F$8),MAX(R54,$B$11-SUM(X54:AA54)-SUM(S54:W54)))</f>
        <v>0</v>
      </c>
      <c r="AC54" s="27" t="n">
        <f aca="false">MIN(G53*(1+G$8),MAX(S54,$B$11-SUM(X54:AB54)-SUM(T54:W54)))</f>
        <v>0</v>
      </c>
      <c r="AD54" s="27" t="n">
        <f aca="false">MIN(H53*(1+H$8),MAX(T54,$B$11-SUM(X54:AC54)-SUM(U54:W54)))</f>
        <v>0</v>
      </c>
      <c r="AE54" s="27" t="n">
        <f aca="false">MIN(I53*(1+I$8),MAX(U54,$B$11-SUM(X54:AD54)-SUM(V54:W54)))</f>
        <v>0</v>
      </c>
      <c r="AF54" s="27" t="n">
        <f aca="false">MIN(J53*(1+J$8),MAX(V54,$B$11-SUM(X54:AE54)-SUM(W54:W54)))</f>
        <v>0</v>
      </c>
      <c r="AG54" s="27" t="n">
        <f aca="false">MIN(K53*(1+K$8),MAX(W54,$B$11-SUM(X54:AF54)))</f>
        <v>0</v>
      </c>
      <c r="AI54" s="27" t="n">
        <f aca="false">ROUND(MAX(0,AI53*(1+B$8)-BE54),2)</f>
        <v>0</v>
      </c>
      <c r="AJ54" s="27" t="n">
        <f aca="false">ROUND(MAX(0,AJ53*(1+C$8)-BF54),2)</f>
        <v>0</v>
      </c>
      <c r="AK54" s="27" t="n">
        <f aca="false">ROUND(MAX(0,AK53*(1+D$8)-BG54),2)</f>
        <v>1022.24</v>
      </c>
      <c r="AL54" s="27" t="n">
        <f aca="false">ROUND(MAX(0,AL53*(1+E$8)-BH54),2)</f>
        <v>0</v>
      </c>
      <c r="AM54" s="27" t="n">
        <f aca="false">ROUND(MAX(0,AM53*(1+F$8)-BI54),2)</f>
        <v>0</v>
      </c>
      <c r="AN54" s="27" t="n">
        <f aca="false">ROUND(MAX(0,AN53*(1+G$8)-BJ54),2)</f>
        <v>0</v>
      </c>
      <c r="AO54" s="27" t="n">
        <f aca="false">ROUND(MAX(0,AO53*(1+H$8)-BK54),2)</f>
        <v>0</v>
      </c>
      <c r="AP54" s="27" t="n">
        <f aca="false">ROUND(MAX(0,AP53*(1+I$8)-BL54),2)</f>
        <v>0</v>
      </c>
      <c r="AQ54" s="27" t="n">
        <f aca="false">ROUND(MAX(0,AQ53*(1+J$8)-BM54),2)</f>
        <v>0</v>
      </c>
      <c r="AR54" s="27" t="n">
        <f aca="false">ROUND(MAX(0,AR53*(1+K$8)-BN54),2)</f>
        <v>0</v>
      </c>
      <c r="AS54" s="27" t="n">
        <f aca="false">SUM(AI54:AR54)</f>
        <v>1022.24</v>
      </c>
      <c r="AT54" s="27" t="n">
        <f aca="false">SUMPRODUCT(AI53:AR53,$B$8:$K$8)</f>
        <v>28.4479175</v>
      </c>
      <c r="AU54" s="27" t="n">
        <f aca="false">MIN(AI53*(1+B$8),B$9)</f>
        <v>0</v>
      </c>
      <c r="AV54" s="27" t="n">
        <f aca="false">MIN(AJ53*(1+C$8),C$9)</f>
        <v>0</v>
      </c>
      <c r="AW54" s="27" t="n">
        <f aca="false">MIN(AK53*(1+D$8),D$9)</f>
        <v>95</v>
      </c>
      <c r="AX54" s="27" t="n">
        <f aca="false">MIN(AL53*(1+E$8),E$9)</f>
        <v>0</v>
      </c>
      <c r="AY54" s="27" t="n">
        <f aca="false">MIN(AM53*(1+F$8),F$9)</f>
        <v>0</v>
      </c>
      <c r="AZ54" s="27" t="n">
        <f aca="false">MIN(AN53*(1+G$8),G$9)</f>
        <v>0</v>
      </c>
      <c r="BA54" s="27" t="n">
        <f aca="false">MIN(AO53*(1+H$8),H$9)</f>
        <v>0</v>
      </c>
      <c r="BB54" s="27" t="n">
        <f aca="false">MIN(AP53*(1+I$8),I$9)</f>
        <v>0</v>
      </c>
      <c r="BC54" s="27" t="n">
        <f aca="false">MIN(AQ53*(1+J$8),J$9)</f>
        <v>0</v>
      </c>
      <c r="BD54" s="27" t="n">
        <f aca="false">MIN(AR53*(1+K$8),K$9)</f>
        <v>0</v>
      </c>
      <c r="BE54" s="27" t="n">
        <f aca="false">MIN(AI53*(1+B$8),MAX(AU54,$B$12-SUM(AV54:BD54)))</f>
        <v>0</v>
      </c>
      <c r="BF54" s="27" t="n">
        <f aca="false">MIN(AJ53*(1+C$8),MAX(AV54,$B$12-SUM(BE54:BE54)-SUM(AW54:BD54)))</f>
        <v>0</v>
      </c>
      <c r="BG54" s="27" t="n">
        <f aca="false">MIN(AK53*(1+D$8),MAX(AW54,$B$12-SUM(BE54:BF54)-SUM(AX54:BD54)))</f>
        <v>565</v>
      </c>
      <c r="BH54" s="27" t="n">
        <f aca="false">MIN(AL53*(1+E$8),MAX(AX54,$B$12-SUM(BE54:BG54)-SUM(AY54:BD54)))</f>
        <v>0</v>
      </c>
      <c r="BI54" s="27" t="n">
        <f aca="false">MIN(AM53*(1+F$8),MAX(AY54,$B$12-SUM(BE54:BH54)-SUM(AZ54:BD54)))</f>
        <v>0</v>
      </c>
      <c r="BJ54" s="27" t="n">
        <f aca="false">MIN(AN53*(1+G$8),MAX(AZ54,$B$12-SUM(BE54:BI54)-SUM(BA54:BD54)))</f>
        <v>0</v>
      </c>
      <c r="BK54" s="27" t="n">
        <f aca="false">MIN(AO53*(1+H$8),MAX(BA54,$B$12-SUM(BE54:BJ54)-SUM(BB54:BD54)))</f>
        <v>0</v>
      </c>
      <c r="BL54" s="27" t="n">
        <f aca="false">MIN(AP53*(1+I$8),MAX(BB54,$B$12-SUM(BE54:BK54)-SUM(BC54:BD54)))</f>
        <v>0</v>
      </c>
      <c r="BM54" s="27" t="n">
        <f aca="false">MIN(AQ53*(1+J$8),MAX(BC54,$B$12-SUM(BE54:BL54)-SUM(BD54:BD54)))</f>
        <v>0</v>
      </c>
      <c r="BN54" s="27" t="n">
        <f aca="false">MIN(AR53*(1+K$8),MAX(BD54,$B$12-SUM(BE54:BM54)))</f>
        <v>0</v>
      </c>
    </row>
    <row r="55" customFormat="false" ht="15" hidden="false" customHeight="false" outlineLevel="0" collapsed="false">
      <c r="A55" s="0" t="n">
        <v>41</v>
      </c>
      <c r="B55" s="27" t="n">
        <f aca="false">ROUND(MAX(0,B54*(1+B$8)-X55),2)</f>
        <v>0</v>
      </c>
      <c r="C55" s="27" t="n">
        <f aca="false">ROUND(MAX(0,C54*(1+C$8)-Y55),2)</f>
        <v>0</v>
      </c>
      <c r="D55" s="27" t="n">
        <f aca="false">ROUND(MAX(0,D54*(1+D$8)-Z55),2)</f>
        <v>0</v>
      </c>
      <c r="E55" s="27" t="n">
        <f aca="false">ROUND(MAX(0,E54*(1+E$8)-AA55),2)</f>
        <v>0</v>
      </c>
      <c r="F55" s="27" t="n">
        <f aca="false">ROUND(MAX(0,F54*(1+F$8)-AB55),2)</f>
        <v>0</v>
      </c>
      <c r="G55" s="27" t="n">
        <f aca="false">ROUND(MAX(0,G54*(1+G$8)-AC55),2)</f>
        <v>0</v>
      </c>
      <c r="H55" s="27" t="n">
        <f aca="false">ROUND(MAX(0,H54*(1+H$8)-AD55),2)</f>
        <v>0</v>
      </c>
      <c r="I55" s="27" t="n">
        <f aca="false">ROUND(MAX(0,I54*(1+I$8)-AE55),2)</f>
        <v>0</v>
      </c>
      <c r="J55" s="27" t="n">
        <f aca="false">ROUND(MAX(0,J54*(1+J$8)-AF55),2)</f>
        <v>0</v>
      </c>
      <c r="K55" s="27" t="n">
        <f aca="false">ROUND(MAX(0,K54*(1+K$8)-AG55),2)</f>
        <v>0</v>
      </c>
      <c r="L55" s="30" t="n">
        <f aca="false">SUM(B55:K55)</f>
        <v>0</v>
      </c>
      <c r="M55" s="27" t="n">
        <f aca="false">SUMPRODUCT(B54:K54,$B$8:$K$8)</f>
        <v>0</v>
      </c>
      <c r="N55" s="27" t="n">
        <f aca="false">MIN(B54*(1+B$8),B$9)</f>
        <v>0</v>
      </c>
      <c r="O55" s="27" t="n">
        <f aca="false">MIN(C54*(1+C$8),C$9)</f>
        <v>0</v>
      </c>
      <c r="P55" s="27" t="n">
        <f aca="false">MIN(D54*(1+D$8),D$9)</f>
        <v>0</v>
      </c>
      <c r="Q55" s="27" t="n">
        <f aca="false">MIN(E54*(1+E$8),E$9)</f>
        <v>0</v>
      </c>
      <c r="R55" s="27" t="n">
        <f aca="false">MIN(F54*(1+F$8),F$9)</f>
        <v>0</v>
      </c>
      <c r="S55" s="27" t="n">
        <f aca="false">MIN(G54*(1+G$8),G$9)</f>
        <v>0</v>
      </c>
      <c r="T55" s="27" t="n">
        <f aca="false">MIN(H54*(1+H$8),H$9)</f>
        <v>0</v>
      </c>
      <c r="U55" s="27" t="n">
        <f aca="false">MIN(I54*(1+I$8),I$9)</f>
        <v>0</v>
      </c>
      <c r="V55" s="27" t="n">
        <f aca="false">MIN(J54*(1+J$8),J$9)</f>
        <v>0</v>
      </c>
      <c r="W55" s="27" t="n">
        <f aca="false">MIN(K54*(1+K$8),K$9)</f>
        <v>0</v>
      </c>
      <c r="X55" s="27" t="n">
        <f aca="false">MIN(B54*(1+B$8),MAX(N55,$B$11-SUM(O55:W55)))</f>
        <v>0</v>
      </c>
      <c r="Y55" s="27" t="n">
        <f aca="false">MIN(C54*(1+C$8),MAX(O55,$B$11-SUM(X55:X55)-SUM(P55:W55)))</f>
        <v>0</v>
      </c>
      <c r="Z55" s="27" t="n">
        <f aca="false">MIN(D54*(1+D$8),MAX(P55,$B$11-SUM(X55:Y55)-SUM(Q55:W55)))</f>
        <v>0</v>
      </c>
      <c r="AA55" s="27" t="n">
        <f aca="false">MIN(E54*(1+E$8),MAX(Q55,$B$11-SUM(X55:Z55)-SUM(R55:W55)))</f>
        <v>0</v>
      </c>
      <c r="AB55" s="27" t="n">
        <f aca="false">MIN(F54*(1+F$8),MAX(R55,$B$11-SUM(X55:AA55)-SUM(S55:W55)))</f>
        <v>0</v>
      </c>
      <c r="AC55" s="27" t="n">
        <f aca="false">MIN(G54*(1+G$8),MAX(S55,$B$11-SUM(X55:AB55)-SUM(T55:W55)))</f>
        <v>0</v>
      </c>
      <c r="AD55" s="27" t="n">
        <f aca="false">MIN(H54*(1+H$8),MAX(T55,$B$11-SUM(X55:AC55)-SUM(U55:W55)))</f>
        <v>0</v>
      </c>
      <c r="AE55" s="27" t="n">
        <f aca="false">MIN(I54*(1+I$8),MAX(U55,$B$11-SUM(X55:AD55)-SUM(V55:W55)))</f>
        <v>0</v>
      </c>
      <c r="AF55" s="27" t="n">
        <f aca="false">MIN(J54*(1+J$8),MAX(V55,$B$11-SUM(X55:AE55)-SUM(W55:W55)))</f>
        <v>0</v>
      </c>
      <c r="AG55" s="27" t="n">
        <f aca="false">MIN(K54*(1+K$8),MAX(W55,$B$11-SUM(X55:AF55)))</f>
        <v>0</v>
      </c>
      <c r="AI55" s="27" t="n">
        <f aca="false">ROUND(MAX(0,AI54*(1+B$8)-BE55),2)</f>
        <v>0</v>
      </c>
      <c r="AJ55" s="27" t="n">
        <f aca="false">ROUND(MAX(0,AJ54*(1+C$8)-BF55),2)</f>
        <v>0</v>
      </c>
      <c r="AK55" s="27" t="n">
        <f aca="false">ROUND(MAX(0,AK54*(1+D$8)-BG55),2)</f>
        <v>475.9</v>
      </c>
      <c r="AL55" s="27" t="n">
        <f aca="false">ROUND(MAX(0,AL54*(1+E$8)-BH55),2)</f>
        <v>0</v>
      </c>
      <c r="AM55" s="27" t="n">
        <f aca="false">ROUND(MAX(0,AM54*(1+F$8)-BI55),2)</f>
        <v>0</v>
      </c>
      <c r="AN55" s="27" t="n">
        <f aca="false">ROUND(MAX(0,AN54*(1+G$8)-BJ55),2)</f>
        <v>0</v>
      </c>
      <c r="AO55" s="27" t="n">
        <f aca="false">ROUND(MAX(0,AO54*(1+H$8)-BK55),2)</f>
        <v>0</v>
      </c>
      <c r="AP55" s="27" t="n">
        <f aca="false">ROUND(MAX(0,AP54*(1+I$8)-BL55),2)</f>
        <v>0</v>
      </c>
      <c r="AQ55" s="27" t="n">
        <f aca="false">ROUND(MAX(0,AQ54*(1+J$8)-BM55),2)</f>
        <v>0</v>
      </c>
      <c r="AR55" s="27" t="n">
        <f aca="false">ROUND(MAX(0,AR54*(1+K$8)-BN55),2)</f>
        <v>0</v>
      </c>
      <c r="AS55" s="27" t="n">
        <f aca="false">SUM(AI55:AR55)</f>
        <v>475.9</v>
      </c>
      <c r="AT55" s="27" t="n">
        <f aca="false">SUMPRODUCT(AI54:AR54,$B$8:$K$8)</f>
        <v>18.65588</v>
      </c>
      <c r="AU55" s="27" t="n">
        <f aca="false">MIN(AI54*(1+B$8),B$9)</f>
        <v>0</v>
      </c>
      <c r="AV55" s="27" t="n">
        <f aca="false">MIN(AJ54*(1+C$8),C$9)</f>
        <v>0</v>
      </c>
      <c r="AW55" s="27" t="n">
        <f aca="false">MIN(AK54*(1+D$8),D$9)</f>
        <v>95</v>
      </c>
      <c r="AX55" s="27" t="n">
        <f aca="false">MIN(AL54*(1+E$8),E$9)</f>
        <v>0</v>
      </c>
      <c r="AY55" s="27" t="n">
        <f aca="false">MIN(AM54*(1+F$8),F$9)</f>
        <v>0</v>
      </c>
      <c r="AZ55" s="27" t="n">
        <f aca="false">MIN(AN54*(1+G$8),G$9)</f>
        <v>0</v>
      </c>
      <c r="BA55" s="27" t="n">
        <f aca="false">MIN(AO54*(1+H$8),H$9)</f>
        <v>0</v>
      </c>
      <c r="BB55" s="27" t="n">
        <f aca="false">MIN(AP54*(1+I$8),I$9)</f>
        <v>0</v>
      </c>
      <c r="BC55" s="27" t="n">
        <f aca="false">MIN(AQ54*(1+J$8),J$9)</f>
        <v>0</v>
      </c>
      <c r="BD55" s="27" t="n">
        <f aca="false">MIN(AR54*(1+K$8),K$9)</f>
        <v>0</v>
      </c>
      <c r="BE55" s="27" t="n">
        <f aca="false">MIN(AI54*(1+B$8),MAX(AU55,$B$12-SUM(AV55:BD55)))</f>
        <v>0</v>
      </c>
      <c r="BF55" s="27" t="n">
        <f aca="false">MIN(AJ54*(1+C$8),MAX(AV55,$B$12-SUM(BE55:BE55)-SUM(AW55:BD55)))</f>
        <v>0</v>
      </c>
      <c r="BG55" s="27" t="n">
        <f aca="false">MIN(AK54*(1+D$8),MAX(AW55,$B$12-SUM(BE55:BF55)-SUM(AX55:BD55)))</f>
        <v>565</v>
      </c>
      <c r="BH55" s="27" t="n">
        <f aca="false">MIN(AL54*(1+E$8),MAX(AX55,$B$12-SUM(BE55:BG55)-SUM(AY55:BD55)))</f>
        <v>0</v>
      </c>
      <c r="BI55" s="27" t="n">
        <f aca="false">MIN(AM54*(1+F$8),MAX(AY55,$B$12-SUM(BE55:BH55)-SUM(AZ55:BD55)))</f>
        <v>0</v>
      </c>
      <c r="BJ55" s="27" t="n">
        <f aca="false">MIN(AN54*(1+G$8),MAX(AZ55,$B$12-SUM(BE55:BI55)-SUM(BA55:BD55)))</f>
        <v>0</v>
      </c>
      <c r="BK55" s="27" t="n">
        <f aca="false">MIN(AO54*(1+H$8),MAX(BA55,$B$12-SUM(BE55:BJ55)-SUM(BB55:BD55)))</f>
        <v>0</v>
      </c>
      <c r="BL55" s="27" t="n">
        <f aca="false">MIN(AP54*(1+I$8),MAX(BB55,$B$12-SUM(BE55:BK55)-SUM(BC55:BD55)))</f>
        <v>0</v>
      </c>
      <c r="BM55" s="27" t="n">
        <f aca="false">MIN(AQ54*(1+J$8),MAX(BC55,$B$12-SUM(BE55:BL55)-SUM(BD55:BD55)))</f>
        <v>0</v>
      </c>
      <c r="BN55" s="27" t="n">
        <f aca="false">MIN(AR54*(1+K$8),MAX(BD55,$B$12-SUM(BE55:BM55)))</f>
        <v>0</v>
      </c>
    </row>
    <row r="56" customFormat="false" ht="15" hidden="false" customHeight="false" outlineLevel="0" collapsed="false">
      <c r="A56" s="0" t="n">
        <v>42</v>
      </c>
      <c r="B56" s="27" t="n">
        <f aca="false">ROUND(MAX(0,B55*(1+B$8)-X56),2)</f>
        <v>0</v>
      </c>
      <c r="C56" s="27" t="n">
        <f aca="false">ROUND(MAX(0,C55*(1+C$8)-Y56),2)</f>
        <v>0</v>
      </c>
      <c r="D56" s="27" t="n">
        <f aca="false">ROUND(MAX(0,D55*(1+D$8)-Z56),2)</f>
        <v>0</v>
      </c>
      <c r="E56" s="27" t="n">
        <f aca="false">ROUND(MAX(0,E55*(1+E$8)-AA56),2)</f>
        <v>0</v>
      </c>
      <c r="F56" s="27" t="n">
        <f aca="false">ROUND(MAX(0,F55*(1+F$8)-AB56),2)</f>
        <v>0</v>
      </c>
      <c r="G56" s="27" t="n">
        <f aca="false">ROUND(MAX(0,G55*(1+G$8)-AC56),2)</f>
        <v>0</v>
      </c>
      <c r="H56" s="27" t="n">
        <f aca="false">ROUND(MAX(0,H55*(1+H$8)-AD56),2)</f>
        <v>0</v>
      </c>
      <c r="I56" s="27" t="n">
        <f aca="false">ROUND(MAX(0,I55*(1+I$8)-AE56),2)</f>
        <v>0</v>
      </c>
      <c r="J56" s="27" t="n">
        <f aca="false">ROUND(MAX(0,J55*(1+J$8)-AF56),2)</f>
        <v>0</v>
      </c>
      <c r="K56" s="27" t="n">
        <f aca="false">ROUND(MAX(0,K55*(1+K$8)-AG56),2)</f>
        <v>0</v>
      </c>
      <c r="L56" s="30" t="n">
        <f aca="false">SUM(B56:K56)</f>
        <v>0</v>
      </c>
      <c r="M56" s="27" t="n">
        <f aca="false">SUMPRODUCT(B55:K55,$B$8:$K$8)</f>
        <v>0</v>
      </c>
      <c r="N56" s="27" t="n">
        <f aca="false">MIN(B55*(1+B$8),B$9)</f>
        <v>0</v>
      </c>
      <c r="O56" s="27" t="n">
        <f aca="false">MIN(C55*(1+C$8),C$9)</f>
        <v>0</v>
      </c>
      <c r="P56" s="27" t="n">
        <f aca="false">MIN(D55*(1+D$8),D$9)</f>
        <v>0</v>
      </c>
      <c r="Q56" s="27" t="n">
        <f aca="false">MIN(E55*(1+E$8),E$9)</f>
        <v>0</v>
      </c>
      <c r="R56" s="27" t="n">
        <f aca="false">MIN(F55*(1+F$8),F$9)</f>
        <v>0</v>
      </c>
      <c r="S56" s="27" t="n">
        <f aca="false">MIN(G55*(1+G$8),G$9)</f>
        <v>0</v>
      </c>
      <c r="T56" s="27" t="n">
        <f aca="false">MIN(H55*(1+H$8),H$9)</f>
        <v>0</v>
      </c>
      <c r="U56" s="27" t="n">
        <f aca="false">MIN(I55*(1+I$8),I$9)</f>
        <v>0</v>
      </c>
      <c r="V56" s="27" t="n">
        <f aca="false">MIN(J55*(1+J$8),J$9)</f>
        <v>0</v>
      </c>
      <c r="W56" s="27" t="n">
        <f aca="false">MIN(K55*(1+K$8),K$9)</f>
        <v>0</v>
      </c>
      <c r="X56" s="27" t="n">
        <f aca="false">MIN(B55*(1+B$8),MAX(N56,$B$11-SUM(O56:W56)))</f>
        <v>0</v>
      </c>
      <c r="Y56" s="27" t="n">
        <f aca="false">MIN(C55*(1+C$8),MAX(O56,$B$11-SUM(X56:X56)-SUM(P56:W56)))</f>
        <v>0</v>
      </c>
      <c r="Z56" s="27" t="n">
        <f aca="false">MIN(D55*(1+D$8),MAX(P56,$B$11-SUM(X56:Y56)-SUM(Q56:W56)))</f>
        <v>0</v>
      </c>
      <c r="AA56" s="27" t="n">
        <f aca="false">MIN(E55*(1+E$8),MAX(Q56,$B$11-SUM(X56:Z56)-SUM(R56:W56)))</f>
        <v>0</v>
      </c>
      <c r="AB56" s="27" t="n">
        <f aca="false">MIN(F55*(1+F$8),MAX(R56,$B$11-SUM(X56:AA56)-SUM(S56:W56)))</f>
        <v>0</v>
      </c>
      <c r="AC56" s="27" t="n">
        <f aca="false">MIN(G55*(1+G$8),MAX(S56,$B$11-SUM(X56:AB56)-SUM(T56:W56)))</f>
        <v>0</v>
      </c>
      <c r="AD56" s="27" t="n">
        <f aca="false">MIN(H55*(1+H$8),MAX(T56,$B$11-SUM(X56:AC56)-SUM(U56:W56)))</f>
        <v>0</v>
      </c>
      <c r="AE56" s="27" t="n">
        <f aca="false">MIN(I55*(1+I$8),MAX(U56,$B$11-SUM(X56:AD56)-SUM(V56:W56)))</f>
        <v>0</v>
      </c>
      <c r="AF56" s="27" t="n">
        <f aca="false">MIN(J55*(1+J$8),MAX(V56,$B$11-SUM(X56:AE56)-SUM(W56:W56)))</f>
        <v>0</v>
      </c>
      <c r="AG56" s="27" t="n">
        <f aca="false">MIN(K55*(1+K$8),MAX(W56,$B$11-SUM(X56:AF56)))</f>
        <v>0</v>
      </c>
      <c r="AI56" s="27" t="n">
        <f aca="false">ROUND(MAX(0,AI55*(1+B$8)-BE56),2)</f>
        <v>0</v>
      </c>
      <c r="AJ56" s="27" t="n">
        <f aca="false">ROUND(MAX(0,AJ55*(1+C$8)-BF56),2)</f>
        <v>0</v>
      </c>
      <c r="AK56" s="27" t="n">
        <f aca="false">ROUND(MAX(0,AK55*(1+D$8)-BG56),2)</f>
        <v>0</v>
      </c>
      <c r="AL56" s="27" t="n">
        <f aca="false">ROUND(MAX(0,AL55*(1+E$8)-BH56),2)</f>
        <v>0</v>
      </c>
      <c r="AM56" s="27" t="n">
        <f aca="false">ROUND(MAX(0,AM55*(1+F$8)-BI56),2)</f>
        <v>0</v>
      </c>
      <c r="AN56" s="27" t="n">
        <f aca="false">ROUND(MAX(0,AN55*(1+G$8)-BJ56),2)</f>
        <v>0</v>
      </c>
      <c r="AO56" s="27" t="n">
        <f aca="false">ROUND(MAX(0,AO55*(1+H$8)-BK56),2)</f>
        <v>0</v>
      </c>
      <c r="AP56" s="27" t="n">
        <f aca="false">ROUND(MAX(0,AP55*(1+I$8)-BL56),2)</f>
        <v>0</v>
      </c>
      <c r="AQ56" s="27" t="n">
        <f aca="false">ROUND(MAX(0,AQ55*(1+J$8)-BM56),2)</f>
        <v>0</v>
      </c>
      <c r="AR56" s="27" t="n">
        <f aca="false">ROUND(MAX(0,AR55*(1+K$8)-BN56),2)</f>
        <v>0</v>
      </c>
      <c r="AS56" s="27" t="n">
        <f aca="false">SUM(AI56:AR56)</f>
        <v>0</v>
      </c>
      <c r="AT56" s="27" t="n">
        <f aca="false">SUMPRODUCT(AI55:AR55,$B$8:$K$8)</f>
        <v>8.685175</v>
      </c>
      <c r="AU56" s="27" t="n">
        <f aca="false">MIN(AI55*(1+B$8),B$9)</f>
        <v>0</v>
      </c>
      <c r="AV56" s="27" t="n">
        <f aca="false">MIN(AJ55*(1+C$8),C$9)</f>
        <v>0</v>
      </c>
      <c r="AW56" s="27" t="n">
        <f aca="false">MIN(AK55*(1+D$8),D$9)</f>
        <v>95</v>
      </c>
      <c r="AX56" s="27" t="n">
        <f aca="false">MIN(AL55*(1+E$8),E$9)</f>
        <v>0</v>
      </c>
      <c r="AY56" s="27" t="n">
        <f aca="false">MIN(AM55*(1+F$8),F$9)</f>
        <v>0</v>
      </c>
      <c r="AZ56" s="27" t="n">
        <f aca="false">MIN(AN55*(1+G$8),G$9)</f>
        <v>0</v>
      </c>
      <c r="BA56" s="27" t="n">
        <f aca="false">MIN(AO55*(1+H$8),H$9)</f>
        <v>0</v>
      </c>
      <c r="BB56" s="27" t="n">
        <f aca="false">MIN(AP55*(1+I$8),I$9)</f>
        <v>0</v>
      </c>
      <c r="BC56" s="27" t="n">
        <f aca="false">MIN(AQ55*(1+J$8),J$9)</f>
        <v>0</v>
      </c>
      <c r="BD56" s="27" t="n">
        <f aca="false">MIN(AR55*(1+K$8),K$9)</f>
        <v>0</v>
      </c>
      <c r="BE56" s="27" t="n">
        <f aca="false">MIN(AI55*(1+B$8),MAX(AU56,$B$12-SUM(AV56:BD56)))</f>
        <v>0</v>
      </c>
      <c r="BF56" s="27" t="n">
        <f aca="false">MIN(AJ55*(1+C$8),MAX(AV56,$B$12-SUM(BE56:BE56)-SUM(AW56:BD56)))</f>
        <v>0</v>
      </c>
      <c r="BG56" s="27" t="n">
        <f aca="false">MIN(AK55*(1+D$8),MAX(AW56,$B$12-SUM(BE56:BF56)-SUM(AX56:BD56)))</f>
        <v>484.585175</v>
      </c>
      <c r="BH56" s="27" t="n">
        <f aca="false">MIN(AL55*(1+E$8),MAX(AX56,$B$12-SUM(BE56:BG56)-SUM(AY56:BD56)))</f>
        <v>0</v>
      </c>
      <c r="BI56" s="27" t="n">
        <f aca="false">MIN(AM55*(1+F$8),MAX(AY56,$B$12-SUM(BE56:BH56)-SUM(AZ56:BD56)))</f>
        <v>0</v>
      </c>
      <c r="BJ56" s="27" t="n">
        <f aca="false">MIN(AN55*(1+G$8),MAX(AZ56,$B$12-SUM(BE56:BI56)-SUM(BA56:BD56)))</f>
        <v>0</v>
      </c>
      <c r="BK56" s="27" t="n">
        <f aca="false">MIN(AO55*(1+H$8),MAX(BA56,$B$12-SUM(BE56:BJ56)-SUM(BB56:BD56)))</f>
        <v>0</v>
      </c>
      <c r="BL56" s="27" t="n">
        <f aca="false">MIN(AP55*(1+I$8),MAX(BB56,$B$12-SUM(BE56:BK56)-SUM(BC56:BD56)))</f>
        <v>0</v>
      </c>
      <c r="BM56" s="27" t="n">
        <f aca="false">MIN(AQ55*(1+J$8),MAX(BC56,$B$12-SUM(BE56:BL56)-SUM(BD56:BD56)))</f>
        <v>0</v>
      </c>
      <c r="BN56" s="27" t="n">
        <f aca="false">MIN(AR55*(1+K$8),MAX(BD56,$B$12-SUM(BE56:BM56)))</f>
        <v>0</v>
      </c>
    </row>
    <row r="57" customFormat="false" ht="15" hidden="false" customHeight="false" outlineLevel="0" collapsed="false">
      <c r="A57" s="0" t="n">
        <v>43</v>
      </c>
      <c r="B57" s="27" t="n">
        <f aca="false">ROUND(MAX(0,B56*(1+B$8)-X57),2)</f>
        <v>0</v>
      </c>
      <c r="C57" s="27" t="n">
        <f aca="false">ROUND(MAX(0,C56*(1+C$8)-Y57),2)</f>
        <v>0</v>
      </c>
      <c r="D57" s="27" t="n">
        <f aca="false">ROUND(MAX(0,D56*(1+D$8)-Z57),2)</f>
        <v>0</v>
      </c>
      <c r="E57" s="27" t="n">
        <f aca="false">ROUND(MAX(0,E56*(1+E$8)-AA57),2)</f>
        <v>0</v>
      </c>
      <c r="F57" s="27" t="n">
        <f aca="false">ROUND(MAX(0,F56*(1+F$8)-AB57),2)</f>
        <v>0</v>
      </c>
      <c r="G57" s="27" t="n">
        <f aca="false">ROUND(MAX(0,G56*(1+G$8)-AC57),2)</f>
        <v>0</v>
      </c>
      <c r="H57" s="27" t="n">
        <f aca="false">ROUND(MAX(0,H56*(1+H$8)-AD57),2)</f>
        <v>0</v>
      </c>
      <c r="I57" s="27" t="n">
        <f aca="false">ROUND(MAX(0,I56*(1+I$8)-AE57),2)</f>
        <v>0</v>
      </c>
      <c r="J57" s="27" t="n">
        <f aca="false">ROUND(MAX(0,J56*(1+J$8)-AF57),2)</f>
        <v>0</v>
      </c>
      <c r="K57" s="27" t="n">
        <f aca="false">ROUND(MAX(0,K56*(1+K$8)-AG57),2)</f>
        <v>0</v>
      </c>
      <c r="L57" s="30" t="n">
        <f aca="false">SUM(B57:K57)</f>
        <v>0</v>
      </c>
      <c r="M57" s="27" t="n">
        <f aca="false">SUMPRODUCT(B56:K56,$B$8:$K$8)</f>
        <v>0</v>
      </c>
      <c r="N57" s="27" t="n">
        <f aca="false">MIN(B56*(1+B$8),B$9)</f>
        <v>0</v>
      </c>
      <c r="O57" s="27" t="n">
        <f aca="false">MIN(C56*(1+C$8),C$9)</f>
        <v>0</v>
      </c>
      <c r="P57" s="27" t="n">
        <f aca="false">MIN(D56*(1+D$8),D$9)</f>
        <v>0</v>
      </c>
      <c r="Q57" s="27" t="n">
        <f aca="false">MIN(E56*(1+E$8),E$9)</f>
        <v>0</v>
      </c>
      <c r="R57" s="27" t="n">
        <f aca="false">MIN(F56*(1+F$8),F$9)</f>
        <v>0</v>
      </c>
      <c r="S57" s="27" t="n">
        <f aca="false">MIN(G56*(1+G$8),G$9)</f>
        <v>0</v>
      </c>
      <c r="T57" s="27" t="n">
        <f aca="false">MIN(H56*(1+H$8),H$9)</f>
        <v>0</v>
      </c>
      <c r="U57" s="27" t="n">
        <f aca="false">MIN(I56*(1+I$8),I$9)</f>
        <v>0</v>
      </c>
      <c r="V57" s="27" t="n">
        <f aca="false">MIN(J56*(1+J$8),J$9)</f>
        <v>0</v>
      </c>
      <c r="W57" s="27" t="n">
        <f aca="false">MIN(K56*(1+K$8),K$9)</f>
        <v>0</v>
      </c>
      <c r="X57" s="27" t="n">
        <f aca="false">MIN(B56*(1+B$8),MAX(N57,$B$11-SUM(O57:W57)))</f>
        <v>0</v>
      </c>
      <c r="Y57" s="27" t="n">
        <f aca="false">MIN(C56*(1+C$8),MAX(O57,$B$11-SUM(X57:X57)-SUM(P57:W57)))</f>
        <v>0</v>
      </c>
      <c r="Z57" s="27" t="n">
        <f aca="false">MIN(D56*(1+D$8),MAX(P57,$B$11-SUM(X57:Y57)-SUM(Q57:W57)))</f>
        <v>0</v>
      </c>
      <c r="AA57" s="27" t="n">
        <f aca="false">MIN(E56*(1+E$8),MAX(Q57,$B$11-SUM(X57:Z57)-SUM(R57:W57)))</f>
        <v>0</v>
      </c>
      <c r="AB57" s="27" t="n">
        <f aca="false">MIN(F56*(1+F$8),MAX(R57,$B$11-SUM(X57:AA57)-SUM(S57:W57)))</f>
        <v>0</v>
      </c>
      <c r="AC57" s="27" t="n">
        <f aca="false">MIN(G56*(1+G$8),MAX(S57,$B$11-SUM(X57:AB57)-SUM(T57:W57)))</f>
        <v>0</v>
      </c>
      <c r="AD57" s="27" t="n">
        <f aca="false">MIN(H56*(1+H$8),MAX(T57,$B$11-SUM(X57:AC57)-SUM(U57:W57)))</f>
        <v>0</v>
      </c>
      <c r="AE57" s="27" t="n">
        <f aca="false">MIN(I56*(1+I$8),MAX(U57,$B$11-SUM(X57:AD57)-SUM(V57:W57)))</f>
        <v>0</v>
      </c>
      <c r="AF57" s="27" t="n">
        <f aca="false">MIN(J56*(1+J$8),MAX(V57,$B$11-SUM(X57:AE57)-SUM(W57:W57)))</f>
        <v>0</v>
      </c>
      <c r="AG57" s="27" t="n">
        <f aca="false">MIN(K56*(1+K$8),MAX(W57,$B$11-SUM(X57:AF57)))</f>
        <v>0</v>
      </c>
      <c r="AI57" s="27" t="n">
        <f aca="false">ROUND(MAX(0,AI56*(1+B$8)-BE57),2)</f>
        <v>0</v>
      </c>
      <c r="AJ57" s="27" t="n">
        <f aca="false">ROUND(MAX(0,AJ56*(1+C$8)-BF57),2)</f>
        <v>0</v>
      </c>
      <c r="AK57" s="27" t="n">
        <f aca="false">ROUND(MAX(0,AK56*(1+D$8)-BG57),2)</f>
        <v>0</v>
      </c>
      <c r="AL57" s="27" t="n">
        <f aca="false">ROUND(MAX(0,AL56*(1+E$8)-BH57),2)</f>
        <v>0</v>
      </c>
      <c r="AM57" s="27" t="n">
        <f aca="false">ROUND(MAX(0,AM56*(1+F$8)-BI57),2)</f>
        <v>0</v>
      </c>
      <c r="AN57" s="27" t="n">
        <f aca="false">ROUND(MAX(0,AN56*(1+G$8)-BJ57),2)</f>
        <v>0</v>
      </c>
      <c r="AO57" s="27" t="n">
        <f aca="false">ROUND(MAX(0,AO56*(1+H$8)-BK57),2)</f>
        <v>0</v>
      </c>
      <c r="AP57" s="27" t="n">
        <f aca="false">ROUND(MAX(0,AP56*(1+I$8)-BL57),2)</f>
        <v>0</v>
      </c>
      <c r="AQ57" s="27" t="n">
        <f aca="false">ROUND(MAX(0,AQ56*(1+J$8)-BM57),2)</f>
        <v>0</v>
      </c>
      <c r="AR57" s="27" t="n">
        <f aca="false">ROUND(MAX(0,AR56*(1+K$8)-BN57),2)</f>
        <v>0</v>
      </c>
      <c r="AS57" s="27" t="n">
        <f aca="false">SUM(AI57:AR57)</f>
        <v>0</v>
      </c>
      <c r="AT57" s="27" t="n">
        <f aca="false">SUMPRODUCT(AI56:AR56,$B$8:$K$8)</f>
        <v>0</v>
      </c>
      <c r="AU57" s="27" t="n">
        <f aca="false">MIN(AI56*(1+B$8),B$9)</f>
        <v>0</v>
      </c>
      <c r="AV57" s="27" t="n">
        <f aca="false">MIN(AJ56*(1+C$8),C$9)</f>
        <v>0</v>
      </c>
      <c r="AW57" s="27" t="n">
        <f aca="false">MIN(AK56*(1+D$8),D$9)</f>
        <v>0</v>
      </c>
      <c r="AX57" s="27" t="n">
        <f aca="false">MIN(AL56*(1+E$8),E$9)</f>
        <v>0</v>
      </c>
      <c r="AY57" s="27" t="n">
        <f aca="false">MIN(AM56*(1+F$8),F$9)</f>
        <v>0</v>
      </c>
      <c r="AZ57" s="27" t="n">
        <f aca="false">MIN(AN56*(1+G$8),G$9)</f>
        <v>0</v>
      </c>
      <c r="BA57" s="27" t="n">
        <f aca="false">MIN(AO56*(1+H$8),H$9)</f>
        <v>0</v>
      </c>
      <c r="BB57" s="27" t="n">
        <f aca="false">MIN(AP56*(1+I$8),I$9)</f>
        <v>0</v>
      </c>
      <c r="BC57" s="27" t="n">
        <f aca="false">MIN(AQ56*(1+J$8),J$9)</f>
        <v>0</v>
      </c>
      <c r="BD57" s="27" t="n">
        <f aca="false">MIN(AR56*(1+K$8),K$9)</f>
        <v>0</v>
      </c>
      <c r="BE57" s="27" t="n">
        <f aca="false">MIN(AI56*(1+B$8),MAX(AU57,$B$12-SUM(AV57:BD57)))</f>
        <v>0</v>
      </c>
      <c r="BF57" s="27" t="n">
        <f aca="false">MIN(AJ56*(1+C$8),MAX(AV57,$B$12-SUM(BE57:BE57)-SUM(AW57:BD57)))</f>
        <v>0</v>
      </c>
      <c r="BG57" s="27" t="n">
        <f aca="false">MIN(AK56*(1+D$8),MAX(AW57,$B$12-SUM(BE57:BF57)-SUM(AX57:BD57)))</f>
        <v>0</v>
      </c>
      <c r="BH57" s="27" t="n">
        <f aca="false">MIN(AL56*(1+E$8),MAX(AX57,$B$12-SUM(BE57:BG57)-SUM(AY57:BD57)))</f>
        <v>0</v>
      </c>
      <c r="BI57" s="27" t="n">
        <f aca="false">MIN(AM56*(1+F$8),MAX(AY57,$B$12-SUM(BE57:BH57)-SUM(AZ57:BD57)))</f>
        <v>0</v>
      </c>
      <c r="BJ57" s="27" t="n">
        <f aca="false">MIN(AN56*(1+G$8),MAX(AZ57,$B$12-SUM(BE57:BI57)-SUM(BA57:BD57)))</f>
        <v>0</v>
      </c>
      <c r="BK57" s="27" t="n">
        <f aca="false">MIN(AO56*(1+H$8),MAX(BA57,$B$12-SUM(BE57:BJ57)-SUM(BB57:BD57)))</f>
        <v>0</v>
      </c>
      <c r="BL57" s="27" t="n">
        <f aca="false">MIN(AP56*(1+I$8),MAX(BB57,$B$12-SUM(BE57:BK57)-SUM(BC57:BD57)))</f>
        <v>0</v>
      </c>
      <c r="BM57" s="27" t="n">
        <f aca="false">MIN(AQ56*(1+J$8),MAX(BC57,$B$12-SUM(BE57:BL57)-SUM(BD57:BD57)))</f>
        <v>0</v>
      </c>
      <c r="BN57" s="27" t="n">
        <f aca="false">MIN(AR56*(1+K$8),MAX(BD57,$B$12-SUM(BE57:BM57)))</f>
        <v>0</v>
      </c>
    </row>
    <row r="58" customFormat="false" ht="15" hidden="false" customHeight="false" outlineLevel="0" collapsed="false">
      <c r="A58" s="0" t="n">
        <v>44</v>
      </c>
      <c r="B58" s="27" t="n">
        <f aca="false">ROUND(MAX(0,B57*(1+B$8)-X58),2)</f>
        <v>0</v>
      </c>
      <c r="C58" s="27" t="n">
        <f aca="false">ROUND(MAX(0,C57*(1+C$8)-Y58),2)</f>
        <v>0</v>
      </c>
      <c r="D58" s="27" t="n">
        <f aca="false">ROUND(MAX(0,D57*(1+D$8)-Z58),2)</f>
        <v>0</v>
      </c>
      <c r="E58" s="27" t="n">
        <f aca="false">ROUND(MAX(0,E57*(1+E$8)-AA58),2)</f>
        <v>0</v>
      </c>
      <c r="F58" s="27" t="n">
        <f aca="false">ROUND(MAX(0,F57*(1+F$8)-AB58),2)</f>
        <v>0</v>
      </c>
      <c r="G58" s="27" t="n">
        <f aca="false">ROUND(MAX(0,G57*(1+G$8)-AC58),2)</f>
        <v>0</v>
      </c>
      <c r="H58" s="27" t="n">
        <f aca="false">ROUND(MAX(0,H57*(1+H$8)-AD58),2)</f>
        <v>0</v>
      </c>
      <c r="I58" s="27" t="n">
        <f aca="false">ROUND(MAX(0,I57*(1+I$8)-AE58),2)</f>
        <v>0</v>
      </c>
      <c r="J58" s="27" t="n">
        <f aca="false">ROUND(MAX(0,J57*(1+J$8)-AF58),2)</f>
        <v>0</v>
      </c>
      <c r="K58" s="27" t="n">
        <f aca="false">ROUND(MAX(0,K57*(1+K$8)-AG58),2)</f>
        <v>0</v>
      </c>
      <c r="L58" s="30" t="n">
        <f aca="false">SUM(B58:K58)</f>
        <v>0</v>
      </c>
      <c r="M58" s="27" t="n">
        <f aca="false">SUMPRODUCT(B57:K57,$B$8:$K$8)</f>
        <v>0</v>
      </c>
      <c r="N58" s="27" t="n">
        <f aca="false">MIN(B57*(1+B$8),B$9)</f>
        <v>0</v>
      </c>
      <c r="O58" s="27" t="n">
        <f aca="false">MIN(C57*(1+C$8),C$9)</f>
        <v>0</v>
      </c>
      <c r="P58" s="27" t="n">
        <f aca="false">MIN(D57*(1+D$8),D$9)</f>
        <v>0</v>
      </c>
      <c r="Q58" s="27" t="n">
        <f aca="false">MIN(E57*(1+E$8),E$9)</f>
        <v>0</v>
      </c>
      <c r="R58" s="27" t="n">
        <f aca="false">MIN(F57*(1+F$8),F$9)</f>
        <v>0</v>
      </c>
      <c r="S58" s="27" t="n">
        <f aca="false">MIN(G57*(1+G$8),G$9)</f>
        <v>0</v>
      </c>
      <c r="T58" s="27" t="n">
        <f aca="false">MIN(H57*(1+H$8),H$9)</f>
        <v>0</v>
      </c>
      <c r="U58" s="27" t="n">
        <f aca="false">MIN(I57*(1+I$8),I$9)</f>
        <v>0</v>
      </c>
      <c r="V58" s="27" t="n">
        <f aca="false">MIN(J57*(1+J$8),J$9)</f>
        <v>0</v>
      </c>
      <c r="W58" s="27" t="n">
        <f aca="false">MIN(K57*(1+K$8),K$9)</f>
        <v>0</v>
      </c>
      <c r="X58" s="27" t="n">
        <f aca="false">MIN(B57*(1+B$8),MAX(N58,$B$11-SUM(O58:W58)))</f>
        <v>0</v>
      </c>
      <c r="Y58" s="27" t="n">
        <f aca="false">MIN(C57*(1+C$8),MAX(O58,$B$11-SUM(X58:X58)-SUM(P58:W58)))</f>
        <v>0</v>
      </c>
      <c r="Z58" s="27" t="n">
        <f aca="false">MIN(D57*(1+D$8),MAX(P58,$B$11-SUM(X58:Y58)-SUM(Q58:W58)))</f>
        <v>0</v>
      </c>
      <c r="AA58" s="27" t="n">
        <f aca="false">MIN(E57*(1+E$8),MAX(Q58,$B$11-SUM(X58:Z58)-SUM(R58:W58)))</f>
        <v>0</v>
      </c>
      <c r="AB58" s="27" t="n">
        <f aca="false">MIN(F57*(1+F$8),MAX(R58,$B$11-SUM(X58:AA58)-SUM(S58:W58)))</f>
        <v>0</v>
      </c>
      <c r="AC58" s="27" t="n">
        <f aca="false">MIN(G57*(1+G$8),MAX(S58,$B$11-SUM(X58:AB58)-SUM(T58:W58)))</f>
        <v>0</v>
      </c>
      <c r="AD58" s="27" t="n">
        <f aca="false">MIN(H57*(1+H$8),MAX(T58,$B$11-SUM(X58:AC58)-SUM(U58:W58)))</f>
        <v>0</v>
      </c>
      <c r="AE58" s="27" t="n">
        <f aca="false">MIN(I57*(1+I$8),MAX(U58,$B$11-SUM(X58:AD58)-SUM(V58:W58)))</f>
        <v>0</v>
      </c>
      <c r="AF58" s="27" t="n">
        <f aca="false">MIN(J57*(1+J$8),MAX(V58,$B$11-SUM(X58:AE58)-SUM(W58:W58)))</f>
        <v>0</v>
      </c>
      <c r="AG58" s="27" t="n">
        <f aca="false">MIN(K57*(1+K$8),MAX(W58,$B$11-SUM(X58:AF58)))</f>
        <v>0</v>
      </c>
      <c r="AI58" s="27" t="n">
        <f aca="false">ROUND(MAX(0,AI57*(1+B$8)-BE58),2)</f>
        <v>0</v>
      </c>
      <c r="AJ58" s="27" t="n">
        <f aca="false">ROUND(MAX(0,AJ57*(1+C$8)-BF58),2)</f>
        <v>0</v>
      </c>
      <c r="AK58" s="27" t="n">
        <f aca="false">ROUND(MAX(0,AK57*(1+D$8)-BG58),2)</f>
        <v>0</v>
      </c>
      <c r="AL58" s="27" t="n">
        <f aca="false">ROUND(MAX(0,AL57*(1+E$8)-BH58),2)</f>
        <v>0</v>
      </c>
      <c r="AM58" s="27" t="n">
        <f aca="false">ROUND(MAX(0,AM57*(1+F$8)-BI58),2)</f>
        <v>0</v>
      </c>
      <c r="AN58" s="27" t="n">
        <f aca="false">ROUND(MAX(0,AN57*(1+G$8)-BJ58),2)</f>
        <v>0</v>
      </c>
      <c r="AO58" s="27" t="n">
        <f aca="false">ROUND(MAX(0,AO57*(1+H$8)-BK58),2)</f>
        <v>0</v>
      </c>
      <c r="AP58" s="27" t="n">
        <f aca="false">ROUND(MAX(0,AP57*(1+I$8)-BL58),2)</f>
        <v>0</v>
      </c>
      <c r="AQ58" s="27" t="n">
        <f aca="false">ROUND(MAX(0,AQ57*(1+J$8)-BM58),2)</f>
        <v>0</v>
      </c>
      <c r="AR58" s="27" t="n">
        <f aca="false">ROUND(MAX(0,AR57*(1+K$8)-BN58),2)</f>
        <v>0</v>
      </c>
      <c r="AS58" s="27" t="n">
        <f aca="false">SUM(AI58:AR58)</f>
        <v>0</v>
      </c>
      <c r="AT58" s="27" t="n">
        <f aca="false">SUMPRODUCT(AI57:AR57,$B$8:$K$8)</f>
        <v>0</v>
      </c>
      <c r="AU58" s="27" t="n">
        <f aca="false">MIN(AI57*(1+B$8),B$9)</f>
        <v>0</v>
      </c>
      <c r="AV58" s="27" t="n">
        <f aca="false">MIN(AJ57*(1+C$8),C$9)</f>
        <v>0</v>
      </c>
      <c r="AW58" s="27" t="n">
        <f aca="false">MIN(AK57*(1+D$8),D$9)</f>
        <v>0</v>
      </c>
      <c r="AX58" s="27" t="n">
        <f aca="false">MIN(AL57*(1+E$8),E$9)</f>
        <v>0</v>
      </c>
      <c r="AY58" s="27" t="n">
        <f aca="false">MIN(AM57*(1+F$8),F$9)</f>
        <v>0</v>
      </c>
      <c r="AZ58" s="27" t="n">
        <f aca="false">MIN(AN57*(1+G$8),G$9)</f>
        <v>0</v>
      </c>
      <c r="BA58" s="27" t="n">
        <f aca="false">MIN(AO57*(1+H$8),H$9)</f>
        <v>0</v>
      </c>
      <c r="BB58" s="27" t="n">
        <f aca="false">MIN(AP57*(1+I$8),I$9)</f>
        <v>0</v>
      </c>
      <c r="BC58" s="27" t="n">
        <f aca="false">MIN(AQ57*(1+J$8),J$9)</f>
        <v>0</v>
      </c>
      <c r="BD58" s="27" t="n">
        <f aca="false">MIN(AR57*(1+K$8),K$9)</f>
        <v>0</v>
      </c>
      <c r="BE58" s="27" t="n">
        <f aca="false">MIN(AI57*(1+B$8),MAX(AU58,$B$12-SUM(AV58:BD58)))</f>
        <v>0</v>
      </c>
      <c r="BF58" s="27" t="n">
        <f aca="false">MIN(AJ57*(1+C$8),MAX(AV58,$B$12-SUM(BE58:BE58)-SUM(AW58:BD58)))</f>
        <v>0</v>
      </c>
      <c r="BG58" s="27" t="n">
        <f aca="false">MIN(AK57*(1+D$8),MAX(AW58,$B$12-SUM(BE58:BF58)-SUM(AX58:BD58)))</f>
        <v>0</v>
      </c>
      <c r="BH58" s="27" t="n">
        <f aca="false">MIN(AL57*(1+E$8),MAX(AX58,$B$12-SUM(BE58:BG58)-SUM(AY58:BD58)))</f>
        <v>0</v>
      </c>
      <c r="BI58" s="27" t="n">
        <f aca="false">MIN(AM57*(1+F$8),MAX(AY58,$B$12-SUM(BE58:BH58)-SUM(AZ58:BD58)))</f>
        <v>0</v>
      </c>
      <c r="BJ58" s="27" t="n">
        <f aca="false">MIN(AN57*(1+G$8),MAX(AZ58,$B$12-SUM(BE58:BI58)-SUM(BA58:BD58)))</f>
        <v>0</v>
      </c>
      <c r="BK58" s="27" t="n">
        <f aca="false">MIN(AO57*(1+H$8),MAX(BA58,$B$12-SUM(BE58:BJ58)-SUM(BB58:BD58)))</f>
        <v>0</v>
      </c>
      <c r="BL58" s="27" t="n">
        <f aca="false">MIN(AP57*(1+I$8),MAX(BB58,$B$12-SUM(BE58:BK58)-SUM(BC58:BD58)))</f>
        <v>0</v>
      </c>
      <c r="BM58" s="27" t="n">
        <f aca="false">MIN(AQ57*(1+J$8),MAX(BC58,$B$12-SUM(BE58:BL58)-SUM(BD58:BD58)))</f>
        <v>0</v>
      </c>
      <c r="BN58" s="27" t="n">
        <f aca="false">MIN(AR57*(1+K$8),MAX(BD58,$B$12-SUM(BE58:BM58)))</f>
        <v>0</v>
      </c>
    </row>
    <row r="59" customFormat="false" ht="15" hidden="false" customHeight="false" outlineLevel="0" collapsed="false">
      <c r="A59" s="0" t="n">
        <v>45</v>
      </c>
      <c r="B59" s="27" t="n">
        <f aca="false">ROUND(MAX(0,B58*(1+B$8)-X59),2)</f>
        <v>0</v>
      </c>
      <c r="C59" s="27" t="n">
        <f aca="false">ROUND(MAX(0,C58*(1+C$8)-Y59),2)</f>
        <v>0</v>
      </c>
      <c r="D59" s="27" t="n">
        <f aca="false">ROUND(MAX(0,D58*(1+D$8)-Z59),2)</f>
        <v>0</v>
      </c>
      <c r="E59" s="27" t="n">
        <f aca="false">ROUND(MAX(0,E58*(1+E$8)-AA59),2)</f>
        <v>0</v>
      </c>
      <c r="F59" s="27" t="n">
        <f aca="false">ROUND(MAX(0,F58*(1+F$8)-AB59),2)</f>
        <v>0</v>
      </c>
      <c r="G59" s="27" t="n">
        <f aca="false">ROUND(MAX(0,G58*(1+G$8)-AC59),2)</f>
        <v>0</v>
      </c>
      <c r="H59" s="27" t="n">
        <f aca="false">ROUND(MAX(0,H58*(1+H$8)-AD59),2)</f>
        <v>0</v>
      </c>
      <c r="I59" s="27" t="n">
        <f aca="false">ROUND(MAX(0,I58*(1+I$8)-AE59),2)</f>
        <v>0</v>
      </c>
      <c r="J59" s="27" t="n">
        <f aca="false">ROUND(MAX(0,J58*(1+J$8)-AF59),2)</f>
        <v>0</v>
      </c>
      <c r="K59" s="27" t="n">
        <f aca="false">ROUND(MAX(0,K58*(1+K$8)-AG59),2)</f>
        <v>0</v>
      </c>
      <c r="L59" s="30" t="n">
        <f aca="false">SUM(B59:K59)</f>
        <v>0</v>
      </c>
      <c r="M59" s="27" t="n">
        <f aca="false">SUMPRODUCT(B58:K58,$B$8:$K$8)</f>
        <v>0</v>
      </c>
      <c r="N59" s="27" t="n">
        <f aca="false">MIN(B58*(1+B$8),B$9)</f>
        <v>0</v>
      </c>
      <c r="O59" s="27" t="n">
        <f aca="false">MIN(C58*(1+C$8),C$9)</f>
        <v>0</v>
      </c>
      <c r="P59" s="27" t="n">
        <f aca="false">MIN(D58*(1+D$8),D$9)</f>
        <v>0</v>
      </c>
      <c r="Q59" s="27" t="n">
        <f aca="false">MIN(E58*(1+E$8),E$9)</f>
        <v>0</v>
      </c>
      <c r="R59" s="27" t="n">
        <f aca="false">MIN(F58*(1+F$8),F$9)</f>
        <v>0</v>
      </c>
      <c r="S59" s="27" t="n">
        <f aca="false">MIN(G58*(1+G$8),G$9)</f>
        <v>0</v>
      </c>
      <c r="T59" s="27" t="n">
        <f aca="false">MIN(H58*(1+H$8),H$9)</f>
        <v>0</v>
      </c>
      <c r="U59" s="27" t="n">
        <f aca="false">MIN(I58*(1+I$8),I$9)</f>
        <v>0</v>
      </c>
      <c r="V59" s="27" t="n">
        <f aca="false">MIN(J58*(1+J$8),J$9)</f>
        <v>0</v>
      </c>
      <c r="W59" s="27" t="n">
        <f aca="false">MIN(K58*(1+K$8),K$9)</f>
        <v>0</v>
      </c>
      <c r="X59" s="27" t="n">
        <f aca="false">MIN(B58*(1+B$8),MAX(N59,$B$11-SUM(O59:W59)))</f>
        <v>0</v>
      </c>
      <c r="Y59" s="27" t="n">
        <f aca="false">MIN(C58*(1+C$8),MAX(O59,$B$11-SUM(X59:X59)-SUM(P59:W59)))</f>
        <v>0</v>
      </c>
      <c r="Z59" s="27" t="n">
        <f aca="false">MIN(D58*(1+D$8),MAX(P59,$B$11-SUM(X59:Y59)-SUM(Q59:W59)))</f>
        <v>0</v>
      </c>
      <c r="AA59" s="27" t="n">
        <f aca="false">MIN(E58*(1+E$8),MAX(Q59,$B$11-SUM(X59:Z59)-SUM(R59:W59)))</f>
        <v>0</v>
      </c>
      <c r="AB59" s="27" t="n">
        <f aca="false">MIN(F58*(1+F$8),MAX(R59,$B$11-SUM(X59:AA59)-SUM(S59:W59)))</f>
        <v>0</v>
      </c>
      <c r="AC59" s="27" t="n">
        <f aca="false">MIN(G58*(1+G$8),MAX(S59,$B$11-SUM(X59:AB59)-SUM(T59:W59)))</f>
        <v>0</v>
      </c>
      <c r="AD59" s="27" t="n">
        <f aca="false">MIN(H58*(1+H$8),MAX(T59,$B$11-SUM(X59:AC59)-SUM(U59:W59)))</f>
        <v>0</v>
      </c>
      <c r="AE59" s="27" t="n">
        <f aca="false">MIN(I58*(1+I$8),MAX(U59,$B$11-SUM(X59:AD59)-SUM(V59:W59)))</f>
        <v>0</v>
      </c>
      <c r="AF59" s="27" t="n">
        <f aca="false">MIN(J58*(1+J$8),MAX(V59,$B$11-SUM(X59:AE59)-SUM(W59:W59)))</f>
        <v>0</v>
      </c>
      <c r="AG59" s="27" t="n">
        <f aca="false">MIN(K58*(1+K$8),MAX(W59,$B$11-SUM(X59:AF59)))</f>
        <v>0</v>
      </c>
      <c r="AI59" s="27" t="n">
        <f aca="false">ROUND(MAX(0,AI58*(1+B$8)-BE59),2)</f>
        <v>0</v>
      </c>
      <c r="AJ59" s="27" t="n">
        <f aca="false">ROUND(MAX(0,AJ58*(1+C$8)-BF59),2)</f>
        <v>0</v>
      </c>
      <c r="AK59" s="27" t="n">
        <f aca="false">ROUND(MAX(0,AK58*(1+D$8)-BG59),2)</f>
        <v>0</v>
      </c>
      <c r="AL59" s="27" t="n">
        <f aca="false">ROUND(MAX(0,AL58*(1+E$8)-BH59),2)</f>
        <v>0</v>
      </c>
      <c r="AM59" s="27" t="n">
        <f aca="false">ROUND(MAX(0,AM58*(1+F$8)-BI59),2)</f>
        <v>0</v>
      </c>
      <c r="AN59" s="27" t="n">
        <f aca="false">ROUND(MAX(0,AN58*(1+G$8)-BJ59),2)</f>
        <v>0</v>
      </c>
      <c r="AO59" s="27" t="n">
        <f aca="false">ROUND(MAX(0,AO58*(1+H$8)-BK59),2)</f>
        <v>0</v>
      </c>
      <c r="AP59" s="27" t="n">
        <f aca="false">ROUND(MAX(0,AP58*(1+I$8)-BL59),2)</f>
        <v>0</v>
      </c>
      <c r="AQ59" s="27" t="n">
        <f aca="false">ROUND(MAX(0,AQ58*(1+J$8)-BM59),2)</f>
        <v>0</v>
      </c>
      <c r="AR59" s="27" t="n">
        <f aca="false">ROUND(MAX(0,AR58*(1+K$8)-BN59),2)</f>
        <v>0</v>
      </c>
      <c r="AS59" s="27" t="n">
        <f aca="false">SUM(AI59:AR59)</f>
        <v>0</v>
      </c>
      <c r="AT59" s="27" t="n">
        <f aca="false">SUMPRODUCT(AI58:AR58,$B$8:$K$8)</f>
        <v>0</v>
      </c>
      <c r="AU59" s="27" t="n">
        <f aca="false">MIN(AI58*(1+B$8),B$9)</f>
        <v>0</v>
      </c>
      <c r="AV59" s="27" t="n">
        <f aca="false">MIN(AJ58*(1+C$8),C$9)</f>
        <v>0</v>
      </c>
      <c r="AW59" s="27" t="n">
        <f aca="false">MIN(AK58*(1+D$8),D$9)</f>
        <v>0</v>
      </c>
      <c r="AX59" s="27" t="n">
        <f aca="false">MIN(AL58*(1+E$8),E$9)</f>
        <v>0</v>
      </c>
      <c r="AY59" s="27" t="n">
        <f aca="false">MIN(AM58*(1+F$8),F$9)</f>
        <v>0</v>
      </c>
      <c r="AZ59" s="27" t="n">
        <f aca="false">MIN(AN58*(1+G$8),G$9)</f>
        <v>0</v>
      </c>
      <c r="BA59" s="27" t="n">
        <f aca="false">MIN(AO58*(1+H$8),H$9)</f>
        <v>0</v>
      </c>
      <c r="BB59" s="27" t="n">
        <f aca="false">MIN(AP58*(1+I$8),I$9)</f>
        <v>0</v>
      </c>
      <c r="BC59" s="27" t="n">
        <f aca="false">MIN(AQ58*(1+J$8),J$9)</f>
        <v>0</v>
      </c>
      <c r="BD59" s="27" t="n">
        <f aca="false">MIN(AR58*(1+K$8),K$9)</f>
        <v>0</v>
      </c>
      <c r="BE59" s="27" t="n">
        <f aca="false">MIN(AI58*(1+B$8),MAX(AU59,$B$12-SUM(AV59:BD59)))</f>
        <v>0</v>
      </c>
      <c r="BF59" s="27" t="n">
        <f aca="false">MIN(AJ58*(1+C$8),MAX(AV59,$B$12-SUM(BE59:BE59)-SUM(AW59:BD59)))</f>
        <v>0</v>
      </c>
      <c r="BG59" s="27" t="n">
        <f aca="false">MIN(AK58*(1+D$8),MAX(AW59,$B$12-SUM(BE59:BF59)-SUM(AX59:BD59)))</f>
        <v>0</v>
      </c>
      <c r="BH59" s="27" t="n">
        <f aca="false">MIN(AL58*(1+E$8),MAX(AX59,$B$12-SUM(BE59:BG59)-SUM(AY59:BD59)))</f>
        <v>0</v>
      </c>
      <c r="BI59" s="27" t="n">
        <f aca="false">MIN(AM58*(1+F$8),MAX(AY59,$B$12-SUM(BE59:BH59)-SUM(AZ59:BD59)))</f>
        <v>0</v>
      </c>
      <c r="BJ59" s="27" t="n">
        <f aca="false">MIN(AN58*(1+G$8),MAX(AZ59,$B$12-SUM(BE59:BI59)-SUM(BA59:BD59)))</f>
        <v>0</v>
      </c>
      <c r="BK59" s="27" t="n">
        <f aca="false">MIN(AO58*(1+H$8),MAX(BA59,$B$12-SUM(BE59:BJ59)-SUM(BB59:BD59)))</f>
        <v>0</v>
      </c>
      <c r="BL59" s="27" t="n">
        <f aca="false">MIN(AP58*(1+I$8),MAX(BB59,$B$12-SUM(BE59:BK59)-SUM(BC59:BD59)))</f>
        <v>0</v>
      </c>
      <c r="BM59" s="27" t="n">
        <f aca="false">MIN(AQ58*(1+J$8),MAX(BC59,$B$12-SUM(BE59:BL59)-SUM(BD59:BD59)))</f>
        <v>0</v>
      </c>
      <c r="BN59" s="27" t="n">
        <f aca="false">MIN(AR58*(1+K$8),MAX(BD59,$B$12-SUM(BE59:BM59)))</f>
        <v>0</v>
      </c>
    </row>
    <row r="60" customFormat="false" ht="15" hidden="false" customHeight="false" outlineLevel="0" collapsed="false">
      <c r="A60" s="0" t="n">
        <v>46</v>
      </c>
      <c r="B60" s="27" t="n">
        <f aca="false">ROUND(MAX(0,B59*(1+B$8)-X60),2)</f>
        <v>0</v>
      </c>
      <c r="C60" s="27" t="n">
        <f aca="false">ROUND(MAX(0,C59*(1+C$8)-Y60),2)</f>
        <v>0</v>
      </c>
      <c r="D60" s="27" t="n">
        <f aca="false">ROUND(MAX(0,D59*(1+D$8)-Z60),2)</f>
        <v>0</v>
      </c>
      <c r="E60" s="27" t="n">
        <f aca="false">ROUND(MAX(0,E59*(1+E$8)-AA60),2)</f>
        <v>0</v>
      </c>
      <c r="F60" s="27" t="n">
        <f aca="false">ROUND(MAX(0,F59*(1+F$8)-AB60),2)</f>
        <v>0</v>
      </c>
      <c r="G60" s="27" t="n">
        <f aca="false">ROUND(MAX(0,G59*(1+G$8)-AC60),2)</f>
        <v>0</v>
      </c>
      <c r="H60" s="27" t="n">
        <f aca="false">ROUND(MAX(0,H59*(1+H$8)-AD60),2)</f>
        <v>0</v>
      </c>
      <c r="I60" s="27" t="n">
        <f aca="false">ROUND(MAX(0,I59*(1+I$8)-AE60),2)</f>
        <v>0</v>
      </c>
      <c r="J60" s="27" t="n">
        <f aca="false">ROUND(MAX(0,J59*(1+J$8)-AF60),2)</f>
        <v>0</v>
      </c>
      <c r="K60" s="27" t="n">
        <f aca="false">ROUND(MAX(0,K59*(1+K$8)-AG60),2)</f>
        <v>0</v>
      </c>
      <c r="L60" s="30" t="n">
        <f aca="false">SUM(B60:K60)</f>
        <v>0</v>
      </c>
      <c r="M60" s="27" t="n">
        <f aca="false">SUMPRODUCT(B59:K59,$B$8:$K$8)</f>
        <v>0</v>
      </c>
      <c r="N60" s="27" t="n">
        <f aca="false">MIN(B59*(1+B$8),B$9)</f>
        <v>0</v>
      </c>
      <c r="O60" s="27" t="n">
        <f aca="false">MIN(C59*(1+C$8),C$9)</f>
        <v>0</v>
      </c>
      <c r="P60" s="27" t="n">
        <f aca="false">MIN(D59*(1+D$8),D$9)</f>
        <v>0</v>
      </c>
      <c r="Q60" s="27" t="n">
        <f aca="false">MIN(E59*(1+E$8),E$9)</f>
        <v>0</v>
      </c>
      <c r="R60" s="27" t="n">
        <f aca="false">MIN(F59*(1+F$8),F$9)</f>
        <v>0</v>
      </c>
      <c r="S60" s="27" t="n">
        <f aca="false">MIN(G59*(1+G$8),G$9)</f>
        <v>0</v>
      </c>
      <c r="T60" s="27" t="n">
        <f aca="false">MIN(H59*(1+H$8),H$9)</f>
        <v>0</v>
      </c>
      <c r="U60" s="27" t="n">
        <f aca="false">MIN(I59*(1+I$8),I$9)</f>
        <v>0</v>
      </c>
      <c r="V60" s="27" t="n">
        <f aca="false">MIN(J59*(1+J$8),J$9)</f>
        <v>0</v>
      </c>
      <c r="W60" s="27" t="n">
        <f aca="false">MIN(K59*(1+K$8),K$9)</f>
        <v>0</v>
      </c>
      <c r="X60" s="27" t="n">
        <f aca="false">MIN(B59*(1+B$8),MAX(N60,$B$11-SUM(O60:W60)))</f>
        <v>0</v>
      </c>
      <c r="Y60" s="27" t="n">
        <f aca="false">MIN(C59*(1+C$8),MAX(O60,$B$11-SUM(X60:X60)-SUM(P60:W60)))</f>
        <v>0</v>
      </c>
      <c r="Z60" s="27" t="n">
        <f aca="false">MIN(D59*(1+D$8),MAX(P60,$B$11-SUM(X60:Y60)-SUM(Q60:W60)))</f>
        <v>0</v>
      </c>
      <c r="AA60" s="27" t="n">
        <f aca="false">MIN(E59*(1+E$8),MAX(Q60,$B$11-SUM(X60:Z60)-SUM(R60:W60)))</f>
        <v>0</v>
      </c>
      <c r="AB60" s="27" t="n">
        <f aca="false">MIN(F59*(1+F$8),MAX(R60,$B$11-SUM(X60:AA60)-SUM(S60:W60)))</f>
        <v>0</v>
      </c>
      <c r="AC60" s="27" t="n">
        <f aca="false">MIN(G59*(1+G$8),MAX(S60,$B$11-SUM(X60:AB60)-SUM(T60:W60)))</f>
        <v>0</v>
      </c>
      <c r="AD60" s="27" t="n">
        <f aca="false">MIN(H59*(1+H$8),MAX(T60,$B$11-SUM(X60:AC60)-SUM(U60:W60)))</f>
        <v>0</v>
      </c>
      <c r="AE60" s="27" t="n">
        <f aca="false">MIN(I59*(1+I$8),MAX(U60,$B$11-SUM(X60:AD60)-SUM(V60:W60)))</f>
        <v>0</v>
      </c>
      <c r="AF60" s="27" t="n">
        <f aca="false">MIN(J59*(1+J$8),MAX(V60,$B$11-SUM(X60:AE60)-SUM(W60:W60)))</f>
        <v>0</v>
      </c>
      <c r="AG60" s="27" t="n">
        <f aca="false">MIN(K59*(1+K$8),MAX(W60,$B$11-SUM(X60:AF60)))</f>
        <v>0</v>
      </c>
      <c r="AI60" s="27" t="n">
        <f aca="false">ROUND(MAX(0,AI59*(1+B$8)-BE60),2)</f>
        <v>0</v>
      </c>
      <c r="AJ60" s="27" t="n">
        <f aca="false">ROUND(MAX(0,AJ59*(1+C$8)-BF60),2)</f>
        <v>0</v>
      </c>
      <c r="AK60" s="27" t="n">
        <f aca="false">ROUND(MAX(0,AK59*(1+D$8)-BG60),2)</f>
        <v>0</v>
      </c>
      <c r="AL60" s="27" t="n">
        <f aca="false">ROUND(MAX(0,AL59*(1+E$8)-BH60),2)</f>
        <v>0</v>
      </c>
      <c r="AM60" s="27" t="n">
        <f aca="false">ROUND(MAX(0,AM59*(1+F$8)-BI60),2)</f>
        <v>0</v>
      </c>
      <c r="AN60" s="27" t="n">
        <f aca="false">ROUND(MAX(0,AN59*(1+G$8)-BJ60),2)</f>
        <v>0</v>
      </c>
      <c r="AO60" s="27" t="n">
        <f aca="false">ROUND(MAX(0,AO59*(1+H$8)-BK60),2)</f>
        <v>0</v>
      </c>
      <c r="AP60" s="27" t="n">
        <f aca="false">ROUND(MAX(0,AP59*(1+I$8)-BL60),2)</f>
        <v>0</v>
      </c>
      <c r="AQ60" s="27" t="n">
        <f aca="false">ROUND(MAX(0,AQ59*(1+J$8)-BM60),2)</f>
        <v>0</v>
      </c>
      <c r="AR60" s="27" t="n">
        <f aca="false">ROUND(MAX(0,AR59*(1+K$8)-BN60),2)</f>
        <v>0</v>
      </c>
      <c r="AS60" s="27" t="n">
        <f aca="false">SUM(AI60:AR60)</f>
        <v>0</v>
      </c>
      <c r="AT60" s="27" t="n">
        <f aca="false">SUMPRODUCT(AI59:AR59,$B$8:$K$8)</f>
        <v>0</v>
      </c>
      <c r="AU60" s="27" t="n">
        <f aca="false">MIN(AI59*(1+B$8),B$9)</f>
        <v>0</v>
      </c>
      <c r="AV60" s="27" t="n">
        <f aca="false">MIN(AJ59*(1+C$8),C$9)</f>
        <v>0</v>
      </c>
      <c r="AW60" s="27" t="n">
        <f aca="false">MIN(AK59*(1+D$8),D$9)</f>
        <v>0</v>
      </c>
      <c r="AX60" s="27" t="n">
        <f aca="false">MIN(AL59*(1+E$8),E$9)</f>
        <v>0</v>
      </c>
      <c r="AY60" s="27" t="n">
        <f aca="false">MIN(AM59*(1+F$8),F$9)</f>
        <v>0</v>
      </c>
      <c r="AZ60" s="27" t="n">
        <f aca="false">MIN(AN59*(1+G$8),G$9)</f>
        <v>0</v>
      </c>
      <c r="BA60" s="27" t="n">
        <f aca="false">MIN(AO59*(1+H$8),H$9)</f>
        <v>0</v>
      </c>
      <c r="BB60" s="27" t="n">
        <f aca="false">MIN(AP59*(1+I$8),I$9)</f>
        <v>0</v>
      </c>
      <c r="BC60" s="27" t="n">
        <f aca="false">MIN(AQ59*(1+J$8),J$9)</f>
        <v>0</v>
      </c>
      <c r="BD60" s="27" t="n">
        <f aca="false">MIN(AR59*(1+K$8),K$9)</f>
        <v>0</v>
      </c>
      <c r="BE60" s="27" t="n">
        <f aca="false">MIN(AI59*(1+B$8),MAX(AU60,$B$12-SUM(AV60:BD60)))</f>
        <v>0</v>
      </c>
      <c r="BF60" s="27" t="n">
        <f aca="false">MIN(AJ59*(1+C$8),MAX(AV60,$B$12-SUM(BE60:BE60)-SUM(AW60:BD60)))</f>
        <v>0</v>
      </c>
      <c r="BG60" s="27" t="n">
        <f aca="false">MIN(AK59*(1+D$8),MAX(AW60,$B$12-SUM(BE60:BF60)-SUM(AX60:BD60)))</f>
        <v>0</v>
      </c>
      <c r="BH60" s="27" t="n">
        <f aca="false">MIN(AL59*(1+E$8),MAX(AX60,$B$12-SUM(BE60:BG60)-SUM(AY60:BD60)))</f>
        <v>0</v>
      </c>
      <c r="BI60" s="27" t="n">
        <f aca="false">MIN(AM59*(1+F$8),MAX(AY60,$B$12-SUM(BE60:BH60)-SUM(AZ60:BD60)))</f>
        <v>0</v>
      </c>
      <c r="BJ60" s="27" t="n">
        <f aca="false">MIN(AN59*(1+G$8),MAX(AZ60,$B$12-SUM(BE60:BI60)-SUM(BA60:BD60)))</f>
        <v>0</v>
      </c>
      <c r="BK60" s="27" t="n">
        <f aca="false">MIN(AO59*(1+H$8),MAX(BA60,$B$12-SUM(BE60:BJ60)-SUM(BB60:BD60)))</f>
        <v>0</v>
      </c>
      <c r="BL60" s="27" t="n">
        <f aca="false">MIN(AP59*(1+I$8),MAX(BB60,$B$12-SUM(BE60:BK60)-SUM(BC60:BD60)))</f>
        <v>0</v>
      </c>
      <c r="BM60" s="27" t="n">
        <f aca="false">MIN(AQ59*(1+J$8),MAX(BC60,$B$12-SUM(BE60:BL60)-SUM(BD60:BD60)))</f>
        <v>0</v>
      </c>
      <c r="BN60" s="27" t="n">
        <f aca="false">MIN(AR59*(1+K$8),MAX(BD60,$B$12-SUM(BE60:BM60)))</f>
        <v>0</v>
      </c>
    </row>
    <row r="61" customFormat="false" ht="15" hidden="false" customHeight="false" outlineLevel="0" collapsed="false">
      <c r="A61" s="0" t="n">
        <v>47</v>
      </c>
      <c r="B61" s="27" t="n">
        <f aca="false">ROUND(MAX(0,B60*(1+B$8)-X61),2)</f>
        <v>0</v>
      </c>
      <c r="C61" s="27" t="n">
        <f aca="false">ROUND(MAX(0,C60*(1+C$8)-Y61),2)</f>
        <v>0</v>
      </c>
      <c r="D61" s="27" t="n">
        <f aca="false">ROUND(MAX(0,D60*(1+D$8)-Z61),2)</f>
        <v>0</v>
      </c>
      <c r="E61" s="27" t="n">
        <f aca="false">ROUND(MAX(0,E60*(1+E$8)-AA61),2)</f>
        <v>0</v>
      </c>
      <c r="F61" s="27" t="n">
        <f aca="false">ROUND(MAX(0,F60*(1+F$8)-AB61),2)</f>
        <v>0</v>
      </c>
      <c r="G61" s="27" t="n">
        <f aca="false">ROUND(MAX(0,G60*(1+G$8)-AC61),2)</f>
        <v>0</v>
      </c>
      <c r="H61" s="27" t="n">
        <f aca="false">ROUND(MAX(0,H60*(1+H$8)-AD61),2)</f>
        <v>0</v>
      </c>
      <c r="I61" s="27" t="n">
        <f aca="false">ROUND(MAX(0,I60*(1+I$8)-AE61),2)</f>
        <v>0</v>
      </c>
      <c r="J61" s="27" t="n">
        <f aca="false">ROUND(MAX(0,J60*(1+J$8)-AF61),2)</f>
        <v>0</v>
      </c>
      <c r="K61" s="27" t="n">
        <f aca="false">ROUND(MAX(0,K60*(1+K$8)-AG61),2)</f>
        <v>0</v>
      </c>
      <c r="L61" s="30" t="n">
        <f aca="false">SUM(B61:K61)</f>
        <v>0</v>
      </c>
      <c r="M61" s="27" t="n">
        <f aca="false">SUMPRODUCT(B60:K60,$B$8:$K$8)</f>
        <v>0</v>
      </c>
      <c r="N61" s="27" t="n">
        <f aca="false">MIN(B60*(1+B$8),B$9)</f>
        <v>0</v>
      </c>
      <c r="O61" s="27" t="n">
        <f aca="false">MIN(C60*(1+C$8),C$9)</f>
        <v>0</v>
      </c>
      <c r="P61" s="27" t="n">
        <f aca="false">MIN(D60*(1+D$8),D$9)</f>
        <v>0</v>
      </c>
      <c r="Q61" s="27" t="n">
        <f aca="false">MIN(E60*(1+E$8),E$9)</f>
        <v>0</v>
      </c>
      <c r="R61" s="27" t="n">
        <f aca="false">MIN(F60*(1+F$8),F$9)</f>
        <v>0</v>
      </c>
      <c r="S61" s="27" t="n">
        <f aca="false">MIN(G60*(1+G$8),G$9)</f>
        <v>0</v>
      </c>
      <c r="T61" s="27" t="n">
        <f aca="false">MIN(H60*(1+H$8),H$9)</f>
        <v>0</v>
      </c>
      <c r="U61" s="27" t="n">
        <f aca="false">MIN(I60*(1+I$8),I$9)</f>
        <v>0</v>
      </c>
      <c r="V61" s="27" t="n">
        <f aca="false">MIN(J60*(1+J$8),J$9)</f>
        <v>0</v>
      </c>
      <c r="W61" s="27" t="n">
        <f aca="false">MIN(K60*(1+K$8),K$9)</f>
        <v>0</v>
      </c>
      <c r="X61" s="27" t="n">
        <f aca="false">MIN(B60*(1+B$8),MAX(N61,$B$11-SUM(O61:W61)))</f>
        <v>0</v>
      </c>
      <c r="Y61" s="27" t="n">
        <f aca="false">MIN(C60*(1+C$8),MAX(O61,$B$11-SUM(X61:X61)-SUM(P61:W61)))</f>
        <v>0</v>
      </c>
      <c r="Z61" s="27" t="n">
        <f aca="false">MIN(D60*(1+D$8),MAX(P61,$B$11-SUM(X61:Y61)-SUM(Q61:W61)))</f>
        <v>0</v>
      </c>
      <c r="AA61" s="27" t="n">
        <f aca="false">MIN(E60*(1+E$8),MAX(Q61,$B$11-SUM(X61:Z61)-SUM(R61:W61)))</f>
        <v>0</v>
      </c>
      <c r="AB61" s="27" t="n">
        <f aca="false">MIN(F60*(1+F$8),MAX(R61,$B$11-SUM(X61:AA61)-SUM(S61:W61)))</f>
        <v>0</v>
      </c>
      <c r="AC61" s="27" t="n">
        <f aca="false">MIN(G60*(1+G$8),MAX(S61,$B$11-SUM(X61:AB61)-SUM(T61:W61)))</f>
        <v>0</v>
      </c>
      <c r="AD61" s="27" t="n">
        <f aca="false">MIN(H60*(1+H$8),MAX(T61,$B$11-SUM(X61:AC61)-SUM(U61:W61)))</f>
        <v>0</v>
      </c>
      <c r="AE61" s="27" t="n">
        <f aca="false">MIN(I60*(1+I$8),MAX(U61,$B$11-SUM(X61:AD61)-SUM(V61:W61)))</f>
        <v>0</v>
      </c>
      <c r="AF61" s="27" t="n">
        <f aca="false">MIN(J60*(1+J$8),MAX(V61,$B$11-SUM(X61:AE61)-SUM(W61:W61)))</f>
        <v>0</v>
      </c>
      <c r="AG61" s="27" t="n">
        <f aca="false">MIN(K60*(1+K$8),MAX(W61,$B$11-SUM(X61:AF61)))</f>
        <v>0</v>
      </c>
      <c r="AI61" s="27" t="n">
        <f aca="false">ROUND(MAX(0,AI60*(1+B$8)-BE61),2)</f>
        <v>0</v>
      </c>
      <c r="AJ61" s="27" t="n">
        <f aca="false">ROUND(MAX(0,AJ60*(1+C$8)-BF61),2)</f>
        <v>0</v>
      </c>
      <c r="AK61" s="27" t="n">
        <f aca="false">ROUND(MAX(0,AK60*(1+D$8)-BG61),2)</f>
        <v>0</v>
      </c>
      <c r="AL61" s="27" t="n">
        <f aca="false">ROUND(MAX(0,AL60*(1+E$8)-BH61),2)</f>
        <v>0</v>
      </c>
      <c r="AM61" s="27" t="n">
        <f aca="false">ROUND(MAX(0,AM60*(1+F$8)-BI61),2)</f>
        <v>0</v>
      </c>
      <c r="AN61" s="27" t="n">
        <f aca="false">ROUND(MAX(0,AN60*(1+G$8)-BJ61),2)</f>
        <v>0</v>
      </c>
      <c r="AO61" s="27" t="n">
        <f aca="false">ROUND(MAX(0,AO60*(1+H$8)-BK61),2)</f>
        <v>0</v>
      </c>
      <c r="AP61" s="27" t="n">
        <f aca="false">ROUND(MAX(0,AP60*(1+I$8)-BL61),2)</f>
        <v>0</v>
      </c>
      <c r="AQ61" s="27" t="n">
        <f aca="false">ROUND(MAX(0,AQ60*(1+J$8)-BM61),2)</f>
        <v>0</v>
      </c>
      <c r="AR61" s="27" t="n">
        <f aca="false">ROUND(MAX(0,AR60*(1+K$8)-BN61),2)</f>
        <v>0</v>
      </c>
      <c r="AS61" s="27" t="n">
        <f aca="false">SUM(AI61:AR61)</f>
        <v>0</v>
      </c>
      <c r="AT61" s="27" t="n">
        <f aca="false">SUMPRODUCT(AI60:AR60,$B$8:$K$8)</f>
        <v>0</v>
      </c>
      <c r="AU61" s="27" t="n">
        <f aca="false">MIN(AI60*(1+B$8),B$9)</f>
        <v>0</v>
      </c>
      <c r="AV61" s="27" t="n">
        <f aca="false">MIN(AJ60*(1+C$8),C$9)</f>
        <v>0</v>
      </c>
      <c r="AW61" s="27" t="n">
        <f aca="false">MIN(AK60*(1+D$8),D$9)</f>
        <v>0</v>
      </c>
      <c r="AX61" s="27" t="n">
        <f aca="false">MIN(AL60*(1+E$8),E$9)</f>
        <v>0</v>
      </c>
      <c r="AY61" s="27" t="n">
        <f aca="false">MIN(AM60*(1+F$8),F$9)</f>
        <v>0</v>
      </c>
      <c r="AZ61" s="27" t="n">
        <f aca="false">MIN(AN60*(1+G$8),G$9)</f>
        <v>0</v>
      </c>
      <c r="BA61" s="27" t="n">
        <f aca="false">MIN(AO60*(1+H$8),H$9)</f>
        <v>0</v>
      </c>
      <c r="BB61" s="27" t="n">
        <f aca="false">MIN(AP60*(1+I$8),I$9)</f>
        <v>0</v>
      </c>
      <c r="BC61" s="27" t="n">
        <f aca="false">MIN(AQ60*(1+J$8),J$9)</f>
        <v>0</v>
      </c>
      <c r="BD61" s="27" t="n">
        <f aca="false">MIN(AR60*(1+K$8),K$9)</f>
        <v>0</v>
      </c>
      <c r="BE61" s="27" t="n">
        <f aca="false">MIN(AI60*(1+B$8),MAX(AU61,$B$12-SUM(AV61:BD61)))</f>
        <v>0</v>
      </c>
      <c r="BF61" s="27" t="n">
        <f aca="false">MIN(AJ60*(1+C$8),MAX(AV61,$B$12-SUM(BE61:BE61)-SUM(AW61:BD61)))</f>
        <v>0</v>
      </c>
      <c r="BG61" s="27" t="n">
        <f aca="false">MIN(AK60*(1+D$8),MAX(AW61,$B$12-SUM(BE61:BF61)-SUM(AX61:BD61)))</f>
        <v>0</v>
      </c>
      <c r="BH61" s="27" t="n">
        <f aca="false">MIN(AL60*(1+E$8),MAX(AX61,$B$12-SUM(BE61:BG61)-SUM(AY61:BD61)))</f>
        <v>0</v>
      </c>
      <c r="BI61" s="27" t="n">
        <f aca="false">MIN(AM60*(1+F$8),MAX(AY61,$B$12-SUM(BE61:BH61)-SUM(AZ61:BD61)))</f>
        <v>0</v>
      </c>
      <c r="BJ61" s="27" t="n">
        <f aca="false">MIN(AN60*(1+G$8),MAX(AZ61,$B$12-SUM(BE61:BI61)-SUM(BA61:BD61)))</f>
        <v>0</v>
      </c>
      <c r="BK61" s="27" t="n">
        <f aca="false">MIN(AO60*(1+H$8),MAX(BA61,$B$12-SUM(BE61:BJ61)-SUM(BB61:BD61)))</f>
        <v>0</v>
      </c>
      <c r="BL61" s="27" t="n">
        <f aca="false">MIN(AP60*(1+I$8),MAX(BB61,$B$12-SUM(BE61:BK61)-SUM(BC61:BD61)))</f>
        <v>0</v>
      </c>
      <c r="BM61" s="27" t="n">
        <f aca="false">MIN(AQ60*(1+J$8),MAX(BC61,$B$12-SUM(BE61:BL61)-SUM(BD61:BD61)))</f>
        <v>0</v>
      </c>
      <c r="BN61" s="27" t="n">
        <f aca="false">MIN(AR60*(1+K$8),MAX(BD61,$B$12-SUM(BE61:BM61)))</f>
        <v>0</v>
      </c>
    </row>
    <row r="62" customFormat="false" ht="15" hidden="false" customHeight="false" outlineLevel="0" collapsed="false">
      <c r="A62" s="0" t="n">
        <v>48</v>
      </c>
      <c r="B62" s="27" t="n">
        <f aca="false">ROUND(MAX(0,B61*(1+B$8)-X62),2)</f>
        <v>0</v>
      </c>
      <c r="C62" s="27" t="n">
        <f aca="false">ROUND(MAX(0,C61*(1+C$8)-Y62),2)</f>
        <v>0</v>
      </c>
      <c r="D62" s="27" t="n">
        <f aca="false">ROUND(MAX(0,D61*(1+D$8)-Z62),2)</f>
        <v>0</v>
      </c>
      <c r="E62" s="27" t="n">
        <f aca="false">ROUND(MAX(0,E61*(1+E$8)-AA62),2)</f>
        <v>0</v>
      </c>
      <c r="F62" s="27" t="n">
        <f aca="false">ROUND(MAX(0,F61*(1+F$8)-AB62),2)</f>
        <v>0</v>
      </c>
      <c r="G62" s="27" t="n">
        <f aca="false">ROUND(MAX(0,G61*(1+G$8)-AC62),2)</f>
        <v>0</v>
      </c>
      <c r="H62" s="27" t="n">
        <f aca="false">ROUND(MAX(0,H61*(1+H$8)-AD62),2)</f>
        <v>0</v>
      </c>
      <c r="I62" s="27" t="n">
        <f aca="false">ROUND(MAX(0,I61*(1+I$8)-AE62),2)</f>
        <v>0</v>
      </c>
      <c r="J62" s="27" t="n">
        <f aca="false">ROUND(MAX(0,J61*(1+J$8)-AF62),2)</f>
        <v>0</v>
      </c>
      <c r="K62" s="27" t="n">
        <f aca="false">ROUND(MAX(0,K61*(1+K$8)-AG62),2)</f>
        <v>0</v>
      </c>
      <c r="L62" s="30" t="n">
        <f aca="false">SUM(B62:K62)</f>
        <v>0</v>
      </c>
      <c r="M62" s="27" t="n">
        <f aca="false">SUMPRODUCT(B61:K61,$B$8:$K$8)</f>
        <v>0</v>
      </c>
      <c r="N62" s="27" t="n">
        <f aca="false">MIN(B61*(1+B$8),B$9)</f>
        <v>0</v>
      </c>
      <c r="O62" s="27" t="n">
        <f aca="false">MIN(C61*(1+C$8),C$9)</f>
        <v>0</v>
      </c>
      <c r="P62" s="27" t="n">
        <f aca="false">MIN(D61*(1+D$8),D$9)</f>
        <v>0</v>
      </c>
      <c r="Q62" s="27" t="n">
        <f aca="false">MIN(E61*(1+E$8),E$9)</f>
        <v>0</v>
      </c>
      <c r="R62" s="27" t="n">
        <f aca="false">MIN(F61*(1+F$8),F$9)</f>
        <v>0</v>
      </c>
      <c r="S62" s="27" t="n">
        <f aca="false">MIN(G61*(1+G$8),G$9)</f>
        <v>0</v>
      </c>
      <c r="T62" s="27" t="n">
        <f aca="false">MIN(H61*(1+H$8),H$9)</f>
        <v>0</v>
      </c>
      <c r="U62" s="27" t="n">
        <f aca="false">MIN(I61*(1+I$8),I$9)</f>
        <v>0</v>
      </c>
      <c r="V62" s="27" t="n">
        <f aca="false">MIN(J61*(1+J$8),J$9)</f>
        <v>0</v>
      </c>
      <c r="W62" s="27" t="n">
        <f aca="false">MIN(K61*(1+K$8),K$9)</f>
        <v>0</v>
      </c>
      <c r="X62" s="27" t="n">
        <f aca="false">MIN(B61*(1+B$8),MAX(N62,$B$11-SUM(O62:W62)))</f>
        <v>0</v>
      </c>
      <c r="Y62" s="27" t="n">
        <f aca="false">MIN(C61*(1+C$8),MAX(O62,$B$11-SUM(X62:X62)-SUM(P62:W62)))</f>
        <v>0</v>
      </c>
      <c r="Z62" s="27" t="n">
        <f aca="false">MIN(D61*(1+D$8),MAX(P62,$B$11-SUM(X62:Y62)-SUM(Q62:W62)))</f>
        <v>0</v>
      </c>
      <c r="AA62" s="27" t="n">
        <f aca="false">MIN(E61*(1+E$8),MAX(Q62,$B$11-SUM(X62:Z62)-SUM(R62:W62)))</f>
        <v>0</v>
      </c>
      <c r="AB62" s="27" t="n">
        <f aca="false">MIN(F61*(1+F$8),MAX(R62,$B$11-SUM(X62:AA62)-SUM(S62:W62)))</f>
        <v>0</v>
      </c>
      <c r="AC62" s="27" t="n">
        <f aca="false">MIN(G61*(1+G$8),MAX(S62,$B$11-SUM(X62:AB62)-SUM(T62:W62)))</f>
        <v>0</v>
      </c>
      <c r="AD62" s="27" t="n">
        <f aca="false">MIN(H61*(1+H$8),MAX(T62,$B$11-SUM(X62:AC62)-SUM(U62:W62)))</f>
        <v>0</v>
      </c>
      <c r="AE62" s="27" t="n">
        <f aca="false">MIN(I61*(1+I$8),MAX(U62,$B$11-SUM(X62:AD62)-SUM(V62:W62)))</f>
        <v>0</v>
      </c>
      <c r="AF62" s="27" t="n">
        <f aca="false">MIN(J61*(1+J$8),MAX(V62,$B$11-SUM(X62:AE62)-SUM(W62:W62)))</f>
        <v>0</v>
      </c>
      <c r="AG62" s="27" t="n">
        <f aca="false">MIN(K61*(1+K$8),MAX(W62,$B$11-SUM(X62:AF62)))</f>
        <v>0</v>
      </c>
      <c r="AI62" s="27" t="n">
        <f aca="false">ROUND(MAX(0,AI61*(1+B$8)-BE62),2)</f>
        <v>0</v>
      </c>
      <c r="AJ62" s="27" t="n">
        <f aca="false">ROUND(MAX(0,AJ61*(1+C$8)-BF62),2)</f>
        <v>0</v>
      </c>
      <c r="AK62" s="27" t="n">
        <f aca="false">ROUND(MAX(0,AK61*(1+D$8)-BG62),2)</f>
        <v>0</v>
      </c>
      <c r="AL62" s="27" t="n">
        <f aca="false">ROUND(MAX(0,AL61*(1+E$8)-BH62),2)</f>
        <v>0</v>
      </c>
      <c r="AM62" s="27" t="n">
        <f aca="false">ROUND(MAX(0,AM61*(1+F$8)-BI62),2)</f>
        <v>0</v>
      </c>
      <c r="AN62" s="27" t="n">
        <f aca="false">ROUND(MAX(0,AN61*(1+G$8)-BJ62),2)</f>
        <v>0</v>
      </c>
      <c r="AO62" s="27" t="n">
        <f aca="false">ROUND(MAX(0,AO61*(1+H$8)-BK62),2)</f>
        <v>0</v>
      </c>
      <c r="AP62" s="27" t="n">
        <f aca="false">ROUND(MAX(0,AP61*(1+I$8)-BL62),2)</f>
        <v>0</v>
      </c>
      <c r="AQ62" s="27" t="n">
        <f aca="false">ROUND(MAX(0,AQ61*(1+J$8)-BM62),2)</f>
        <v>0</v>
      </c>
      <c r="AR62" s="27" t="n">
        <f aca="false">ROUND(MAX(0,AR61*(1+K$8)-BN62),2)</f>
        <v>0</v>
      </c>
      <c r="AS62" s="27" t="n">
        <f aca="false">SUM(AI62:AR62)</f>
        <v>0</v>
      </c>
      <c r="AT62" s="27" t="n">
        <f aca="false">SUMPRODUCT(AI61:AR61,$B$8:$K$8)</f>
        <v>0</v>
      </c>
      <c r="AU62" s="27" t="n">
        <f aca="false">MIN(AI61*(1+B$8),B$9)</f>
        <v>0</v>
      </c>
      <c r="AV62" s="27" t="n">
        <f aca="false">MIN(AJ61*(1+C$8),C$9)</f>
        <v>0</v>
      </c>
      <c r="AW62" s="27" t="n">
        <f aca="false">MIN(AK61*(1+D$8),D$9)</f>
        <v>0</v>
      </c>
      <c r="AX62" s="27" t="n">
        <f aca="false">MIN(AL61*(1+E$8),E$9)</f>
        <v>0</v>
      </c>
      <c r="AY62" s="27" t="n">
        <f aca="false">MIN(AM61*(1+F$8),F$9)</f>
        <v>0</v>
      </c>
      <c r="AZ62" s="27" t="n">
        <f aca="false">MIN(AN61*(1+G$8),G$9)</f>
        <v>0</v>
      </c>
      <c r="BA62" s="27" t="n">
        <f aca="false">MIN(AO61*(1+H$8),H$9)</f>
        <v>0</v>
      </c>
      <c r="BB62" s="27" t="n">
        <f aca="false">MIN(AP61*(1+I$8),I$9)</f>
        <v>0</v>
      </c>
      <c r="BC62" s="27" t="n">
        <f aca="false">MIN(AQ61*(1+J$8),J$9)</f>
        <v>0</v>
      </c>
      <c r="BD62" s="27" t="n">
        <f aca="false">MIN(AR61*(1+K$8),K$9)</f>
        <v>0</v>
      </c>
      <c r="BE62" s="27" t="n">
        <f aca="false">MIN(AI61*(1+B$8),MAX(AU62,$B$12-SUM(AV62:BD62)))</f>
        <v>0</v>
      </c>
      <c r="BF62" s="27" t="n">
        <f aca="false">MIN(AJ61*(1+C$8),MAX(AV62,$B$12-SUM(BE62:BE62)-SUM(AW62:BD62)))</f>
        <v>0</v>
      </c>
      <c r="BG62" s="27" t="n">
        <f aca="false">MIN(AK61*(1+D$8),MAX(AW62,$B$12-SUM(BE62:BF62)-SUM(AX62:BD62)))</f>
        <v>0</v>
      </c>
      <c r="BH62" s="27" t="n">
        <f aca="false">MIN(AL61*(1+E$8),MAX(AX62,$B$12-SUM(BE62:BG62)-SUM(AY62:BD62)))</f>
        <v>0</v>
      </c>
      <c r="BI62" s="27" t="n">
        <f aca="false">MIN(AM61*(1+F$8),MAX(AY62,$B$12-SUM(BE62:BH62)-SUM(AZ62:BD62)))</f>
        <v>0</v>
      </c>
      <c r="BJ62" s="27" t="n">
        <f aca="false">MIN(AN61*(1+G$8),MAX(AZ62,$B$12-SUM(BE62:BI62)-SUM(BA62:BD62)))</f>
        <v>0</v>
      </c>
      <c r="BK62" s="27" t="n">
        <f aca="false">MIN(AO61*(1+H$8),MAX(BA62,$B$12-SUM(BE62:BJ62)-SUM(BB62:BD62)))</f>
        <v>0</v>
      </c>
      <c r="BL62" s="27" t="n">
        <f aca="false">MIN(AP61*(1+I$8),MAX(BB62,$B$12-SUM(BE62:BK62)-SUM(BC62:BD62)))</f>
        <v>0</v>
      </c>
      <c r="BM62" s="27" t="n">
        <f aca="false">MIN(AQ61*(1+J$8),MAX(BC62,$B$12-SUM(BE62:BL62)-SUM(BD62:BD62)))</f>
        <v>0</v>
      </c>
      <c r="BN62" s="27" t="n">
        <f aca="false">MIN(AR61*(1+K$8),MAX(BD62,$B$12-SUM(BE62:BM62)))</f>
        <v>0</v>
      </c>
    </row>
    <row r="63" customFormat="false" ht="15" hidden="false" customHeight="false" outlineLevel="0" collapsed="false">
      <c r="A63" s="0" t="n">
        <v>49</v>
      </c>
      <c r="B63" s="27" t="n">
        <f aca="false">ROUND(MAX(0,B62*(1+B$8)-X63),2)</f>
        <v>0</v>
      </c>
      <c r="C63" s="27" t="n">
        <f aca="false">ROUND(MAX(0,C62*(1+C$8)-Y63),2)</f>
        <v>0</v>
      </c>
      <c r="D63" s="27" t="n">
        <f aca="false">ROUND(MAX(0,D62*(1+D$8)-Z63),2)</f>
        <v>0</v>
      </c>
      <c r="E63" s="27" t="n">
        <f aca="false">ROUND(MAX(0,E62*(1+E$8)-AA63),2)</f>
        <v>0</v>
      </c>
      <c r="F63" s="27" t="n">
        <f aca="false">ROUND(MAX(0,F62*(1+F$8)-AB63),2)</f>
        <v>0</v>
      </c>
      <c r="G63" s="27" t="n">
        <f aca="false">ROUND(MAX(0,G62*(1+G$8)-AC63),2)</f>
        <v>0</v>
      </c>
      <c r="H63" s="27" t="n">
        <f aca="false">ROUND(MAX(0,H62*(1+H$8)-AD63),2)</f>
        <v>0</v>
      </c>
      <c r="I63" s="27" t="n">
        <f aca="false">ROUND(MAX(0,I62*(1+I$8)-AE63),2)</f>
        <v>0</v>
      </c>
      <c r="J63" s="27" t="n">
        <f aca="false">ROUND(MAX(0,J62*(1+J$8)-AF63),2)</f>
        <v>0</v>
      </c>
      <c r="K63" s="27" t="n">
        <f aca="false">ROUND(MAX(0,K62*(1+K$8)-AG63),2)</f>
        <v>0</v>
      </c>
      <c r="L63" s="30" t="n">
        <f aca="false">SUM(B63:K63)</f>
        <v>0</v>
      </c>
      <c r="M63" s="27" t="n">
        <f aca="false">SUMPRODUCT(B62:K62,$B$8:$K$8)</f>
        <v>0</v>
      </c>
      <c r="N63" s="27" t="n">
        <f aca="false">MIN(B62*(1+B$8),B$9)</f>
        <v>0</v>
      </c>
      <c r="O63" s="27" t="n">
        <f aca="false">MIN(C62*(1+C$8),C$9)</f>
        <v>0</v>
      </c>
      <c r="P63" s="27" t="n">
        <f aca="false">MIN(D62*(1+D$8),D$9)</f>
        <v>0</v>
      </c>
      <c r="Q63" s="27" t="n">
        <f aca="false">MIN(E62*(1+E$8),E$9)</f>
        <v>0</v>
      </c>
      <c r="R63" s="27" t="n">
        <f aca="false">MIN(F62*(1+F$8),F$9)</f>
        <v>0</v>
      </c>
      <c r="S63" s="27" t="n">
        <f aca="false">MIN(G62*(1+G$8),G$9)</f>
        <v>0</v>
      </c>
      <c r="T63" s="27" t="n">
        <f aca="false">MIN(H62*(1+H$8),H$9)</f>
        <v>0</v>
      </c>
      <c r="U63" s="27" t="n">
        <f aca="false">MIN(I62*(1+I$8),I$9)</f>
        <v>0</v>
      </c>
      <c r="V63" s="27" t="n">
        <f aca="false">MIN(J62*(1+J$8),J$9)</f>
        <v>0</v>
      </c>
      <c r="W63" s="27" t="n">
        <f aca="false">MIN(K62*(1+K$8),K$9)</f>
        <v>0</v>
      </c>
      <c r="X63" s="27" t="n">
        <f aca="false">MIN(B62*(1+B$8),MAX(N63,$B$11-SUM(O63:W63)))</f>
        <v>0</v>
      </c>
      <c r="Y63" s="27" t="n">
        <f aca="false">MIN(C62*(1+C$8),MAX(O63,$B$11-SUM(X63:X63)-SUM(P63:W63)))</f>
        <v>0</v>
      </c>
      <c r="Z63" s="27" t="n">
        <f aca="false">MIN(D62*(1+D$8),MAX(P63,$B$11-SUM(X63:Y63)-SUM(Q63:W63)))</f>
        <v>0</v>
      </c>
      <c r="AA63" s="27" t="n">
        <f aca="false">MIN(E62*(1+E$8),MAX(Q63,$B$11-SUM(X63:Z63)-SUM(R63:W63)))</f>
        <v>0</v>
      </c>
      <c r="AB63" s="27" t="n">
        <f aca="false">MIN(F62*(1+F$8),MAX(R63,$B$11-SUM(X63:AA63)-SUM(S63:W63)))</f>
        <v>0</v>
      </c>
      <c r="AC63" s="27" t="n">
        <f aca="false">MIN(G62*(1+G$8),MAX(S63,$B$11-SUM(X63:AB63)-SUM(T63:W63)))</f>
        <v>0</v>
      </c>
      <c r="AD63" s="27" t="n">
        <f aca="false">MIN(H62*(1+H$8),MAX(T63,$B$11-SUM(X63:AC63)-SUM(U63:W63)))</f>
        <v>0</v>
      </c>
      <c r="AE63" s="27" t="n">
        <f aca="false">MIN(I62*(1+I$8),MAX(U63,$B$11-SUM(X63:AD63)-SUM(V63:W63)))</f>
        <v>0</v>
      </c>
      <c r="AF63" s="27" t="n">
        <f aca="false">MIN(J62*(1+J$8),MAX(V63,$B$11-SUM(X63:AE63)-SUM(W63:W63)))</f>
        <v>0</v>
      </c>
      <c r="AG63" s="27" t="n">
        <f aca="false">MIN(K62*(1+K$8),MAX(W63,$B$11-SUM(X63:AF63)))</f>
        <v>0</v>
      </c>
      <c r="AI63" s="27" t="n">
        <f aca="false">ROUND(MAX(0,AI62*(1+B$8)-BE63),2)</f>
        <v>0</v>
      </c>
      <c r="AJ63" s="27" t="n">
        <f aca="false">ROUND(MAX(0,AJ62*(1+C$8)-BF63),2)</f>
        <v>0</v>
      </c>
      <c r="AK63" s="27" t="n">
        <f aca="false">ROUND(MAX(0,AK62*(1+D$8)-BG63),2)</f>
        <v>0</v>
      </c>
      <c r="AL63" s="27" t="n">
        <f aca="false">ROUND(MAX(0,AL62*(1+E$8)-BH63),2)</f>
        <v>0</v>
      </c>
      <c r="AM63" s="27" t="n">
        <f aca="false">ROUND(MAX(0,AM62*(1+F$8)-BI63),2)</f>
        <v>0</v>
      </c>
      <c r="AN63" s="27" t="n">
        <f aca="false">ROUND(MAX(0,AN62*(1+G$8)-BJ63),2)</f>
        <v>0</v>
      </c>
      <c r="AO63" s="27" t="n">
        <f aca="false">ROUND(MAX(0,AO62*(1+H$8)-BK63),2)</f>
        <v>0</v>
      </c>
      <c r="AP63" s="27" t="n">
        <f aca="false">ROUND(MAX(0,AP62*(1+I$8)-BL63),2)</f>
        <v>0</v>
      </c>
      <c r="AQ63" s="27" t="n">
        <f aca="false">ROUND(MAX(0,AQ62*(1+J$8)-BM63),2)</f>
        <v>0</v>
      </c>
      <c r="AR63" s="27" t="n">
        <f aca="false">ROUND(MAX(0,AR62*(1+K$8)-BN63),2)</f>
        <v>0</v>
      </c>
      <c r="AS63" s="27" t="n">
        <f aca="false">SUM(AI63:AR63)</f>
        <v>0</v>
      </c>
      <c r="AT63" s="27" t="n">
        <f aca="false">SUMPRODUCT(AI62:AR62,$B$8:$K$8)</f>
        <v>0</v>
      </c>
      <c r="AU63" s="27" t="n">
        <f aca="false">MIN(AI62*(1+B$8),B$9)</f>
        <v>0</v>
      </c>
      <c r="AV63" s="27" t="n">
        <f aca="false">MIN(AJ62*(1+C$8),C$9)</f>
        <v>0</v>
      </c>
      <c r="AW63" s="27" t="n">
        <f aca="false">MIN(AK62*(1+D$8),D$9)</f>
        <v>0</v>
      </c>
      <c r="AX63" s="27" t="n">
        <f aca="false">MIN(AL62*(1+E$8),E$9)</f>
        <v>0</v>
      </c>
      <c r="AY63" s="27" t="n">
        <f aca="false">MIN(AM62*(1+F$8),F$9)</f>
        <v>0</v>
      </c>
      <c r="AZ63" s="27" t="n">
        <f aca="false">MIN(AN62*(1+G$8),G$9)</f>
        <v>0</v>
      </c>
      <c r="BA63" s="27" t="n">
        <f aca="false">MIN(AO62*(1+H$8),H$9)</f>
        <v>0</v>
      </c>
      <c r="BB63" s="27" t="n">
        <f aca="false">MIN(AP62*(1+I$8),I$9)</f>
        <v>0</v>
      </c>
      <c r="BC63" s="27" t="n">
        <f aca="false">MIN(AQ62*(1+J$8),J$9)</f>
        <v>0</v>
      </c>
      <c r="BD63" s="27" t="n">
        <f aca="false">MIN(AR62*(1+K$8),K$9)</f>
        <v>0</v>
      </c>
      <c r="BE63" s="27" t="n">
        <f aca="false">MIN(AI62*(1+B$8),MAX(AU63,$B$12-SUM(AV63:BD63)))</f>
        <v>0</v>
      </c>
      <c r="BF63" s="27" t="n">
        <f aca="false">MIN(AJ62*(1+C$8),MAX(AV63,$B$12-SUM(BE63:BE63)-SUM(AW63:BD63)))</f>
        <v>0</v>
      </c>
      <c r="BG63" s="27" t="n">
        <f aca="false">MIN(AK62*(1+D$8),MAX(AW63,$B$12-SUM(BE63:BF63)-SUM(AX63:BD63)))</f>
        <v>0</v>
      </c>
      <c r="BH63" s="27" t="n">
        <f aca="false">MIN(AL62*(1+E$8),MAX(AX63,$B$12-SUM(BE63:BG63)-SUM(AY63:BD63)))</f>
        <v>0</v>
      </c>
      <c r="BI63" s="27" t="n">
        <f aca="false">MIN(AM62*(1+F$8),MAX(AY63,$B$12-SUM(BE63:BH63)-SUM(AZ63:BD63)))</f>
        <v>0</v>
      </c>
      <c r="BJ63" s="27" t="n">
        <f aca="false">MIN(AN62*(1+G$8),MAX(AZ63,$B$12-SUM(BE63:BI63)-SUM(BA63:BD63)))</f>
        <v>0</v>
      </c>
      <c r="BK63" s="27" t="n">
        <f aca="false">MIN(AO62*(1+H$8),MAX(BA63,$B$12-SUM(BE63:BJ63)-SUM(BB63:BD63)))</f>
        <v>0</v>
      </c>
      <c r="BL63" s="27" t="n">
        <f aca="false">MIN(AP62*(1+I$8),MAX(BB63,$B$12-SUM(BE63:BK63)-SUM(BC63:BD63)))</f>
        <v>0</v>
      </c>
      <c r="BM63" s="27" t="n">
        <f aca="false">MIN(AQ62*(1+J$8),MAX(BC63,$B$12-SUM(BE63:BL63)-SUM(BD63:BD63)))</f>
        <v>0</v>
      </c>
      <c r="BN63" s="27" t="n">
        <f aca="false">MIN(AR62*(1+K$8),MAX(BD63,$B$12-SUM(BE63:BM63)))</f>
        <v>0</v>
      </c>
    </row>
    <row r="64" customFormat="false" ht="15" hidden="false" customHeight="false" outlineLevel="0" collapsed="false">
      <c r="A64" s="0" t="n">
        <v>50</v>
      </c>
      <c r="B64" s="27" t="n">
        <f aca="false">ROUND(MAX(0,B63*(1+B$8)-X64),2)</f>
        <v>0</v>
      </c>
      <c r="C64" s="27" t="n">
        <f aca="false">ROUND(MAX(0,C63*(1+C$8)-Y64),2)</f>
        <v>0</v>
      </c>
      <c r="D64" s="27" t="n">
        <f aca="false">ROUND(MAX(0,D63*(1+D$8)-Z64),2)</f>
        <v>0</v>
      </c>
      <c r="E64" s="27" t="n">
        <f aca="false">ROUND(MAX(0,E63*(1+E$8)-AA64),2)</f>
        <v>0</v>
      </c>
      <c r="F64" s="27" t="n">
        <f aca="false">ROUND(MAX(0,F63*(1+F$8)-AB64),2)</f>
        <v>0</v>
      </c>
      <c r="G64" s="27" t="n">
        <f aca="false">ROUND(MAX(0,G63*(1+G$8)-AC64),2)</f>
        <v>0</v>
      </c>
      <c r="H64" s="27" t="n">
        <f aca="false">ROUND(MAX(0,H63*(1+H$8)-AD64),2)</f>
        <v>0</v>
      </c>
      <c r="I64" s="27" t="n">
        <f aca="false">ROUND(MAX(0,I63*(1+I$8)-AE64),2)</f>
        <v>0</v>
      </c>
      <c r="J64" s="27" t="n">
        <f aca="false">ROUND(MAX(0,J63*(1+J$8)-AF64),2)</f>
        <v>0</v>
      </c>
      <c r="K64" s="27" t="n">
        <f aca="false">ROUND(MAX(0,K63*(1+K$8)-AG64),2)</f>
        <v>0</v>
      </c>
      <c r="L64" s="30" t="n">
        <f aca="false">SUM(B64:K64)</f>
        <v>0</v>
      </c>
      <c r="M64" s="27" t="n">
        <f aca="false">SUMPRODUCT(B63:K63,$B$8:$K$8)</f>
        <v>0</v>
      </c>
      <c r="N64" s="27" t="n">
        <f aca="false">MIN(B63*(1+B$8),B$9)</f>
        <v>0</v>
      </c>
      <c r="O64" s="27" t="n">
        <f aca="false">MIN(C63*(1+C$8),C$9)</f>
        <v>0</v>
      </c>
      <c r="P64" s="27" t="n">
        <f aca="false">MIN(D63*(1+D$8),D$9)</f>
        <v>0</v>
      </c>
      <c r="Q64" s="27" t="n">
        <f aca="false">MIN(E63*(1+E$8),E$9)</f>
        <v>0</v>
      </c>
      <c r="R64" s="27" t="n">
        <f aca="false">MIN(F63*(1+F$8),F$9)</f>
        <v>0</v>
      </c>
      <c r="S64" s="27" t="n">
        <f aca="false">MIN(G63*(1+G$8),G$9)</f>
        <v>0</v>
      </c>
      <c r="T64" s="27" t="n">
        <f aca="false">MIN(H63*(1+H$8),H$9)</f>
        <v>0</v>
      </c>
      <c r="U64" s="27" t="n">
        <f aca="false">MIN(I63*(1+I$8),I$9)</f>
        <v>0</v>
      </c>
      <c r="V64" s="27" t="n">
        <f aca="false">MIN(J63*(1+J$8),J$9)</f>
        <v>0</v>
      </c>
      <c r="W64" s="27" t="n">
        <f aca="false">MIN(K63*(1+K$8),K$9)</f>
        <v>0</v>
      </c>
      <c r="X64" s="27" t="n">
        <f aca="false">MIN(B63*(1+B$8),MAX(N64,$B$11-SUM(O64:W64)))</f>
        <v>0</v>
      </c>
      <c r="Y64" s="27" t="n">
        <f aca="false">MIN(C63*(1+C$8),MAX(O64,$B$11-SUM(X64:X64)-SUM(P64:W64)))</f>
        <v>0</v>
      </c>
      <c r="Z64" s="27" t="n">
        <f aca="false">MIN(D63*(1+D$8),MAX(P64,$B$11-SUM(X64:Y64)-SUM(Q64:W64)))</f>
        <v>0</v>
      </c>
      <c r="AA64" s="27" t="n">
        <f aca="false">MIN(E63*(1+E$8),MAX(Q64,$B$11-SUM(X64:Z64)-SUM(R64:W64)))</f>
        <v>0</v>
      </c>
      <c r="AB64" s="27" t="n">
        <f aca="false">MIN(F63*(1+F$8),MAX(R64,$B$11-SUM(X64:AA64)-SUM(S64:W64)))</f>
        <v>0</v>
      </c>
      <c r="AC64" s="27" t="n">
        <f aca="false">MIN(G63*(1+G$8),MAX(S64,$B$11-SUM(X64:AB64)-SUM(T64:W64)))</f>
        <v>0</v>
      </c>
      <c r="AD64" s="27" t="n">
        <f aca="false">MIN(H63*(1+H$8),MAX(T64,$B$11-SUM(X64:AC64)-SUM(U64:W64)))</f>
        <v>0</v>
      </c>
      <c r="AE64" s="27" t="n">
        <f aca="false">MIN(I63*(1+I$8),MAX(U64,$B$11-SUM(X64:AD64)-SUM(V64:W64)))</f>
        <v>0</v>
      </c>
      <c r="AF64" s="27" t="n">
        <f aca="false">MIN(J63*(1+J$8),MAX(V64,$B$11-SUM(X64:AE64)-SUM(W64:W64)))</f>
        <v>0</v>
      </c>
      <c r="AG64" s="27" t="n">
        <f aca="false">MIN(K63*(1+K$8),MAX(W64,$B$11-SUM(X64:AF64)))</f>
        <v>0</v>
      </c>
      <c r="AI64" s="27" t="n">
        <f aca="false">ROUND(MAX(0,AI63*(1+B$8)-BE64),2)</f>
        <v>0</v>
      </c>
      <c r="AJ64" s="27" t="n">
        <f aca="false">ROUND(MAX(0,AJ63*(1+C$8)-BF64),2)</f>
        <v>0</v>
      </c>
      <c r="AK64" s="27" t="n">
        <f aca="false">ROUND(MAX(0,AK63*(1+D$8)-BG64),2)</f>
        <v>0</v>
      </c>
      <c r="AL64" s="27" t="n">
        <f aca="false">ROUND(MAX(0,AL63*(1+E$8)-BH64),2)</f>
        <v>0</v>
      </c>
      <c r="AM64" s="27" t="n">
        <f aca="false">ROUND(MAX(0,AM63*(1+F$8)-BI64),2)</f>
        <v>0</v>
      </c>
      <c r="AN64" s="27" t="n">
        <f aca="false">ROUND(MAX(0,AN63*(1+G$8)-BJ64),2)</f>
        <v>0</v>
      </c>
      <c r="AO64" s="27" t="n">
        <f aca="false">ROUND(MAX(0,AO63*(1+H$8)-BK64),2)</f>
        <v>0</v>
      </c>
      <c r="AP64" s="27" t="n">
        <f aca="false">ROUND(MAX(0,AP63*(1+I$8)-BL64),2)</f>
        <v>0</v>
      </c>
      <c r="AQ64" s="27" t="n">
        <f aca="false">ROUND(MAX(0,AQ63*(1+J$8)-BM64),2)</f>
        <v>0</v>
      </c>
      <c r="AR64" s="27" t="n">
        <f aca="false">ROUND(MAX(0,AR63*(1+K$8)-BN64),2)</f>
        <v>0</v>
      </c>
      <c r="AS64" s="27" t="n">
        <f aca="false">SUM(AI64:AR64)</f>
        <v>0</v>
      </c>
      <c r="AT64" s="27" t="n">
        <f aca="false">SUMPRODUCT(AI63:AR63,$B$8:$K$8)</f>
        <v>0</v>
      </c>
      <c r="AU64" s="27" t="n">
        <f aca="false">MIN(AI63*(1+B$8),B$9)</f>
        <v>0</v>
      </c>
      <c r="AV64" s="27" t="n">
        <f aca="false">MIN(AJ63*(1+C$8),C$9)</f>
        <v>0</v>
      </c>
      <c r="AW64" s="27" t="n">
        <f aca="false">MIN(AK63*(1+D$8),D$9)</f>
        <v>0</v>
      </c>
      <c r="AX64" s="27" t="n">
        <f aca="false">MIN(AL63*(1+E$8),E$9)</f>
        <v>0</v>
      </c>
      <c r="AY64" s="27" t="n">
        <f aca="false">MIN(AM63*(1+F$8),F$9)</f>
        <v>0</v>
      </c>
      <c r="AZ64" s="27" t="n">
        <f aca="false">MIN(AN63*(1+G$8),G$9)</f>
        <v>0</v>
      </c>
      <c r="BA64" s="27" t="n">
        <f aca="false">MIN(AO63*(1+H$8),H$9)</f>
        <v>0</v>
      </c>
      <c r="BB64" s="27" t="n">
        <f aca="false">MIN(AP63*(1+I$8),I$9)</f>
        <v>0</v>
      </c>
      <c r="BC64" s="27" t="n">
        <f aca="false">MIN(AQ63*(1+J$8),J$9)</f>
        <v>0</v>
      </c>
      <c r="BD64" s="27" t="n">
        <f aca="false">MIN(AR63*(1+K$8),K$9)</f>
        <v>0</v>
      </c>
      <c r="BE64" s="27" t="n">
        <f aca="false">MIN(AI63*(1+B$8),MAX(AU64,$B$12-SUM(AV64:BD64)))</f>
        <v>0</v>
      </c>
      <c r="BF64" s="27" t="n">
        <f aca="false">MIN(AJ63*(1+C$8),MAX(AV64,$B$12-SUM(BE64:BE64)-SUM(AW64:BD64)))</f>
        <v>0</v>
      </c>
      <c r="BG64" s="27" t="n">
        <f aca="false">MIN(AK63*(1+D$8),MAX(AW64,$B$12-SUM(BE64:BF64)-SUM(AX64:BD64)))</f>
        <v>0</v>
      </c>
      <c r="BH64" s="27" t="n">
        <f aca="false">MIN(AL63*(1+E$8),MAX(AX64,$B$12-SUM(BE64:BG64)-SUM(AY64:BD64)))</f>
        <v>0</v>
      </c>
      <c r="BI64" s="27" t="n">
        <f aca="false">MIN(AM63*(1+F$8),MAX(AY64,$B$12-SUM(BE64:BH64)-SUM(AZ64:BD64)))</f>
        <v>0</v>
      </c>
      <c r="BJ64" s="27" t="n">
        <f aca="false">MIN(AN63*(1+G$8),MAX(AZ64,$B$12-SUM(BE64:BI64)-SUM(BA64:BD64)))</f>
        <v>0</v>
      </c>
      <c r="BK64" s="27" t="n">
        <f aca="false">MIN(AO63*(1+H$8),MAX(BA64,$B$12-SUM(BE64:BJ64)-SUM(BB64:BD64)))</f>
        <v>0</v>
      </c>
      <c r="BL64" s="27" t="n">
        <f aca="false">MIN(AP63*(1+I$8),MAX(BB64,$B$12-SUM(BE64:BK64)-SUM(BC64:BD64)))</f>
        <v>0</v>
      </c>
      <c r="BM64" s="27" t="n">
        <f aca="false">MIN(AQ63*(1+J$8),MAX(BC64,$B$12-SUM(BE64:BL64)-SUM(BD64:BD64)))</f>
        <v>0</v>
      </c>
      <c r="BN64" s="27" t="n">
        <f aca="false">MIN(AR63*(1+K$8),MAX(BD64,$B$12-SUM(BE64:BM64)))</f>
        <v>0</v>
      </c>
    </row>
    <row r="65" customFormat="false" ht="15" hidden="false" customHeight="false" outlineLevel="0" collapsed="false">
      <c r="A65" s="0" t="n">
        <v>51</v>
      </c>
      <c r="B65" s="27" t="n">
        <f aca="false">ROUND(MAX(0,B64*(1+B$8)-X65),2)</f>
        <v>0</v>
      </c>
      <c r="C65" s="27" t="n">
        <f aca="false">ROUND(MAX(0,C64*(1+C$8)-Y65),2)</f>
        <v>0</v>
      </c>
      <c r="D65" s="27" t="n">
        <f aca="false">ROUND(MAX(0,D64*(1+D$8)-Z65),2)</f>
        <v>0</v>
      </c>
      <c r="E65" s="27" t="n">
        <f aca="false">ROUND(MAX(0,E64*(1+E$8)-AA65),2)</f>
        <v>0</v>
      </c>
      <c r="F65" s="27" t="n">
        <f aca="false">ROUND(MAX(0,F64*(1+F$8)-AB65),2)</f>
        <v>0</v>
      </c>
      <c r="G65" s="27" t="n">
        <f aca="false">ROUND(MAX(0,G64*(1+G$8)-AC65),2)</f>
        <v>0</v>
      </c>
      <c r="H65" s="27" t="n">
        <f aca="false">ROUND(MAX(0,H64*(1+H$8)-AD65),2)</f>
        <v>0</v>
      </c>
      <c r="I65" s="27" t="n">
        <f aca="false">ROUND(MAX(0,I64*(1+I$8)-AE65),2)</f>
        <v>0</v>
      </c>
      <c r="J65" s="27" t="n">
        <f aca="false">ROUND(MAX(0,J64*(1+J$8)-AF65),2)</f>
        <v>0</v>
      </c>
      <c r="K65" s="27" t="n">
        <f aca="false">ROUND(MAX(0,K64*(1+K$8)-AG65),2)</f>
        <v>0</v>
      </c>
      <c r="L65" s="30" t="n">
        <f aca="false">SUM(B65:K65)</f>
        <v>0</v>
      </c>
      <c r="M65" s="27" t="n">
        <f aca="false">SUMPRODUCT(B64:K64,$B$8:$K$8)</f>
        <v>0</v>
      </c>
      <c r="N65" s="27" t="n">
        <f aca="false">MIN(B64*(1+B$8),B$9)</f>
        <v>0</v>
      </c>
      <c r="O65" s="27" t="n">
        <f aca="false">MIN(C64*(1+C$8),C$9)</f>
        <v>0</v>
      </c>
      <c r="P65" s="27" t="n">
        <f aca="false">MIN(D64*(1+D$8),D$9)</f>
        <v>0</v>
      </c>
      <c r="Q65" s="27" t="n">
        <f aca="false">MIN(E64*(1+E$8),E$9)</f>
        <v>0</v>
      </c>
      <c r="R65" s="27" t="n">
        <f aca="false">MIN(F64*(1+F$8),F$9)</f>
        <v>0</v>
      </c>
      <c r="S65" s="27" t="n">
        <f aca="false">MIN(G64*(1+G$8),G$9)</f>
        <v>0</v>
      </c>
      <c r="T65" s="27" t="n">
        <f aca="false">MIN(H64*(1+H$8),H$9)</f>
        <v>0</v>
      </c>
      <c r="U65" s="27" t="n">
        <f aca="false">MIN(I64*(1+I$8),I$9)</f>
        <v>0</v>
      </c>
      <c r="V65" s="27" t="n">
        <f aca="false">MIN(J64*(1+J$8),J$9)</f>
        <v>0</v>
      </c>
      <c r="W65" s="27" t="n">
        <f aca="false">MIN(K64*(1+K$8),K$9)</f>
        <v>0</v>
      </c>
      <c r="X65" s="27" t="n">
        <f aca="false">MIN(B64*(1+B$8),MAX(N65,$B$11-SUM(O65:W65)))</f>
        <v>0</v>
      </c>
      <c r="Y65" s="27" t="n">
        <f aca="false">MIN(C64*(1+C$8),MAX(O65,$B$11-SUM(X65:X65)-SUM(P65:W65)))</f>
        <v>0</v>
      </c>
      <c r="Z65" s="27" t="n">
        <f aca="false">MIN(D64*(1+D$8),MAX(P65,$B$11-SUM(X65:Y65)-SUM(Q65:W65)))</f>
        <v>0</v>
      </c>
      <c r="AA65" s="27" t="n">
        <f aca="false">MIN(E64*(1+E$8),MAX(Q65,$B$11-SUM(X65:Z65)-SUM(R65:W65)))</f>
        <v>0</v>
      </c>
      <c r="AB65" s="27" t="n">
        <f aca="false">MIN(F64*(1+F$8),MAX(R65,$B$11-SUM(X65:AA65)-SUM(S65:W65)))</f>
        <v>0</v>
      </c>
      <c r="AC65" s="27" t="n">
        <f aca="false">MIN(G64*(1+G$8),MAX(S65,$B$11-SUM(X65:AB65)-SUM(T65:W65)))</f>
        <v>0</v>
      </c>
      <c r="AD65" s="27" t="n">
        <f aca="false">MIN(H64*(1+H$8),MAX(T65,$B$11-SUM(X65:AC65)-SUM(U65:W65)))</f>
        <v>0</v>
      </c>
      <c r="AE65" s="27" t="n">
        <f aca="false">MIN(I64*(1+I$8),MAX(U65,$B$11-SUM(X65:AD65)-SUM(V65:W65)))</f>
        <v>0</v>
      </c>
      <c r="AF65" s="27" t="n">
        <f aca="false">MIN(J64*(1+J$8),MAX(V65,$B$11-SUM(X65:AE65)-SUM(W65:W65)))</f>
        <v>0</v>
      </c>
      <c r="AG65" s="27" t="n">
        <f aca="false">MIN(K64*(1+K$8),MAX(W65,$B$11-SUM(X65:AF65)))</f>
        <v>0</v>
      </c>
      <c r="AI65" s="27" t="n">
        <f aca="false">ROUND(MAX(0,AI64*(1+B$8)-BE65),2)</f>
        <v>0</v>
      </c>
      <c r="AJ65" s="27" t="n">
        <f aca="false">ROUND(MAX(0,AJ64*(1+C$8)-BF65),2)</f>
        <v>0</v>
      </c>
      <c r="AK65" s="27" t="n">
        <f aca="false">ROUND(MAX(0,AK64*(1+D$8)-BG65),2)</f>
        <v>0</v>
      </c>
      <c r="AL65" s="27" t="n">
        <f aca="false">ROUND(MAX(0,AL64*(1+E$8)-BH65),2)</f>
        <v>0</v>
      </c>
      <c r="AM65" s="27" t="n">
        <f aca="false">ROUND(MAX(0,AM64*(1+F$8)-BI65),2)</f>
        <v>0</v>
      </c>
      <c r="AN65" s="27" t="n">
        <f aca="false">ROUND(MAX(0,AN64*(1+G$8)-BJ65),2)</f>
        <v>0</v>
      </c>
      <c r="AO65" s="27" t="n">
        <f aca="false">ROUND(MAX(0,AO64*(1+H$8)-BK65),2)</f>
        <v>0</v>
      </c>
      <c r="AP65" s="27" t="n">
        <f aca="false">ROUND(MAX(0,AP64*(1+I$8)-BL65),2)</f>
        <v>0</v>
      </c>
      <c r="AQ65" s="27" t="n">
        <f aca="false">ROUND(MAX(0,AQ64*(1+J$8)-BM65),2)</f>
        <v>0</v>
      </c>
      <c r="AR65" s="27" t="n">
        <f aca="false">ROUND(MAX(0,AR64*(1+K$8)-BN65),2)</f>
        <v>0</v>
      </c>
      <c r="AS65" s="27" t="n">
        <f aca="false">SUM(AI65:AR65)</f>
        <v>0</v>
      </c>
      <c r="AT65" s="27" t="n">
        <f aca="false">SUMPRODUCT(AI64:AR64,$B$8:$K$8)</f>
        <v>0</v>
      </c>
      <c r="AU65" s="27" t="n">
        <f aca="false">MIN(AI64*(1+B$8),B$9)</f>
        <v>0</v>
      </c>
      <c r="AV65" s="27" t="n">
        <f aca="false">MIN(AJ64*(1+C$8),C$9)</f>
        <v>0</v>
      </c>
      <c r="AW65" s="27" t="n">
        <f aca="false">MIN(AK64*(1+D$8),D$9)</f>
        <v>0</v>
      </c>
      <c r="AX65" s="27" t="n">
        <f aca="false">MIN(AL64*(1+E$8),E$9)</f>
        <v>0</v>
      </c>
      <c r="AY65" s="27" t="n">
        <f aca="false">MIN(AM64*(1+F$8),F$9)</f>
        <v>0</v>
      </c>
      <c r="AZ65" s="27" t="n">
        <f aca="false">MIN(AN64*(1+G$8),G$9)</f>
        <v>0</v>
      </c>
      <c r="BA65" s="27" t="n">
        <f aca="false">MIN(AO64*(1+H$8),H$9)</f>
        <v>0</v>
      </c>
      <c r="BB65" s="27" t="n">
        <f aca="false">MIN(AP64*(1+I$8),I$9)</f>
        <v>0</v>
      </c>
      <c r="BC65" s="27" t="n">
        <f aca="false">MIN(AQ64*(1+J$8),J$9)</f>
        <v>0</v>
      </c>
      <c r="BD65" s="27" t="n">
        <f aca="false">MIN(AR64*(1+K$8),K$9)</f>
        <v>0</v>
      </c>
      <c r="BE65" s="27" t="n">
        <f aca="false">MIN(AI64*(1+B$8),MAX(AU65,$B$12-SUM(AV65:BD65)))</f>
        <v>0</v>
      </c>
      <c r="BF65" s="27" t="n">
        <f aca="false">MIN(AJ64*(1+C$8),MAX(AV65,$B$12-SUM(BE65:BE65)-SUM(AW65:BD65)))</f>
        <v>0</v>
      </c>
      <c r="BG65" s="27" t="n">
        <f aca="false">MIN(AK64*(1+D$8),MAX(AW65,$B$12-SUM(BE65:BF65)-SUM(AX65:BD65)))</f>
        <v>0</v>
      </c>
      <c r="BH65" s="27" t="n">
        <f aca="false">MIN(AL64*(1+E$8),MAX(AX65,$B$12-SUM(BE65:BG65)-SUM(AY65:BD65)))</f>
        <v>0</v>
      </c>
      <c r="BI65" s="27" t="n">
        <f aca="false">MIN(AM64*(1+F$8),MAX(AY65,$B$12-SUM(BE65:BH65)-SUM(AZ65:BD65)))</f>
        <v>0</v>
      </c>
      <c r="BJ65" s="27" t="n">
        <f aca="false">MIN(AN64*(1+G$8),MAX(AZ65,$B$12-SUM(BE65:BI65)-SUM(BA65:BD65)))</f>
        <v>0</v>
      </c>
      <c r="BK65" s="27" t="n">
        <f aca="false">MIN(AO64*(1+H$8),MAX(BA65,$B$12-SUM(BE65:BJ65)-SUM(BB65:BD65)))</f>
        <v>0</v>
      </c>
      <c r="BL65" s="27" t="n">
        <f aca="false">MIN(AP64*(1+I$8),MAX(BB65,$B$12-SUM(BE65:BK65)-SUM(BC65:BD65)))</f>
        <v>0</v>
      </c>
      <c r="BM65" s="27" t="n">
        <f aca="false">MIN(AQ64*(1+J$8),MAX(BC65,$B$12-SUM(BE65:BL65)-SUM(BD65:BD65)))</f>
        <v>0</v>
      </c>
      <c r="BN65" s="27" t="n">
        <f aca="false">MIN(AR64*(1+K$8),MAX(BD65,$B$12-SUM(BE65:BM65)))</f>
        <v>0</v>
      </c>
    </row>
    <row r="66" customFormat="false" ht="15" hidden="false" customHeight="false" outlineLevel="0" collapsed="false">
      <c r="A66" s="0" t="n">
        <v>52</v>
      </c>
      <c r="B66" s="27" t="n">
        <f aca="false">ROUND(MAX(0,B65*(1+B$8)-X66),2)</f>
        <v>0</v>
      </c>
      <c r="C66" s="27" t="n">
        <f aca="false">ROUND(MAX(0,C65*(1+C$8)-Y66),2)</f>
        <v>0</v>
      </c>
      <c r="D66" s="27" t="n">
        <f aca="false">ROUND(MAX(0,D65*(1+D$8)-Z66),2)</f>
        <v>0</v>
      </c>
      <c r="E66" s="27" t="n">
        <f aca="false">ROUND(MAX(0,E65*(1+E$8)-AA66),2)</f>
        <v>0</v>
      </c>
      <c r="F66" s="27" t="n">
        <f aca="false">ROUND(MAX(0,F65*(1+F$8)-AB66),2)</f>
        <v>0</v>
      </c>
      <c r="G66" s="27" t="n">
        <f aca="false">ROUND(MAX(0,G65*(1+G$8)-AC66),2)</f>
        <v>0</v>
      </c>
      <c r="H66" s="27" t="n">
        <f aca="false">ROUND(MAX(0,H65*(1+H$8)-AD66),2)</f>
        <v>0</v>
      </c>
      <c r="I66" s="27" t="n">
        <f aca="false">ROUND(MAX(0,I65*(1+I$8)-AE66),2)</f>
        <v>0</v>
      </c>
      <c r="J66" s="27" t="n">
        <f aca="false">ROUND(MAX(0,J65*(1+J$8)-AF66),2)</f>
        <v>0</v>
      </c>
      <c r="K66" s="27" t="n">
        <f aca="false">ROUND(MAX(0,K65*(1+K$8)-AG66),2)</f>
        <v>0</v>
      </c>
      <c r="L66" s="30" t="n">
        <f aca="false">SUM(B66:K66)</f>
        <v>0</v>
      </c>
      <c r="M66" s="27" t="n">
        <f aca="false">SUMPRODUCT(B65:K65,$B$8:$K$8)</f>
        <v>0</v>
      </c>
      <c r="N66" s="27" t="n">
        <f aca="false">MIN(B65*(1+B$8),B$9)</f>
        <v>0</v>
      </c>
      <c r="O66" s="27" t="n">
        <f aca="false">MIN(C65*(1+C$8),C$9)</f>
        <v>0</v>
      </c>
      <c r="P66" s="27" t="n">
        <f aca="false">MIN(D65*(1+D$8),D$9)</f>
        <v>0</v>
      </c>
      <c r="Q66" s="27" t="n">
        <f aca="false">MIN(E65*(1+E$8),E$9)</f>
        <v>0</v>
      </c>
      <c r="R66" s="27" t="n">
        <f aca="false">MIN(F65*(1+F$8),F$9)</f>
        <v>0</v>
      </c>
      <c r="S66" s="27" t="n">
        <f aca="false">MIN(G65*(1+G$8),G$9)</f>
        <v>0</v>
      </c>
      <c r="T66" s="27" t="n">
        <f aca="false">MIN(H65*(1+H$8),H$9)</f>
        <v>0</v>
      </c>
      <c r="U66" s="27" t="n">
        <f aca="false">MIN(I65*(1+I$8),I$9)</f>
        <v>0</v>
      </c>
      <c r="V66" s="27" t="n">
        <f aca="false">MIN(J65*(1+J$8),J$9)</f>
        <v>0</v>
      </c>
      <c r="W66" s="27" t="n">
        <f aca="false">MIN(K65*(1+K$8),K$9)</f>
        <v>0</v>
      </c>
      <c r="X66" s="27" t="n">
        <f aca="false">MIN(B65*(1+B$8),MAX(N66,$B$11-SUM(O66:W66)))</f>
        <v>0</v>
      </c>
      <c r="Y66" s="27" t="n">
        <f aca="false">MIN(C65*(1+C$8),MAX(O66,$B$11-SUM(X66:X66)-SUM(P66:W66)))</f>
        <v>0</v>
      </c>
      <c r="Z66" s="27" t="n">
        <f aca="false">MIN(D65*(1+D$8),MAX(P66,$B$11-SUM(X66:Y66)-SUM(Q66:W66)))</f>
        <v>0</v>
      </c>
      <c r="AA66" s="27" t="n">
        <f aca="false">MIN(E65*(1+E$8),MAX(Q66,$B$11-SUM(X66:Z66)-SUM(R66:W66)))</f>
        <v>0</v>
      </c>
      <c r="AB66" s="27" t="n">
        <f aca="false">MIN(F65*(1+F$8),MAX(R66,$B$11-SUM(X66:AA66)-SUM(S66:W66)))</f>
        <v>0</v>
      </c>
      <c r="AC66" s="27" t="n">
        <f aca="false">MIN(G65*(1+G$8),MAX(S66,$B$11-SUM(X66:AB66)-SUM(T66:W66)))</f>
        <v>0</v>
      </c>
      <c r="AD66" s="27" t="n">
        <f aca="false">MIN(H65*(1+H$8),MAX(T66,$B$11-SUM(X66:AC66)-SUM(U66:W66)))</f>
        <v>0</v>
      </c>
      <c r="AE66" s="27" t="n">
        <f aca="false">MIN(I65*(1+I$8),MAX(U66,$B$11-SUM(X66:AD66)-SUM(V66:W66)))</f>
        <v>0</v>
      </c>
      <c r="AF66" s="27" t="n">
        <f aca="false">MIN(J65*(1+J$8),MAX(V66,$B$11-SUM(X66:AE66)-SUM(W66:W66)))</f>
        <v>0</v>
      </c>
      <c r="AG66" s="27" t="n">
        <f aca="false">MIN(K65*(1+K$8),MAX(W66,$B$11-SUM(X66:AF66)))</f>
        <v>0</v>
      </c>
      <c r="AI66" s="27" t="n">
        <f aca="false">ROUND(MAX(0,AI65*(1+B$8)-BE66),2)</f>
        <v>0</v>
      </c>
      <c r="AJ66" s="27" t="n">
        <f aca="false">ROUND(MAX(0,AJ65*(1+C$8)-BF66),2)</f>
        <v>0</v>
      </c>
      <c r="AK66" s="27" t="n">
        <f aca="false">ROUND(MAX(0,AK65*(1+D$8)-BG66),2)</f>
        <v>0</v>
      </c>
      <c r="AL66" s="27" t="n">
        <f aca="false">ROUND(MAX(0,AL65*(1+E$8)-BH66),2)</f>
        <v>0</v>
      </c>
      <c r="AM66" s="27" t="n">
        <f aca="false">ROUND(MAX(0,AM65*(1+F$8)-BI66),2)</f>
        <v>0</v>
      </c>
      <c r="AN66" s="27" t="n">
        <f aca="false">ROUND(MAX(0,AN65*(1+G$8)-BJ66),2)</f>
        <v>0</v>
      </c>
      <c r="AO66" s="27" t="n">
        <f aca="false">ROUND(MAX(0,AO65*(1+H$8)-BK66),2)</f>
        <v>0</v>
      </c>
      <c r="AP66" s="27" t="n">
        <f aca="false">ROUND(MAX(0,AP65*(1+I$8)-BL66),2)</f>
        <v>0</v>
      </c>
      <c r="AQ66" s="27" t="n">
        <f aca="false">ROUND(MAX(0,AQ65*(1+J$8)-BM66),2)</f>
        <v>0</v>
      </c>
      <c r="AR66" s="27" t="n">
        <f aca="false">ROUND(MAX(0,AR65*(1+K$8)-BN66),2)</f>
        <v>0</v>
      </c>
      <c r="AS66" s="27" t="n">
        <f aca="false">SUM(AI66:AR66)</f>
        <v>0</v>
      </c>
      <c r="AT66" s="27" t="n">
        <f aca="false">SUMPRODUCT(AI65:AR65,$B$8:$K$8)</f>
        <v>0</v>
      </c>
      <c r="AU66" s="27" t="n">
        <f aca="false">MIN(AI65*(1+B$8),B$9)</f>
        <v>0</v>
      </c>
      <c r="AV66" s="27" t="n">
        <f aca="false">MIN(AJ65*(1+C$8),C$9)</f>
        <v>0</v>
      </c>
      <c r="AW66" s="27" t="n">
        <f aca="false">MIN(AK65*(1+D$8),D$9)</f>
        <v>0</v>
      </c>
      <c r="AX66" s="27" t="n">
        <f aca="false">MIN(AL65*(1+E$8),E$9)</f>
        <v>0</v>
      </c>
      <c r="AY66" s="27" t="n">
        <f aca="false">MIN(AM65*(1+F$8),F$9)</f>
        <v>0</v>
      </c>
      <c r="AZ66" s="27" t="n">
        <f aca="false">MIN(AN65*(1+G$8),G$9)</f>
        <v>0</v>
      </c>
      <c r="BA66" s="27" t="n">
        <f aca="false">MIN(AO65*(1+H$8),H$9)</f>
        <v>0</v>
      </c>
      <c r="BB66" s="27" t="n">
        <f aca="false">MIN(AP65*(1+I$8),I$9)</f>
        <v>0</v>
      </c>
      <c r="BC66" s="27" t="n">
        <f aca="false">MIN(AQ65*(1+J$8),J$9)</f>
        <v>0</v>
      </c>
      <c r="BD66" s="27" t="n">
        <f aca="false">MIN(AR65*(1+K$8),K$9)</f>
        <v>0</v>
      </c>
      <c r="BE66" s="27" t="n">
        <f aca="false">MIN(AI65*(1+B$8),MAX(AU66,$B$12-SUM(AV66:BD66)))</f>
        <v>0</v>
      </c>
      <c r="BF66" s="27" t="n">
        <f aca="false">MIN(AJ65*(1+C$8),MAX(AV66,$B$12-SUM(BE66:BE66)-SUM(AW66:BD66)))</f>
        <v>0</v>
      </c>
      <c r="BG66" s="27" t="n">
        <f aca="false">MIN(AK65*(1+D$8),MAX(AW66,$B$12-SUM(BE66:BF66)-SUM(AX66:BD66)))</f>
        <v>0</v>
      </c>
      <c r="BH66" s="27" t="n">
        <f aca="false">MIN(AL65*(1+E$8),MAX(AX66,$B$12-SUM(BE66:BG66)-SUM(AY66:BD66)))</f>
        <v>0</v>
      </c>
      <c r="BI66" s="27" t="n">
        <f aca="false">MIN(AM65*(1+F$8),MAX(AY66,$B$12-SUM(BE66:BH66)-SUM(AZ66:BD66)))</f>
        <v>0</v>
      </c>
      <c r="BJ66" s="27" t="n">
        <f aca="false">MIN(AN65*(1+G$8),MAX(AZ66,$B$12-SUM(BE66:BI66)-SUM(BA66:BD66)))</f>
        <v>0</v>
      </c>
      <c r="BK66" s="27" t="n">
        <f aca="false">MIN(AO65*(1+H$8),MAX(BA66,$B$12-SUM(BE66:BJ66)-SUM(BB66:BD66)))</f>
        <v>0</v>
      </c>
      <c r="BL66" s="27" t="n">
        <f aca="false">MIN(AP65*(1+I$8),MAX(BB66,$B$12-SUM(BE66:BK66)-SUM(BC66:BD66)))</f>
        <v>0</v>
      </c>
      <c r="BM66" s="27" t="n">
        <f aca="false">MIN(AQ65*(1+J$8),MAX(BC66,$B$12-SUM(BE66:BL66)-SUM(BD66:BD66)))</f>
        <v>0</v>
      </c>
      <c r="BN66" s="27" t="n">
        <f aca="false">MIN(AR65*(1+K$8),MAX(BD66,$B$12-SUM(BE66:BM66)))</f>
        <v>0</v>
      </c>
    </row>
    <row r="67" customFormat="false" ht="15" hidden="false" customHeight="false" outlineLevel="0" collapsed="false">
      <c r="A67" s="0" t="n">
        <v>53</v>
      </c>
      <c r="B67" s="27" t="n">
        <f aca="false">ROUND(MAX(0,B66*(1+B$8)-X67),2)</f>
        <v>0</v>
      </c>
      <c r="C67" s="27" t="n">
        <f aca="false">ROUND(MAX(0,C66*(1+C$8)-Y67),2)</f>
        <v>0</v>
      </c>
      <c r="D67" s="27" t="n">
        <f aca="false">ROUND(MAX(0,D66*(1+D$8)-Z67),2)</f>
        <v>0</v>
      </c>
      <c r="E67" s="27" t="n">
        <f aca="false">ROUND(MAX(0,E66*(1+E$8)-AA67),2)</f>
        <v>0</v>
      </c>
      <c r="F67" s="27" t="n">
        <f aca="false">ROUND(MAX(0,F66*(1+F$8)-AB67),2)</f>
        <v>0</v>
      </c>
      <c r="G67" s="27" t="n">
        <f aca="false">ROUND(MAX(0,G66*(1+G$8)-AC67),2)</f>
        <v>0</v>
      </c>
      <c r="H67" s="27" t="n">
        <f aca="false">ROUND(MAX(0,H66*(1+H$8)-AD67),2)</f>
        <v>0</v>
      </c>
      <c r="I67" s="27" t="n">
        <f aca="false">ROUND(MAX(0,I66*(1+I$8)-AE67),2)</f>
        <v>0</v>
      </c>
      <c r="J67" s="27" t="n">
        <f aca="false">ROUND(MAX(0,J66*(1+J$8)-AF67),2)</f>
        <v>0</v>
      </c>
      <c r="K67" s="27" t="n">
        <f aca="false">ROUND(MAX(0,K66*(1+K$8)-AG67),2)</f>
        <v>0</v>
      </c>
      <c r="L67" s="30" t="n">
        <f aca="false">SUM(B67:K67)</f>
        <v>0</v>
      </c>
      <c r="M67" s="27" t="n">
        <f aca="false">SUMPRODUCT(B66:K66,$B$8:$K$8)</f>
        <v>0</v>
      </c>
      <c r="N67" s="27" t="n">
        <f aca="false">MIN(B66*(1+B$8),B$9)</f>
        <v>0</v>
      </c>
      <c r="O67" s="27" t="n">
        <f aca="false">MIN(C66*(1+C$8),C$9)</f>
        <v>0</v>
      </c>
      <c r="P67" s="27" t="n">
        <f aca="false">MIN(D66*(1+D$8),D$9)</f>
        <v>0</v>
      </c>
      <c r="Q67" s="27" t="n">
        <f aca="false">MIN(E66*(1+E$8),E$9)</f>
        <v>0</v>
      </c>
      <c r="R67" s="27" t="n">
        <f aca="false">MIN(F66*(1+F$8),F$9)</f>
        <v>0</v>
      </c>
      <c r="S67" s="27" t="n">
        <f aca="false">MIN(G66*(1+G$8),G$9)</f>
        <v>0</v>
      </c>
      <c r="T67" s="27" t="n">
        <f aca="false">MIN(H66*(1+H$8),H$9)</f>
        <v>0</v>
      </c>
      <c r="U67" s="27" t="n">
        <f aca="false">MIN(I66*(1+I$8),I$9)</f>
        <v>0</v>
      </c>
      <c r="V67" s="27" t="n">
        <f aca="false">MIN(J66*(1+J$8),J$9)</f>
        <v>0</v>
      </c>
      <c r="W67" s="27" t="n">
        <f aca="false">MIN(K66*(1+K$8),K$9)</f>
        <v>0</v>
      </c>
      <c r="X67" s="27" t="n">
        <f aca="false">MIN(B66*(1+B$8),MAX(N67,$B$11-SUM(O67:W67)))</f>
        <v>0</v>
      </c>
      <c r="Y67" s="27" t="n">
        <f aca="false">MIN(C66*(1+C$8),MAX(O67,$B$11-SUM(X67:X67)-SUM(P67:W67)))</f>
        <v>0</v>
      </c>
      <c r="Z67" s="27" t="n">
        <f aca="false">MIN(D66*(1+D$8),MAX(P67,$B$11-SUM(X67:Y67)-SUM(Q67:W67)))</f>
        <v>0</v>
      </c>
      <c r="AA67" s="27" t="n">
        <f aca="false">MIN(E66*(1+E$8),MAX(Q67,$B$11-SUM(X67:Z67)-SUM(R67:W67)))</f>
        <v>0</v>
      </c>
      <c r="AB67" s="27" t="n">
        <f aca="false">MIN(F66*(1+F$8),MAX(R67,$B$11-SUM(X67:AA67)-SUM(S67:W67)))</f>
        <v>0</v>
      </c>
      <c r="AC67" s="27" t="n">
        <f aca="false">MIN(G66*(1+G$8),MAX(S67,$B$11-SUM(X67:AB67)-SUM(T67:W67)))</f>
        <v>0</v>
      </c>
      <c r="AD67" s="27" t="n">
        <f aca="false">MIN(H66*(1+H$8),MAX(T67,$B$11-SUM(X67:AC67)-SUM(U67:W67)))</f>
        <v>0</v>
      </c>
      <c r="AE67" s="27" t="n">
        <f aca="false">MIN(I66*(1+I$8),MAX(U67,$B$11-SUM(X67:AD67)-SUM(V67:W67)))</f>
        <v>0</v>
      </c>
      <c r="AF67" s="27" t="n">
        <f aca="false">MIN(J66*(1+J$8),MAX(V67,$B$11-SUM(X67:AE67)-SUM(W67:W67)))</f>
        <v>0</v>
      </c>
      <c r="AG67" s="27" t="n">
        <f aca="false">MIN(K66*(1+K$8),MAX(W67,$B$11-SUM(X67:AF67)))</f>
        <v>0</v>
      </c>
      <c r="AI67" s="27" t="n">
        <f aca="false">ROUND(MAX(0,AI66*(1+B$8)-BE67),2)</f>
        <v>0</v>
      </c>
      <c r="AJ67" s="27" t="n">
        <f aca="false">ROUND(MAX(0,AJ66*(1+C$8)-BF67),2)</f>
        <v>0</v>
      </c>
      <c r="AK67" s="27" t="n">
        <f aca="false">ROUND(MAX(0,AK66*(1+D$8)-BG67),2)</f>
        <v>0</v>
      </c>
      <c r="AL67" s="27" t="n">
        <f aca="false">ROUND(MAX(0,AL66*(1+E$8)-BH67),2)</f>
        <v>0</v>
      </c>
      <c r="AM67" s="27" t="n">
        <f aca="false">ROUND(MAX(0,AM66*(1+F$8)-BI67),2)</f>
        <v>0</v>
      </c>
      <c r="AN67" s="27" t="n">
        <f aca="false">ROUND(MAX(0,AN66*(1+G$8)-BJ67),2)</f>
        <v>0</v>
      </c>
      <c r="AO67" s="27" t="n">
        <f aca="false">ROUND(MAX(0,AO66*(1+H$8)-BK67),2)</f>
        <v>0</v>
      </c>
      <c r="AP67" s="27" t="n">
        <f aca="false">ROUND(MAX(0,AP66*(1+I$8)-BL67),2)</f>
        <v>0</v>
      </c>
      <c r="AQ67" s="27" t="n">
        <f aca="false">ROUND(MAX(0,AQ66*(1+J$8)-BM67),2)</f>
        <v>0</v>
      </c>
      <c r="AR67" s="27" t="n">
        <f aca="false">ROUND(MAX(0,AR66*(1+K$8)-BN67),2)</f>
        <v>0</v>
      </c>
      <c r="AS67" s="27" t="n">
        <f aca="false">SUM(AI67:AR67)</f>
        <v>0</v>
      </c>
      <c r="AT67" s="27" t="n">
        <f aca="false">SUMPRODUCT(AI66:AR66,$B$8:$K$8)</f>
        <v>0</v>
      </c>
      <c r="AU67" s="27" t="n">
        <f aca="false">MIN(AI66*(1+B$8),B$9)</f>
        <v>0</v>
      </c>
      <c r="AV67" s="27" t="n">
        <f aca="false">MIN(AJ66*(1+C$8),C$9)</f>
        <v>0</v>
      </c>
      <c r="AW67" s="27" t="n">
        <f aca="false">MIN(AK66*(1+D$8),D$9)</f>
        <v>0</v>
      </c>
      <c r="AX67" s="27" t="n">
        <f aca="false">MIN(AL66*(1+E$8),E$9)</f>
        <v>0</v>
      </c>
      <c r="AY67" s="27" t="n">
        <f aca="false">MIN(AM66*(1+F$8),F$9)</f>
        <v>0</v>
      </c>
      <c r="AZ67" s="27" t="n">
        <f aca="false">MIN(AN66*(1+G$8),G$9)</f>
        <v>0</v>
      </c>
      <c r="BA67" s="27" t="n">
        <f aca="false">MIN(AO66*(1+H$8),H$9)</f>
        <v>0</v>
      </c>
      <c r="BB67" s="27" t="n">
        <f aca="false">MIN(AP66*(1+I$8),I$9)</f>
        <v>0</v>
      </c>
      <c r="BC67" s="27" t="n">
        <f aca="false">MIN(AQ66*(1+J$8),J$9)</f>
        <v>0</v>
      </c>
      <c r="BD67" s="27" t="n">
        <f aca="false">MIN(AR66*(1+K$8),K$9)</f>
        <v>0</v>
      </c>
      <c r="BE67" s="27" t="n">
        <f aca="false">MIN(AI66*(1+B$8),MAX(AU67,$B$12-SUM(AV67:BD67)))</f>
        <v>0</v>
      </c>
      <c r="BF67" s="27" t="n">
        <f aca="false">MIN(AJ66*(1+C$8),MAX(AV67,$B$12-SUM(BE67:BE67)-SUM(AW67:BD67)))</f>
        <v>0</v>
      </c>
      <c r="BG67" s="27" t="n">
        <f aca="false">MIN(AK66*(1+D$8),MAX(AW67,$B$12-SUM(BE67:BF67)-SUM(AX67:BD67)))</f>
        <v>0</v>
      </c>
      <c r="BH67" s="27" t="n">
        <f aca="false">MIN(AL66*(1+E$8),MAX(AX67,$B$12-SUM(BE67:BG67)-SUM(AY67:BD67)))</f>
        <v>0</v>
      </c>
      <c r="BI67" s="27" t="n">
        <f aca="false">MIN(AM66*(1+F$8),MAX(AY67,$B$12-SUM(BE67:BH67)-SUM(AZ67:BD67)))</f>
        <v>0</v>
      </c>
      <c r="BJ67" s="27" t="n">
        <f aca="false">MIN(AN66*(1+G$8),MAX(AZ67,$B$12-SUM(BE67:BI67)-SUM(BA67:BD67)))</f>
        <v>0</v>
      </c>
      <c r="BK67" s="27" t="n">
        <f aca="false">MIN(AO66*(1+H$8),MAX(BA67,$B$12-SUM(BE67:BJ67)-SUM(BB67:BD67)))</f>
        <v>0</v>
      </c>
      <c r="BL67" s="27" t="n">
        <f aca="false">MIN(AP66*(1+I$8),MAX(BB67,$B$12-SUM(BE67:BK67)-SUM(BC67:BD67)))</f>
        <v>0</v>
      </c>
      <c r="BM67" s="27" t="n">
        <f aca="false">MIN(AQ66*(1+J$8),MAX(BC67,$B$12-SUM(BE67:BL67)-SUM(BD67:BD67)))</f>
        <v>0</v>
      </c>
      <c r="BN67" s="27" t="n">
        <f aca="false">MIN(AR66*(1+K$8),MAX(BD67,$B$12-SUM(BE67:BM67)))</f>
        <v>0</v>
      </c>
    </row>
    <row r="68" customFormat="false" ht="15" hidden="false" customHeight="false" outlineLevel="0" collapsed="false">
      <c r="A68" s="0" t="n">
        <v>54</v>
      </c>
      <c r="B68" s="27" t="n">
        <f aca="false">ROUND(MAX(0,B67*(1+B$8)-X68),2)</f>
        <v>0</v>
      </c>
      <c r="C68" s="27" t="n">
        <f aca="false">ROUND(MAX(0,C67*(1+C$8)-Y68),2)</f>
        <v>0</v>
      </c>
      <c r="D68" s="27" t="n">
        <f aca="false">ROUND(MAX(0,D67*(1+D$8)-Z68),2)</f>
        <v>0</v>
      </c>
      <c r="E68" s="27" t="n">
        <f aca="false">ROUND(MAX(0,E67*(1+E$8)-AA68),2)</f>
        <v>0</v>
      </c>
      <c r="F68" s="27" t="n">
        <f aca="false">ROUND(MAX(0,F67*(1+F$8)-AB68),2)</f>
        <v>0</v>
      </c>
      <c r="G68" s="27" t="n">
        <f aca="false">ROUND(MAX(0,G67*(1+G$8)-AC68),2)</f>
        <v>0</v>
      </c>
      <c r="H68" s="27" t="n">
        <f aca="false">ROUND(MAX(0,H67*(1+H$8)-AD68),2)</f>
        <v>0</v>
      </c>
      <c r="I68" s="27" t="n">
        <f aca="false">ROUND(MAX(0,I67*(1+I$8)-AE68),2)</f>
        <v>0</v>
      </c>
      <c r="J68" s="27" t="n">
        <f aca="false">ROUND(MAX(0,J67*(1+J$8)-AF68),2)</f>
        <v>0</v>
      </c>
      <c r="K68" s="27" t="n">
        <f aca="false">ROUND(MAX(0,K67*(1+K$8)-AG68),2)</f>
        <v>0</v>
      </c>
      <c r="L68" s="30" t="n">
        <f aca="false">SUM(B68:K68)</f>
        <v>0</v>
      </c>
      <c r="M68" s="27" t="n">
        <f aca="false">SUMPRODUCT(B67:K67,$B$8:$K$8)</f>
        <v>0</v>
      </c>
      <c r="N68" s="27" t="n">
        <f aca="false">MIN(B67*(1+B$8),B$9)</f>
        <v>0</v>
      </c>
      <c r="O68" s="27" t="n">
        <f aca="false">MIN(C67*(1+C$8),C$9)</f>
        <v>0</v>
      </c>
      <c r="P68" s="27" t="n">
        <f aca="false">MIN(D67*(1+D$8),D$9)</f>
        <v>0</v>
      </c>
      <c r="Q68" s="27" t="n">
        <f aca="false">MIN(E67*(1+E$8),E$9)</f>
        <v>0</v>
      </c>
      <c r="R68" s="27" t="n">
        <f aca="false">MIN(F67*(1+F$8),F$9)</f>
        <v>0</v>
      </c>
      <c r="S68" s="27" t="n">
        <f aca="false">MIN(G67*(1+G$8),G$9)</f>
        <v>0</v>
      </c>
      <c r="T68" s="27" t="n">
        <f aca="false">MIN(H67*(1+H$8),H$9)</f>
        <v>0</v>
      </c>
      <c r="U68" s="27" t="n">
        <f aca="false">MIN(I67*(1+I$8),I$9)</f>
        <v>0</v>
      </c>
      <c r="V68" s="27" t="n">
        <f aca="false">MIN(J67*(1+J$8),J$9)</f>
        <v>0</v>
      </c>
      <c r="W68" s="27" t="n">
        <f aca="false">MIN(K67*(1+K$8),K$9)</f>
        <v>0</v>
      </c>
      <c r="X68" s="27" t="n">
        <f aca="false">MIN(B67*(1+B$8),MAX(N68,$B$11-SUM(O68:W68)))</f>
        <v>0</v>
      </c>
      <c r="Y68" s="27" t="n">
        <f aca="false">MIN(C67*(1+C$8),MAX(O68,$B$11-SUM(X68:X68)-SUM(P68:W68)))</f>
        <v>0</v>
      </c>
      <c r="Z68" s="27" t="n">
        <f aca="false">MIN(D67*(1+D$8),MAX(P68,$B$11-SUM(X68:Y68)-SUM(Q68:W68)))</f>
        <v>0</v>
      </c>
      <c r="AA68" s="27" t="n">
        <f aca="false">MIN(E67*(1+E$8),MAX(Q68,$B$11-SUM(X68:Z68)-SUM(R68:W68)))</f>
        <v>0</v>
      </c>
      <c r="AB68" s="27" t="n">
        <f aca="false">MIN(F67*(1+F$8),MAX(R68,$B$11-SUM(X68:AA68)-SUM(S68:W68)))</f>
        <v>0</v>
      </c>
      <c r="AC68" s="27" t="n">
        <f aca="false">MIN(G67*(1+G$8),MAX(S68,$B$11-SUM(X68:AB68)-SUM(T68:W68)))</f>
        <v>0</v>
      </c>
      <c r="AD68" s="27" t="n">
        <f aca="false">MIN(H67*(1+H$8),MAX(T68,$B$11-SUM(X68:AC68)-SUM(U68:W68)))</f>
        <v>0</v>
      </c>
      <c r="AE68" s="27" t="n">
        <f aca="false">MIN(I67*(1+I$8),MAX(U68,$B$11-SUM(X68:AD68)-SUM(V68:W68)))</f>
        <v>0</v>
      </c>
      <c r="AF68" s="27" t="n">
        <f aca="false">MIN(J67*(1+J$8),MAX(V68,$B$11-SUM(X68:AE68)-SUM(W68:W68)))</f>
        <v>0</v>
      </c>
      <c r="AG68" s="27" t="n">
        <f aca="false">MIN(K67*(1+K$8),MAX(W68,$B$11-SUM(X68:AF68)))</f>
        <v>0</v>
      </c>
      <c r="AI68" s="27" t="n">
        <f aca="false">ROUND(MAX(0,AI67*(1+B$8)-BE68),2)</f>
        <v>0</v>
      </c>
      <c r="AJ68" s="27" t="n">
        <f aca="false">ROUND(MAX(0,AJ67*(1+C$8)-BF68),2)</f>
        <v>0</v>
      </c>
      <c r="AK68" s="27" t="n">
        <f aca="false">ROUND(MAX(0,AK67*(1+D$8)-BG68),2)</f>
        <v>0</v>
      </c>
      <c r="AL68" s="27" t="n">
        <f aca="false">ROUND(MAX(0,AL67*(1+E$8)-BH68),2)</f>
        <v>0</v>
      </c>
      <c r="AM68" s="27" t="n">
        <f aca="false">ROUND(MAX(0,AM67*(1+F$8)-BI68),2)</f>
        <v>0</v>
      </c>
      <c r="AN68" s="27" t="n">
        <f aca="false">ROUND(MAX(0,AN67*(1+G$8)-BJ68),2)</f>
        <v>0</v>
      </c>
      <c r="AO68" s="27" t="n">
        <f aca="false">ROUND(MAX(0,AO67*(1+H$8)-BK68),2)</f>
        <v>0</v>
      </c>
      <c r="AP68" s="27" t="n">
        <f aca="false">ROUND(MAX(0,AP67*(1+I$8)-BL68),2)</f>
        <v>0</v>
      </c>
      <c r="AQ68" s="27" t="n">
        <f aca="false">ROUND(MAX(0,AQ67*(1+J$8)-BM68),2)</f>
        <v>0</v>
      </c>
      <c r="AR68" s="27" t="n">
        <f aca="false">ROUND(MAX(0,AR67*(1+K$8)-BN68),2)</f>
        <v>0</v>
      </c>
      <c r="AS68" s="27" t="n">
        <f aca="false">SUM(AI68:AR68)</f>
        <v>0</v>
      </c>
      <c r="AT68" s="27" t="n">
        <f aca="false">SUMPRODUCT(AI67:AR67,$B$8:$K$8)</f>
        <v>0</v>
      </c>
      <c r="AU68" s="27" t="n">
        <f aca="false">MIN(AI67*(1+B$8),B$9)</f>
        <v>0</v>
      </c>
      <c r="AV68" s="27" t="n">
        <f aca="false">MIN(AJ67*(1+C$8),C$9)</f>
        <v>0</v>
      </c>
      <c r="AW68" s="27" t="n">
        <f aca="false">MIN(AK67*(1+D$8),D$9)</f>
        <v>0</v>
      </c>
      <c r="AX68" s="27" t="n">
        <f aca="false">MIN(AL67*(1+E$8),E$9)</f>
        <v>0</v>
      </c>
      <c r="AY68" s="27" t="n">
        <f aca="false">MIN(AM67*(1+F$8),F$9)</f>
        <v>0</v>
      </c>
      <c r="AZ68" s="27" t="n">
        <f aca="false">MIN(AN67*(1+G$8),G$9)</f>
        <v>0</v>
      </c>
      <c r="BA68" s="27" t="n">
        <f aca="false">MIN(AO67*(1+H$8),H$9)</f>
        <v>0</v>
      </c>
      <c r="BB68" s="27" t="n">
        <f aca="false">MIN(AP67*(1+I$8),I$9)</f>
        <v>0</v>
      </c>
      <c r="BC68" s="27" t="n">
        <f aca="false">MIN(AQ67*(1+J$8),J$9)</f>
        <v>0</v>
      </c>
      <c r="BD68" s="27" t="n">
        <f aca="false">MIN(AR67*(1+K$8),K$9)</f>
        <v>0</v>
      </c>
      <c r="BE68" s="27" t="n">
        <f aca="false">MIN(AI67*(1+B$8),MAX(AU68,$B$12-SUM(AV68:BD68)))</f>
        <v>0</v>
      </c>
      <c r="BF68" s="27" t="n">
        <f aca="false">MIN(AJ67*(1+C$8),MAX(AV68,$B$12-SUM(BE68:BE68)-SUM(AW68:BD68)))</f>
        <v>0</v>
      </c>
      <c r="BG68" s="27" t="n">
        <f aca="false">MIN(AK67*(1+D$8),MAX(AW68,$B$12-SUM(BE68:BF68)-SUM(AX68:BD68)))</f>
        <v>0</v>
      </c>
      <c r="BH68" s="27" t="n">
        <f aca="false">MIN(AL67*(1+E$8),MAX(AX68,$B$12-SUM(BE68:BG68)-SUM(AY68:BD68)))</f>
        <v>0</v>
      </c>
      <c r="BI68" s="27" t="n">
        <f aca="false">MIN(AM67*(1+F$8),MAX(AY68,$B$12-SUM(BE68:BH68)-SUM(AZ68:BD68)))</f>
        <v>0</v>
      </c>
      <c r="BJ68" s="27" t="n">
        <f aca="false">MIN(AN67*(1+G$8),MAX(AZ68,$B$12-SUM(BE68:BI68)-SUM(BA68:BD68)))</f>
        <v>0</v>
      </c>
      <c r="BK68" s="27" t="n">
        <f aca="false">MIN(AO67*(1+H$8),MAX(BA68,$B$12-SUM(BE68:BJ68)-SUM(BB68:BD68)))</f>
        <v>0</v>
      </c>
      <c r="BL68" s="27" t="n">
        <f aca="false">MIN(AP67*(1+I$8),MAX(BB68,$B$12-SUM(BE68:BK68)-SUM(BC68:BD68)))</f>
        <v>0</v>
      </c>
      <c r="BM68" s="27" t="n">
        <f aca="false">MIN(AQ67*(1+J$8),MAX(BC68,$B$12-SUM(BE68:BL68)-SUM(BD68:BD68)))</f>
        <v>0</v>
      </c>
      <c r="BN68" s="27" t="n">
        <f aca="false">MIN(AR67*(1+K$8),MAX(BD68,$B$12-SUM(BE68:BM68)))</f>
        <v>0</v>
      </c>
    </row>
    <row r="69" customFormat="false" ht="15" hidden="false" customHeight="false" outlineLevel="0" collapsed="false">
      <c r="A69" s="0" t="n">
        <v>55</v>
      </c>
      <c r="B69" s="27" t="n">
        <f aca="false">ROUND(MAX(0,B68*(1+B$8)-X69),2)</f>
        <v>0</v>
      </c>
      <c r="C69" s="27" t="n">
        <f aca="false">ROUND(MAX(0,C68*(1+C$8)-Y69),2)</f>
        <v>0</v>
      </c>
      <c r="D69" s="27" t="n">
        <f aca="false">ROUND(MAX(0,D68*(1+D$8)-Z69),2)</f>
        <v>0</v>
      </c>
      <c r="E69" s="27" t="n">
        <f aca="false">ROUND(MAX(0,E68*(1+E$8)-AA69),2)</f>
        <v>0</v>
      </c>
      <c r="F69" s="27" t="n">
        <f aca="false">ROUND(MAX(0,F68*(1+F$8)-AB69),2)</f>
        <v>0</v>
      </c>
      <c r="G69" s="27" t="n">
        <f aca="false">ROUND(MAX(0,G68*(1+G$8)-AC69),2)</f>
        <v>0</v>
      </c>
      <c r="H69" s="27" t="n">
        <f aca="false">ROUND(MAX(0,H68*(1+H$8)-AD69),2)</f>
        <v>0</v>
      </c>
      <c r="I69" s="27" t="n">
        <f aca="false">ROUND(MAX(0,I68*(1+I$8)-AE69),2)</f>
        <v>0</v>
      </c>
      <c r="J69" s="27" t="n">
        <f aca="false">ROUND(MAX(0,J68*(1+J$8)-AF69),2)</f>
        <v>0</v>
      </c>
      <c r="K69" s="27" t="n">
        <f aca="false">ROUND(MAX(0,K68*(1+K$8)-AG69),2)</f>
        <v>0</v>
      </c>
      <c r="L69" s="30" t="n">
        <f aca="false">SUM(B69:K69)</f>
        <v>0</v>
      </c>
      <c r="M69" s="27" t="n">
        <f aca="false">SUMPRODUCT(B68:K68,$B$8:$K$8)</f>
        <v>0</v>
      </c>
      <c r="N69" s="27" t="n">
        <f aca="false">MIN(B68*(1+B$8),B$9)</f>
        <v>0</v>
      </c>
      <c r="O69" s="27" t="n">
        <f aca="false">MIN(C68*(1+C$8),C$9)</f>
        <v>0</v>
      </c>
      <c r="P69" s="27" t="n">
        <f aca="false">MIN(D68*(1+D$8),D$9)</f>
        <v>0</v>
      </c>
      <c r="Q69" s="27" t="n">
        <f aca="false">MIN(E68*(1+E$8),E$9)</f>
        <v>0</v>
      </c>
      <c r="R69" s="27" t="n">
        <f aca="false">MIN(F68*(1+F$8),F$9)</f>
        <v>0</v>
      </c>
      <c r="S69" s="27" t="n">
        <f aca="false">MIN(G68*(1+G$8),G$9)</f>
        <v>0</v>
      </c>
      <c r="T69" s="27" t="n">
        <f aca="false">MIN(H68*(1+H$8),H$9)</f>
        <v>0</v>
      </c>
      <c r="U69" s="27" t="n">
        <f aca="false">MIN(I68*(1+I$8),I$9)</f>
        <v>0</v>
      </c>
      <c r="V69" s="27" t="n">
        <f aca="false">MIN(J68*(1+J$8),J$9)</f>
        <v>0</v>
      </c>
      <c r="W69" s="27" t="n">
        <f aca="false">MIN(K68*(1+K$8),K$9)</f>
        <v>0</v>
      </c>
      <c r="X69" s="27" t="n">
        <f aca="false">MIN(B68*(1+B$8),MAX(N69,$B$11-SUM(O69:W69)))</f>
        <v>0</v>
      </c>
      <c r="Y69" s="27" t="n">
        <f aca="false">MIN(C68*(1+C$8),MAX(O69,$B$11-SUM(X69:X69)-SUM(P69:W69)))</f>
        <v>0</v>
      </c>
      <c r="Z69" s="27" t="n">
        <f aca="false">MIN(D68*(1+D$8),MAX(P69,$B$11-SUM(X69:Y69)-SUM(Q69:W69)))</f>
        <v>0</v>
      </c>
      <c r="AA69" s="27" t="n">
        <f aca="false">MIN(E68*(1+E$8),MAX(Q69,$B$11-SUM(X69:Z69)-SUM(R69:W69)))</f>
        <v>0</v>
      </c>
      <c r="AB69" s="27" t="n">
        <f aca="false">MIN(F68*(1+F$8),MAX(R69,$B$11-SUM(X69:AA69)-SUM(S69:W69)))</f>
        <v>0</v>
      </c>
      <c r="AC69" s="27" t="n">
        <f aca="false">MIN(G68*(1+G$8),MAX(S69,$B$11-SUM(X69:AB69)-SUM(T69:W69)))</f>
        <v>0</v>
      </c>
      <c r="AD69" s="27" t="n">
        <f aca="false">MIN(H68*(1+H$8),MAX(T69,$B$11-SUM(X69:AC69)-SUM(U69:W69)))</f>
        <v>0</v>
      </c>
      <c r="AE69" s="27" t="n">
        <f aca="false">MIN(I68*(1+I$8),MAX(U69,$B$11-SUM(X69:AD69)-SUM(V69:W69)))</f>
        <v>0</v>
      </c>
      <c r="AF69" s="27" t="n">
        <f aca="false">MIN(J68*(1+J$8),MAX(V69,$B$11-SUM(X69:AE69)-SUM(W69:W69)))</f>
        <v>0</v>
      </c>
      <c r="AG69" s="27" t="n">
        <f aca="false">MIN(K68*(1+K$8),MAX(W69,$B$11-SUM(X69:AF69)))</f>
        <v>0</v>
      </c>
      <c r="AI69" s="27" t="n">
        <f aca="false">ROUND(MAX(0,AI68*(1+B$8)-BE69),2)</f>
        <v>0</v>
      </c>
      <c r="AJ69" s="27" t="n">
        <f aca="false">ROUND(MAX(0,AJ68*(1+C$8)-BF69),2)</f>
        <v>0</v>
      </c>
      <c r="AK69" s="27" t="n">
        <f aca="false">ROUND(MAX(0,AK68*(1+D$8)-BG69),2)</f>
        <v>0</v>
      </c>
      <c r="AL69" s="27" t="n">
        <f aca="false">ROUND(MAX(0,AL68*(1+E$8)-BH69),2)</f>
        <v>0</v>
      </c>
      <c r="AM69" s="27" t="n">
        <f aca="false">ROUND(MAX(0,AM68*(1+F$8)-BI69),2)</f>
        <v>0</v>
      </c>
      <c r="AN69" s="27" t="n">
        <f aca="false">ROUND(MAX(0,AN68*(1+G$8)-BJ69),2)</f>
        <v>0</v>
      </c>
      <c r="AO69" s="27" t="n">
        <f aca="false">ROUND(MAX(0,AO68*(1+H$8)-BK69),2)</f>
        <v>0</v>
      </c>
      <c r="AP69" s="27" t="n">
        <f aca="false">ROUND(MAX(0,AP68*(1+I$8)-BL69),2)</f>
        <v>0</v>
      </c>
      <c r="AQ69" s="27" t="n">
        <f aca="false">ROUND(MAX(0,AQ68*(1+J$8)-BM69),2)</f>
        <v>0</v>
      </c>
      <c r="AR69" s="27" t="n">
        <f aca="false">ROUND(MAX(0,AR68*(1+K$8)-BN69),2)</f>
        <v>0</v>
      </c>
      <c r="AS69" s="27" t="n">
        <f aca="false">SUM(AI69:AR69)</f>
        <v>0</v>
      </c>
      <c r="AT69" s="27" t="n">
        <f aca="false">SUMPRODUCT(AI68:AR68,$B$8:$K$8)</f>
        <v>0</v>
      </c>
      <c r="AU69" s="27" t="n">
        <f aca="false">MIN(AI68*(1+B$8),B$9)</f>
        <v>0</v>
      </c>
      <c r="AV69" s="27" t="n">
        <f aca="false">MIN(AJ68*(1+C$8),C$9)</f>
        <v>0</v>
      </c>
      <c r="AW69" s="27" t="n">
        <f aca="false">MIN(AK68*(1+D$8),D$9)</f>
        <v>0</v>
      </c>
      <c r="AX69" s="27" t="n">
        <f aca="false">MIN(AL68*(1+E$8),E$9)</f>
        <v>0</v>
      </c>
      <c r="AY69" s="27" t="n">
        <f aca="false">MIN(AM68*(1+F$8),F$9)</f>
        <v>0</v>
      </c>
      <c r="AZ69" s="27" t="n">
        <f aca="false">MIN(AN68*(1+G$8),G$9)</f>
        <v>0</v>
      </c>
      <c r="BA69" s="27" t="n">
        <f aca="false">MIN(AO68*(1+H$8),H$9)</f>
        <v>0</v>
      </c>
      <c r="BB69" s="27" t="n">
        <f aca="false">MIN(AP68*(1+I$8),I$9)</f>
        <v>0</v>
      </c>
      <c r="BC69" s="27" t="n">
        <f aca="false">MIN(AQ68*(1+J$8),J$9)</f>
        <v>0</v>
      </c>
      <c r="BD69" s="27" t="n">
        <f aca="false">MIN(AR68*(1+K$8),K$9)</f>
        <v>0</v>
      </c>
      <c r="BE69" s="27" t="n">
        <f aca="false">MIN(AI68*(1+B$8),MAX(AU69,$B$12-SUM(AV69:BD69)))</f>
        <v>0</v>
      </c>
      <c r="BF69" s="27" t="n">
        <f aca="false">MIN(AJ68*(1+C$8),MAX(AV69,$B$12-SUM(BE69:BE69)-SUM(AW69:BD69)))</f>
        <v>0</v>
      </c>
      <c r="BG69" s="27" t="n">
        <f aca="false">MIN(AK68*(1+D$8),MAX(AW69,$B$12-SUM(BE69:BF69)-SUM(AX69:BD69)))</f>
        <v>0</v>
      </c>
      <c r="BH69" s="27" t="n">
        <f aca="false">MIN(AL68*(1+E$8),MAX(AX69,$B$12-SUM(BE69:BG69)-SUM(AY69:BD69)))</f>
        <v>0</v>
      </c>
      <c r="BI69" s="27" t="n">
        <f aca="false">MIN(AM68*(1+F$8),MAX(AY69,$B$12-SUM(BE69:BH69)-SUM(AZ69:BD69)))</f>
        <v>0</v>
      </c>
      <c r="BJ69" s="27" t="n">
        <f aca="false">MIN(AN68*(1+G$8),MAX(AZ69,$B$12-SUM(BE69:BI69)-SUM(BA69:BD69)))</f>
        <v>0</v>
      </c>
      <c r="BK69" s="27" t="n">
        <f aca="false">MIN(AO68*(1+H$8),MAX(BA69,$B$12-SUM(BE69:BJ69)-SUM(BB69:BD69)))</f>
        <v>0</v>
      </c>
      <c r="BL69" s="27" t="n">
        <f aca="false">MIN(AP68*(1+I$8),MAX(BB69,$B$12-SUM(BE69:BK69)-SUM(BC69:BD69)))</f>
        <v>0</v>
      </c>
      <c r="BM69" s="27" t="n">
        <f aca="false">MIN(AQ68*(1+J$8),MAX(BC69,$B$12-SUM(BE69:BL69)-SUM(BD69:BD69)))</f>
        <v>0</v>
      </c>
      <c r="BN69" s="27" t="n">
        <f aca="false">MIN(AR68*(1+K$8),MAX(BD69,$B$12-SUM(BE69:BM69)))</f>
        <v>0</v>
      </c>
    </row>
    <row r="70" customFormat="false" ht="15" hidden="false" customHeight="false" outlineLevel="0" collapsed="false">
      <c r="A70" s="0" t="n">
        <v>56</v>
      </c>
      <c r="B70" s="27" t="n">
        <f aca="false">ROUND(MAX(0,B69*(1+B$8)-X70),2)</f>
        <v>0</v>
      </c>
      <c r="C70" s="27" t="n">
        <f aca="false">ROUND(MAX(0,C69*(1+C$8)-Y70),2)</f>
        <v>0</v>
      </c>
      <c r="D70" s="27" t="n">
        <f aca="false">ROUND(MAX(0,D69*(1+D$8)-Z70),2)</f>
        <v>0</v>
      </c>
      <c r="E70" s="27" t="n">
        <f aca="false">ROUND(MAX(0,E69*(1+E$8)-AA70),2)</f>
        <v>0</v>
      </c>
      <c r="F70" s="27" t="n">
        <f aca="false">ROUND(MAX(0,F69*(1+F$8)-AB70),2)</f>
        <v>0</v>
      </c>
      <c r="G70" s="27" t="n">
        <f aca="false">ROUND(MAX(0,G69*(1+G$8)-AC70),2)</f>
        <v>0</v>
      </c>
      <c r="H70" s="27" t="n">
        <f aca="false">ROUND(MAX(0,H69*(1+H$8)-AD70),2)</f>
        <v>0</v>
      </c>
      <c r="I70" s="27" t="n">
        <f aca="false">ROUND(MAX(0,I69*(1+I$8)-AE70),2)</f>
        <v>0</v>
      </c>
      <c r="J70" s="27" t="n">
        <f aca="false">ROUND(MAX(0,J69*(1+J$8)-AF70),2)</f>
        <v>0</v>
      </c>
      <c r="K70" s="27" t="n">
        <f aca="false">ROUND(MAX(0,K69*(1+K$8)-AG70),2)</f>
        <v>0</v>
      </c>
      <c r="L70" s="30" t="n">
        <f aca="false">SUM(B70:K70)</f>
        <v>0</v>
      </c>
      <c r="M70" s="27" t="n">
        <f aca="false">SUMPRODUCT(B69:K69,$B$8:$K$8)</f>
        <v>0</v>
      </c>
      <c r="N70" s="27" t="n">
        <f aca="false">MIN(B69*(1+B$8),B$9)</f>
        <v>0</v>
      </c>
      <c r="O70" s="27" t="n">
        <f aca="false">MIN(C69*(1+C$8),C$9)</f>
        <v>0</v>
      </c>
      <c r="P70" s="27" t="n">
        <f aca="false">MIN(D69*(1+D$8),D$9)</f>
        <v>0</v>
      </c>
      <c r="Q70" s="27" t="n">
        <f aca="false">MIN(E69*(1+E$8),E$9)</f>
        <v>0</v>
      </c>
      <c r="R70" s="27" t="n">
        <f aca="false">MIN(F69*(1+F$8),F$9)</f>
        <v>0</v>
      </c>
      <c r="S70" s="27" t="n">
        <f aca="false">MIN(G69*(1+G$8),G$9)</f>
        <v>0</v>
      </c>
      <c r="T70" s="27" t="n">
        <f aca="false">MIN(H69*(1+H$8),H$9)</f>
        <v>0</v>
      </c>
      <c r="U70" s="27" t="n">
        <f aca="false">MIN(I69*(1+I$8),I$9)</f>
        <v>0</v>
      </c>
      <c r="V70" s="27" t="n">
        <f aca="false">MIN(J69*(1+J$8),J$9)</f>
        <v>0</v>
      </c>
      <c r="W70" s="27" t="n">
        <f aca="false">MIN(K69*(1+K$8),K$9)</f>
        <v>0</v>
      </c>
      <c r="X70" s="27" t="n">
        <f aca="false">MIN(B69*(1+B$8),MAX(N70,$B$11-SUM(O70:W70)))</f>
        <v>0</v>
      </c>
      <c r="Y70" s="27" t="n">
        <f aca="false">MIN(C69*(1+C$8),MAX(O70,$B$11-SUM(X70:X70)-SUM(P70:W70)))</f>
        <v>0</v>
      </c>
      <c r="Z70" s="27" t="n">
        <f aca="false">MIN(D69*(1+D$8),MAX(P70,$B$11-SUM(X70:Y70)-SUM(Q70:W70)))</f>
        <v>0</v>
      </c>
      <c r="AA70" s="27" t="n">
        <f aca="false">MIN(E69*(1+E$8),MAX(Q70,$B$11-SUM(X70:Z70)-SUM(R70:W70)))</f>
        <v>0</v>
      </c>
      <c r="AB70" s="27" t="n">
        <f aca="false">MIN(F69*(1+F$8),MAX(R70,$B$11-SUM(X70:AA70)-SUM(S70:W70)))</f>
        <v>0</v>
      </c>
      <c r="AC70" s="27" t="n">
        <f aca="false">MIN(G69*(1+G$8),MAX(S70,$B$11-SUM(X70:AB70)-SUM(T70:W70)))</f>
        <v>0</v>
      </c>
      <c r="AD70" s="27" t="n">
        <f aca="false">MIN(H69*(1+H$8),MAX(T70,$B$11-SUM(X70:AC70)-SUM(U70:W70)))</f>
        <v>0</v>
      </c>
      <c r="AE70" s="27" t="n">
        <f aca="false">MIN(I69*(1+I$8),MAX(U70,$B$11-SUM(X70:AD70)-SUM(V70:W70)))</f>
        <v>0</v>
      </c>
      <c r="AF70" s="27" t="n">
        <f aca="false">MIN(J69*(1+J$8),MAX(V70,$B$11-SUM(X70:AE70)-SUM(W70:W70)))</f>
        <v>0</v>
      </c>
      <c r="AG70" s="27" t="n">
        <f aca="false">MIN(K69*(1+K$8),MAX(W70,$B$11-SUM(X70:AF70)))</f>
        <v>0</v>
      </c>
      <c r="AI70" s="27" t="n">
        <f aca="false">ROUND(MAX(0,AI69*(1+B$8)-BE70),2)</f>
        <v>0</v>
      </c>
      <c r="AJ70" s="27" t="n">
        <f aca="false">ROUND(MAX(0,AJ69*(1+C$8)-BF70),2)</f>
        <v>0</v>
      </c>
      <c r="AK70" s="27" t="n">
        <f aca="false">ROUND(MAX(0,AK69*(1+D$8)-BG70),2)</f>
        <v>0</v>
      </c>
      <c r="AL70" s="27" t="n">
        <f aca="false">ROUND(MAX(0,AL69*(1+E$8)-BH70),2)</f>
        <v>0</v>
      </c>
      <c r="AM70" s="27" t="n">
        <f aca="false">ROUND(MAX(0,AM69*(1+F$8)-BI70),2)</f>
        <v>0</v>
      </c>
      <c r="AN70" s="27" t="n">
        <f aca="false">ROUND(MAX(0,AN69*(1+G$8)-BJ70),2)</f>
        <v>0</v>
      </c>
      <c r="AO70" s="27" t="n">
        <f aca="false">ROUND(MAX(0,AO69*(1+H$8)-BK70),2)</f>
        <v>0</v>
      </c>
      <c r="AP70" s="27" t="n">
        <f aca="false">ROUND(MAX(0,AP69*(1+I$8)-BL70),2)</f>
        <v>0</v>
      </c>
      <c r="AQ70" s="27" t="n">
        <f aca="false">ROUND(MAX(0,AQ69*(1+J$8)-BM70),2)</f>
        <v>0</v>
      </c>
      <c r="AR70" s="27" t="n">
        <f aca="false">ROUND(MAX(0,AR69*(1+K$8)-BN70),2)</f>
        <v>0</v>
      </c>
      <c r="AS70" s="27" t="n">
        <f aca="false">SUM(AI70:AR70)</f>
        <v>0</v>
      </c>
      <c r="AT70" s="27" t="n">
        <f aca="false">SUMPRODUCT(AI69:AR69,$B$8:$K$8)</f>
        <v>0</v>
      </c>
      <c r="AU70" s="27" t="n">
        <f aca="false">MIN(AI69*(1+B$8),B$9)</f>
        <v>0</v>
      </c>
      <c r="AV70" s="27" t="n">
        <f aca="false">MIN(AJ69*(1+C$8),C$9)</f>
        <v>0</v>
      </c>
      <c r="AW70" s="27" t="n">
        <f aca="false">MIN(AK69*(1+D$8),D$9)</f>
        <v>0</v>
      </c>
      <c r="AX70" s="27" t="n">
        <f aca="false">MIN(AL69*(1+E$8),E$9)</f>
        <v>0</v>
      </c>
      <c r="AY70" s="27" t="n">
        <f aca="false">MIN(AM69*(1+F$8),F$9)</f>
        <v>0</v>
      </c>
      <c r="AZ70" s="27" t="n">
        <f aca="false">MIN(AN69*(1+G$8),G$9)</f>
        <v>0</v>
      </c>
      <c r="BA70" s="27" t="n">
        <f aca="false">MIN(AO69*(1+H$8),H$9)</f>
        <v>0</v>
      </c>
      <c r="BB70" s="27" t="n">
        <f aca="false">MIN(AP69*(1+I$8),I$9)</f>
        <v>0</v>
      </c>
      <c r="BC70" s="27" t="n">
        <f aca="false">MIN(AQ69*(1+J$8),J$9)</f>
        <v>0</v>
      </c>
      <c r="BD70" s="27" t="n">
        <f aca="false">MIN(AR69*(1+K$8),K$9)</f>
        <v>0</v>
      </c>
      <c r="BE70" s="27" t="n">
        <f aca="false">MIN(AI69*(1+B$8),MAX(AU70,$B$12-SUM(AV70:BD70)))</f>
        <v>0</v>
      </c>
      <c r="BF70" s="27" t="n">
        <f aca="false">MIN(AJ69*(1+C$8),MAX(AV70,$B$12-SUM(BE70:BE70)-SUM(AW70:BD70)))</f>
        <v>0</v>
      </c>
      <c r="BG70" s="27" t="n">
        <f aca="false">MIN(AK69*(1+D$8),MAX(AW70,$B$12-SUM(BE70:BF70)-SUM(AX70:BD70)))</f>
        <v>0</v>
      </c>
      <c r="BH70" s="27" t="n">
        <f aca="false">MIN(AL69*(1+E$8),MAX(AX70,$B$12-SUM(BE70:BG70)-SUM(AY70:BD70)))</f>
        <v>0</v>
      </c>
      <c r="BI70" s="27" t="n">
        <f aca="false">MIN(AM69*(1+F$8),MAX(AY70,$B$12-SUM(BE70:BH70)-SUM(AZ70:BD70)))</f>
        <v>0</v>
      </c>
      <c r="BJ70" s="27" t="n">
        <f aca="false">MIN(AN69*(1+G$8),MAX(AZ70,$B$12-SUM(BE70:BI70)-SUM(BA70:BD70)))</f>
        <v>0</v>
      </c>
      <c r="BK70" s="27" t="n">
        <f aca="false">MIN(AO69*(1+H$8),MAX(BA70,$B$12-SUM(BE70:BJ70)-SUM(BB70:BD70)))</f>
        <v>0</v>
      </c>
      <c r="BL70" s="27" t="n">
        <f aca="false">MIN(AP69*(1+I$8),MAX(BB70,$B$12-SUM(BE70:BK70)-SUM(BC70:BD70)))</f>
        <v>0</v>
      </c>
      <c r="BM70" s="27" t="n">
        <f aca="false">MIN(AQ69*(1+J$8),MAX(BC70,$B$12-SUM(BE70:BL70)-SUM(BD70:BD70)))</f>
        <v>0</v>
      </c>
      <c r="BN70" s="27" t="n">
        <f aca="false">MIN(AR69*(1+K$8),MAX(BD70,$B$12-SUM(BE70:BM70)))</f>
        <v>0</v>
      </c>
    </row>
    <row r="71" customFormat="false" ht="15" hidden="false" customHeight="false" outlineLevel="0" collapsed="false">
      <c r="A71" s="0" t="n">
        <v>57</v>
      </c>
      <c r="B71" s="27" t="n">
        <f aca="false">ROUND(MAX(0,B70*(1+B$8)-X71),2)</f>
        <v>0</v>
      </c>
      <c r="C71" s="27" t="n">
        <f aca="false">ROUND(MAX(0,C70*(1+C$8)-Y71),2)</f>
        <v>0</v>
      </c>
      <c r="D71" s="27" t="n">
        <f aca="false">ROUND(MAX(0,D70*(1+D$8)-Z71),2)</f>
        <v>0</v>
      </c>
      <c r="E71" s="27" t="n">
        <f aca="false">ROUND(MAX(0,E70*(1+E$8)-AA71),2)</f>
        <v>0</v>
      </c>
      <c r="F71" s="27" t="n">
        <f aca="false">ROUND(MAX(0,F70*(1+F$8)-AB71),2)</f>
        <v>0</v>
      </c>
      <c r="G71" s="27" t="n">
        <f aca="false">ROUND(MAX(0,G70*(1+G$8)-AC71),2)</f>
        <v>0</v>
      </c>
      <c r="H71" s="27" t="n">
        <f aca="false">ROUND(MAX(0,H70*(1+H$8)-AD71),2)</f>
        <v>0</v>
      </c>
      <c r="I71" s="27" t="n">
        <f aca="false">ROUND(MAX(0,I70*(1+I$8)-AE71),2)</f>
        <v>0</v>
      </c>
      <c r="J71" s="27" t="n">
        <f aca="false">ROUND(MAX(0,J70*(1+J$8)-AF71),2)</f>
        <v>0</v>
      </c>
      <c r="K71" s="27" t="n">
        <f aca="false">ROUND(MAX(0,K70*(1+K$8)-AG71),2)</f>
        <v>0</v>
      </c>
      <c r="L71" s="30" t="n">
        <f aca="false">SUM(B71:K71)</f>
        <v>0</v>
      </c>
      <c r="M71" s="27" t="n">
        <f aca="false">SUMPRODUCT(B70:K70,$B$8:$K$8)</f>
        <v>0</v>
      </c>
      <c r="N71" s="27" t="n">
        <f aca="false">MIN(B70*(1+B$8),B$9)</f>
        <v>0</v>
      </c>
      <c r="O71" s="27" t="n">
        <f aca="false">MIN(C70*(1+C$8),C$9)</f>
        <v>0</v>
      </c>
      <c r="P71" s="27" t="n">
        <f aca="false">MIN(D70*(1+D$8),D$9)</f>
        <v>0</v>
      </c>
      <c r="Q71" s="27" t="n">
        <f aca="false">MIN(E70*(1+E$8),E$9)</f>
        <v>0</v>
      </c>
      <c r="R71" s="27" t="n">
        <f aca="false">MIN(F70*(1+F$8),F$9)</f>
        <v>0</v>
      </c>
      <c r="S71" s="27" t="n">
        <f aca="false">MIN(G70*(1+G$8),G$9)</f>
        <v>0</v>
      </c>
      <c r="T71" s="27" t="n">
        <f aca="false">MIN(H70*(1+H$8),H$9)</f>
        <v>0</v>
      </c>
      <c r="U71" s="27" t="n">
        <f aca="false">MIN(I70*(1+I$8),I$9)</f>
        <v>0</v>
      </c>
      <c r="V71" s="27" t="n">
        <f aca="false">MIN(J70*(1+J$8),J$9)</f>
        <v>0</v>
      </c>
      <c r="W71" s="27" t="n">
        <f aca="false">MIN(K70*(1+K$8),K$9)</f>
        <v>0</v>
      </c>
      <c r="X71" s="27" t="n">
        <f aca="false">MIN(B70*(1+B$8),MAX(N71,$B$11-SUM(O71:W71)))</f>
        <v>0</v>
      </c>
      <c r="Y71" s="27" t="n">
        <f aca="false">MIN(C70*(1+C$8),MAX(O71,$B$11-SUM(X71:X71)-SUM(P71:W71)))</f>
        <v>0</v>
      </c>
      <c r="Z71" s="27" t="n">
        <f aca="false">MIN(D70*(1+D$8),MAX(P71,$B$11-SUM(X71:Y71)-SUM(Q71:W71)))</f>
        <v>0</v>
      </c>
      <c r="AA71" s="27" t="n">
        <f aca="false">MIN(E70*(1+E$8),MAX(Q71,$B$11-SUM(X71:Z71)-SUM(R71:W71)))</f>
        <v>0</v>
      </c>
      <c r="AB71" s="27" t="n">
        <f aca="false">MIN(F70*(1+F$8),MAX(R71,$B$11-SUM(X71:AA71)-SUM(S71:W71)))</f>
        <v>0</v>
      </c>
      <c r="AC71" s="27" t="n">
        <f aca="false">MIN(G70*(1+G$8),MAX(S71,$B$11-SUM(X71:AB71)-SUM(T71:W71)))</f>
        <v>0</v>
      </c>
      <c r="AD71" s="27" t="n">
        <f aca="false">MIN(H70*(1+H$8),MAX(T71,$B$11-SUM(X71:AC71)-SUM(U71:W71)))</f>
        <v>0</v>
      </c>
      <c r="AE71" s="27" t="n">
        <f aca="false">MIN(I70*(1+I$8),MAX(U71,$B$11-SUM(X71:AD71)-SUM(V71:W71)))</f>
        <v>0</v>
      </c>
      <c r="AF71" s="27" t="n">
        <f aca="false">MIN(J70*(1+J$8),MAX(V71,$B$11-SUM(X71:AE71)-SUM(W71:W71)))</f>
        <v>0</v>
      </c>
      <c r="AG71" s="27" t="n">
        <f aca="false">MIN(K70*(1+K$8),MAX(W71,$B$11-SUM(X71:AF71)))</f>
        <v>0</v>
      </c>
      <c r="AI71" s="27" t="n">
        <f aca="false">ROUND(MAX(0,AI70*(1+B$8)-BE71),2)</f>
        <v>0</v>
      </c>
      <c r="AJ71" s="27" t="n">
        <f aca="false">ROUND(MAX(0,AJ70*(1+C$8)-BF71),2)</f>
        <v>0</v>
      </c>
      <c r="AK71" s="27" t="n">
        <f aca="false">ROUND(MAX(0,AK70*(1+D$8)-BG71),2)</f>
        <v>0</v>
      </c>
      <c r="AL71" s="27" t="n">
        <f aca="false">ROUND(MAX(0,AL70*(1+E$8)-BH71),2)</f>
        <v>0</v>
      </c>
      <c r="AM71" s="27" t="n">
        <f aca="false">ROUND(MAX(0,AM70*(1+F$8)-BI71),2)</f>
        <v>0</v>
      </c>
      <c r="AN71" s="27" t="n">
        <f aca="false">ROUND(MAX(0,AN70*(1+G$8)-BJ71),2)</f>
        <v>0</v>
      </c>
      <c r="AO71" s="27" t="n">
        <f aca="false">ROUND(MAX(0,AO70*(1+H$8)-BK71),2)</f>
        <v>0</v>
      </c>
      <c r="AP71" s="27" t="n">
        <f aca="false">ROUND(MAX(0,AP70*(1+I$8)-BL71),2)</f>
        <v>0</v>
      </c>
      <c r="AQ71" s="27" t="n">
        <f aca="false">ROUND(MAX(0,AQ70*(1+J$8)-BM71),2)</f>
        <v>0</v>
      </c>
      <c r="AR71" s="27" t="n">
        <f aca="false">ROUND(MAX(0,AR70*(1+K$8)-BN71),2)</f>
        <v>0</v>
      </c>
      <c r="AS71" s="27" t="n">
        <f aca="false">SUM(AI71:AR71)</f>
        <v>0</v>
      </c>
      <c r="AT71" s="27" t="n">
        <f aca="false">SUMPRODUCT(AI70:AR70,$B$8:$K$8)</f>
        <v>0</v>
      </c>
      <c r="AU71" s="27" t="n">
        <f aca="false">MIN(AI70*(1+B$8),B$9)</f>
        <v>0</v>
      </c>
      <c r="AV71" s="27" t="n">
        <f aca="false">MIN(AJ70*(1+C$8),C$9)</f>
        <v>0</v>
      </c>
      <c r="AW71" s="27" t="n">
        <f aca="false">MIN(AK70*(1+D$8),D$9)</f>
        <v>0</v>
      </c>
      <c r="AX71" s="27" t="n">
        <f aca="false">MIN(AL70*(1+E$8),E$9)</f>
        <v>0</v>
      </c>
      <c r="AY71" s="27" t="n">
        <f aca="false">MIN(AM70*(1+F$8),F$9)</f>
        <v>0</v>
      </c>
      <c r="AZ71" s="27" t="n">
        <f aca="false">MIN(AN70*(1+G$8),G$9)</f>
        <v>0</v>
      </c>
      <c r="BA71" s="27" t="n">
        <f aca="false">MIN(AO70*(1+H$8),H$9)</f>
        <v>0</v>
      </c>
      <c r="BB71" s="27" t="n">
        <f aca="false">MIN(AP70*(1+I$8),I$9)</f>
        <v>0</v>
      </c>
      <c r="BC71" s="27" t="n">
        <f aca="false">MIN(AQ70*(1+J$8),J$9)</f>
        <v>0</v>
      </c>
      <c r="BD71" s="27" t="n">
        <f aca="false">MIN(AR70*(1+K$8),K$9)</f>
        <v>0</v>
      </c>
      <c r="BE71" s="27" t="n">
        <f aca="false">MIN(AI70*(1+B$8),MAX(AU71,$B$12-SUM(AV71:BD71)))</f>
        <v>0</v>
      </c>
      <c r="BF71" s="27" t="n">
        <f aca="false">MIN(AJ70*(1+C$8),MAX(AV71,$B$12-SUM(BE71:BE71)-SUM(AW71:BD71)))</f>
        <v>0</v>
      </c>
      <c r="BG71" s="27" t="n">
        <f aca="false">MIN(AK70*(1+D$8),MAX(AW71,$B$12-SUM(BE71:BF71)-SUM(AX71:BD71)))</f>
        <v>0</v>
      </c>
      <c r="BH71" s="27" t="n">
        <f aca="false">MIN(AL70*(1+E$8),MAX(AX71,$B$12-SUM(BE71:BG71)-SUM(AY71:BD71)))</f>
        <v>0</v>
      </c>
      <c r="BI71" s="27" t="n">
        <f aca="false">MIN(AM70*(1+F$8),MAX(AY71,$B$12-SUM(BE71:BH71)-SUM(AZ71:BD71)))</f>
        <v>0</v>
      </c>
      <c r="BJ71" s="27" t="n">
        <f aca="false">MIN(AN70*(1+G$8),MAX(AZ71,$B$12-SUM(BE71:BI71)-SUM(BA71:BD71)))</f>
        <v>0</v>
      </c>
      <c r="BK71" s="27" t="n">
        <f aca="false">MIN(AO70*(1+H$8),MAX(BA71,$B$12-SUM(BE71:BJ71)-SUM(BB71:BD71)))</f>
        <v>0</v>
      </c>
      <c r="BL71" s="27" t="n">
        <f aca="false">MIN(AP70*(1+I$8),MAX(BB71,$B$12-SUM(BE71:BK71)-SUM(BC71:BD71)))</f>
        <v>0</v>
      </c>
      <c r="BM71" s="27" t="n">
        <f aca="false">MIN(AQ70*(1+J$8),MAX(BC71,$B$12-SUM(BE71:BL71)-SUM(BD71:BD71)))</f>
        <v>0</v>
      </c>
      <c r="BN71" s="27" t="n">
        <f aca="false">MIN(AR70*(1+K$8),MAX(BD71,$B$12-SUM(BE71:BM71)))</f>
        <v>0</v>
      </c>
    </row>
    <row r="72" customFormat="false" ht="15" hidden="false" customHeight="false" outlineLevel="0" collapsed="false">
      <c r="A72" s="0" t="n">
        <v>58</v>
      </c>
      <c r="B72" s="27" t="n">
        <f aca="false">ROUND(MAX(0,B71*(1+B$8)-X72),2)</f>
        <v>0</v>
      </c>
      <c r="C72" s="27" t="n">
        <f aca="false">ROUND(MAX(0,C71*(1+C$8)-Y72),2)</f>
        <v>0</v>
      </c>
      <c r="D72" s="27" t="n">
        <f aca="false">ROUND(MAX(0,D71*(1+D$8)-Z72),2)</f>
        <v>0</v>
      </c>
      <c r="E72" s="27" t="n">
        <f aca="false">ROUND(MAX(0,E71*(1+E$8)-AA72),2)</f>
        <v>0</v>
      </c>
      <c r="F72" s="27" t="n">
        <f aca="false">ROUND(MAX(0,F71*(1+F$8)-AB72),2)</f>
        <v>0</v>
      </c>
      <c r="G72" s="27" t="n">
        <f aca="false">ROUND(MAX(0,G71*(1+G$8)-AC72),2)</f>
        <v>0</v>
      </c>
      <c r="H72" s="27" t="n">
        <f aca="false">ROUND(MAX(0,H71*(1+H$8)-AD72),2)</f>
        <v>0</v>
      </c>
      <c r="I72" s="27" t="n">
        <f aca="false">ROUND(MAX(0,I71*(1+I$8)-AE72),2)</f>
        <v>0</v>
      </c>
      <c r="J72" s="27" t="n">
        <f aca="false">ROUND(MAX(0,J71*(1+J$8)-AF72),2)</f>
        <v>0</v>
      </c>
      <c r="K72" s="27" t="n">
        <f aca="false">ROUND(MAX(0,K71*(1+K$8)-AG72),2)</f>
        <v>0</v>
      </c>
      <c r="L72" s="30" t="n">
        <f aca="false">SUM(B72:K72)</f>
        <v>0</v>
      </c>
      <c r="M72" s="27" t="n">
        <f aca="false">SUMPRODUCT(B71:K71,$B$8:$K$8)</f>
        <v>0</v>
      </c>
      <c r="N72" s="27" t="n">
        <f aca="false">MIN(B71*(1+B$8),B$9)</f>
        <v>0</v>
      </c>
      <c r="O72" s="27" t="n">
        <f aca="false">MIN(C71*(1+C$8),C$9)</f>
        <v>0</v>
      </c>
      <c r="P72" s="27" t="n">
        <f aca="false">MIN(D71*(1+D$8),D$9)</f>
        <v>0</v>
      </c>
      <c r="Q72" s="27" t="n">
        <f aca="false">MIN(E71*(1+E$8),E$9)</f>
        <v>0</v>
      </c>
      <c r="R72" s="27" t="n">
        <f aca="false">MIN(F71*(1+F$8),F$9)</f>
        <v>0</v>
      </c>
      <c r="S72" s="27" t="n">
        <f aca="false">MIN(G71*(1+G$8),G$9)</f>
        <v>0</v>
      </c>
      <c r="T72" s="27" t="n">
        <f aca="false">MIN(H71*(1+H$8),H$9)</f>
        <v>0</v>
      </c>
      <c r="U72" s="27" t="n">
        <f aca="false">MIN(I71*(1+I$8),I$9)</f>
        <v>0</v>
      </c>
      <c r="V72" s="27" t="n">
        <f aca="false">MIN(J71*(1+J$8),J$9)</f>
        <v>0</v>
      </c>
      <c r="W72" s="27" t="n">
        <f aca="false">MIN(K71*(1+K$8),K$9)</f>
        <v>0</v>
      </c>
      <c r="X72" s="27" t="n">
        <f aca="false">MIN(B71*(1+B$8),MAX(N72,$B$11-SUM(O72:W72)))</f>
        <v>0</v>
      </c>
      <c r="Y72" s="27" t="n">
        <f aca="false">MIN(C71*(1+C$8),MAX(O72,$B$11-SUM(X72:X72)-SUM(P72:W72)))</f>
        <v>0</v>
      </c>
      <c r="Z72" s="27" t="n">
        <f aca="false">MIN(D71*(1+D$8),MAX(P72,$B$11-SUM(X72:Y72)-SUM(Q72:W72)))</f>
        <v>0</v>
      </c>
      <c r="AA72" s="27" t="n">
        <f aca="false">MIN(E71*(1+E$8),MAX(Q72,$B$11-SUM(X72:Z72)-SUM(R72:W72)))</f>
        <v>0</v>
      </c>
      <c r="AB72" s="27" t="n">
        <f aca="false">MIN(F71*(1+F$8),MAX(R72,$B$11-SUM(X72:AA72)-SUM(S72:W72)))</f>
        <v>0</v>
      </c>
      <c r="AC72" s="27" t="n">
        <f aca="false">MIN(G71*(1+G$8),MAX(S72,$B$11-SUM(X72:AB72)-SUM(T72:W72)))</f>
        <v>0</v>
      </c>
      <c r="AD72" s="27" t="n">
        <f aca="false">MIN(H71*(1+H$8),MAX(T72,$B$11-SUM(X72:AC72)-SUM(U72:W72)))</f>
        <v>0</v>
      </c>
      <c r="AE72" s="27" t="n">
        <f aca="false">MIN(I71*(1+I$8),MAX(U72,$B$11-SUM(X72:AD72)-SUM(V72:W72)))</f>
        <v>0</v>
      </c>
      <c r="AF72" s="27" t="n">
        <f aca="false">MIN(J71*(1+J$8),MAX(V72,$B$11-SUM(X72:AE72)-SUM(W72:W72)))</f>
        <v>0</v>
      </c>
      <c r="AG72" s="27" t="n">
        <f aca="false">MIN(K71*(1+K$8),MAX(W72,$B$11-SUM(X72:AF72)))</f>
        <v>0</v>
      </c>
      <c r="AI72" s="27" t="n">
        <f aca="false">ROUND(MAX(0,AI71*(1+B$8)-BE72),2)</f>
        <v>0</v>
      </c>
      <c r="AJ72" s="27" t="n">
        <f aca="false">ROUND(MAX(0,AJ71*(1+C$8)-BF72),2)</f>
        <v>0</v>
      </c>
      <c r="AK72" s="27" t="n">
        <f aca="false">ROUND(MAX(0,AK71*(1+D$8)-BG72),2)</f>
        <v>0</v>
      </c>
      <c r="AL72" s="27" t="n">
        <f aca="false">ROUND(MAX(0,AL71*(1+E$8)-BH72),2)</f>
        <v>0</v>
      </c>
      <c r="AM72" s="27" t="n">
        <f aca="false">ROUND(MAX(0,AM71*(1+F$8)-BI72),2)</f>
        <v>0</v>
      </c>
      <c r="AN72" s="27" t="n">
        <f aca="false">ROUND(MAX(0,AN71*(1+G$8)-BJ72),2)</f>
        <v>0</v>
      </c>
      <c r="AO72" s="27" t="n">
        <f aca="false">ROUND(MAX(0,AO71*(1+H$8)-BK72),2)</f>
        <v>0</v>
      </c>
      <c r="AP72" s="27" t="n">
        <f aca="false">ROUND(MAX(0,AP71*(1+I$8)-BL72),2)</f>
        <v>0</v>
      </c>
      <c r="AQ72" s="27" t="n">
        <f aca="false">ROUND(MAX(0,AQ71*(1+J$8)-BM72),2)</f>
        <v>0</v>
      </c>
      <c r="AR72" s="27" t="n">
        <f aca="false">ROUND(MAX(0,AR71*(1+K$8)-BN72),2)</f>
        <v>0</v>
      </c>
      <c r="AS72" s="27" t="n">
        <f aca="false">SUM(AI72:AR72)</f>
        <v>0</v>
      </c>
      <c r="AT72" s="27" t="n">
        <f aca="false">SUMPRODUCT(AI71:AR71,$B$8:$K$8)</f>
        <v>0</v>
      </c>
      <c r="AU72" s="27" t="n">
        <f aca="false">MIN(AI71*(1+B$8),B$9)</f>
        <v>0</v>
      </c>
      <c r="AV72" s="27" t="n">
        <f aca="false">MIN(AJ71*(1+C$8),C$9)</f>
        <v>0</v>
      </c>
      <c r="AW72" s="27" t="n">
        <f aca="false">MIN(AK71*(1+D$8),D$9)</f>
        <v>0</v>
      </c>
      <c r="AX72" s="27" t="n">
        <f aca="false">MIN(AL71*(1+E$8),E$9)</f>
        <v>0</v>
      </c>
      <c r="AY72" s="27" t="n">
        <f aca="false">MIN(AM71*(1+F$8),F$9)</f>
        <v>0</v>
      </c>
      <c r="AZ72" s="27" t="n">
        <f aca="false">MIN(AN71*(1+G$8),G$9)</f>
        <v>0</v>
      </c>
      <c r="BA72" s="27" t="n">
        <f aca="false">MIN(AO71*(1+H$8),H$9)</f>
        <v>0</v>
      </c>
      <c r="BB72" s="27" t="n">
        <f aca="false">MIN(AP71*(1+I$8),I$9)</f>
        <v>0</v>
      </c>
      <c r="BC72" s="27" t="n">
        <f aca="false">MIN(AQ71*(1+J$8),J$9)</f>
        <v>0</v>
      </c>
      <c r="BD72" s="27" t="n">
        <f aca="false">MIN(AR71*(1+K$8),K$9)</f>
        <v>0</v>
      </c>
      <c r="BE72" s="27" t="n">
        <f aca="false">MIN(AI71*(1+B$8),MAX(AU72,$B$12-SUM(AV72:BD72)))</f>
        <v>0</v>
      </c>
      <c r="BF72" s="27" t="n">
        <f aca="false">MIN(AJ71*(1+C$8),MAX(AV72,$B$12-SUM(BE72:BE72)-SUM(AW72:BD72)))</f>
        <v>0</v>
      </c>
      <c r="BG72" s="27" t="n">
        <f aca="false">MIN(AK71*(1+D$8),MAX(AW72,$B$12-SUM(BE72:BF72)-SUM(AX72:BD72)))</f>
        <v>0</v>
      </c>
      <c r="BH72" s="27" t="n">
        <f aca="false">MIN(AL71*(1+E$8),MAX(AX72,$B$12-SUM(BE72:BG72)-SUM(AY72:BD72)))</f>
        <v>0</v>
      </c>
      <c r="BI72" s="27" t="n">
        <f aca="false">MIN(AM71*(1+F$8),MAX(AY72,$B$12-SUM(BE72:BH72)-SUM(AZ72:BD72)))</f>
        <v>0</v>
      </c>
      <c r="BJ72" s="27" t="n">
        <f aca="false">MIN(AN71*(1+G$8),MAX(AZ72,$B$12-SUM(BE72:BI72)-SUM(BA72:BD72)))</f>
        <v>0</v>
      </c>
      <c r="BK72" s="27" t="n">
        <f aca="false">MIN(AO71*(1+H$8),MAX(BA72,$B$12-SUM(BE72:BJ72)-SUM(BB72:BD72)))</f>
        <v>0</v>
      </c>
      <c r="BL72" s="27" t="n">
        <f aca="false">MIN(AP71*(1+I$8),MAX(BB72,$B$12-SUM(BE72:BK72)-SUM(BC72:BD72)))</f>
        <v>0</v>
      </c>
      <c r="BM72" s="27" t="n">
        <f aca="false">MIN(AQ71*(1+J$8),MAX(BC72,$B$12-SUM(BE72:BL72)-SUM(BD72:BD72)))</f>
        <v>0</v>
      </c>
      <c r="BN72" s="27" t="n">
        <f aca="false">MIN(AR71*(1+K$8),MAX(BD72,$B$12-SUM(BE72:BM72)))</f>
        <v>0</v>
      </c>
    </row>
    <row r="73" customFormat="false" ht="15" hidden="false" customHeight="false" outlineLevel="0" collapsed="false">
      <c r="A73" s="0" t="n">
        <v>59</v>
      </c>
      <c r="B73" s="27" t="n">
        <f aca="false">ROUND(MAX(0,B72*(1+B$8)-X73),2)</f>
        <v>0</v>
      </c>
      <c r="C73" s="27" t="n">
        <f aca="false">ROUND(MAX(0,C72*(1+C$8)-Y73),2)</f>
        <v>0</v>
      </c>
      <c r="D73" s="27" t="n">
        <f aca="false">ROUND(MAX(0,D72*(1+D$8)-Z73),2)</f>
        <v>0</v>
      </c>
      <c r="E73" s="27" t="n">
        <f aca="false">ROUND(MAX(0,E72*(1+E$8)-AA73),2)</f>
        <v>0</v>
      </c>
      <c r="F73" s="27" t="n">
        <f aca="false">ROUND(MAX(0,F72*(1+F$8)-AB73),2)</f>
        <v>0</v>
      </c>
      <c r="G73" s="27" t="n">
        <f aca="false">ROUND(MAX(0,G72*(1+G$8)-AC73),2)</f>
        <v>0</v>
      </c>
      <c r="H73" s="27" t="n">
        <f aca="false">ROUND(MAX(0,H72*(1+H$8)-AD73),2)</f>
        <v>0</v>
      </c>
      <c r="I73" s="27" t="n">
        <f aca="false">ROUND(MAX(0,I72*(1+I$8)-AE73),2)</f>
        <v>0</v>
      </c>
      <c r="J73" s="27" t="n">
        <f aca="false">ROUND(MAX(0,J72*(1+J$8)-AF73),2)</f>
        <v>0</v>
      </c>
      <c r="K73" s="27" t="n">
        <f aca="false">ROUND(MAX(0,K72*(1+K$8)-AG73),2)</f>
        <v>0</v>
      </c>
      <c r="L73" s="30" t="n">
        <f aca="false">SUM(B73:K73)</f>
        <v>0</v>
      </c>
      <c r="M73" s="27" t="n">
        <f aca="false">SUMPRODUCT(B72:K72,$B$8:$K$8)</f>
        <v>0</v>
      </c>
      <c r="N73" s="27" t="n">
        <f aca="false">MIN(B72*(1+B$8),B$9)</f>
        <v>0</v>
      </c>
      <c r="O73" s="27" t="n">
        <f aca="false">MIN(C72*(1+C$8),C$9)</f>
        <v>0</v>
      </c>
      <c r="P73" s="27" t="n">
        <f aca="false">MIN(D72*(1+D$8),D$9)</f>
        <v>0</v>
      </c>
      <c r="Q73" s="27" t="n">
        <f aca="false">MIN(E72*(1+E$8),E$9)</f>
        <v>0</v>
      </c>
      <c r="R73" s="27" t="n">
        <f aca="false">MIN(F72*(1+F$8),F$9)</f>
        <v>0</v>
      </c>
      <c r="S73" s="27" t="n">
        <f aca="false">MIN(G72*(1+G$8),G$9)</f>
        <v>0</v>
      </c>
      <c r="T73" s="27" t="n">
        <f aca="false">MIN(H72*(1+H$8),H$9)</f>
        <v>0</v>
      </c>
      <c r="U73" s="27" t="n">
        <f aca="false">MIN(I72*(1+I$8),I$9)</f>
        <v>0</v>
      </c>
      <c r="V73" s="27" t="n">
        <f aca="false">MIN(J72*(1+J$8),J$9)</f>
        <v>0</v>
      </c>
      <c r="W73" s="27" t="n">
        <f aca="false">MIN(K72*(1+K$8),K$9)</f>
        <v>0</v>
      </c>
      <c r="X73" s="27" t="n">
        <f aca="false">MIN(B72*(1+B$8),MAX(N73,$B$11-SUM(O73:W73)))</f>
        <v>0</v>
      </c>
      <c r="Y73" s="27" t="n">
        <f aca="false">MIN(C72*(1+C$8),MAX(O73,$B$11-SUM(X73:X73)-SUM(P73:W73)))</f>
        <v>0</v>
      </c>
      <c r="Z73" s="27" t="n">
        <f aca="false">MIN(D72*(1+D$8),MAX(P73,$B$11-SUM(X73:Y73)-SUM(Q73:W73)))</f>
        <v>0</v>
      </c>
      <c r="AA73" s="27" t="n">
        <f aca="false">MIN(E72*(1+E$8),MAX(Q73,$B$11-SUM(X73:Z73)-SUM(R73:W73)))</f>
        <v>0</v>
      </c>
      <c r="AB73" s="27" t="n">
        <f aca="false">MIN(F72*(1+F$8),MAX(R73,$B$11-SUM(X73:AA73)-SUM(S73:W73)))</f>
        <v>0</v>
      </c>
      <c r="AC73" s="27" t="n">
        <f aca="false">MIN(G72*(1+G$8),MAX(S73,$B$11-SUM(X73:AB73)-SUM(T73:W73)))</f>
        <v>0</v>
      </c>
      <c r="AD73" s="27" t="n">
        <f aca="false">MIN(H72*(1+H$8),MAX(T73,$B$11-SUM(X73:AC73)-SUM(U73:W73)))</f>
        <v>0</v>
      </c>
      <c r="AE73" s="27" t="n">
        <f aca="false">MIN(I72*(1+I$8),MAX(U73,$B$11-SUM(X73:AD73)-SUM(V73:W73)))</f>
        <v>0</v>
      </c>
      <c r="AF73" s="27" t="n">
        <f aca="false">MIN(J72*(1+J$8),MAX(V73,$B$11-SUM(X73:AE73)-SUM(W73:W73)))</f>
        <v>0</v>
      </c>
      <c r="AG73" s="27" t="n">
        <f aca="false">MIN(K72*(1+K$8),MAX(W73,$B$11-SUM(X73:AF73)))</f>
        <v>0</v>
      </c>
      <c r="AI73" s="27" t="n">
        <f aca="false">ROUND(MAX(0,AI72*(1+B$8)-BE73),2)</f>
        <v>0</v>
      </c>
      <c r="AJ73" s="27" t="n">
        <f aca="false">ROUND(MAX(0,AJ72*(1+C$8)-BF73),2)</f>
        <v>0</v>
      </c>
      <c r="AK73" s="27" t="n">
        <f aca="false">ROUND(MAX(0,AK72*(1+D$8)-BG73),2)</f>
        <v>0</v>
      </c>
      <c r="AL73" s="27" t="n">
        <f aca="false">ROUND(MAX(0,AL72*(1+E$8)-BH73),2)</f>
        <v>0</v>
      </c>
      <c r="AM73" s="27" t="n">
        <f aca="false">ROUND(MAX(0,AM72*(1+F$8)-BI73),2)</f>
        <v>0</v>
      </c>
      <c r="AN73" s="27" t="n">
        <f aca="false">ROUND(MAX(0,AN72*(1+G$8)-BJ73),2)</f>
        <v>0</v>
      </c>
      <c r="AO73" s="27" t="n">
        <f aca="false">ROUND(MAX(0,AO72*(1+H$8)-BK73),2)</f>
        <v>0</v>
      </c>
      <c r="AP73" s="27" t="n">
        <f aca="false">ROUND(MAX(0,AP72*(1+I$8)-BL73),2)</f>
        <v>0</v>
      </c>
      <c r="AQ73" s="27" t="n">
        <f aca="false">ROUND(MAX(0,AQ72*(1+J$8)-BM73),2)</f>
        <v>0</v>
      </c>
      <c r="AR73" s="27" t="n">
        <f aca="false">ROUND(MAX(0,AR72*(1+K$8)-BN73),2)</f>
        <v>0</v>
      </c>
      <c r="AS73" s="27" t="n">
        <f aca="false">SUM(AI73:AR73)</f>
        <v>0</v>
      </c>
      <c r="AT73" s="27" t="n">
        <f aca="false">SUMPRODUCT(AI72:AR72,$B$8:$K$8)</f>
        <v>0</v>
      </c>
      <c r="AU73" s="27" t="n">
        <f aca="false">MIN(AI72*(1+B$8),B$9)</f>
        <v>0</v>
      </c>
      <c r="AV73" s="27" t="n">
        <f aca="false">MIN(AJ72*(1+C$8),C$9)</f>
        <v>0</v>
      </c>
      <c r="AW73" s="27" t="n">
        <f aca="false">MIN(AK72*(1+D$8),D$9)</f>
        <v>0</v>
      </c>
      <c r="AX73" s="27" t="n">
        <f aca="false">MIN(AL72*(1+E$8),E$9)</f>
        <v>0</v>
      </c>
      <c r="AY73" s="27" t="n">
        <f aca="false">MIN(AM72*(1+F$8),F$9)</f>
        <v>0</v>
      </c>
      <c r="AZ73" s="27" t="n">
        <f aca="false">MIN(AN72*(1+G$8),G$9)</f>
        <v>0</v>
      </c>
      <c r="BA73" s="27" t="n">
        <f aca="false">MIN(AO72*(1+H$8),H$9)</f>
        <v>0</v>
      </c>
      <c r="BB73" s="27" t="n">
        <f aca="false">MIN(AP72*(1+I$8),I$9)</f>
        <v>0</v>
      </c>
      <c r="BC73" s="27" t="n">
        <f aca="false">MIN(AQ72*(1+J$8),J$9)</f>
        <v>0</v>
      </c>
      <c r="BD73" s="27" t="n">
        <f aca="false">MIN(AR72*(1+K$8),K$9)</f>
        <v>0</v>
      </c>
      <c r="BE73" s="27" t="n">
        <f aca="false">MIN(AI72*(1+B$8),MAX(AU73,$B$12-SUM(AV73:BD73)))</f>
        <v>0</v>
      </c>
      <c r="BF73" s="27" t="n">
        <f aca="false">MIN(AJ72*(1+C$8),MAX(AV73,$B$12-SUM(BE73:BE73)-SUM(AW73:BD73)))</f>
        <v>0</v>
      </c>
      <c r="BG73" s="27" t="n">
        <f aca="false">MIN(AK72*(1+D$8),MAX(AW73,$B$12-SUM(BE73:BF73)-SUM(AX73:BD73)))</f>
        <v>0</v>
      </c>
      <c r="BH73" s="27" t="n">
        <f aca="false">MIN(AL72*(1+E$8),MAX(AX73,$B$12-SUM(BE73:BG73)-SUM(AY73:BD73)))</f>
        <v>0</v>
      </c>
      <c r="BI73" s="27" t="n">
        <f aca="false">MIN(AM72*(1+F$8),MAX(AY73,$B$12-SUM(BE73:BH73)-SUM(AZ73:BD73)))</f>
        <v>0</v>
      </c>
      <c r="BJ73" s="27" t="n">
        <f aca="false">MIN(AN72*(1+G$8),MAX(AZ73,$B$12-SUM(BE73:BI73)-SUM(BA73:BD73)))</f>
        <v>0</v>
      </c>
      <c r="BK73" s="27" t="n">
        <f aca="false">MIN(AO72*(1+H$8),MAX(BA73,$B$12-SUM(BE73:BJ73)-SUM(BB73:BD73)))</f>
        <v>0</v>
      </c>
      <c r="BL73" s="27" t="n">
        <f aca="false">MIN(AP72*(1+I$8),MAX(BB73,$B$12-SUM(BE73:BK73)-SUM(BC73:BD73)))</f>
        <v>0</v>
      </c>
      <c r="BM73" s="27" t="n">
        <f aca="false">MIN(AQ72*(1+J$8),MAX(BC73,$B$12-SUM(BE73:BL73)-SUM(BD73:BD73)))</f>
        <v>0</v>
      </c>
      <c r="BN73" s="27" t="n">
        <f aca="false">MIN(AR72*(1+K$8),MAX(BD73,$B$12-SUM(BE73:BM73)))</f>
        <v>0</v>
      </c>
    </row>
    <row r="74" customFormat="false" ht="15" hidden="false" customHeight="false" outlineLevel="0" collapsed="false">
      <c r="A74" s="0" t="n">
        <v>60</v>
      </c>
      <c r="B74" s="27" t="n">
        <f aca="false">ROUND(MAX(0,B73*(1+B$8)-X74),2)</f>
        <v>0</v>
      </c>
      <c r="C74" s="27" t="n">
        <f aca="false">ROUND(MAX(0,C73*(1+C$8)-Y74),2)</f>
        <v>0</v>
      </c>
      <c r="D74" s="27" t="n">
        <f aca="false">ROUND(MAX(0,D73*(1+D$8)-Z74),2)</f>
        <v>0</v>
      </c>
      <c r="E74" s="27" t="n">
        <f aca="false">ROUND(MAX(0,E73*(1+E$8)-AA74),2)</f>
        <v>0</v>
      </c>
      <c r="F74" s="27" t="n">
        <f aca="false">ROUND(MAX(0,F73*(1+F$8)-AB74),2)</f>
        <v>0</v>
      </c>
      <c r="G74" s="27" t="n">
        <f aca="false">ROUND(MAX(0,G73*(1+G$8)-AC74),2)</f>
        <v>0</v>
      </c>
      <c r="H74" s="27" t="n">
        <f aca="false">ROUND(MAX(0,H73*(1+H$8)-AD74),2)</f>
        <v>0</v>
      </c>
      <c r="I74" s="27" t="n">
        <f aca="false">ROUND(MAX(0,I73*(1+I$8)-AE74),2)</f>
        <v>0</v>
      </c>
      <c r="J74" s="27" t="n">
        <f aca="false">ROUND(MAX(0,J73*(1+J$8)-AF74),2)</f>
        <v>0</v>
      </c>
      <c r="K74" s="27" t="n">
        <f aca="false">ROUND(MAX(0,K73*(1+K$8)-AG74),2)</f>
        <v>0</v>
      </c>
      <c r="L74" s="30" t="n">
        <f aca="false">SUM(B74:K74)</f>
        <v>0</v>
      </c>
      <c r="M74" s="27" t="n">
        <f aca="false">SUMPRODUCT(B73:K73,$B$8:$K$8)</f>
        <v>0</v>
      </c>
      <c r="N74" s="27" t="n">
        <f aca="false">MIN(B73*(1+B$8),B$9)</f>
        <v>0</v>
      </c>
      <c r="O74" s="27" t="n">
        <f aca="false">MIN(C73*(1+C$8),C$9)</f>
        <v>0</v>
      </c>
      <c r="P74" s="27" t="n">
        <f aca="false">MIN(D73*(1+D$8),D$9)</f>
        <v>0</v>
      </c>
      <c r="Q74" s="27" t="n">
        <f aca="false">MIN(E73*(1+E$8),E$9)</f>
        <v>0</v>
      </c>
      <c r="R74" s="27" t="n">
        <f aca="false">MIN(F73*(1+F$8),F$9)</f>
        <v>0</v>
      </c>
      <c r="S74" s="27" t="n">
        <f aca="false">MIN(G73*(1+G$8),G$9)</f>
        <v>0</v>
      </c>
      <c r="T74" s="27" t="n">
        <f aca="false">MIN(H73*(1+H$8),H$9)</f>
        <v>0</v>
      </c>
      <c r="U74" s="27" t="n">
        <f aca="false">MIN(I73*(1+I$8),I$9)</f>
        <v>0</v>
      </c>
      <c r="V74" s="27" t="n">
        <f aca="false">MIN(J73*(1+J$8),J$9)</f>
        <v>0</v>
      </c>
      <c r="W74" s="27" t="n">
        <f aca="false">MIN(K73*(1+K$8),K$9)</f>
        <v>0</v>
      </c>
      <c r="X74" s="27" t="n">
        <f aca="false">MIN(B73*(1+B$8),MAX(N74,$B$11-SUM(O74:W74)))</f>
        <v>0</v>
      </c>
      <c r="Y74" s="27" t="n">
        <f aca="false">MIN(C73*(1+C$8),MAX(O74,$B$11-SUM(X74:X74)-SUM(P74:W74)))</f>
        <v>0</v>
      </c>
      <c r="Z74" s="27" t="n">
        <f aca="false">MIN(D73*(1+D$8),MAX(P74,$B$11-SUM(X74:Y74)-SUM(Q74:W74)))</f>
        <v>0</v>
      </c>
      <c r="AA74" s="27" t="n">
        <f aca="false">MIN(E73*(1+E$8),MAX(Q74,$B$11-SUM(X74:Z74)-SUM(R74:W74)))</f>
        <v>0</v>
      </c>
      <c r="AB74" s="27" t="n">
        <f aca="false">MIN(F73*(1+F$8),MAX(R74,$B$11-SUM(X74:AA74)-SUM(S74:W74)))</f>
        <v>0</v>
      </c>
      <c r="AC74" s="27" t="n">
        <f aca="false">MIN(G73*(1+G$8),MAX(S74,$B$11-SUM(X74:AB74)-SUM(T74:W74)))</f>
        <v>0</v>
      </c>
      <c r="AD74" s="27" t="n">
        <f aca="false">MIN(H73*(1+H$8),MAX(T74,$B$11-SUM(X74:AC74)-SUM(U74:W74)))</f>
        <v>0</v>
      </c>
      <c r="AE74" s="27" t="n">
        <f aca="false">MIN(I73*(1+I$8),MAX(U74,$B$11-SUM(X74:AD74)-SUM(V74:W74)))</f>
        <v>0</v>
      </c>
      <c r="AF74" s="27" t="n">
        <f aca="false">MIN(J73*(1+J$8),MAX(V74,$B$11-SUM(X74:AE74)-SUM(W74:W74)))</f>
        <v>0</v>
      </c>
      <c r="AG74" s="27" t="n">
        <f aca="false">MIN(K73*(1+K$8),MAX(W74,$B$11-SUM(X74:AF74)))</f>
        <v>0</v>
      </c>
      <c r="AI74" s="27" t="n">
        <f aca="false">ROUND(MAX(0,AI73*(1+B$8)-BE74),2)</f>
        <v>0</v>
      </c>
      <c r="AJ74" s="27" t="n">
        <f aca="false">ROUND(MAX(0,AJ73*(1+C$8)-BF74),2)</f>
        <v>0</v>
      </c>
      <c r="AK74" s="27" t="n">
        <f aca="false">ROUND(MAX(0,AK73*(1+D$8)-BG74),2)</f>
        <v>0</v>
      </c>
      <c r="AL74" s="27" t="n">
        <f aca="false">ROUND(MAX(0,AL73*(1+E$8)-BH74),2)</f>
        <v>0</v>
      </c>
      <c r="AM74" s="27" t="n">
        <f aca="false">ROUND(MAX(0,AM73*(1+F$8)-BI74),2)</f>
        <v>0</v>
      </c>
      <c r="AN74" s="27" t="n">
        <f aca="false">ROUND(MAX(0,AN73*(1+G$8)-BJ74),2)</f>
        <v>0</v>
      </c>
      <c r="AO74" s="27" t="n">
        <f aca="false">ROUND(MAX(0,AO73*(1+H$8)-BK74),2)</f>
        <v>0</v>
      </c>
      <c r="AP74" s="27" t="n">
        <f aca="false">ROUND(MAX(0,AP73*(1+I$8)-BL74),2)</f>
        <v>0</v>
      </c>
      <c r="AQ74" s="27" t="n">
        <f aca="false">ROUND(MAX(0,AQ73*(1+J$8)-BM74),2)</f>
        <v>0</v>
      </c>
      <c r="AR74" s="27" t="n">
        <f aca="false">ROUND(MAX(0,AR73*(1+K$8)-BN74),2)</f>
        <v>0</v>
      </c>
      <c r="AS74" s="27" t="n">
        <f aca="false">SUM(AI74:AR74)</f>
        <v>0</v>
      </c>
      <c r="AT74" s="27" t="n">
        <f aca="false">SUMPRODUCT(AI73:AR73,$B$8:$K$8)</f>
        <v>0</v>
      </c>
      <c r="AU74" s="27" t="n">
        <f aca="false">MIN(AI73*(1+B$8),B$9)</f>
        <v>0</v>
      </c>
      <c r="AV74" s="27" t="n">
        <f aca="false">MIN(AJ73*(1+C$8),C$9)</f>
        <v>0</v>
      </c>
      <c r="AW74" s="27" t="n">
        <f aca="false">MIN(AK73*(1+D$8),D$9)</f>
        <v>0</v>
      </c>
      <c r="AX74" s="27" t="n">
        <f aca="false">MIN(AL73*(1+E$8),E$9)</f>
        <v>0</v>
      </c>
      <c r="AY74" s="27" t="n">
        <f aca="false">MIN(AM73*(1+F$8),F$9)</f>
        <v>0</v>
      </c>
      <c r="AZ74" s="27" t="n">
        <f aca="false">MIN(AN73*(1+G$8),G$9)</f>
        <v>0</v>
      </c>
      <c r="BA74" s="27" t="n">
        <f aca="false">MIN(AO73*(1+H$8),H$9)</f>
        <v>0</v>
      </c>
      <c r="BB74" s="27" t="n">
        <f aca="false">MIN(AP73*(1+I$8),I$9)</f>
        <v>0</v>
      </c>
      <c r="BC74" s="27" t="n">
        <f aca="false">MIN(AQ73*(1+J$8),J$9)</f>
        <v>0</v>
      </c>
      <c r="BD74" s="27" t="n">
        <f aca="false">MIN(AR73*(1+K$8),K$9)</f>
        <v>0</v>
      </c>
      <c r="BE74" s="27" t="n">
        <f aca="false">MIN(AI73*(1+B$8),MAX(AU74,$B$12-SUM(AV74:BD74)))</f>
        <v>0</v>
      </c>
      <c r="BF74" s="27" t="n">
        <f aca="false">MIN(AJ73*(1+C$8),MAX(AV74,$B$12-SUM(BE74:BE74)-SUM(AW74:BD74)))</f>
        <v>0</v>
      </c>
      <c r="BG74" s="27" t="n">
        <f aca="false">MIN(AK73*(1+D$8),MAX(AW74,$B$12-SUM(BE74:BF74)-SUM(AX74:BD74)))</f>
        <v>0</v>
      </c>
      <c r="BH74" s="27" t="n">
        <f aca="false">MIN(AL73*(1+E$8),MAX(AX74,$B$12-SUM(BE74:BG74)-SUM(AY74:BD74)))</f>
        <v>0</v>
      </c>
      <c r="BI74" s="27" t="n">
        <f aca="false">MIN(AM73*(1+F$8),MAX(AY74,$B$12-SUM(BE74:BH74)-SUM(AZ74:BD74)))</f>
        <v>0</v>
      </c>
      <c r="BJ74" s="27" t="n">
        <f aca="false">MIN(AN73*(1+G$8),MAX(AZ74,$B$12-SUM(BE74:BI74)-SUM(BA74:BD74)))</f>
        <v>0</v>
      </c>
      <c r="BK74" s="27" t="n">
        <f aca="false">MIN(AO73*(1+H$8),MAX(BA74,$B$12-SUM(BE74:BJ74)-SUM(BB74:BD74)))</f>
        <v>0</v>
      </c>
      <c r="BL74" s="27" t="n">
        <f aca="false">MIN(AP73*(1+I$8),MAX(BB74,$B$12-SUM(BE74:BK74)-SUM(BC74:BD74)))</f>
        <v>0</v>
      </c>
      <c r="BM74" s="27" t="n">
        <f aca="false">MIN(AQ73*(1+J$8),MAX(BC74,$B$12-SUM(BE74:BL74)-SUM(BD74:BD74)))</f>
        <v>0</v>
      </c>
      <c r="BN74" s="27" t="n">
        <f aca="false">MIN(AR73*(1+K$8),MAX(BD74,$B$12-SUM(BE74:BM74)))</f>
        <v>0</v>
      </c>
    </row>
    <row r="75" customFormat="false" ht="15" hidden="false" customHeight="false" outlineLevel="0" collapsed="false">
      <c r="A75" s="0" t="n">
        <v>61</v>
      </c>
      <c r="B75" s="27" t="n">
        <f aca="false">ROUND(MAX(0,B74*(1+B$8)-X75),2)</f>
        <v>0</v>
      </c>
      <c r="C75" s="27" t="n">
        <f aca="false">ROUND(MAX(0,C74*(1+C$8)-Y75),2)</f>
        <v>0</v>
      </c>
      <c r="D75" s="27" t="n">
        <f aca="false">ROUND(MAX(0,D74*(1+D$8)-Z75),2)</f>
        <v>0</v>
      </c>
      <c r="E75" s="27" t="n">
        <f aca="false">ROUND(MAX(0,E74*(1+E$8)-AA75),2)</f>
        <v>0</v>
      </c>
      <c r="F75" s="27" t="n">
        <f aca="false">ROUND(MAX(0,F74*(1+F$8)-AB75),2)</f>
        <v>0</v>
      </c>
      <c r="G75" s="27" t="n">
        <f aca="false">ROUND(MAX(0,G74*(1+G$8)-AC75),2)</f>
        <v>0</v>
      </c>
      <c r="H75" s="27" t="n">
        <f aca="false">ROUND(MAX(0,H74*(1+H$8)-AD75),2)</f>
        <v>0</v>
      </c>
      <c r="I75" s="27" t="n">
        <f aca="false">ROUND(MAX(0,I74*(1+I$8)-AE75),2)</f>
        <v>0</v>
      </c>
      <c r="J75" s="27" t="n">
        <f aca="false">ROUND(MAX(0,J74*(1+J$8)-AF75),2)</f>
        <v>0</v>
      </c>
      <c r="K75" s="27" t="n">
        <f aca="false">ROUND(MAX(0,K74*(1+K$8)-AG75),2)</f>
        <v>0</v>
      </c>
      <c r="L75" s="30" t="n">
        <f aca="false">SUM(B75:K75)</f>
        <v>0</v>
      </c>
      <c r="M75" s="27" t="n">
        <f aca="false">SUMPRODUCT(B74:K74,$B$8:$K$8)</f>
        <v>0</v>
      </c>
      <c r="N75" s="27" t="n">
        <f aca="false">MIN(B74*(1+B$8),B$9)</f>
        <v>0</v>
      </c>
      <c r="O75" s="27" t="n">
        <f aca="false">MIN(C74*(1+C$8),C$9)</f>
        <v>0</v>
      </c>
      <c r="P75" s="27" t="n">
        <f aca="false">MIN(D74*(1+D$8),D$9)</f>
        <v>0</v>
      </c>
      <c r="Q75" s="27" t="n">
        <f aca="false">MIN(E74*(1+E$8),E$9)</f>
        <v>0</v>
      </c>
      <c r="R75" s="27" t="n">
        <f aca="false">MIN(F74*(1+F$8),F$9)</f>
        <v>0</v>
      </c>
      <c r="S75" s="27" t="n">
        <f aca="false">MIN(G74*(1+G$8),G$9)</f>
        <v>0</v>
      </c>
      <c r="T75" s="27" t="n">
        <f aca="false">MIN(H74*(1+H$8),H$9)</f>
        <v>0</v>
      </c>
      <c r="U75" s="27" t="n">
        <f aca="false">MIN(I74*(1+I$8),I$9)</f>
        <v>0</v>
      </c>
      <c r="V75" s="27" t="n">
        <f aca="false">MIN(J74*(1+J$8),J$9)</f>
        <v>0</v>
      </c>
      <c r="W75" s="27" t="n">
        <f aca="false">MIN(K74*(1+K$8),K$9)</f>
        <v>0</v>
      </c>
      <c r="X75" s="27" t="n">
        <f aca="false">MIN(B74*(1+B$8),MAX(N75,$B$11-SUM(O75:W75)))</f>
        <v>0</v>
      </c>
      <c r="Y75" s="27" t="n">
        <f aca="false">MIN(C74*(1+C$8),MAX(O75,$B$11-SUM(X75:X75)-SUM(P75:W75)))</f>
        <v>0</v>
      </c>
      <c r="Z75" s="27" t="n">
        <f aca="false">MIN(D74*(1+D$8),MAX(P75,$B$11-SUM(X75:Y75)-SUM(Q75:W75)))</f>
        <v>0</v>
      </c>
      <c r="AA75" s="27" t="n">
        <f aca="false">MIN(E74*(1+E$8),MAX(Q75,$B$11-SUM(X75:Z75)-SUM(R75:W75)))</f>
        <v>0</v>
      </c>
      <c r="AB75" s="27" t="n">
        <f aca="false">MIN(F74*(1+F$8),MAX(R75,$B$11-SUM(X75:AA75)-SUM(S75:W75)))</f>
        <v>0</v>
      </c>
      <c r="AC75" s="27" t="n">
        <f aca="false">MIN(G74*(1+G$8),MAX(S75,$B$11-SUM(X75:AB75)-SUM(T75:W75)))</f>
        <v>0</v>
      </c>
      <c r="AD75" s="27" t="n">
        <f aca="false">MIN(H74*(1+H$8),MAX(T75,$B$11-SUM(X75:AC75)-SUM(U75:W75)))</f>
        <v>0</v>
      </c>
      <c r="AE75" s="27" t="n">
        <f aca="false">MIN(I74*(1+I$8),MAX(U75,$B$11-SUM(X75:AD75)-SUM(V75:W75)))</f>
        <v>0</v>
      </c>
      <c r="AF75" s="27" t="n">
        <f aca="false">MIN(J74*(1+J$8),MAX(V75,$B$11-SUM(X75:AE75)-SUM(W75:W75)))</f>
        <v>0</v>
      </c>
      <c r="AG75" s="27" t="n">
        <f aca="false">MIN(K74*(1+K$8),MAX(W75,$B$11-SUM(X75:AF75)))</f>
        <v>0</v>
      </c>
      <c r="AI75" s="27" t="n">
        <f aca="false">ROUND(MAX(0,AI74*(1+B$8)-BE75),2)</f>
        <v>0</v>
      </c>
      <c r="AJ75" s="27" t="n">
        <f aca="false">ROUND(MAX(0,AJ74*(1+C$8)-BF75),2)</f>
        <v>0</v>
      </c>
      <c r="AK75" s="27" t="n">
        <f aca="false">ROUND(MAX(0,AK74*(1+D$8)-BG75),2)</f>
        <v>0</v>
      </c>
      <c r="AL75" s="27" t="n">
        <f aca="false">ROUND(MAX(0,AL74*(1+E$8)-BH75),2)</f>
        <v>0</v>
      </c>
      <c r="AM75" s="27" t="n">
        <f aca="false">ROUND(MAX(0,AM74*(1+F$8)-BI75),2)</f>
        <v>0</v>
      </c>
      <c r="AN75" s="27" t="n">
        <f aca="false">ROUND(MAX(0,AN74*(1+G$8)-BJ75),2)</f>
        <v>0</v>
      </c>
      <c r="AO75" s="27" t="n">
        <f aca="false">ROUND(MAX(0,AO74*(1+H$8)-BK75),2)</f>
        <v>0</v>
      </c>
      <c r="AP75" s="27" t="n">
        <f aca="false">ROUND(MAX(0,AP74*(1+I$8)-BL75),2)</f>
        <v>0</v>
      </c>
      <c r="AQ75" s="27" t="n">
        <f aca="false">ROUND(MAX(0,AQ74*(1+J$8)-BM75),2)</f>
        <v>0</v>
      </c>
      <c r="AR75" s="27" t="n">
        <f aca="false">ROUND(MAX(0,AR74*(1+K$8)-BN75),2)</f>
        <v>0</v>
      </c>
      <c r="AS75" s="27" t="n">
        <f aca="false">SUM(AI75:AR75)</f>
        <v>0</v>
      </c>
      <c r="AT75" s="27" t="n">
        <f aca="false">SUMPRODUCT(AI74:AR74,$B$8:$K$8)</f>
        <v>0</v>
      </c>
      <c r="AU75" s="27" t="n">
        <f aca="false">MIN(AI74*(1+B$8),B$9)</f>
        <v>0</v>
      </c>
      <c r="AV75" s="27" t="n">
        <f aca="false">MIN(AJ74*(1+C$8),C$9)</f>
        <v>0</v>
      </c>
      <c r="AW75" s="27" t="n">
        <f aca="false">MIN(AK74*(1+D$8),D$9)</f>
        <v>0</v>
      </c>
      <c r="AX75" s="27" t="n">
        <f aca="false">MIN(AL74*(1+E$8),E$9)</f>
        <v>0</v>
      </c>
      <c r="AY75" s="27" t="n">
        <f aca="false">MIN(AM74*(1+F$8),F$9)</f>
        <v>0</v>
      </c>
      <c r="AZ75" s="27" t="n">
        <f aca="false">MIN(AN74*(1+G$8),G$9)</f>
        <v>0</v>
      </c>
      <c r="BA75" s="27" t="n">
        <f aca="false">MIN(AO74*(1+H$8),H$9)</f>
        <v>0</v>
      </c>
      <c r="BB75" s="27" t="n">
        <f aca="false">MIN(AP74*(1+I$8),I$9)</f>
        <v>0</v>
      </c>
      <c r="BC75" s="27" t="n">
        <f aca="false">MIN(AQ74*(1+J$8),J$9)</f>
        <v>0</v>
      </c>
      <c r="BD75" s="27" t="n">
        <f aca="false">MIN(AR74*(1+K$8),K$9)</f>
        <v>0</v>
      </c>
      <c r="BE75" s="27" t="n">
        <f aca="false">MIN(AI74*(1+B$8),MAX(AU75,$B$12-SUM(AV75:BD75)))</f>
        <v>0</v>
      </c>
      <c r="BF75" s="27" t="n">
        <f aca="false">MIN(AJ74*(1+C$8),MAX(AV75,$B$12-SUM(BE75:BE75)-SUM(AW75:BD75)))</f>
        <v>0</v>
      </c>
      <c r="BG75" s="27" t="n">
        <f aca="false">MIN(AK74*(1+D$8),MAX(AW75,$B$12-SUM(BE75:BF75)-SUM(AX75:BD75)))</f>
        <v>0</v>
      </c>
      <c r="BH75" s="27" t="n">
        <f aca="false">MIN(AL74*(1+E$8),MAX(AX75,$B$12-SUM(BE75:BG75)-SUM(AY75:BD75)))</f>
        <v>0</v>
      </c>
      <c r="BI75" s="27" t="n">
        <f aca="false">MIN(AM74*(1+F$8),MAX(AY75,$B$12-SUM(BE75:BH75)-SUM(AZ75:BD75)))</f>
        <v>0</v>
      </c>
      <c r="BJ75" s="27" t="n">
        <f aca="false">MIN(AN74*(1+G$8),MAX(AZ75,$B$12-SUM(BE75:BI75)-SUM(BA75:BD75)))</f>
        <v>0</v>
      </c>
      <c r="BK75" s="27" t="n">
        <f aca="false">MIN(AO74*(1+H$8),MAX(BA75,$B$12-SUM(BE75:BJ75)-SUM(BB75:BD75)))</f>
        <v>0</v>
      </c>
      <c r="BL75" s="27" t="n">
        <f aca="false">MIN(AP74*(1+I$8),MAX(BB75,$B$12-SUM(BE75:BK75)-SUM(BC75:BD75)))</f>
        <v>0</v>
      </c>
      <c r="BM75" s="27" t="n">
        <f aca="false">MIN(AQ74*(1+J$8),MAX(BC75,$B$12-SUM(BE75:BL75)-SUM(BD75:BD75)))</f>
        <v>0</v>
      </c>
      <c r="BN75" s="27" t="n">
        <f aca="false">MIN(AR74*(1+K$8),MAX(BD75,$B$12-SUM(BE75:BM75)))</f>
        <v>0</v>
      </c>
    </row>
    <row r="76" customFormat="false" ht="15" hidden="false" customHeight="false" outlineLevel="0" collapsed="false">
      <c r="A76" s="0" t="n">
        <v>62</v>
      </c>
      <c r="B76" s="27" t="n">
        <f aca="false">ROUND(MAX(0,B75*(1+B$8)-X76),2)</f>
        <v>0</v>
      </c>
      <c r="C76" s="27" t="n">
        <f aca="false">ROUND(MAX(0,C75*(1+C$8)-Y76),2)</f>
        <v>0</v>
      </c>
      <c r="D76" s="27" t="n">
        <f aca="false">ROUND(MAX(0,D75*(1+D$8)-Z76),2)</f>
        <v>0</v>
      </c>
      <c r="E76" s="27" t="n">
        <f aca="false">ROUND(MAX(0,E75*(1+E$8)-AA76),2)</f>
        <v>0</v>
      </c>
      <c r="F76" s="27" t="n">
        <f aca="false">ROUND(MAX(0,F75*(1+F$8)-AB76),2)</f>
        <v>0</v>
      </c>
      <c r="G76" s="27" t="n">
        <f aca="false">ROUND(MAX(0,G75*(1+G$8)-AC76),2)</f>
        <v>0</v>
      </c>
      <c r="H76" s="27" t="n">
        <f aca="false">ROUND(MAX(0,H75*(1+H$8)-AD76),2)</f>
        <v>0</v>
      </c>
      <c r="I76" s="27" t="n">
        <f aca="false">ROUND(MAX(0,I75*(1+I$8)-AE76),2)</f>
        <v>0</v>
      </c>
      <c r="J76" s="27" t="n">
        <f aca="false">ROUND(MAX(0,J75*(1+J$8)-AF76),2)</f>
        <v>0</v>
      </c>
      <c r="K76" s="27" t="n">
        <f aca="false">ROUND(MAX(0,K75*(1+K$8)-AG76),2)</f>
        <v>0</v>
      </c>
      <c r="L76" s="30" t="n">
        <f aca="false">SUM(B76:K76)</f>
        <v>0</v>
      </c>
      <c r="M76" s="27" t="n">
        <f aca="false">SUMPRODUCT(B75:K75,$B$8:$K$8)</f>
        <v>0</v>
      </c>
      <c r="N76" s="27" t="n">
        <f aca="false">MIN(B75*(1+B$8),B$9)</f>
        <v>0</v>
      </c>
      <c r="O76" s="27" t="n">
        <f aca="false">MIN(C75*(1+C$8),C$9)</f>
        <v>0</v>
      </c>
      <c r="P76" s="27" t="n">
        <f aca="false">MIN(D75*(1+D$8),D$9)</f>
        <v>0</v>
      </c>
      <c r="Q76" s="27" t="n">
        <f aca="false">MIN(E75*(1+E$8),E$9)</f>
        <v>0</v>
      </c>
      <c r="R76" s="27" t="n">
        <f aca="false">MIN(F75*(1+F$8),F$9)</f>
        <v>0</v>
      </c>
      <c r="S76" s="27" t="n">
        <f aca="false">MIN(G75*(1+G$8),G$9)</f>
        <v>0</v>
      </c>
      <c r="T76" s="27" t="n">
        <f aca="false">MIN(H75*(1+H$8),H$9)</f>
        <v>0</v>
      </c>
      <c r="U76" s="27" t="n">
        <f aca="false">MIN(I75*(1+I$8),I$9)</f>
        <v>0</v>
      </c>
      <c r="V76" s="27" t="n">
        <f aca="false">MIN(J75*(1+J$8),J$9)</f>
        <v>0</v>
      </c>
      <c r="W76" s="27" t="n">
        <f aca="false">MIN(K75*(1+K$8),K$9)</f>
        <v>0</v>
      </c>
      <c r="X76" s="27" t="n">
        <f aca="false">MIN(B75*(1+B$8),MAX(N76,$B$11-SUM(O76:W76)))</f>
        <v>0</v>
      </c>
      <c r="Y76" s="27" t="n">
        <f aca="false">MIN(C75*(1+C$8),MAX(O76,$B$11-SUM(X76:X76)-SUM(P76:W76)))</f>
        <v>0</v>
      </c>
      <c r="Z76" s="27" t="n">
        <f aca="false">MIN(D75*(1+D$8),MAX(P76,$B$11-SUM(X76:Y76)-SUM(Q76:W76)))</f>
        <v>0</v>
      </c>
      <c r="AA76" s="27" t="n">
        <f aca="false">MIN(E75*(1+E$8),MAX(Q76,$B$11-SUM(X76:Z76)-SUM(R76:W76)))</f>
        <v>0</v>
      </c>
      <c r="AB76" s="27" t="n">
        <f aca="false">MIN(F75*(1+F$8),MAX(R76,$B$11-SUM(X76:AA76)-SUM(S76:W76)))</f>
        <v>0</v>
      </c>
      <c r="AC76" s="27" t="n">
        <f aca="false">MIN(G75*(1+G$8),MAX(S76,$B$11-SUM(X76:AB76)-SUM(T76:W76)))</f>
        <v>0</v>
      </c>
      <c r="AD76" s="27" t="n">
        <f aca="false">MIN(H75*(1+H$8),MAX(T76,$B$11-SUM(X76:AC76)-SUM(U76:W76)))</f>
        <v>0</v>
      </c>
      <c r="AE76" s="27" t="n">
        <f aca="false">MIN(I75*(1+I$8),MAX(U76,$B$11-SUM(X76:AD76)-SUM(V76:W76)))</f>
        <v>0</v>
      </c>
      <c r="AF76" s="27" t="n">
        <f aca="false">MIN(J75*(1+J$8),MAX(V76,$B$11-SUM(X76:AE76)-SUM(W76:W76)))</f>
        <v>0</v>
      </c>
      <c r="AG76" s="27" t="n">
        <f aca="false">MIN(K75*(1+K$8),MAX(W76,$B$11-SUM(X76:AF76)))</f>
        <v>0</v>
      </c>
      <c r="AI76" s="27" t="n">
        <f aca="false">ROUND(MAX(0,AI75*(1+B$8)-BE76),2)</f>
        <v>0</v>
      </c>
      <c r="AJ76" s="27" t="n">
        <f aca="false">ROUND(MAX(0,AJ75*(1+C$8)-BF76),2)</f>
        <v>0</v>
      </c>
      <c r="AK76" s="27" t="n">
        <f aca="false">ROUND(MAX(0,AK75*(1+D$8)-BG76),2)</f>
        <v>0</v>
      </c>
      <c r="AL76" s="27" t="n">
        <f aca="false">ROUND(MAX(0,AL75*(1+E$8)-BH76),2)</f>
        <v>0</v>
      </c>
      <c r="AM76" s="27" t="n">
        <f aca="false">ROUND(MAX(0,AM75*(1+F$8)-BI76),2)</f>
        <v>0</v>
      </c>
      <c r="AN76" s="27" t="n">
        <f aca="false">ROUND(MAX(0,AN75*(1+G$8)-BJ76),2)</f>
        <v>0</v>
      </c>
      <c r="AO76" s="27" t="n">
        <f aca="false">ROUND(MAX(0,AO75*(1+H$8)-BK76),2)</f>
        <v>0</v>
      </c>
      <c r="AP76" s="27" t="n">
        <f aca="false">ROUND(MAX(0,AP75*(1+I$8)-BL76),2)</f>
        <v>0</v>
      </c>
      <c r="AQ76" s="27" t="n">
        <f aca="false">ROUND(MAX(0,AQ75*(1+J$8)-BM76),2)</f>
        <v>0</v>
      </c>
      <c r="AR76" s="27" t="n">
        <f aca="false">ROUND(MAX(0,AR75*(1+K$8)-BN76),2)</f>
        <v>0</v>
      </c>
      <c r="AS76" s="27" t="n">
        <f aca="false">SUM(AI76:AR76)</f>
        <v>0</v>
      </c>
      <c r="AT76" s="27" t="n">
        <f aca="false">SUMPRODUCT(AI75:AR75,$B$8:$K$8)</f>
        <v>0</v>
      </c>
      <c r="AU76" s="27" t="n">
        <f aca="false">MIN(AI75*(1+B$8),B$9)</f>
        <v>0</v>
      </c>
      <c r="AV76" s="27" t="n">
        <f aca="false">MIN(AJ75*(1+C$8),C$9)</f>
        <v>0</v>
      </c>
      <c r="AW76" s="27" t="n">
        <f aca="false">MIN(AK75*(1+D$8),D$9)</f>
        <v>0</v>
      </c>
      <c r="AX76" s="27" t="n">
        <f aca="false">MIN(AL75*(1+E$8),E$9)</f>
        <v>0</v>
      </c>
      <c r="AY76" s="27" t="n">
        <f aca="false">MIN(AM75*(1+F$8),F$9)</f>
        <v>0</v>
      </c>
      <c r="AZ76" s="27" t="n">
        <f aca="false">MIN(AN75*(1+G$8),G$9)</f>
        <v>0</v>
      </c>
      <c r="BA76" s="27" t="n">
        <f aca="false">MIN(AO75*(1+H$8),H$9)</f>
        <v>0</v>
      </c>
      <c r="BB76" s="27" t="n">
        <f aca="false">MIN(AP75*(1+I$8),I$9)</f>
        <v>0</v>
      </c>
      <c r="BC76" s="27" t="n">
        <f aca="false">MIN(AQ75*(1+J$8),J$9)</f>
        <v>0</v>
      </c>
      <c r="BD76" s="27" t="n">
        <f aca="false">MIN(AR75*(1+K$8),K$9)</f>
        <v>0</v>
      </c>
      <c r="BE76" s="27" t="n">
        <f aca="false">MIN(AI75*(1+B$8),MAX(AU76,$B$12-SUM(AV76:BD76)))</f>
        <v>0</v>
      </c>
      <c r="BF76" s="27" t="n">
        <f aca="false">MIN(AJ75*(1+C$8),MAX(AV76,$B$12-SUM(BE76:BE76)-SUM(AW76:BD76)))</f>
        <v>0</v>
      </c>
      <c r="BG76" s="27" t="n">
        <f aca="false">MIN(AK75*(1+D$8),MAX(AW76,$B$12-SUM(BE76:BF76)-SUM(AX76:BD76)))</f>
        <v>0</v>
      </c>
      <c r="BH76" s="27" t="n">
        <f aca="false">MIN(AL75*(1+E$8),MAX(AX76,$B$12-SUM(BE76:BG76)-SUM(AY76:BD76)))</f>
        <v>0</v>
      </c>
      <c r="BI76" s="27" t="n">
        <f aca="false">MIN(AM75*(1+F$8),MAX(AY76,$B$12-SUM(BE76:BH76)-SUM(AZ76:BD76)))</f>
        <v>0</v>
      </c>
      <c r="BJ76" s="27" t="n">
        <f aca="false">MIN(AN75*(1+G$8),MAX(AZ76,$B$12-SUM(BE76:BI76)-SUM(BA76:BD76)))</f>
        <v>0</v>
      </c>
      <c r="BK76" s="27" t="n">
        <f aca="false">MIN(AO75*(1+H$8),MAX(BA76,$B$12-SUM(BE76:BJ76)-SUM(BB76:BD76)))</f>
        <v>0</v>
      </c>
      <c r="BL76" s="27" t="n">
        <f aca="false">MIN(AP75*(1+I$8),MAX(BB76,$B$12-SUM(BE76:BK76)-SUM(BC76:BD76)))</f>
        <v>0</v>
      </c>
      <c r="BM76" s="27" t="n">
        <f aca="false">MIN(AQ75*(1+J$8),MAX(BC76,$B$12-SUM(BE76:BL76)-SUM(BD76:BD76)))</f>
        <v>0</v>
      </c>
      <c r="BN76" s="27" t="n">
        <f aca="false">MIN(AR75*(1+K$8),MAX(BD76,$B$12-SUM(BE76:BM76)))</f>
        <v>0</v>
      </c>
    </row>
    <row r="77" customFormat="false" ht="15" hidden="false" customHeight="false" outlineLevel="0" collapsed="false">
      <c r="A77" s="0" t="n">
        <v>63</v>
      </c>
      <c r="B77" s="27" t="n">
        <f aca="false">ROUND(MAX(0,B76*(1+B$8)-X77),2)</f>
        <v>0</v>
      </c>
      <c r="C77" s="27" t="n">
        <f aca="false">ROUND(MAX(0,C76*(1+C$8)-Y77),2)</f>
        <v>0</v>
      </c>
      <c r="D77" s="27" t="n">
        <f aca="false">ROUND(MAX(0,D76*(1+D$8)-Z77),2)</f>
        <v>0</v>
      </c>
      <c r="E77" s="27" t="n">
        <f aca="false">ROUND(MAX(0,E76*(1+E$8)-AA77),2)</f>
        <v>0</v>
      </c>
      <c r="F77" s="27" t="n">
        <f aca="false">ROUND(MAX(0,F76*(1+F$8)-AB77),2)</f>
        <v>0</v>
      </c>
      <c r="G77" s="27" t="n">
        <f aca="false">ROUND(MAX(0,G76*(1+G$8)-AC77),2)</f>
        <v>0</v>
      </c>
      <c r="H77" s="27" t="n">
        <f aca="false">ROUND(MAX(0,H76*(1+H$8)-AD77),2)</f>
        <v>0</v>
      </c>
      <c r="I77" s="27" t="n">
        <f aca="false">ROUND(MAX(0,I76*(1+I$8)-AE77),2)</f>
        <v>0</v>
      </c>
      <c r="J77" s="27" t="n">
        <f aca="false">ROUND(MAX(0,J76*(1+J$8)-AF77),2)</f>
        <v>0</v>
      </c>
      <c r="K77" s="27" t="n">
        <f aca="false">ROUND(MAX(0,K76*(1+K$8)-AG77),2)</f>
        <v>0</v>
      </c>
      <c r="L77" s="30" t="n">
        <f aca="false">SUM(B77:K77)</f>
        <v>0</v>
      </c>
      <c r="M77" s="27" t="n">
        <f aca="false">SUMPRODUCT(B76:K76,$B$8:$K$8)</f>
        <v>0</v>
      </c>
      <c r="N77" s="27" t="n">
        <f aca="false">MIN(B76*(1+B$8),B$9)</f>
        <v>0</v>
      </c>
      <c r="O77" s="27" t="n">
        <f aca="false">MIN(C76*(1+C$8),C$9)</f>
        <v>0</v>
      </c>
      <c r="P77" s="27" t="n">
        <f aca="false">MIN(D76*(1+D$8),D$9)</f>
        <v>0</v>
      </c>
      <c r="Q77" s="27" t="n">
        <f aca="false">MIN(E76*(1+E$8),E$9)</f>
        <v>0</v>
      </c>
      <c r="R77" s="27" t="n">
        <f aca="false">MIN(F76*(1+F$8),F$9)</f>
        <v>0</v>
      </c>
      <c r="S77" s="27" t="n">
        <f aca="false">MIN(G76*(1+G$8),G$9)</f>
        <v>0</v>
      </c>
      <c r="T77" s="27" t="n">
        <f aca="false">MIN(H76*(1+H$8),H$9)</f>
        <v>0</v>
      </c>
      <c r="U77" s="27" t="n">
        <f aca="false">MIN(I76*(1+I$8),I$9)</f>
        <v>0</v>
      </c>
      <c r="V77" s="27" t="n">
        <f aca="false">MIN(J76*(1+J$8),J$9)</f>
        <v>0</v>
      </c>
      <c r="W77" s="27" t="n">
        <f aca="false">MIN(K76*(1+K$8),K$9)</f>
        <v>0</v>
      </c>
      <c r="X77" s="27" t="n">
        <f aca="false">MIN(B76*(1+B$8),MAX(N77,$B$11-SUM(O77:W77)))</f>
        <v>0</v>
      </c>
      <c r="Y77" s="27" t="n">
        <f aca="false">MIN(C76*(1+C$8),MAX(O77,$B$11-SUM(X77:X77)-SUM(P77:W77)))</f>
        <v>0</v>
      </c>
      <c r="Z77" s="27" t="n">
        <f aca="false">MIN(D76*(1+D$8),MAX(P77,$B$11-SUM(X77:Y77)-SUM(Q77:W77)))</f>
        <v>0</v>
      </c>
      <c r="AA77" s="27" t="n">
        <f aca="false">MIN(E76*(1+E$8),MAX(Q77,$B$11-SUM(X77:Z77)-SUM(R77:W77)))</f>
        <v>0</v>
      </c>
      <c r="AB77" s="27" t="n">
        <f aca="false">MIN(F76*(1+F$8),MAX(R77,$B$11-SUM(X77:AA77)-SUM(S77:W77)))</f>
        <v>0</v>
      </c>
      <c r="AC77" s="27" t="n">
        <f aca="false">MIN(G76*(1+G$8),MAX(S77,$B$11-SUM(X77:AB77)-SUM(T77:W77)))</f>
        <v>0</v>
      </c>
      <c r="AD77" s="27" t="n">
        <f aca="false">MIN(H76*(1+H$8),MAX(T77,$B$11-SUM(X77:AC77)-SUM(U77:W77)))</f>
        <v>0</v>
      </c>
      <c r="AE77" s="27" t="n">
        <f aca="false">MIN(I76*(1+I$8),MAX(U77,$B$11-SUM(X77:AD77)-SUM(V77:W77)))</f>
        <v>0</v>
      </c>
      <c r="AF77" s="27" t="n">
        <f aca="false">MIN(J76*(1+J$8),MAX(V77,$B$11-SUM(X77:AE77)-SUM(W77:W77)))</f>
        <v>0</v>
      </c>
      <c r="AG77" s="27" t="n">
        <f aca="false">MIN(K76*(1+K$8),MAX(W77,$B$11-SUM(X77:AF77)))</f>
        <v>0</v>
      </c>
      <c r="AI77" s="27" t="n">
        <f aca="false">ROUND(MAX(0,AI76*(1+B$8)-BE77),2)</f>
        <v>0</v>
      </c>
      <c r="AJ77" s="27" t="n">
        <f aca="false">ROUND(MAX(0,AJ76*(1+C$8)-BF77),2)</f>
        <v>0</v>
      </c>
      <c r="AK77" s="27" t="n">
        <f aca="false">ROUND(MAX(0,AK76*(1+D$8)-BG77),2)</f>
        <v>0</v>
      </c>
      <c r="AL77" s="27" t="n">
        <f aca="false">ROUND(MAX(0,AL76*(1+E$8)-BH77),2)</f>
        <v>0</v>
      </c>
      <c r="AM77" s="27" t="n">
        <f aca="false">ROUND(MAX(0,AM76*(1+F$8)-BI77),2)</f>
        <v>0</v>
      </c>
      <c r="AN77" s="27" t="n">
        <f aca="false">ROUND(MAX(0,AN76*(1+G$8)-BJ77),2)</f>
        <v>0</v>
      </c>
      <c r="AO77" s="27" t="n">
        <f aca="false">ROUND(MAX(0,AO76*(1+H$8)-BK77),2)</f>
        <v>0</v>
      </c>
      <c r="AP77" s="27" t="n">
        <f aca="false">ROUND(MAX(0,AP76*(1+I$8)-BL77),2)</f>
        <v>0</v>
      </c>
      <c r="AQ77" s="27" t="n">
        <f aca="false">ROUND(MAX(0,AQ76*(1+J$8)-BM77),2)</f>
        <v>0</v>
      </c>
      <c r="AR77" s="27" t="n">
        <f aca="false">ROUND(MAX(0,AR76*(1+K$8)-BN77),2)</f>
        <v>0</v>
      </c>
      <c r="AS77" s="27" t="n">
        <f aca="false">SUM(AI77:AR77)</f>
        <v>0</v>
      </c>
      <c r="AT77" s="27" t="n">
        <f aca="false">SUMPRODUCT(AI76:AR76,$B$8:$K$8)</f>
        <v>0</v>
      </c>
      <c r="AU77" s="27" t="n">
        <f aca="false">MIN(AI76*(1+B$8),B$9)</f>
        <v>0</v>
      </c>
      <c r="AV77" s="27" t="n">
        <f aca="false">MIN(AJ76*(1+C$8),C$9)</f>
        <v>0</v>
      </c>
      <c r="AW77" s="27" t="n">
        <f aca="false">MIN(AK76*(1+D$8),D$9)</f>
        <v>0</v>
      </c>
      <c r="AX77" s="27" t="n">
        <f aca="false">MIN(AL76*(1+E$8),E$9)</f>
        <v>0</v>
      </c>
      <c r="AY77" s="27" t="n">
        <f aca="false">MIN(AM76*(1+F$8),F$9)</f>
        <v>0</v>
      </c>
      <c r="AZ77" s="27" t="n">
        <f aca="false">MIN(AN76*(1+G$8),G$9)</f>
        <v>0</v>
      </c>
      <c r="BA77" s="27" t="n">
        <f aca="false">MIN(AO76*(1+H$8),H$9)</f>
        <v>0</v>
      </c>
      <c r="BB77" s="27" t="n">
        <f aca="false">MIN(AP76*(1+I$8),I$9)</f>
        <v>0</v>
      </c>
      <c r="BC77" s="27" t="n">
        <f aca="false">MIN(AQ76*(1+J$8),J$9)</f>
        <v>0</v>
      </c>
      <c r="BD77" s="27" t="n">
        <f aca="false">MIN(AR76*(1+K$8),K$9)</f>
        <v>0</v>
      </c>
      <c r="BE77" s="27" t="n">
        <f aca="false">MIN(AI76*(1+B$8),MAX(AU77,$B$12-SUM(AV77:BD77)))</f>
        <v>0</v>
      </c>
      <c r="BF77" s="27" t="n">
        <f aca="false">MIN(AJ76*(1+C$8),MAX(AV77,$B$12-SUM(BE77:BE77)-SUM(AW77:BD77)))</f>
        <v>0</v>
      </c>
      <c r="BG77" s="27" t="n">
        <f aca="false">MIN(AK76*(1+D$8),MAX(AW77,$B$12-SUM(BE77:BF77)-SUM(AX77:BD77)))</f>
        <v>0</v>
      </c>
      <c r="BH77" s="27" t="n">
        <f aca="false">MIN(AL76*(1+E$8),MAX(AX77,$B$12-SUM(BE77:BG77)-SUM(AY77:BD77)))</f>
        <v>0</v>
      </c>
      <c r="BI77" s="27" t="n">
        <f aca="false">MIN(AM76*(1+F$8),MAX(AY77,$B$12-SUM(BE77:BH77)-SUM(AZ77:BD77)))</f>
        <v>0</v>
      </c>
      <c r="BJ77" s="27" t="n">
        <f aca="false">MIN(AN76*(1+G$8),MAX(AZ77,$B$12-SUM(BE77:BI77)-SUM(BA77:BD77)))</f>
        <v>0</v>
      </c>
      <c r="BK77" s="27" t="n">
        <f aca="false">MIN(AO76*(1+H$8),MAX(BA77,$B$12-SUM(BE77:BJ77)-SUM(BB77:BD77)))</f>
        <v>0</v>
      </c>
      <c r="BL77" s="27" t="n">
        <f aca="false">MIN(AP76*(1+I$8),MAX(BB77,$B$12-SUM(BE77:BK77)-SUM(BC77:BD77)))</f>
        <v>0</v>
      </c>
      <c r="BM77" s="27" t="n">
        <f aca="false">MIN(AQ76*(1+J$8),MAX(BC77,$B$12-SUM(BE77:BL77)-SUM(BD77:BD77)))</f>
        <v>0</v>
      </c>
      <c r="BN77" s="27" t="n">
        <f aca="false">MIN(AR76*(1+K$8),MAX(BD77,$B$12-SUM(BE77:BM77)))</f>
        <v>0</v>
      </c>
    </row>
    <row r="78" customFormat="false" ht="15" hidden="false" customHeight="false" outlineLevel="0" collapsed="false">
      <c r="A78" s="0" t="n">
        <v>64</v>
      </c>
      <c r="B78" s="27" t="n">
        <f aca="false">ROUND(MAX(0,B77*(1+B$8)-X78),2)</f>
        <v>0</v>
      </c>
      <c r="C78" s="27" t="n">
        <f aca="false">ROUND(MAX(0,C77*(1+C$8)-Y78),2)</f>
        <v>0</v>
      </c>
      <c r="D78" s="27" t="n">
        <f aca="false">ROUND(MAX(0,D77*(1+D$8)-Z78),2)</f>
        <v>0</v>
      </c>
      <c r="E78" s="27" t="n">
        <f aca="false">ROUND(MAX(0,E77*(1+E$8)-AA78),2)</f>
        <v>0</v>
      </c>
      <c r="F78" s="27" t="n">
        <f aca="false">ROUND(MAX(0,F77*(1+F$8)-AB78),2)</f>
        <v>0</v>
      </c>
      <c r="G78" s="27" t="n">
        <f aca="false">ROUND(MAX(0,G77*(1+G$8)-AC78),2)</f>
        <v>0</v>
      </c>
      <c r="H78" s="27" t="n">
        <f aca="false">ROUND(MAX(0,H77*(1+H$8)-AD78),2)</f>
        <v>0</v>
      </c>
      <c r="I78" s="27" t="n">
        <f aca="false">ROUND(MAX(0,I77*(1+I$8)-AE78),2)</f>
        <v>0</v>
      </c>
      <c r="J78" s="27" t="n">
        <f aca="false">ROUND(MAX(0,J77*(1+J$8)-AF78),2)</f>
        <v>0</v>
      </c>
      <c r="K78" s="27" t="n">
        <f aca="false">ROUND(MAX(0,K77*(1+K$8)-AG78),2)</f>
        <v>0</v>
      </c>
      <c r="L78" s="30" t="n">
        <f aca="false">SUM(B78:K78)</f>
        <v>0</v>
      </c>
      <c r="M78" s="27" t="n">
        <f aca="false">SUMPRODUCT(B77:K77,$B$8:$K$8)</f>
        <v>0</v>
      </c>
      <c r="N78" s="27" t="n">
        <f aca="false">MIN(B77*(1+B$8),B$9)</f>
        <v>0</v>
      </c>
      <c r="O78" s="27" t="n">
        <f aca="false">MIN(C77*(1+C$8),C$9)</f>
        <v>0</v>
      </c>
      <c r="P78" s="27" t="n">
        <f aca="false">MIN(D77*(1+D$8),D$9)</f>
        <v>0</v>
      </c>
      <c r="Q78" s="27" t="n">
        <f aca="false">MIN(E77*(1+E$8),E$9)</f>
        <v>0</v>
      </c>
      <c r="R78" s="27" t="n">
        <f aca="false">MIN(F77*(1+F$8),F$9)</f>
        <v>0</v>
      </c>
      <c r="S78" s="27" t="n">
        <f aca="false">MIN(G77*(1+G$8),G$9)</f>
        <v>0</v>
      </c>
      <c r="T78" s="27" t="n">
        <f aca="false">MIN(H77*(1+H$8),H$9)</f>
        <v>0</v>
      </c>
      <c r="U78" s="27" t="n">
        <f aca="false">MIN(I77*(1+I$8),I$9)</f>
        <v>0</v>
      </c>
      <c r="V78" s="27" t="n">
        <f aca="false">MIN(J77*(1+J$8),J$9)</f>
        <v>0</v>
      </c>
      <c r="W78" s="27" t="n">
        <f aca="false">MIN(K77*(1+K$8),K$9)</f>
        <v>0</v>
      </c>
      <c r="X78" s="27" t="n">
        <f aca="false">MIN(B77*(1+B$8),MAX(N78,$B$11-SUM(O78:W78)))</f>
        <v>0</v>
      </c>
      <c r="Y78" s="27" t="n">
        <f aca="false">MIN(C77*(1+C$8),MAX(O78,$B$11-SUM(X78:X78)-SUM(P78:W78)))</f>
        <v>0</v>
      </c>
      <c r="Z78" s="27" t="n">
        <f aca="false">MIN(D77*(1+D$8),MAX(P78,$B$11-SUM(X78:Y78)-SUM(Q78:W78)))</f>
        <v>0</v>
      </c>
      <c r="AA78" s="27" t="n">
        <f aca="false">MIN(E77*(1+E$8),MAX(Q78,$B$11-SUM(X78:Z78)-SUM(R78:W78)))</f>
        <v>0</v>
      </c>
      <c r="AB78" s="27" t="n">
        <f aca="false">MIN(F77*(1+F$8),MAX(R78,$B$11-SUM(X78:AA78)-SUM(S78:W78)))</f>
        <v>0</v>
      </c>
      <c r="AC78" s="27" t="n">
        <f aca="false">MIN(G77*(1+G$8),MAX(S78,$B$11-SUM(X78:AB78)-SUM(T78:W78)))</f>
        <v>0</v>
      </c>
      <c r="AD78" s="27" t="n">
        <f aca="false">MIN(H77*(1+H$8),MAX(T78,$B$11-SUM(X78:AC78)-SUM(U78:W78)))</f>
        <v>0</v>
      </c>
      <c r="AE78" s="27" t="n">
        <f aca="false">MIN(I77*(1+I$8),MAX(U78,$B$11-SUM(X78:AD78)-SUM(V78:W78)))</f>
        <v>0</v>
      </c>
      <c r="AF78" s="27" t="n">
        <f aca="false">MIN(J77*(1+J$8),MAX(V78,$B$11-SUM(X78:AE78)-SUM(W78:W78)))</f>
        <v>0</v>
      </c>
      <c r="AG78" s="27" t="n">
        <f aca="false">MIN(K77*(1+K$8),MAX(W78,$B$11-SUM(X78:AF78)))</f>
        <v>0</v>
      </c>
      <c r="AI78" s="27" t="n">
        <f aca="false">ROUND(MAX(0,AI77*(1+B$8)-BE78),2)</f>
        <v>0</v>
      </c>
      <c r="AJ78" s="27" t="n">
        <f aca="false">ROUND(MAX(0,AJ77*(1+C$8)-BF78),2)</f>
        <v>0</v>
      </c>
      <c r="AK78" s="27" t="n">
        <f aca="false">ROUND(MAX(0,AK77*(1+D$8)-BG78),2)</f>
        <v>0</v>
      </c>
      <c r="AL78" s="27" t="n">
        <f aca="false">ROUND(MAX(0,AL77*(1+E$8)-BH78),2)</f>
        <v>0</v>
      </c>
      <c r="AM78" s="27" t="n">
        <f aca="false">ROUND(MAX(0,AM77*(1+F$8)-BI78),2)</f>
        <v>0</v>
      </c>
      <c r="AN78" s="27" t="n">
        <f aca="false">ROUND(MAX(0,AN77*(1+G$8)-BJ78),2)</f>
        <v>0</v>
      </c>
      <c r="AO78" s="27" t="n">
        <f aca="false">ROUND(MAX(0,AO77*(1+H$8)-BK78),2)</f>
        <v>0</v>
      </c>
      <c r="AP78" s="27" t="n">
        <f aca="false">ROUND(MAX(0,AP77*(1+I$8)-BL78),2)</f>
        <v>0</v>
      </c>
      <c r="AQ78" s="27" t="n">
        <f aca="false">ROUND(MAX(0,AQ77*(1+J$8)-BM78),2)</f>
        <v>0</v>
      </c>
      <c r="AR78" s="27" t="n">
        <f aca="false">ROUND(MAX(0,AR77*(1+K$8)-BN78),2)</f>
        <v>0</v>
      </c>
      <c r="AS78" s="27" t="n">
        <f aca="false">SUM(AI78:AR78)</f>
        <v>0</v>
      </c>
      <c r="AT78" s="27" t="n">
        <f aca="false">SUMPRODUCT(AI77:AR77,$B$8:$K$8)</f>
        <v>0</v>
      </c>
      <c r="AU78" s="27" t="n">
        <f aca="false">MIN(AI77*(1+B$8),B$9)</f>
        <v>0</v>
      </c>
      <c r="AV78" s="27" t="n">
        <f aca="false">MIN(AJ77*(1+C$8),C$9)</f>
        <v>0</v>
      </c>
      <c r="AW78" s="27" t="n">
        <f aca="false">MIN(AK77*(1+D$8),D$9)</f>
        <v>0</v>
      </c>
      <c r="AX78" s="27" t="n">
        <f aca="false">MIN(AL77*(1+E$8),E$9)</f>
        <v>0</v>
      </c>
      <c r="AY78" s="27" t="n">
        <f aca="false">MIN(AM77*(1+F$8),F$9)</f>
        <v>0</v>
      </c>
      <c r="AZ78" s="27" t="n">
        <f aca="false">MIN(AN77*(1+G$8),G$9)</f>
        <v>0</v>
      </c>
      <c r="BA78" s="27" t="n">
        <f aca="false">MIN(AO77*(1+H$8),H$9)</f>
        <v>0</v>
      </c>
      <c r="BB78" s="27" t="n">
        <f aca="false">MIN(AP77*(1+I$8),I$9)</f>
        <v>0</v>
      </c>
      <c r="BC78" s="27" t="n">
        <f aca="false">MIN(AQ77*(1+J$8),J$9)</f>
        <v>0</v>
      </c>
      <c r="BD78" s="27" t="n">
        <f aca="false">MIN(AR77*(1+K$8),K$9)</f>
        <v>0</v>
      </c>
      <c r="BE78" s="27" t="n">
        <f aca="false">MIN(AI77*(1+B$8),MAX(AU78,$B$12-SUM(AV78:BD78)))</f>
        <v>0</v>
      </c>
      <c r="BF78" s="27" t="n">
        <f aca="false">MIN(AJ77*(1+C$8),MAX(AV78,$B$12-SUM(BE78:BE78)-SUM(AW78:BD78)))</f>
        <v>0</v>
      </c>
      <c r="BG78" s="27" t="n">
        <f aca="false">MIN(AK77*(1+D$8),MAX(AW78,$B$12-SUM(BE78:BF78)-SUM(AX78:BD78)))</f>
        <v>0</v>
      </c>
      <c r="BH78" s="27" t="n">
        <f aca="false">MIN(AL77*(1+E$8),MAX(AX78,$B$12-SUM(BE78:BG78)-SUM(AY78:BD78)))</f>
        <v>0</v>
      </c>
      <c r="BI78" s="27" t="n">
        <f aca="false">MIN(AM77*(1+F$8),MAX(AY78,$B$12-SUM(BE78:BH78)-SUM(AZ78:BD78)))</f>
        <v>0</v>
      </c>
      <c r="BJ78" s="27" t="n">
        <f aca="false">MIN(AN77*(1+G$8),MAX(AZ78,$B$12-SUM(BE78:BI78)-SUM(BA78:BD78)))</f>
        <v>0</v>
      </c>
      <c r="BK78" s="27" t="n">
        <f aca="false">MIN(AO77*(1+H$8),MAX(BA78,$B$12-SUM(BE78:BJ78)-SUM(BB78:BD78)))</f>
        <v>0</v>
      </c>
      <c r="BL78" s="27" t="n">
        <f aca="false">MIN(AP77*(1+I$8),MAX(BB78,$B$12-SUM(BE78:BK78)-SUM(BC78:BD78)))</f>
        <v>0</v>
      </c>
      <c r="BM78" s="27" t="n">
        <f aca="false">MIN(AQ77*(1+J$8),MAX(BC78,$B$12-SUM(BE78:BL78)-SUM(BD78:BD78)))</f>
        <v>0</v>
      </c>
      <c r="BN78" s="27" t="n">
        <f aca="false">MIN(AR77*(1+K$8),MAX(BD78,$B$12-SUM(BE78:BM78)))</f>
        <v>0</v>
      </c>
    </row>
    <row r="79" customFormat="false" ht="15" hidden="false" customHeight="false" outlineLevel="0" collapsed="false">
      <c r="A79" s="0" t="n">
        <v>65</v>
      </c>
      <c r="B79" s="27" t="n">
        <f aca="false">ROUND(MAX(0,B78*(1+B$8)-X79),2)</f>
        <v>0</v>
      </c>
      <c r="C79" s="27" t="n">
        <f aca="false">ROUND(MAX(0,C78*(1+C$8)-Y79),2)</f>
        <v>0</v>
      </c>
      <c r="D79" s="27" t="n">
        <f aca="false">ROUND(MAX(0,D78*(1+D$8)-Z79),2)</f>
        <v>0</v>
      </c>
      <c r="E79" s="27" t="n">
        <f aca="false">ROUND(MAX(0,E78*(1+E$8)-AA79),2)</f>
        <v>0</v>
      </c>
      <c r="F79" s="27" t="n">
        <f aca="false">ROUND(MAX(0,F78*(1+F$8)-AB79),2)</f>
        <v>0</v>
      </c>
      <c r="G79" s="27" t="n">
        <f aca="false">ROUND(MAX(0,G78*(1+G$8)-AC79),2)</f>
        <v>0</v>
      </c>
      <c r="H79" s="27" t="n">
        <f aca="false">ROUND(MAX(0,H78*(1+H$8)-AD79),2)</f>
        <v>0</v>
      </c>
      <c r="I79" s="27" t="n">
        <f aca="false">ROUND(MAX(0,I78*(1+I$8)-AE79),2)</f>
        <v>0</v>
      </c>
      <c r="J79" s="27" t="n">
        <f aca="false">ROUND(MAX(0,J78*(1+J$8)-AF79),2)</f>
        <v>0</v>
      </c>
      <c r="K79" s="27" t="n">
        <f aca="false">ROUND(MAX(0,K78*(1+K$8)-AG79),2)</f>
        <v>0</v>
      </c>
      <c r="L79" s="30" t="n">
        <f aca="false">SUM(B79:K79)</f>
        <v>0</v>
      </c>
      <c r="M79" s="27" t="n">
        <f aca="false">SUMPRODUCT(B78:K78,$B$8:$K$8)</f>
        <v>0</v>
      </c>
      <c r="N79" s="27" t="n">
        <f aca="false">MIN(B78*(1+B$8),B$9)</f>
        <v>0</v>
      </c>
      <c r="O79" s="27" t="n">
        <f aca="false">MIN(C78*(1+C$8),C$9)</f>
        <v>0</v>
      </c>
      <c r="P79" s="27" t="n">
        <f aca="false">MIN(D78*(1+D$8),D$9)</f>
        <v>0</v>
      </c>
      <c r="Q79" s="27" t="n">
        <f aca="false">MIN(E78*(1+E$8),E$9)</f>
        <v>0</v>
      </c>
      <c r="R79" s="27" t="n">
        <f aca="false">MIN(F78*(1+F$8),F$9)</f>
        <v>0</v>
      </c>
      <c r="S79" s="27" t="n">
        <f aca="false">MIN(G78*(1+G$8),G$9)</f>
        <v>0</v>
      </c>
      <c r="T79" s="27" t="n">
        <f aca="false">MIN(H78*(1+H$8),H$9)</f>
        <v>0</v>
      </c>
      <c r="U79" s="27" t="n">
        <f aca="false">MIN(I78*(1+I$8),I$9)</f>
        <v>0</v>
      </c>
      <c r="V79" s="27" t="n">
        <f aca="false">MIN(J78*(1+J$8),J$9)</f>
        <v>0</v>
      </c>
      <c r="W79" s="27" t="n">
        <f aca="false">MIN(K78*(1+K$8),K$9)</f>
        <v>0</v>
      </c>
      <c r="X79" s="27" t="n">
        <f aca="false">MIN(B78*(1+B$8),MAX(N79,$B$11-SUM(O79:W79)))</f>
        <v>0</v>
      </c>
      <c r="Y79" s="27" t="n">
        <f aca="false">MIN(C78*(1+C$8),MAX(O79,$B$11-SUM(X79:X79)-SUM(P79:W79)))</f>
        <v>0</v>
      </c>
      <c r="Z79" s="27" t="n">
        <f aca="false">MIN(D78*(1+D$8),MAX(P79,$B$11-SUM(X79:Y79)-SUM(Q79:W79)))</f>
        <v>0</v>
      </c>
      <c r="AA79" s="27" t="n">
        <f aca="false">MIN(E78*(1+E$8),MAX(Q79,$B$11-SUM(X79:Z79)-SUM(R79:W79)))</f>
        <v>0</v>
      </c>
      <c r="AB79" s="27" t="n">
        <f aca="false">MIN(F78*(1+F$8),MAX(R79,$B$11-SUM(X79:AA79)-SUM(S79:W79)))</f>
        <v>0</v>
      </c>
      <c r="AC79" s="27" t="n">
        <f aca="false">MIN(G78*(1+G$8),MAX(S79,$B$11-SUM(X79:AB79)-SUM(T79:W79)))</f>
        <v>0</v>
      </c>
      <c r="AD79" s="27" t="n">
        <f aca="false">MIN(H78*(1+H$8),MAX(T79,$B$11-SUM(X79:AC79)-SUM(U79:W79)))</f>
        <v>0</v>
      </c>
      <c r="AE79" s="27" t="n">
        <f aca="false">MIN(I78*(1+I$8),MAX(U79,$B$11-SUM(X79:AD79)-SUM(V79:W79)))</f>
        <v>0</v>
      </c>
      <c r="AF79" s="27" t="n">
        <f aca="false">MIN(J78*(1+J$8),MAX(V79,$B$11-SUM(X79:AE79)-SUM(W79:W79)))</f>
        <v>0</v>
      </c>
      <c r="AG79" s="27" t="n">
        <f aca="false">MIN(K78*(1+K$8),MAX(W79,$B$11-SUM(X79:AF79)))</f>
        <v>0</v>
      </c>
      <c r="AI79" s="27" t="n">
        <f aca="false">ROUND(MAX(0,AI78*(1+B$8)-BE79),2)</f>
        <v>0</v>
      </c>
      <c r="AJ79" s="27" t="n">
        <f aca="false">ROUND(MAX(0,AJ78*(1+C$8)-BF79),2)</f>
        <v>0</v>
      </c>
      <c r="AK79" s="27" t="n">
        <f aca="false">ROUND(MAX(0,AK78*(1+D$8)-BG79),2)</f>
        <v>0</v>
      </c>
      <c r="AL79" s="27" t="n">
        <f aca="false">ROUND(MAX(0,AL78*(1+E$8)-BH79),2)</f>
        <v>0</v>
      </c>
      <c r="AM79" s="27" t="n">
        <f aca="false">ROUND(MAX(0,AM78*(1+F$8)-BI79),2)</f>
        <v>0</v>
      </c>
      <c r="AN79" s="27" t="n">
        <f aca="false">ROUND(MAX(0,AN78*(1+G$8)-BJ79),2)</f>
        <v>0</v>
      </c>
      <c r="AO79" s="27" t="n">
        <f aca="false">ROUND(MAX(0,AO78*(1+H$8)-BK79),2)</f>
        <v>0</v>
      </c>
      <c r="AP79" s="27" t="n">
        <f aca="false">ROUND(MAX(0,AP78*(1+I$8)-BL79),2)</f>
        <v>0</v>
      </c>
      <c r="AQ79" s="27" t="n">
        <f aca="false">ROUND(MAX(0,AQ78*(1+J$8)-BM79),2)</f>
        <v>0</v>
      </c>
      <c r="AR79" s="27" t="n">
        <f aca="false">ROUND(MAX(0,AR78*(1+K$8)-BN79),2)</f>
        <v>0</v>
      </c>
      <c r="AS79" s="27" t="n">
        <f aca="false">SUM(AI79:AR79)</f>
        <v>0</v>
      </c>
      <c r="AT79" s="27" t="n">
        <f aca="false">SUMPRODUCT(AI78:AR78,$B$8:$K$8)</f>
        <v>0</v>
      </c>
      <c r="AU79" s="27" t="n">
        <f aca="false">MIN(AI78*(1+B$8),B$9)</f>
        <v>0</v>
      </c>
      <c r="AV79" s="27" t="n">
        <f aca="false">MIN(AJ78*(1+C$8),C$9)</f>
        <v>0</v>
      </c>
      <c r="AW79" s="27" t="n">
        <f aca="false">MIN(AK78*(1+D$8),D$9)</f>
        <v>0</v>
      </c>
      <c r="AX79" s="27" t="n">
        <f aca="false">MIN(AL78*(1+E$8),E$9)</f>
        <v>0</v>
      </c>
      <c r="AY79" s="27" t="n">
        <f aca="false">MIN(AM78*(1+F$8),F$9)</f>
        <v>0</v>
      </c>
      <c r="AZ79" s="27" t="n">
        <f aca="false">MIN(AN78*(1+G$8),G$9)</f>
        <v>0</v>
      </c>
      <c r="BA79" s="27" t="n">
        <f aca="false">MIN(AO78*(1+H$8),H$9)</f>
        <v>0</v>
      </c>
      <c r="BB79" s="27" t="n">
        <f aca="false">MIN(AP78*(1+I$8),I$9)</f>
        <v>0</v>
      </c>
      <c r="BC79" s="27" t="n">
        <f aca="false">MIN(AQ78*(1+J$8),J$9)</f>
        <v>0</v>
      </c>
      <c r="BD79" s="27" t="n">
        <f aca="false">MIN(AR78*(1+K$8),K$9)</f>
        <v>0</v>
      </c>
      <c r="BE79" s="27" t="n">
        <f aca="false">MIN(AI78*(1+B$8),MAX(AU79,$B$12-SUM(AV79:BD79)))</f>
        <v>0</v>
      </c>
      <c r="BF79" s="27" t="n">
        <f aca="false">MIN(AJ78*(1+C$8),MAX(AV79,$B$12-SUM(BE79:BE79)-SUM(AW79:BD79)))</f>
        <v>0</v>
      </c>
      <c r="BG79" s="27" t="n">
        <f aca="false">MIN(AK78*(1+D$8),MAX(AW79,$B$12-SUM(BE79:BF79)-SUM(AX79:BD79)))</f>
        <v>0</v>
      </c>
      <c r="BH79" s="27" t="n">
        <f aca="false">MIN(AL78*(1+E$8),MAX(AX79,$B$12-SUM(BE79:BG79)-SUM(AY79:BD79)))</f>
        <v>0</v>
      </c>
      <c r="BI79" s="27" t="n">
        <f aca="false">MIN(AM78*(1+F$8),MAX(AY79,$B$12-SUM(BE79:BH79)-SUM(AZ79:BD79)))</f>
        <v>0</v>
      </c>
      <c r="BJ79" s="27" t="n">
        <f aca="false">MIN(AN78*(1+G$8),MAX(AZ79,$B$12-SUM(BE79:BI79)-SUM(BA79:BD79)))</f>
        <v>0</v>
      </c>
      <c r="BK79" s="27" t="n">
        <f aca="false">MIN(AO78*(1+H$8),MAX(BA79,$B$12-SUM(BE79:BJ79)-SUM(BB79:BD79)))</f>
        <v>0</v>
      </c>
      <c r="BL79" s="27" t="n">
        <f aca="false">MIN(AP78*(1+I$8),MAX(BB79,$B$12-SUM(BE79:BK79)-SUM(BC79:BD79)))</f>
        <v>0</v>
      </c>
      <c r="BM79" s="27" t="n">
        <f aca="false">MIN(AQ78*(1+J$8),MAX(BC79,$B$12-SUM(BE79:BL79)-SUM(BD79:BD79)))</f>
        <v>0</v>
      </c>
      <c r="BN79" s="27" t="n">
        <f aca="false">MIN(AR78*(1+K$8),MAX(BD79,$B$12-SUM(BE79:BM79)))</f>
        <v>0</v>
      </c>
    </row>
    <row r="80" customFormat="false" ht="15" hidden="false" customHeight="false" outlineLevel="0" collapsed="false">
      <c r="A80" s="0" t="n">
        <v>66</v>
      </c>
      <c r="B80" s="27" t="n">
        <f aca="false">ROUND(MAX(0,B79*(1+B$8)-X80),2)</f>
        <v>0</v>
      </c>
      <c r="C80" s="27" t="n">
        <f aca="false">ROUND(MAX(0,C79*(1+C$8)-Y80),2)</f>
        <v>0</v>
      </c>
      <c r="D80" s="27" t="n">
        <f aca="false">ROUND(MAX(0,D79*(1+D$8)-Z80),2)</f>
        <v>0</v>
      </c>
      <c r="E80" s="27" t="n">
        <f aca="false">ROUND(MAX(0,E79*(1+E$8)-AA80),2)</f>
        <v>0</v>
      </c>
      <c r="F80" s="27" t="n">
        <f aca="false">ROUND(MAX(0,F79*(1+F$8)-AB80),2)</f>
        <v>0</v>
      </c>
      <c r="G80" s="27" t="n">
        <f aca="false">ROUND(MAX(0,G79*(1+G$8)-AC80),2)</f>
        <v>0</v>
      </c>
      <c r="H80" s="27" t="n">
        <f aca="false">ROUND(MAX(0,H79*(1+H$8)-AD80),2)</f>
        <v>0</v>
      </c>
      <c r="I80" s="27" t="n">
        <f aca="false">ROUND(MAX(0,I79*(1+I$8)-AE80),2)</f>
        <v>0</v>
      </c>
      <c r="J80" s="27" t="n">
        <f aca="false">ROUND(MAX(0,J79*(1+J$8)-AF80),2)</f>
        <v>0</v>
      </c>
      <c r="K80" s="27" t="n">
        <f aca="false">ROUND(MAX(0,K79*(1+K$8)-AG80),2)</f>
        <v>0</v>
      </c>
      <c r="L80" s="30" t="n">
        <f aca="false">SUM(B80:K80)</f>
        <v>0</v>
      </c>
      <c r="M80" s="27" t="n">
        <f aca="false">SUMPRODUCT(B79:K79,$B$8:$K$8)</f>
        <v>0</v>
      </c>
      <c r="N80" s="27" t="n">
        <f aca="false">MIN(B79*(1+B$8),B$9)</f>
        <v>0</v>
      </c>
      <c r="O80" s="27" t="n">
        <f aca="false">MIN(C79*(1+C$8),C$9)</f>
        <v>0</v>
      </c>
      <c r="P80" s="27" t="n">
        <f aca="false">MIN(D79*(1+D$8),D$9)</f>
        <v>0</v>
      </c>
      <c r="Q80" s="27" t="n">
        <f aca="false">MIN(E79*(1+E$8),E$9)</f>
        <v>0</v>
      </c>
      <c r="R80" s="27" t="n">
        <f aca="false">MIN(F79*(1+F$8),F$9)</f>
        <v>0</v>
      </c>
      <c r="S80" s="27" t="n">
        <f aca="false">MIN(G79*(1+G$8),G$9)</f>
        <v>0</v>
      </c>
      <c r="T80" s="27" t="n">
        <f aca="false">MIN(H79*(1+H$8),H$9)</f>
        <v>0</v>
      </c>
      <c r="U80" s="27" t="n">
        <f aca="false">MIN(I79*(1+I$8),I$9)</f>
        <v>0</v>
      </c>
      <c r="V80" s="27" t="n">
        <f aca="false">MIN(J79*(1+J$8),J$9)</f>
        <v>0</v>
      </c>
      <c r="W80" s="27" t="n">
        <f aca="false">MIN(K79*(1+K$8),K$9)</f>
        <v>0</v>
      </c>
      <c r="X80" s="27" t="n">
        <f aca="false">MIN(B79*(1+B$8),MAX(N80,$B$11-SUM(O80:W80)))</f>
        <v>0</v>
      </c>
      <c r="Y80" s="27" t="n">
        <f aca="false">MIN(C79*(1+C$8),MAX(O80,$B$11-SUM(X80:X80)-SUM(P80:W80)))</f>
        <v>0</v>
      </c>
      <c r="Z80" s="27" t="n">
        <f aca="false">MIN(D79*(1+D$8),MAX(P80,$B$11-SUM(X80:Y80)-SUM(Q80:W80)))</f>
        <v>0</v>
      </c>
      <c r="AA80" s="27" t="n">
        <f aca="false">MIN(E79*(1+E$8),MAX(Q80,$B$11-SUM(X80:Z80)-SUM(R80:W80)))</f>
        <v>0</v>
      </c>
      <c r="AB80" s="27" t="n">
        <f aca="false">MIN(F79*(1+F$8),MAX(R80,$B$11-SUM(X80:AA80)-SUM(S80:W80)))</f>
        <v>0</v>
      </c>
      <c r="AC80" s="27" t="n">
        <f aca="false">MIN(G79*(1+G$8),MAX(S80,$B$11-SUM(X80:AB80)-SUM(T80:W80)))</f>
        <v>0</v>
      </c>
      <c r="AD80" s="27" t="n">
        <f aca="false">MIN(H79*(1+H$8),MAX(T80,$B$11-SUM(X80:AC80)-SUM(U80:W80)))</f>
        <v>0</v>
      </c>
      <c r="AE80" s="27" t="n">
        <f aca="false">MIN(I79*(1+I$8),MAX(U80,$B$11-SUM(X80:AD80)-SUM(V80:W80)))</f>
        <v>0</v>
      </c>
      <c r="AF80" s="27" t="n">
        <f aca="false">MIN(J79*(1+J$8),MAX(V80,$B$11-SUM(X80:AE80)-SUM(W80:W80)))</f>
        <v>0</v>
      </c>
      <c r="AG80" s="27" t="n">
        <f aca="false">MIN(K79*(1+K$8),MAX(W80,$B$11-SUM(X80:AF80)))</f>
        <v>0</v>
      </c>
      <c r="AI80" s="27" t="n">
        <f aca="false">ROUND(MAX(0,AI79*(1+B$8)-BE80),2)</f>
        <v>0</v>
      </c>
      <c r="AJ80" s="27" t="n">
        <f aca="false">ROUND(MAX(0,AJ79*(1+C$8)-BF80),2)</f>
        <v>0</v>
      </c>
      <c r="AK80" s="27" t="n">
        <f aca="false">ROUND(MAX(0,AK79*(1+D$8)-BG80),2)</f>
        <v>0</v>
      </c>
      <c r="AL80" s="27" t="n">
        <f aca="false">ROUND(MAX(0,AL79*(1+E$8)-BH80),2)</f>
        <v>0</v>
      </c>
      <c r="AM80" s="27" t="n">
        <f aca="false">ROUND(MAX(0,AM79*(1+F$8)-BI80),2)</f>
        <v>0</v>
      </c>
      <c r="AN80" s="27" t="n">
        <f aca="false">ROUND(MAX(0,AN79*(1+G$8)-BJ80),2)</f>
        <v>0</v>
      </c>
      <c r="AO80" s="27" t="n">
        <f aca="false">ROUND(MAX(0,AO79*(1+H$8)-BK80),2)</f>
        <v>0</v>
      </c>
      <c r="AP80" s="27" t="n">
        <f aca="false">ROUND(MAX(0,AP79*(1+I$8)-BL80),2)</f>
        <v>0</v>
      </c>
      <c r="AQ80" s="27" t="n">
        <f aca="false">ROUND(MAX(0,AQ79*(1+J$8)-BM80),2)</f>
        <v>0</v>
      </c>
      <c r="AR80" s="27" t="n">
        <f aca="false">ROUND(MAX(0,AR79*(1+K$8)-BN80),2)</f>
        <v>0</v>
      </c>
      <c r="AS80" s="27" t="n">
        <f aca="false">SUM(AI80:AR80)</f>
        <v>0</v>
      </c>
      <c r="AT80" s="27" t="n">
        <f aca="false">SUMPRODUCT(AI79:AR79,$B$8:$K$8)</f>
        <v>0</v>
      </c>
      <c r="AU80" s="27" t="n">
        <f aca="false">MIN(AI79*(1+B$8),B$9)</f>
        <v>0</v>
      </c>
      <c r="AV80" s="27" t="n">
        <f aca="false">MIN(AJ79*(1+C$8),C$9)</f>
        <v>0</v>
      </c>
      <c r="AW80" s="27" t="n">
        <f aca="false">MIN(AK79*(1+D$8),D$9)</f>
        <v>0</v>
      </c>
      <c r="AX80" s="27" t="n">
        <f aca="false">MIN(AL79*(1+E$8),E$9)</f>
        <v>0</v>
      </c>
      <c r="AY80" s="27" t="n">
        <f aca="false">MIN(AM79*(1+F$8),F$9)</f>
        <v>0</v>
      </c>
      <c r="AZ80" s="27" t="n">
        <f aca="false">MIN(AN79*(1+G$8),G$9)</f>
        <v>0</v>
      </c>
      <c r="BA80" s="27" t="n">
        <f aca="false">MIN(AO79*(1+H$8),H$9)</f>
        <v>0</v>
      </c>
      <c r="BB80" s="27" t="n">
        <f aca="false">MIN(AP79*(1+I$8),I$9)</f>
        <v>0</v>
      </c>
      <c r="BC80" s="27" t="n">
        <f aca="false">MIN(AQ79*(1+J$8),J$9)</f>
        <v>0</v>
      </c>
      <c r="BD80" s="27" t="n">
        <f aca="false">MIN(AR79*(1+K$8),K$9)</f>
        <v>0</v>
      </c>
      <c r="BE80" s="27" t="n">
        <f aca="false">MIN(AI79*(1+B$8),MAX(AU80,$B$12-SUM(AV80:BD80)))</f>
        <v>0</v>
      </c>
      <c r="BF80" s="27" t="n">
        <f aca="false">MIN(AJ79*(1+C$8),MAX(AV80,$B$12-SUM(BE80:BE80)-SUM(AW80:BD80)))</f>
        <v>0</v>
      </c>
      <c r="BG80" s="27" t="n">
        <f aca="false">MIN(AK79*(1+D$8),MAX(AW80,$B$12-SUM(BE80:BF80)-SUM(AX80:BD80)))</f>
        <v>0</v>
      </c>
      <c r="BH80" s="27" t="n">
        <f aca="false">MIN(AL79*(1+E$8),MAX(AX80,$B$12-SUM(BE80:BG80)-SUM(AY80:BD80)))</f>
        <v>0</v>
      </c>
      <c r="BI80" s="27" t="n">
        <f aca="false">MIN(AM79*(1+F$8),MAX(AY80,$B$12-SUM(BE80:BH80)-SUM(AZ80:BD80)))</f>
        <v>0</v>
      </c>
      <c r="BJ80" s="27" t="n">
        <f aca="false">MIN(AN79*(1+G$8),MAX(AZ80,$B$12-SUM(BE80:BI80)-SUM(BA80:BD80)))</f>
        <v>0</v>
      </c>
      <c r="BK80" s="27" t="n">
        <f aca="false">MIN(AO79*(1+H$8),MAX(BA80,$B$12-SUM(BE80:BJ80)-SUM(BB80:BD80)))</f>
        <v>0</v>
      </c>
      <c r="BL80" s="27" t="n">
        <f aca="false">MIN(AP79*(1+I$8),MAX(BB80,$B$12-SUM(BE80:BK80)-SUM(BC80:BD80)))</f>
        <v>0</v>
      </c>
      <c r="BM80" s="27" t="n">
        <f aca="false">MIN(AQ79*(1+J$8),MAX(BC80,$B$12-SUM(BE80:BL80)-SUM(BD80:BD80)))</f>
        <v>0</v>
      </c>
      <c r="BN80" s="27" t="n">
        <f aca="false">MIN(AR79*(1+K$8),MAX(BD80,$B$12-SUM(BE80:BM80)))</f>
        <v>0</v>
      </c>
    </row>
    <row r="81" customFormat="false" ht="15" hidden="false" customHeight="false" outlineLevel="0" collapsed="false">
      <c r="A81" s="0" t="n">
        <v>67</v>
      </c>
      <c r="B81" s="27" t="n">
        <f aca="false">ROUND(MAX(0,B80*(1+B$8)-X81),2)</f>
        <v>0</v>
      </c>
      <c r="C81" s="27" t="n">
        <f aca="false">ROUND(MAX(0,C80*(1+C$8)-Y81),2)</f>
        <v>0</v>
      </c>
      <c r="D81" s="27" t="n">
        <f aca="false">ROUND(MAX(0,D80*(1+D$8)-Z81),2)</f>
        <v>0</v>
      </c>
      <c r="E81" s="27" t="n">
        <f aca="false">ROUND(MAX(0,E80*(1+E$8)-AA81),2)</f>
        <v>0</v>
      </c>
      <c r="F81" s="27" t="n">
        <f aca="false">ROUND(MAX(0,F80*(1+F$8)-AB81),2)</f>
        <v>0</v>
      </c>
      <c r="G81" s="27" t="n">
        <f aca="false">ROUND(MAX(0,G80*(1+G$8)-AC81),2)</f>
        <v>0</v>
      </c>
      <c r="H81" s="27" t="n">
        <f aca="false">ROUND(MAX(0,H80*(1+H$8)-AD81),2)</f>
        <v>0</v>
      </c>
      <c r="I81" s="27" t="n">
        <f aca="false">ROUND(MAX(0,I80*(1+I$8)-AE81),2)</f>
        <v>0</v>
      </c>
      <c r="J81" s="27" t="n">
        <f aca="false">ROUND(MAX(0,J80*(1+J$8)-AF81),2)</f>
        <v>0</v>
      </c>
      <c r="K81" s="27" t="n">
        <f aca="false">ROUND(MAX(0,K80*(1+K$8)-AG81),2)</f>
        <v>0</v>
      </c>
      <c r="L81" s="30" t="n">
        <f aca="false">SUM(B81:K81)</f>
        <v>0</v>
      </c>
      <c r="M81" s="27" t="n">
        <f aca="false">SUMPRODUCT(B80:K80,$B$8:$K$8)</f>
        <v>0</v>
      </c>
      <c r="N81" s="27" t="n">
        <f aca="false">MIN(B80*(1+B$8),B$9)</f>
        <v>0</v>
      </c>
      <c r="O81" s="27" t="n">
        <f aca="false">MIN(C80*(1+C$8),C$9)</f>
        <v>0</v>
      </c>
      <c r="P81" s="27" t="n">
        <f aca="false">MIN(D80*(1+D$8),D$9)</f>
        <v>0</v>
      </c>
      <c r="Q81" s="27" t="n">
        <f aca="false">MIN(E80*(1+E$8),E$9)</f>
        <v>0</v>
      </c>
      <c r="R81" s="27" t="n">
        <f aca="false">MIN(F80*(1+F$8),F$9)</f>
        <v>0</v>
      </c>
      <c r="S81" s="27" t="n">
        <f aca="false">MIN(G80*(1+G$8),G$9)</f>
        <v>0</v>
      </c>
      <c r="T81" s="27" t="n">
        <f aca="false">MIN(H80*(1+H$8),H$9)</f>
        <v>0</v>
      </c>
      <c r="U81" s="27" t="n">
        <f aca="false">MIN(I80*(1+I$8),I$9)</f>
        <v>0</v>
      </c>
      <c r="V81" s="27" t="n">
        <f aca="false">MIN(J80*(1+J$8),J$9)</f>
        <v>0</v>
      </c>
      <c r="W81" s="27" t="n">
        <f aca="false">MIN(K80*(1+K$8),K$9)</f>
        <v>0</v>
      </c>
      <c r="X81" s="27" t="n">
        <f aca="false">MIN(B80*(1+B$8),MAX(N81,$B$11-SUM(O81:W81)))</f>
        <v>0</v>
      </c>
      <c r="Y81" s="27" t="n">
        <f aca="false">MIN(C80*(1+C$8),MAX(O81,$B$11-SUM(X81:X81)-SUM(P81:W81)))</f>
        <v>0</v>
      </c>
      <c r="Z81" s="27" t="n">
        <f aca="false">MIN(D80*(1+D$8),MAX(P81,$B$11-SUM(X81:Y81)-SUM(Q81:W81)))</f>
        <v>0</v>
      </c>
      <c r="AA81" s="27" t="n">
        <f aca="false">MIN(E80*(1+E$8),MAX(Q81,$B$11-SUM(X81:Z81)-SUM(R81:W81)))</f>
        <v>0</v>
      </c>
      <c r="AB81" s="27" t="n">
        <f aca="false">MIN(F80*(1+F$8),MAX(R81,$B$11-SUM(X81:AA81)-SUM(S81:W81)))</f>
        <v>0</v>
      </c>
      <c r="AC81" s="27" t="n">
        <f aca="false">MIN(G80*(1+G$8),MAX(S81,$B$11-SUM(X81:AB81)-SUM(T81:W81)))</f>
        <v>0</v>
      </c>
      <c r="AD81" s="27" t="n">
        <f aca="false">MIN(H80*(1+H$8),MAX(T81,$B$11-SUM(X81:AC81)-SUM(U81:W81)))</f>
        <v>0</v>
      </c>
      <c r="AE81" s="27" t="n">
        <f aca="false">MIN(I80*(1+I$8),MAX(U81,$B$11-SUM(X81:AD81)-SUM(V81:W81)))</f>
        <v>0</v>
      </c>
      <c r="AF81" s="27" t="n">
        <f aca="false">MIN(J80*(1+J$8),MAX(V81,$B$11-SUM(X81:AE81)-SUM(W81:W81)))</f>
        <v>0</v>
      </c>
      <c r="AG81" s="27" t="n">
        <f aca="false">MIN(K80*(1+K$8),MAX(W81,$B$11-SUM(X81:AF81)))</f>
        <v>0</v>
      </c>
      <c r="AI81" s="27" t="n">
        <f aca="false">ROUND(MAX(0,AI80*(1+B$8)-BE81),2)</f>
        <v>0</v>
      </c>
      <c r="AJ81" s="27" t="n">
        <f aca="false">ROUND(MAX(0,AJ80*(1+C$8)-BF81),2)</f>
        <v>0</v>
      </c>
      <c r="AK81" s="27" t="n">
        <f aca="false">ROUND(MAX(0,AK80*(1+D$8)-BG81),2)</f>
        <v>0</v>
      </c>
      <c r="AL81" s="27" t="n">
        <f aca="false">ROUND(MAX(0,AL80*(1+E$8)-BH81),2)</f>
        <v>0</v>
      </c>
      <c r="AM81" s="27" t="n">
        <f aca="false">ROUND(MAX(0,AM80*(1+F$8)-BI81),2)</f>
        <v>0</v>
      </c>
      <c r="AN81" s="27" t="n">
        <f aca="false">ROUND(MAX(0,AN80*(1+G$8)-BJ81),2)</f>
        <v>0</v>
      </c>
      <c r="AO81" s="27" t="n">
        <f aca="false">ROUND(MAX(0,AO80*(1+H$8)-BK81),2)</f>
        <v>0</v>
      </c>
      <c r="AP81" s="27" t="n">
        <f aca="false">ROUND(MAX(0,AP80*(1+I$8)-BL81),2)</f>
        <v>0</v>
      </c>
      <c r="AQ81" s="27" t="n">
        <f aca="false">ROUND(MAX(0,AQ80*(1+J$8)-BM81),2)</f>
        <v>0</v>
      </c>
      <c r="AR81" s="27" t="n">
        <f aca="false">ROUND(MAX(0,AR80*(1+K$8)-BN81),2)</f>
        <v>0</v>
      </c>
      <c r="AS81" s="27" t="n">
        <f aca="false">SUM(AI81:AR81)</f>
        <v>0</v>
      </c>
      <c r="AT81" s="27" t="n">
        <f aca="false">SUMPRODUCT(AI80:AR80,$B$8:$K$8)</f>
        <v>0</v>
      </c>
      <c r="AU81" s="27" t="n">
        <f aca="false">MIN(AI80*(1+B$8),B$9)</f>
        <v>0</v>
      </c>
      <c r="AV81" s="27" t="n">
        <f aca="false">MIN(AJ80*(1+C$8),C$9)</f>
        <v>0</v>
      </c>
      <c r="AW81" s="27" t="n">
        <f aca="false">MIN(AK80*(1+D$8),D$9)</f>
        <v>0</v>
      </c>
      <c r="AX81" s="27" t="n">
        <f aca="false">MIN(AL80*(1+E$8),E$9)</f>
        <v>0</v>
      </c>
      <c r="AY81" s="27" t="n">
        <f aca="false">MIN(AM80*(1+F$8),F$9)</f>
        <v>0</v>
      </c>
      <c r="AZ81" s="27" t="n">
        <f aca="false">MIN(AN80*(1+G$8),G$9)</f>
        <v>0</v>
      </c>
      <c r="BA81" s="27" t="n">
        <f aca="false">MIN(AO80*(1+H$8),H$9)</f>
        <v>0</v>
      </c>
      <c r="BB81" s="27" t="n">
        <f aca="false">MIN(AP80*(1+I$8),I$9)</f>
        <v>0</v>
      </c>
      <c r="BC81" s="27" t="n">
        <f aca="false">MIN(AQ80*(1+J$8),J$9)</f>
        <v>0</v>
      </c>
      <c r="BD81" s="27" t="n">
        <f aca="false">MIN(AR80*(1+K$8),K$9)</f>
        <v>0</v>
      </c>
      <c r="BE81" s="27" t="n">
        <f aca="false">MIN(AI80*(1+B$8),MAX(AU81,$B$12-SUM(AV81:BD81)))</f>
        <v>0</v>
      </c>
      <c r="BF81" s="27" t="n">
        <f aca="false">MIN(AJ80*(1+C$8),MAX(AV81,$B$12-SUM(BE81:BE81)-SUM(AW81:BD81)))</f>
        <v>0</v>
      </c>
      <c r="BG81" s="27" t="n">
        <f aca="false">MIN(AK80*(1+D$8),MAX(AW81,$B$12-SUM(BE81:BF81)-SUM(AX81:BD81)))</f>
        <v>0</v>
      </c>
      <c r="BH81" s="27" t="n">
        <f aca="false">MIN(AL80*(1+E$8),MAX(AX81,$B$12-SUM(BE81:BG81)-SUM(AY81:BD81)))</f>
        <v>0</v>
      </c>
      <c r="BI81" s="27" t="n">
        <f aca="false">MIN(AM80*(1+F$8),MAX(AY81,$B$12-SUM(BE81:BH81)-SUM(AZ81:BD81)))</f>
        <v>0</v>
      </c>
      <c r="BJ81" s="27" t="n">
        <f aca="false">MIN(AN80*(1+G$8),MAX(AZ81,$B$12-SUM(BE81:BI81)-SUM(BA81:BD81)))</f>
        <v>0</v>
      </c>
      <c r="BK81" s="27" t="n">
        <f aca="false">MIN(AO80*(1+H$8),MAX(BA81,$B$12-SUM(BE81:BJ81)-SUM(BB81:BD81)))</f>
        <v>0</v>
      </c>
      <c r="BL81" s="27" t="n">
        <f aca="false">MIN(AP80*(1+I$8),MAX(BB81,$B$12-SUM(BE81:BK81)-SUM(BC81:BD81)))</f>
        <v>0</v>
      </c>
      <c r="BM81" s="27" t="n">
        <f aca="false">MIN(AQ80*(1+J$8),MAX(BC81,$B$12-SUM(BE81:BL81)-SUM(BD81:BD81)))</f>
        <v>0</v>
      </c>
      <c r="BN81" s="27" t="n">
        <f aca="false">MIN(AR80*(1+K$8),MAX(BD81,$B$12-SUM(BE81:BM81)))</f>
        <v>0</v>
      </c>
    </row>
    <row r="82" customFormat="false" ht="15" hidden="false" customHeight="false" outlineLevel="0" collapsed="false">
      <c r="A82" s="0" t="n">
        <v>68</v>
      </c>
      <c r="B82" s="27" t="n">
        <f aca="false">ROUND(MAX(0,B81*(1+B$8)-X82),2)</f>
        <v>0</v>
      </c>
      <c r="C82" s="27" t="n">
        <f aca="false">ROUND(MAX(0,C81*(1+C$8)-Y82),2)</f>
        <v>0</v>
      </c>
      <c r="D82" s="27" t="n">
        <f aca="false">ROUND(MAX(0,D81*(1+D$8)-Z82),2)</f>
        <v>0</v>
      </c>
      <c r="E82" s="27" t="n">
        <f aca="false">ROUND(MAX(0,E81*(1+E$8)-AA82),2)</f>
        <v>0</v>
      </c>
      <c r="F82" s="27" t="n">
        <f aca="false">ROUND(MAX(0,F81*(1+F$8)-AB82),2)</f>
        <v>0</v>
      </c>
      <c r="G82" s="27" t="n">
        <f aca="false">ROUND(MAX(0,G81*(1+G$8)-AC82),2)</f>
        <v>0</v>
      </c>
      <c r="H82" s="27" t="n">
        <f aca="false">ROUND(MAX(0,H81*(1+H$8)-AD82),2)</f>
        <v>0</v>
      </c>
      <c r="I82" s="27" t="n">
        <f aca="false">ROUND(MAX(0,I81*(1+I$8)-AE82),2)</f>
        <v>0</v>
      </c>
      <c r="J82" s="27" t="n">
        <f aca="false">ROUND(MAX(0,J81*(1+J$8)-AF82),2)</f>
        <v>0</v>
      </c>
      <c r="K82" s="27" t="n">
        <f aca="false">ROUND(MAX(0,K81*(1+K$8)-AG82),2)</f>
        <v>0</v>
      </c>
      <c r="L82" s="30" t="n">
        <f aca="false">SUM(B82:K82)</f>
        <v>0</v>
      </c>
      <c r="M82" s="27" t="n">
        <f aca="false">SUMPRODUCT(B81:K81,$B$8:$K$8)</f>
        <v>0</v>
      </c>
      <c r="N82" s="27" t="n">
        <f aca="false">MIN(B81*(1+B$8),B$9)</f>
        <v>0</v>
      </c>
      <c r="O82" s="27" t="n">
        <f aca="false">MIN(C81*(1+C$8),C$9)</f>
        <v>0</v>
      </c>
      <c r="P82" s="27" t="n">
        <f aca="false">MIN(D81*(1+D$8),D$9)</f>
        <v>0</v>
      </c>
      <c r="Q82" s="27" t="n">
        <f aca="false">MIN(E81*(1+E$8),E$9)</f>
        <v>0</v>
      </c>
      <c r="R82" s="27" t="n">
        <f aca="false">MIN(F81*(1+F$8),F$9)</f>
        <v>0</v>
      </c>
      <c r="S82" s="27" t="n">
        <f aca="false">MIN(G81*(1+G$8),G$9)</f>
        <v>0</v>
      </c>
      <c r="T82" s="27" t="n">
        <f aca="false">MIN(H81*(1+H$8),H$9)</f>
        <v>0</v>
      </c>
      <c r="U82" s="27" t="n">
        <f aca="false">MIN(I81*(1+I$8),I$9)</f>
        <v>0</v>
      </c>
      <c r="V82" s="27" t="n">
        <f aca="false">MIN(J81*(1+J$8),J$9)</f>
        <v>0</v>
      </c>
      <c r="W82" s="27" t="n">
        <f aca="false">MIN(K81*(1+K$8),K$9)</f>
        <v>0</v>
      </c>
      <c r="X82" s="27" t="n">
        <f aca="false">MIN(B81*(1+B$8),MAX(N82,$B$11-SUM(O82:W82)))</f>
        <v>0</v>
      </c>
      <c r="Y82" s="27" t="n">
        <f aca="false">MIN(C81*(1+C$8),MAX(O82,$B$11-SUM(X82:X82)-SUM(P82:W82)))</f>
        <v>0</v>
      </c>
      <c r="Z82" s="27" t="n">
        <f aca="false">MIN(D81*(1+D$8),MAX(P82,$B$11-SUM(X82:Y82)-SUM(Q82:W82)))</f>
        <v>0</v>
      </c>
      <c r="AA82" s="27" t="n">
        <f aca="false">MIN(E81*(1+E$8),MAX(Q82,$B$11-SUM(X82:Z82)-SUM(R82:W82)))</f>
        <v>0</v>
      </c>
      <c r="AB82" s="27" t="n">
        <f aca="false">MIN(F81*(1+F$8),MAX(R82,$B$11-SUM(X82:AA82)-SUM(S82:W82)))</f>
        <v>0</v>
      </c>
      <c r="AC82" s="27" t="n">
        <f aca="false">MIN(G81*(1+G$8),MAX(S82,$B$11-SUM(X82:AB82)-SUM(T82:W82)))</f>
        <v>0</v>
      </c>
      <c r="AD82" s="27" t="n">
        <f aca="false">MIN(H81*(1+H$8),MAX(T82,$B$11-SUM(X82:AC82)-SUM(U82:W82)))</f>
        <v>0</v>
      </c>
      <c r="AE82" s="27" t="n">
        <f aca="false">MIN(I81*(1+I$8),MAX(U82,$B$11-SUM(X82:AD82)-SUM(V82:W82)))</f>
        <v>0</v>
      </c>
      <c r="AF82" s="27" t="n">
        <f aca="false">MIN(J81*(1+J$8),MAX(V82,$B$11-SUM(X82:AE82)-SUM(W82:W82)))</f>
        <v>0</v>
      </c>
      <c r="AG82" s="27" t="n">
        <f aca="false">MIN(K81*(1+K$8),MAX(W82,$B$11-SUM(X82:AF82)))</f>
        <v>0</v>
      </c>
      <c r="AI82" s="27" t="n">
        <f aca="false">ROUND(MAX(0,AI81*(1+B$8)-BE82),2)</f>
        <v>0</v>
      </c>
      <c r="AJ82" s="27" t="n">
        <f aca="false">ROUND(MAX(0,AJ81*(1+C$8)-BF82),2)</f>
        <v>0</v>
      </c>
      <c r="AK82" s="27" t="n">
        <f aca="false">ROUND(MAX(0,AK81*(1+D$8)-BG82),2)</f>
        <v>0</v>
      </c>
      <c r="AL82" s="27" t="n">
        <f aca="false">ROUND(MAX(0,AL81*(1+E$8)-BH82),2)</f>
        <v>0</v>
      </c>
      <c r="AM82" s="27" t="n">
        <f aca="false">ROUND(MAX(0,AM81*(1+F$8)-BI82),2)</f>
        <v>0</v>
      </c>
      <c r="AN82" s="27" t="n">
        <f aca="false">ROUND(MAX(0,AN81*(1+G$8)-BJ82),2)</f>
        <v>0</v>
      </c>
      <c r="AO82" s="27" t="n">
        <f aca="false">ROUND(MAX(0,AO81*(1+H$8)-BK82),2)</f>
        <v>0</v>
      </c>
      <c r="AP82" s="27" t="n">
        <f aca="false">ROUND(MAX(0,AP81*(1+I$8)-BL82),2)</f>
        <v>0</v>
      </c>
      <c r="AQ82" s="27" t="n">
        <f aca="false">ROUND(MAX(0,AQ81*(1+J$8)-BM82),2)</f>
        <v>0</v>
      </c>
      <c r="AR82" s="27" t="n">
        <f aca="false">ROUND(MAX(0,AR81*(1+K$8)-BN82),2)</f>
        <v>0</v>
      </c>
      <c r="AS82" s="27" t="n">
        <f aca="false">SUM(AI82:AR82)</f>
        <v>0</v>
      </c>
      <c r="AT82" s="27" t="n">
        <f aca="false">SUMPRODUCT(AI81:AR81,$B$8:$K$8)</f>
        <v>0</v>
      </c>
      <c r="AU82" s="27" t="n">
        <f aca="false">MIN(AI81*(1+B$8),B$9)</f>
        <v>0</v>
      </c>
      <c r="AV82" s="27" t="n">
        <f aca="false">MIN(AJ81*(1+C$8),C$9)</f>
        <v>0</v>
      </c>
      <c r="AW82" s="27" t="n">
        <f aca="false">MIN(AK81*(1+D$8),D$9)</f>
        <v>0</v>
      </c>
      <c r="AX82" s="27" t="n">
        <f aca="false">MIN(AL81*(1+E$8),E$9)</f>
        <v>0</v>
      </c>
      <c r="AY82" s="27" t="n">
        <f aca="false">MIN(AM81*(1+F$8),F$9)</f>
        <v>0</v>
      </c>
      <c r="AZ82" s="27" t="n">
        <f aca="false">MIN(AN81*(1+G$8),G$9)</f>
        <v>0</v>
      </c>
      <c r="BA82" s="27" t="n">
        <f aca="false">MIN(AO81*(1+H$8),H$9)</f>
        <v>0</v>
      </c>
      <c r="BB82" s="27" t="n">
        <f aca="false">MIN(AP81*(1+I$8),I$9)</f>
        <v>0</v>
      </c>
      <c r="BC82" s="27" t="n">
        <f aca="false">MIN(AQ81*(1+J$8),J$9)</f>
        <v>0</v>
      </c>
      <c r="BD82" s="27" t="n">
        <f aca="false">MIN(AR81*(1+K$8),K$9)</f>
        <v>0</v>
      </c>
      <c r="BE82" s="27" t="n">
        <f aca="false">MIN(AI81*(1+B$8),MAX(AU82,$B$12-SUM(AV82:BD82)))</f>
        <v>0</v>
      </c>
      <c r="BF82" s="27" t="n">
        <f aca="false">MIN(AJ81*(1+C$8),MAX(AV82,$B$12-SUM(BE82:BE82)-SUM(AW82:BD82)))</f>
        <v>0</v>
      </c>
      <c r="BG82" s="27" t="n">
        <f aca="false">MIN(AK81*(1+D$8),MAX(AW82,$B$12-SUM(BE82:BF82)-SUM(AX82:BD82)))</f>
        <v>0</v>
      </c>
      <c r="BH82" s="27" t="n">
        <f aca="false">MIN(AL81*(1+E$8),MAX(AX82,$B$12-SUM(BE82:BG82)-SUM(AY82:BD82)))</f>
        <v>0</v>
      </c>
      <c r="BI82" s="27" t="n">
        <f aca="false">MIN(AM81*(1+F$8),MAX(AY82,$B$12-SUM(BE82:BH82)-SUM(AZ82:BD82)))</f>
        <v>0</v>
      </c>
      <c r="BJ82" s="27" t="n">
        <f aca="false">MIN(AN81*(1+G$8),MAX(AZ82,$B$12-SUM(BE82:BI82)-SUM(BA82:BD82)))</f>
        <v>0</v>
      </c>
      <c r="BK82" s="27" t="n">
        <f aca="false">MIN(AO81*(1+H$8),MAX(BA82,$B$12-SUM(BE82:BJ82)-SUM(BB82:BD82)))</f>
        <v>0</v>
      </c>
      <c r="BL82" s="27" t="n">
        <f aca="false">MIN(AP81*(1+I$8),MAX(BB82,$B$12-SUM(BE82:BK82)-SUM(BC82:BD82)))</f>
        <v>0</v>
      </c>
      <c r="BM82" s="27" t="n">
        <f aca="false">MIN(AQ81*(1+J$8),MAX(BC82,$B$12-SUM(BE82:BL82)-SUM(BD82:BD82)))</f>
        <v>0</v>
      </c>
      <c r="BN82" s="27" t="n">
        <f aca="false">MIN(AR81*(1+K$8),MAX(BD82,$B$12-SUM(BE82:BM82)))</f>
        <v>0</v>
      </c>
    </row>
    <row r="83" customFormat="false" ht="15" hidden="false" customHeight="false" outlineLevel="0" collapsed="false">
      <c r="A83" s="0" t="n">
        <v>69</v>
      </c>
      <c r="B83" s="27" t="n">
        <f aca="false">ROUND(MAX(0,B82*(1+B$8)-X83),2)</f>
        <v>0</v>
      </c>
      <c r="C83" s="27" t="n">
        <f aca="false">ROUND(MAX(0,C82*(1+C$8)-Y83),2)</f>
        <v>0</v>
      </c>
      <c r="D83" s="27" t="n">
        <f aca="false">ROUND(MAX(0,D82*(1+D$8)-Z83),2)</f>
        <v>0</v>
      </c>
      <c r="E83" s="27" t="n">
        <f aca="false">ROUND(MAX(0,E82*(1+E$8)-AA83),2)</f>
        <v>0</v>
      </c>
      <c r="F83" s="27" t="n">
        <f aca="false">ROUND(MAX(0,F82*(1+F$8)-AB83),2)</f>
        <v>0</v>
      </c>
      <c r="G83" s="27" t="n">
        <f aca="false">ROUND(MAX(0,G82*(1+G$8)-AC83),2)</f>
        <v>0</v>
      </c>
      <c r="H83" s="27" t="n">
        <f aca="false">ROUND(MAX(0,H82*(1+H$8)-AD83),2)</f>
        <v>0</v>
      </c>
      <c r="I83" s="27" t="n">
        <f aca="false">ROUND(MAX(0,I82*(1+I$8)-AE83),2)</f>
        <v>0</v>
      </c>
      <c r="J83" s="27" t="n">
        <f aca="false">ROUND(MAX(0,J82*(1+J$8)-AF83),2)</f>
        <v>0</v>
      </c>
      <c r="K83" s="27" t="n">
        <f aca="false">ROUND(MAX(0,K82*(1+K$8)-AG83),2)</f>
        <v>0</v>
      </c>
      <c r="L83" s="30" t="n">
        <f aca="false">SUM(B83:K83)</f>
        <v>0</v>
      </c>
      <c r="M83" s="27" t="n">
        <f aca="false">SUMPRODUCT(B82:K82,$B$8:$K$8)</f>
        <v>0</v>
      </c>
      <c r="N83" s="27" t="n">
        <f aca="false">MIN(B82*(1+B$8),B$9)</f>
        <v>0</v>
      </c>
      <c r="O83" s="27" t="n">
        <f aca="false">MIN(C82*(1+C$8),C$9)</f>
        <v>0</v>
      </c>
      <c r="P83" s="27" t="n">
        <f aca="false">MIN(D82*(1+D$8),D$9)</f>
        <v>0</v>
      </c>
      <c r="Q83" s="27" t="n">
        <f aca="false">MIN(E82*(1+E$8),E$9)</f>
        <v>0</v>
      </c>
      <c r="R83" s="27" t="n">
        <f aca="false">MIN(F82*(1+F$8),F$9)</f>
        <v>0</v>
      </c>
      <c r="S83" s="27" t="n">
        <f aca="false">MIN(G82*(1+G$8),G$9)</f>
        <v>0</v>
      </c>
      <c r="T83" s="27" t="n">
        <f aca="false">MIN(H82*(1+H$8),H$9)</f>
        <v>0</v>
      </c>
      <c r="U83" s="27" t="n">
        <f aca="false">MIN(I82*(1+I$8),I$9)</f>
        <v>0</v>
      </c>
      <c r="V83" s="27" t="n">
        <f aca="false">MIN(J82*(1+J$8),J$9)</f>
        <v>0</v>
      </c>
      <c r="W83" s="27" t="n">
        <f aca="false">MIN(K82*(1+K$8),K$9)</f>
        <v>0</v>
      </c>
      <c r="X83" s="27" t="n">
        <f aca="false">MIN(B82*(1+B$8),MAX(N83,$B$11-SUM(O83:W83)))</f>
        <v>0</v>
      </c>
      <c r="Y83" s="27" t="n">
        <f aca="false">MIN(C82*(1+C$8),MAX(O83,$B$11-SUM(X83:X83)-SUM(P83:W83)))</f>
        <v>0</v>
      </c>
      <c r="Z83" s="27" t="n">
        <f aca="false">MIN(D82*(1+D$8),MAX(P83,$B$11-SUM(X83:Y83)-SUM(Q83:W83)))</f>
        <v>0</v>
      </c>
      <c r="AA83" s="27" t="n">
        <f aca="false">MIN(E82*(1+E$8),MAX(Q83,$B$11-SUM(X83:Z83)-SUM(R83:W83)))</f>
        <v>0</v>
      </c>
      <c r="AB83" s="27" t="n">
        <f aca="false">MIN(F82*(1+F$8),MAX(R83,$B$11-SUM(X83:AA83)-SUM(S83:W83)))</f>
        <v>0</v>
      </c>
      <c r="AC83" s="27" t="n">
        <f aca="false">MIN(G82*(1+G$8),MAX(S83,$B$11-SUM(X83:AB83)-SUM(T83:W83)))</f>
        <v>0</v>
      </c>
      <c r="AD83" s="27" t="n">
        <f aca="false">MIN(H82*(1+H$8),MAX(T83,$B$11-SUM(X83:AC83)-SUM(U83:W83)))</f>
        <v>0</v>
      </c>
      <c r="AE83" s="27" t="n">
        <f aca="false">MIN(I82*(1+I$8),MAX(U83,$B$11-SUM(X83:AD83)-SUM(V83:W83)))</f>
        <v>0</v>
      </c>
      <c r="AF83" s="27" t="n">
        <f aca="false">MIN(J82*(1+J$8),MAX(V83,$B$11-SUM(X83:AE83)-SUM(W83:W83)))</f>
        <v>0</v>
      </c>
      <c r="AG83" s="27" t="n">
        <f aca="false">MIN(K82*(1+K$8),MAX(W83,$B$11-SUM(X83:AF83)))</f>
        <v>0</v>
      </c>
      <c r="AI83" s="27" t="n">
        <f aca="false">ROUND(MAX(0,AI82*(1+B$8)-BE83),2)</f>
        <v>0</v>
      </c>
      <c r="AJ83" s="27" t="n">
        <f aca="false">ROUND(MAX(0,AJ82*(1+C$8)-BF83),2)</f>
        <v>0</v>
      </c>
      <c r="AK83" s="27" t="n">
        <f aca="false">ROUND(MAX(0,AK82*(1+D$8)-BG83),2)</f>
        <v>0</v>
      </c>
      <c r="AL83" s="27" t="n">
        <f aca="false">ROUND(MAX(0,AL82*(1+E$8)-BH83),2)</f>
        <v>0</v>
      </c>
      <c r="AM83" s="27" t="n">
        <f aca="false">ROUND(MAX(0,AM82*(1+F$8)-BI83),2)</f>
        <v>0</v>
      </c>
      <c r="AN83" s="27" t="n">
        <f aca="false">ROUND(MAX(0,AN82*(1+G$8)-BJ83),2)</f>
        <v>0</v>
      </c>
      <c r="AO83" s="27" t="n">
        <f aca="false">ROUND(MAX(0,AO82*(1+H$8)-BK83),2)</f>
        <v>0</v>
      </c>
      <c r="AP83" s="27" t="n">
        <f aca="false">ROUND(MAX(0,AP82*(1+I$8)-BL83),2)</f>
        <v>0</v>
      </c>
      <c r="AQ83" s="27" t="n">
        <f aca="false">ROUND(MAX(0,AQ82*(1+J$8)-BM83),2)</f>
        <v>0</v>
      </c>
      <c r="AR83" s="27" t="n">
        <f aca="false">ROUND(MAX(0,AR82*(1+K$8)-BN83),2)</f>
        <v>0</v>
      </c>
      <c r="AS83" s="27" t="n">
        <f aca="false">SUM(AI83:AR83)</f>
        <v>0</v>
      </c>
      <c r="AT83" s="27" t="n">
        <f aca="false">SUMPRODUCT(AI82:AR82,$B$8:$K$8)</f>
        <v>0</v>
      </c>
      <c r="AU83" s="27" t="n">
        <f aca="false">MIN(AI82*(1+B$8),B$9)</f>
        <v>0</v>
      </c>
      <c r="AV83" s="27" t="n">
        <f aca="false">MIN(AJ82*(1+C$8),C$9)</f>
        <v>0</v>
      </c>
      <c r="AW83" s="27" t="n">
        <f aca="false">MIN(AK82*(1+D$8),D$9)</f>
        <v>0</v>
      </c>
      <c r="AX83" s="27" t="n">
        <f aca="false">MIN(AL82*(1+E$8),E$9)</f>
        <v>0</v>
      </c>
      <c r="AY83" s="27" t="n">
        <f aca="false">MIN(AM82*(1+F$8),F$9)</f>
        <v>0</v>
      </c>
      <c r="AZ83" s="27" t="n">
        <f aca="false">MIN(AN82*(1+G$8),G$9)</f>
        <v>0</v>
      </c>
      <c r="BA83" s="27" t="n">
        <f aca="false">MIN(AO82*(1+H$8),H$9)</f>
        <v>0</v>
      </c>
      <c r="BB83" s="27" t="n">
        <f aca="false">MIN(AP82*(1+I$8),I$9)</f>
        <v>0</v>
      </c>
      <c r="BC83" s="27" t="n">
        <f aca="false">MIN(AQ82*(1+J$8),J$9)</f>
        <v>0</v>
      </c>
      <c r="BD83" s="27" t="n">
        <f aca="false">MIN(AR82*(1+K$8),K$9)</f>
        <v>0</v>
      </c>
      <c r="BE83" s="27" t="n">
        <f aca="false">MIN(AI82*(1+B$8),MAX(AU83,$B$12-SUM(AV83:BD83)))</f>
        <v>0</v>
      </c>
      <c r="BF83" s="27" t="n">
        <f aca="false">MIN(AJ82*(1+C$8),MAX(AV83,$B$12-SUM(BE83:BE83)-SUM(AW83:BD83)))</f>
        <v>0</v>
      </c>
      <c r="BG83" s="27" t="n">
        <f aca="false">MIN(AK82*(1+D$8),MAX(AW83,$B$12-SUM(BE83:BF83)-SUM(AX83:BD83)))</f>
        <v>0</v>
      </c>
      <c r="BH83" s="27" t="n">
        <f aca="false">MIN(AL82*(1+E$8),MAX(AX83,$B$12-SUM(BE83:BG83)-SUM(AY83:BD83)))</f>
        <v>0</v>
      </c>
      <c r="BI83" s="27" t="n">
        <f aca="false">MIN(AM82*(1+F$8),MAX(AY83,$B$12-SUM(BE83:BH83)-SUM(AZ83:BD83)))</f>
        <v>0</v>
      </c>
      <c r="BJ83" s="27" t="n">
        <f aca="false">MIN(AN82*(1+G$8),MAX(AZ83,$B$12-SUM(BE83:BI83)-SUM(BA83:BD83)))</f>
        <v>0</v>
      </c>
      <c r="BK83" s="27" t="n">
        <f aca="false">MIN(AO82*(1+H$8),MAX(BA83,$B$12-SUM(BE83:BJ83)-SUM(BB83:BD83)))</f>
        <v>0</v>
      </c>
      <c r="BL83" s="27" t="n">
        <f aca="false">MIN(AP82*(1+I$8),MAX(BB83,$B$12-SUM(BE83:BK83)-SUM(BC83:BD83)))</f>
        <v>0</v>
      </c>
      <c r="BM83" s="27" t="n">
        <f aca="false">MIN(AQ82*(1+J$8),MAX(BC83,$B$12-SUM(BE83:BL83)-SUM(BD83:BD83)))</f>
        <v>0</v>
      </c>
      <c r="BN83" s="27" t="n">
        <f aca="false">MIN(AR82*(1+K$8),MAX(BD83,$B$12-SUM(BE83:BM83)))</f>
        <v>0</v>
      </c>
    </row>
    <row r="84" customFormat="false" ht="15" hidden="false" customHeight="false" outlineLevel="0" collapsed="false">
      <c r="A84" s="0" t="n">
        <v>70</v>
      </c>
      <c r="B84" s="27" t="n">
        <f aca="false">ROUND(MAX(0,B83*(1+B$8)-X84),2)</f>
        <v>0</v>
      </c>
      <c r="C84" s="27" t="n">
        <f aca="false">ROUND(MAX(0,C83*(1+C$8)-Y84),2)</f>
        <v>0</v>
      </c>
      <c r="D84" s="27" t="n">
        <f aca="false">ROUND(MAX(0,D83*(1+D$8)-Z84),2)</f>
        <v>0</v>
      </c>
      <c r="E84" s="27" t="n">
        <f aca="false">ROUND(MAX(0,E83*(1+E$8)-AA84),2)</f>
        <v>0</v>
      </c>
      <c r="F84" s="27" t="n">
        <f aca="false">ROUND(MAX(0,F83*(1+F$8)-AB84),2)</f>
        <v>0</v>
      </c>
      <c r="G84" s="27" t="n">
        <f aca="false">ROUND(MAX(0,G83*(1+G$8)-AC84),2)</f>
        <v>0</v>
      </c>
      <c r="H84" s="27" t="n">
        <f aca="false">ROUND(MAX(0,H83*(1+H$8)-AD84),2)</f>
        <v>0</v>
      </c>
      <c r="I84" s="27" t="n">
        <f aca="false">ROUND(MAX(0,I83*(1+I$8)-AE84),2)</f>
        <v>0</v>
      </c>
      <c r="J84" s="27" t="n">
        <f aca="false">ROUND(MAX(0,J83*(1+J$8)-AF84),2)</f>
        <v>0</v>
      </c>
      <c r="K84" s="27" t="n">
        <f aca="false">ROUND(MAX(0,K83*(1+K$8)-AG84),2)</f>
        <v>0</v>
      </c>
      <c r="L84" s="30" t="n">
        <f aca="false">SUM(B84:K84)</f>
        <v>0</v>
      </c>
      <c r="M84" s="27" t="n">
        <f aca="false">SUMPRODUCT(B83:K83,$B$8:$K$8)</f>
        <v>0</v>
      </c>
      <c r="N84" s="27" t="n">
        <f aca="false">MIN(B83*(1+B$8),B$9)</f>
        <v>0</v>
      </c>
      <c r="O84" s="27" t="n">
        <f aca="false">MIN(C83*(1+C$8),C$9)</f>
        <v>0</v>
      </c>
      <c r="P84" s="27" t="n">
        <f aca="false">MIN(D83*(1+D$8),D$9)</f>
        <v>0</v>
      </c>
      <c r="Q84" s="27" t="n">
        <f aca="false">MIN(E83*(1+E$8),E$9)</f>
        <v>0</v>
      </c>
      <c r="R84" s="27" t="n">
        <f aca="false">MIN(F83*(1+F$8),F$9)</f>
        <v>0</v>
      </c>
      <c r="S84" s="27" t="n">
        <f aca="false">MIN(G83*(1+G$8),G$9)</f>
        <v>0</v>
      </c>
      <c r="T84" s="27" t="n">
        <f aca="false">MIN(H83*(1+H$8),H$9)</f>
        <v>0</v>
      </c>
      <c r="U84" s="27" t="n">
        <f aca="false">MIN(I83*(1+I$8),I$9)</f>
        <v>0</v>
      </c>
      <c r="V84" s="27" t="n">
        <f aca="false">MIN(J83*(1+J$8),J$9)</f>
        <v>0</v>
      </c>
      <c r="W84" s="27" t="n">
        <f aca="false">MIN(K83*(1+K$8),K$9)</f>
        <v>0</v>
      </c>
      <c r="X84" s="27" t="n">
        <f aca="false">MIN(B83*(1+B$8),MAX(N84,$B$11-SUM(O84:W84)))</f>
        <v>0</v>
      </c>
      <c r="Y84" s="27" t="n">
        <f aca="false">MIN(C83*(1+C$8),MAX(O84,$B$11-SUM(X84:X84)-SUM(P84:W84)))</f>
        <v>0</v>
      </c>
      <c r="Z84" s="27" t="n">
        <f aca="false">MIN(D83*(1+D$8),MAX(P84,$B$11-SUM(X84:Y84)-SUM(Q84:W84)))</f>
        <v>0</v>
      </c>
      <c r="AA84" s="27" t="n">
        <f aca="false">MIN(E83*(1+E$8),MAX(Q84,$B$11-SUM(X84:Z84)-SUM(R84:W84)))</f>
        <v>0</v>
      </c>
      <c r="AB84" s="27" t="n">
        <f aca="false">MIN(F83*(1+F$8),MAX(R84,$B$11-SUM(X84:AA84)-SUM(S84:W84)))</f>
        <v>0</v>
      </c>
      <c r="AC84" s="27" t="n">
        <f aca="false">MIN(G83*(1+G$8),MAX(S84,$B$11-SUM(X84:AB84)-SUM(T84:W84)))</f>
        <v>0</v>
      </c>
      <c r="AD84" s="27" t="n">
        <f aca="false">MIN(H83*(1+H$8),MAX(T84,$B$11-SUM(X84:AC84)-SUM(U84:W84)))</f>
        <v>0</v>
      </c>
      <c r="AE84" s="27" t="n">
        <f aca="false">MIN(I83*(1+I$8),MAX(U84,$B$11-SUM(X84:AD84)-SUM(V84:W84)))</f>
        <v>0</v>
      </c>
      <c r="AF84" s="27" t="n">
        <f aca="false">MIN(J83*(1+J$8),MAX(V84,$B$11-SUM(X84:AE84)-SUM(W84:W84)))</f>
        <v>0</v>
      </c>
      <c r="AG84" s="27" t="n">
        <f aca="false">MIN(K83*(1+K$8),MAX(W84,$B$11-SUM(X84:AF84)))</f>
        <v>0</v>
      </c>
      <c r="AI84" s="27" t="n">
        <f aca="false">ROUND(MAX(0,AI83*(1+B$8)-BE84),2)</f>
        <v>0</v>
      </c>
      <c r="AJ84" s="27" t="n">
        <f aca="false">ROUND(MAX(0,AJ83*(1+C$8)-BF84),2)</f>
        <v>0</v>
      </c>
      <c r="AK84" s="27" t="n">
        <f aca="false">ROUND(MAX(0,AK83*(1+D$8)-BG84),2)</f>
        <v>0</v>
      </c>
      <c r="AL84" s="27" t="n">
        <f aca="false">ROUND(MAX(0,AL83*(1+E$8)-BH84),2)</f>
        <v>0</v>
      </c>
      <c r="AM84" s="27" t="n">
        <f aca="false">ROUND(MAX(0,AM83*(1+F$8)-BI84),2)</f>
        <v>0</v>
      </c>
      <c r="AN84" s="27" t="n">
        <f aca="false">ROUND(MAX(0,AN83*(1+G$8)-BJ84),2)</f>
        <v>0</v>
      </c>
      <c r="AO84" s="27" t="n">
        <f aca="false">ROUND(MAX(0,AO83*(1+H$8)-BK84),2)</f>
        <v>0</v>
      </c>
      <c r="AP84" s="27" t="n">
        <f aca="false">ROUND(MAX(0,AP83*(1+I$8)-BL84),2)</f>
        <v>0</v>
      </c>
      <c r="AQ84" s="27" t="n">
        <f aca="false">ROUND(MAX(0,AQ83*(1+J$8)-BM84),2)</f>
        <v>0</v>
      </c>
      <c r="AR84" s="27" t="n">
        <f aca="false">ROUND(MAX(0,AR83*(1+K$8)-BN84),2)</f>
        <v>0</v>
      </c>
      <c r="AS84" s="27" t="n">
        <f aca="false">SUM(AI84:AR84)</f>
        <v>0</v>
      </c>
      <c r="AT84" s="27" t="n">
        <f aca="false">SUMPRODUCT(AI83:AR83,$B$8:$K$8)</f>
        <v>0</v>
      </c>
      <c r="AU84" s="27" t="n">
        <f aca="false">MIN(AI83*(1+B$8),B$9)</f>
        <v>0</v>
      </c>
      <c r="AV84" s="27" t="n">
        <f aca="false">MIN(AJ83*(1+C$8),C$9)</f>
        <v>0</v>
      </c>
      <c r="AW84" s="27" t="n">
        <f aca="false">MIN(AK83*(1+D$8),D$9)</f>
        <v>0</v>
      </c>
      <c r="AX84" s="27" t="n">
        <f aca="false">MIN(AL83*(1+E$8),E$9)</f>
        <v>0</v>
      </c>
      <c r="AY84" s="27" t="n">
        <f aca="false">MIN(AM83*(1+F$8),F$9)</f>
        <v>0</v>
      </c>
      <c r="AZ84" s="27" t="n">
        <f aca="false">MIN(AN83*(1+G$8),G$9)</f>
        <v>0</v>
      </c>
      <c r="BA84" s="27" t="n">
        <f aca="false">MIN(AO83*(1+H$8),H$9)</f>
        <v>0</v>
      </c>
      <c r="BB84" s="27" t="n">
        <f aca="false">MIN(AP83*(1+I$8),I$9)</f>
        <v>0</v>
      </c>
      <c r="BC84" s="27" t="n">
        <f aca="false">MIN(AQ83*(1+J$8),J$9)</f>
        <v>0</v>
      </c>
      <c r="BD84" s="27" t="n">
        <f aca="false">MIN(AR83*(1+K$8),K$9)</f>
        <v>0</v>
      </c>
      <c r="BE84" s="27" t="n">
        <f aca="false">MIN(AI83*(1+B$8),MAX(AU84,$B$12-SUM(AV84:BD84)))</f>
        <v>0</v>
      </c>
      <c r="BF84" s="27" t="n">
        <f aca="false">MIN(AJ83*(1+C$8),MAX(AV84,$B$12-SUM(BE84:BE84)-SUM(AW84:BD84)))</f>
        <v>0</v>
      </c>
      <c r="BG84" s="27" t="n">
        <f aca="false">MIN(AK83*(1+D$8),MAX(AW84,$B$12-SUM(BE84:BF84)-SUM(AX84:BD84)))</f>
        <v>0</v>
      </c>
      <c r="BH84" s="27" t="n">
        <f aca="false">MIN(AL83*(1+E$8),MAX(AX84,$B$12-SUM(BE84:BG84)-SUM(AY84:BD84)))</f>
        <v>0</v>
      </c>
      <c r="BI84" s="27" t="n">
        <f aca="false">MIN(AM83*(1+F$8),MAX(AY84,$B$12-SUM(BE84:BH84)-SUM(AZ84:BD84)))</f>
        <v>0</v>
      </c>
      <c r="BJ84" s="27" t="n">
        <f aca="false">MIN(AN83*(1+G$8),MAX(AZ84,$B$12-SUM(BE84:BI84)-SUM(BA84:BD84)))</f>
        <v>0</v>
      </c>
      <c r="BK84" s="27" t="n">
        <f aca="false">MIN(AO83*(1+H$8),MAX(BA84,$B$12-SUM(BE84:BJ84)-SUM(BB84:BD84)))</f>
        <v>0</v>
      </c>
      <c r="BL84" s="27" t="n">
        <f aca="false">MIN(AP83*(1+I$8),MAX(BB84,$B$12-SUM(BE84:BK84)-SUM(BC84:BD84)))</f>
        <v>0</v>
      </c>
      <c r="BM84" s="27" t="n">
        <f aca="false">MIN(AQ83*(1+J$8),MAX(BC84,$B$12-SUM(BE84:BL84)-SUM(BD84:BD84)))</f>
        <v>0</v>
      </c>
      <c r="BN84" s="27" t="n">
        <f aca="false">MIN(AR83*(1+K$8),MAX(BD84,$B$12-SUM(BE84:BM84)))</f>
        <v>0</v>
      </c>
    </row>
    <row r="85" customFormat="false" ht="15" hidden="false" customHeight="false" outlineLevel="0" collapsed="false">
      <c r="A85" s="0" t="n">
        <v>71</v>
      </c>
      <c r="B85" s="27" t="n">
        <f aca="false">ROUND(MAX(0,B84*(1+B$8)-X85),2)</f>
        <v>0</v>
      </c>
      <c r="C85" s="27" t="n">
        <f aca="false">ROUND(MAX(0,C84*(1+C$8)-Y85),2)</f>
        <v>0</v>
      </c>
      <c r="D85" s="27" t="n">
        <f aca="false">ROUND(MAX(0,D84*(1+D$8)-Z85),2)</f>
        <v>0</v>
      </c>
      <c r="E85" s="27" t="n">
        <f aca="false">ROUND(MAX(0,E84*(1+E$8)-AA85),2)</f>
        <v>0</v>
      </c>
      <c r="F85" s="27" t="n">
        <f aca="false">ROUND(MAX(0,F84*(1+F$8)-AB85),2)</f>
        <v>0</v>
      </c>
      <c r="G85" s="27" t="n">
        <f aca="false">ROUND(MAX(0,G84*(1+G$8)-AC85),2)</f>
        <v>0</v>
      </c>
      <c r="H85" s="27" t="n">
        <f aca="false">ROUND(MAX(0,H84*(1+H$8)-AD85),2)</f>
        <v>0</v>
      </c>
      <c r="I85" s="27" t="n">
        <f aca="false">ROUND(MAX(0,I84*(1+I$8)-AE85),2)</f>
        <v>0</v>
      </c>
      <c r="J85" s="27" t="n">
        <f aca="false">ROUND(MAX(0,J84*(1+J$8)-AF85),2)</f>
        <v>0</v>
      </c>
      <c r="K85" s="27" t="n">
        <f aca="false">ROUND(MAX(0,K84*(1+K$8)-AG85),2)</f>
        <v>0</v>
      </c>
      <c r="L85" s="30" t="n">
        <f aca="false">SUM(B85:K85)</f>
        <v>0</v>
      </c>
      <c r="M85" s="27" t="n">
        <f aca="false">SUMPRODUCT(B84:K84,$B$8:$K$8)</f>
        <v>0</v>
      </c>
      <c r="N85" s="27" t="n">
        <f aca="false">MIN(B84*(1+B$8),B$9)</f>
        <v>0</v>
      </c>
      <c r="O85" s="27" t="n">
        <f aca="false">MIN(C84*(1+C$8),C$9)</f>
        <v>0</v>
      </c>
      <c r="P85" s="27" t="n">
        <f aca="false">MIN(D84*(1+D$8),D$9)</f>
        <v>0</v>
      </c>
      <c r="Q85" s="27" t="n">
        <f aca="false">MIN(E84*(1+E$8),E$9)</f>
        <v>0</v>
      </c>
      <c r="R85" s="27" t="n">
        <f aca="false">MIN(F84*(1+F$8),F$9)</f>
        <v>0</v>
      </c>
      <c r="S85" s="27" t="n">
        <f aca="false">MIN(G84*(1+G$8),G$9)</f>
        <v>0</v>
      </c>
      <c r="T85" s="27" t="n">
        <f aca="false">MIN(H84*(1+H$8),H$9)</f>
        <v>0</v>
      </c>
      <c r="U85" s="27" t="n">
        <f aca="false">MIN(I84*(1+I$8),I$9)</f>
        <v>0</v>
      </c>
      <c r="V85" s="27" t="n">
        <f aca="false">MIN(J84*(1+J$8),J$9)</f>
        <v>0</v>
      </c>
      <c r="W85" s="27" t="n">
        <f aca="false">MIN(K84*(1+K$8),K$9)</f>
        <v>0</v>
      </c>
      <c r="X85" s="27" t="n">
        <f aca="false">MIN(B84*(1+B$8),MAX(N85,$B$11-SUM(O85:W85)))</f>
        <v>0</v>
      </c>
      <c r="Y85" s="27" t="n">
        <f aca="false">MIN(C84*(1+C$8),MAX(O85,$B$11-SUM(X85:X85)-SUM(P85:W85)))</f>
        <v>0</v>
      </c>
      <c r="Z85" s="27" t="n">
        <f aca="false">MIN(D84*(1+D$8),MAX(P85,$B$11-SUM(X85:Y85)-SUM(Q85:W85)))</f>
        <v>0</v>
      </c>
      <c r="AA85" s="27" t="n">
        <f aca="false">MIN(E84*(1+E$8),MAX(Q85,$B$11-SUM(X85:Z85)-SUM(R85:W85)))</f>
        <v>0</v>
      </c>
      <c r="AB85" s="27" t="n">
        <f aca="false">MIN(F84*(1+F$8),MAX(R85,$B$11-SUM(X85:AA85)-SUM(S85:W85)))</f>
        <v>0</v>
      </c>
      <c r="AC85" s="27" t="n">
        <f aca="false">MIN(G84*(1+G$8),MAX(S85,$B$11-SUM(X85:AB85)-SUM(T85:W85)))</f>
        <v>0</v>
      </c>
      <c r="AD85" s="27" t="n">
        <f aca="false">MIN(H84*(1+H$8),MAX(T85,$B$11-SUM(X85:AC85)-SUM(U85:W85)))</f>
        <v>0</v>
      </c>
      <c r="AE85" s="27" t="n">
        <f aca="false">MIN(I84*(1+I$8),MAX(U85,$B$11-SUM(X85:AD85)-SUM(V85:W85)))</f>
        <v>0</v>
      </c>
      <c r="AF85" s="27" t="n">
        <f aca="false">MIN(J84*(1+J$8),MAX(V85,$B$11-SUM(X85:AE85)-SUM(W85:W85)))</f>
        <v>0</v>
      </c>
      <c r="AG85" s="27" t="n">
        <f aca="false">MIN(K84*(1+K$8),MAX(W85,$B$11-SUM(X85:AF85)))</f>
        <v>0</v>
      </c>
      <c r="AI85" s="27" t="n">
        <f aca="false">ROUND(MAX(0,AI84*(1+B$8)-BE85),2)</f>
        <v>0</v>
      </c>
      <c r="AJ85" s="27" t="n">
        <f aca="false">ROUND(MAX(0,AJ84*(1+C$8)-BF85),2)</f>
        <v>0</v>
      </c>
      <c r="AK85" s="27" t="n">
        <f aca="false">ROUND(MAX(0,AK84*(1+D$8)-BG85),2)</f>
        <v>0</v>
      </c>
      <c r="AL85" s="27" t="n">
        <f aca="false">ROUND(MAX(0,AL84*(1+E$8)-BH85),2)</f>
        <v>0</v>
      </c>
      <c r="AM85" s="27" t="n">
        <f aca="false">ROUND(MAX(0,AM84*(1+F$8)-BI85),2)</f>
        <v>0</v>
      </c>
      <c r="AN85" s="27" t="n">
        <f aca="false">ROUND(MAX(0,AN84*(1+G$8)-BJ85),2)</f>
        <v>0</v>
      </c>
      <c r="AO85" s="27" t="n">
        <f aca="false">ROUND(MAX(0,AO84*(1+H$8)-BK85),2)</f>
        <v>0</v>
      </c>
      <c r="AP85" s="27" t="n">
        <f aca="false">ROUND(MAX(0,AP84*(1+I$8)-BL85),2)</f>
        <v>0</v>
      </c>
      <c r="AQ85" s="27" t="n">
        <f aca="false">ROUND(MAX(0,AQ84*(1+J$8)-BM85),2)</f>
        <v>0</v>
      </c>
      <c r="AR85" s="27" t="n">
        <f aca="false">ROUND(MAX(0,AR84*(1+K$8)-BN85),2)</f>
        <v>0</v>
      </c>
      <c r="AS85" s="27" t="n">
        <f aca="false">SUM(AI85:AR85)</f>
        <v>0</v>
      </c>
      <c r="AT85" s="27" t="n">
        <f aca="false">SUMPRODUCT(AI84:AR84,$B$8:$K$8)</f>
        <v>0</v>
      </c>
      <c r="AU85" s="27" t="n">
        <f aca="false">MIN(AI84*(1+B$8),B$9)</f>
        <v>0</v>
      </c>
      <c r="AV85" s="27" t="n">
        <f aca="false">MIN(AJ84*(1+C$8),C$9)</f>
        <v>0</v>
      </c>
      <c r="AW85" s="27" t="n">
        <f aca="false">MIN(AK84*(1+D$8),D$9)</f>
        <v>0</v>
      </c>
      <c r="AX85" s="27" t="n">
        <f aca="false">MIN(AL84*(1+E$8),E$9)</f>
        <v>0</v>
      </c>
      <c r="AY85" s="27" t="n">
        <f aca="false">MIN(AM84*(1+F$8),F$9)</f>
        <v>0</v>
      </c>
      <c r="AZ85" s="27" t="n">
        <f aca="false">MIN(AN84*(1+G$8),G$9)</f>
        <v>0</v>
      </c>
      <c r="BA85" s="27" t="n">
        <f aca="false">MIN(AO84*(1+H$8),H$9)</f>
        <v>0</v>
      </c>
      <c r="BB85" s="27" t="n">
        <f aca="false">MIN(AP84*(1+I$8),I$9)</f>
        <v>0</v>
      </c>
      <c r="BC85" s="27" t="n">
        <f aca="false">MIN(AQ84*(1+J$8),J$9)</f>
        <v>0</v>
      </c>
      <c r="BD85" s="27" t="n">
        <f aca="false">MIN(AR84*(1+K$8),K$9)</f>
        <v>0</v>
      </c>
      <c r="BE85" s="27" t="n">
        <f aca="false">MIN(AI84*(1+B$8),MAX(AU85,$B$12-SUM(AV85:BD85)))</f>
        <v>0</v>
      </c>
      <c r="BF85" s="27" t="n">
        <f aca="false">MIN(AJ84*(1+C$8),MAX(AV85,$B$12-SUM(BE85:BE85)-SUM(AW85:BD85)))</f>
        <v>0</v>
      </c>
      <c r="BG85" s="27" t="n">
        <f aca="false">MIN(AK84*(1+D$8),MAX(AW85,$B$12-SUM(BE85:BF85)-SUM(AX85:BD85)))</f>
        <v>0</v>
      </c>
      <c r="BH85" s="27" t="n">
        <f aca="false">MIN(AL84*(1+E$8),MAX(AX85,$B$12-SUM(BE85:BG85)-SUM(AY85:BD85)))</f>
        <v>0</v>
      </c>
      <c r="BI85" s="27" t="n">
        <f aca="false">MIN(AM84*(1+F$8),MAX(AY85,$B$12-SUM(BE85:BH85)-SUM(AZ85:BD85)))</f>
        <v>0</v>
      </c>
      <c r="BJ85" s="27" t="n">
        <f aca="false">MIN(AN84*(1+G$8),MAX(AZ85,$B$12-SUM(BE85:BI85)-SUM(BA85:BD85)))</f>
        <v>0</v>
      </c>
      <c r="BK85" s="27" t="n">
        <f aca="false">MIN(AO84*(1+H$8),MAX(BA85,$B$12-SUM(BE85:BJ85)-SUM(BB85:BD85)))</f>
        <v>0</v>
      </c>
      <c r="BL85" s="27" t="n">
        <f aca="false">MIN(AP84*(1+I$8),MAX(BB85,$B$12-SUM(BE85:BK85)-SUM(BC85:BD85)))</f>
        <v>0</v>
      </c>
      <c r="BM85" s="27" t="n">
        <f aca="false">MIN(AQ84*(1+J$8),MAX(BC85,$B$12-SUM(BE85:BL85)-SUM(BD85:BD85)))</f>
        <v>0</v>
      </c>
      <c r="BN85" s="27" t="n">
        <f aca="false">MIN(AR84*(1+K$8),MAX(BD85,$B$12-SUM(BE85:BM85)))</f>
        <v>0</v>
      </c>
    </row>
    <row r="86" customFormat="false" ht="15" hidden="false" customHeight="false" outlineLevel="0" collapsed="false">
      <c r="A86" s="0" t="n">
        <v>72</v>
      </c>
      <c r="B86" s="27" t="n">
        <f aca="false">ROUND(MAX(0,B85*(1+B$8)-X86),2)</f>
        <v>0</v>
      </c>
      <c r="C86" s="27" t="n">
        <f aca="false">ROUND(MAX(0,C85*(1+C$8)-Y86),2)</f>
        <v>0</v>
      </c>
      <c r="D86" s="27" t="n">
        <f aca="false">ROUND(MAX(0,D85*(1+D$8)-Z86),2)</f>
        <v>0</v>
      </c>
      <c r="E86" s="27" t="n">
        <f aca="false">ROUND(MAX(0,E85*(1+E$8)-AA86),2)</f>
        <v>0</v>
      </c>
      <c r="F86" s="27" t="n">
        <f aca="false">ROUND(MAX(0,F85*(1+F$8)-AB86),2)</f>
        <v>0</v>
      </c>
      <c r="G86" s="27" t="n">
        <f aca="false">ROUND(MAX(0,G85*(1+G$8)-AC86),2)</f>
        <v>0</v>
      </c>
      <c r="H86" s="27" t="n">
        <f aca="false">ROUND(MAX(0,H85*(1+H$8)-AD86),2)</f>
        <v>0</v>
      </c>
      <c r="I86" s="27" t="n">
        <f aca="false">ROUND(MAX(0,I85*(1+I$8)-AE86),2)</f>
        <v>0</v>
      </c>
      <c r="J86" s="27" t="n">
        <f aca="false">ROUND(MAX(0,J85*(1+J$8)-AF86),2)</f>
        <v>0</v>
      </c>
      <c r="K86" s="27" t="n">
        <f aca="false">ROUND(MAX(0,K85*(1+K$8)-AG86),2)</f>
        <v>0</v>
      </c>
      <c r="L86" s="30" t="n">
        <f aca="false">SUM(B86:K86)</f>
        <v>0</v>
      </c>
      <c r="M86" s="27" t="n">
        <f aca="false">SUMPRODUCT(B85:K85,$B$8:$K$8)</f>
        <v>0</v>
      </c>
      <c r="N86" s="27" t="n">
        <f aca="false">MIN(B85*(1+B$8),B$9)</f>
        <v>0</v>
      </c>
      <c r="O86" s="27" t="n">
        <f aca="false">MIN(C85*(1+C$8),C$9)</f>
        <v>0</v>
      </c>
      <c r="P86" s="27" t="n">
        <f aca="false">MIN(D85*(1+D$8),D$9)</f>
        <v>0</v>
      </c>
      <c r="Q86" s="27" t="n">
        <f aca="false">MIN(E85*(1+E$8),E$9)</f>
        <v>0</v>
      </c>
      <c r="R86" s="27" t="n">
        <f aca="false">MIN(F85*(1+F$8),F$9)</f>
        <v>0</v>
      </c>
      <c r="S86" s="27" t="n">
        <f aca="false">MIN(G85*(1+G$8),G$9)</f>
        <v>0</v>
      </c>
      <c r="T86" s="27" t="n">
        <f aca="false">MIN(H85*(1+H$8),H$9)</f>
        <v>0</v>
      </c>
      <c r="U86" s="27" t="n">
        <f aca="false">MIN(I85*(1+I$8),I$9)</f>
        <v>0</v>
      </c>
      <c r="V86" s="27" t="n">
        <f aca="false">MIN(J85*(1+J$8),J$9)</f>
        <v>0</v>
      </c>
      <c r="W86" s="27" t="n">
        <f aca="false">MIN(K85*(1+K$8),K$9)</f>
        <v>0</v>
      </c>
      <c r="X86" s="27" t="n">
        <f aca="false">MIN(B85*(1+B$8),MAX(N86,$B$11-SUM(O86:W86)))</f>
        <v>0</v>
      </c>
      <c r="Y86" s="27" t="n">
        <f aca="false">MIN(C85*(1+C$8),MAX(O86,$B$11-SUM(X86:X86)-SUM(P86:W86)))</f>
        <v>0</v>
      </c>
      <c r="Z86" s="27" t="n">
        <f aca="false">MIN(D85*(1+D$8),MAX(P86,$B$11-SUM(X86:Y86)-SUM(Q86:W86)))</f>
        <v>0</v>
      </c>
      <c r="AA86" s="27" t="n">
        <f aca="false">MIN(E85*(1+E$8),MAX(Q86,$B$11-SUM(X86:Z86)-SUM(R86:W86)))</f>
        <v>0</v>
      </c>
      <c r="AB86" s="27" t="n">
        <f aca="false">MIN(F85*(1+F$8),MAX(R86,$B$11-SUM(X86:AA86)-SUM(S86:W86)))</f>
        <v>0</v>
      </c>
      <c r="AC86" s="27" t="n">
        <f aca="false">MIN(G85*(1+G$8),MAX(S86,$B$11-SUM(X86:AB86)-SUM(T86:W86)))</f>
        <v>0</v>
      </c>
      <c r="AD86" s="27" t="n">
        <f aca="false">MIN(H85*(1+H$8),MAX(T86,$B$11-SUM(X86:AC86)-SUM(U86:W86)))</f>
        <v>0</v>
      </c>
      <c r="AE86" s="27" t="n">
        <f aca="false">MIN(I85*(1+I$8),MAX(U86,$B$11-SUM(X86:AD86)-SUM(V86:W86)))</f>
        <v>0</v>
      </c>
      <c r="AF86" s="27" t="n">
        <f aca="false">MIN(J85*(1+J$8),MAX(V86,$B$11-SUM(X86:AE86)-SUM(W86:W86)))</f>
        <v>0</v>
      </c>
      <c r="AG86" s="27" t="n">
        <f aca="false">MIN(K85*(1+K$8),MAX(W86,$B$11-SUM(X86:AF86)))</f>
        <v>0</v>
      </c>
      <c r="AI86" s="27" t="n">
        <f aca="false">ROUND(MAX(0,AI85*(1+B$8)-BE86),2)</f>
        <v>0</v>
      </c>
      <c r="AJ86" s="27" t="n">
        <f aca="false">ROUND(MAX(0,AJ85*(1+C$8)-BF86),2)</f>
        <v>0</v>
      </c>
      <c r="AK86" s="27" t="n">
        <f aca="false">ROUND(MAX(0,AK85*(1+D$8)-BG86),2)</f>
        <v>0</v>
      </c>
      <c r="AL86" s="27" t="n">
        <f aca="false">ROUND(MAX(0,AL85*(1+E$8)-BH86),2)</f>
        <v>0</v>
      </c>
      <c r="AM86" s="27" t="n">
        <f aca="false">ROUND(MAX(0,AM85*(1+F$8)-BI86),2)</f>
        <v>0</v>
      </c>
      <c r="AN86" s="27" t="n">
        <f aca="false">ROUND(MAX(0,AN85*(1+G$8)-BJ86),2)</f>
        <v>0</v>
      </c>
      <c r="AO86" s="27" t="n">
        <f aca="false">ROUND(MAX(0,AO85*(1+H$8)-BK86),2)</f>
        <v>0</v>
      </c>
      <c r="AP86" s="27" t="n">
        <f aca="false">ROUND(MAX(0,AP85*(1+I$8)-BL86),2)</f>
        <v>0</v>
      </c>
      <c r="AQ86" s="27" t="n">
        <f aca="false">ROUND(MAX(0,AQ85*(1+J$8)-BM86),2)</f>
        <v>0</v>
      </c>
      <c r="AR86" s="27" t="n">
        <f aca="false">ROUND(MAX(0,AR85*(1+K$8)-BN86),2)</f>
        <v>0</v>
      </c>
      <c r="AS86" s="27" t="n">
        <f aca="false">SUM(AI86:AR86)</f>
        <v>0</v>
      </c>
      <c r="AT86" s="27" t="n">
        <f aca="false">SUMPRODUCT(AI85:AR85,$B$8:$K$8)</f>
        <v>0</v>
      </c>
      <c r="AU86" s="27" t="n">
        <f aca="false">MIN(AI85*(1+B$8),B$9)</f>
        <v>0</v>
      </c>
      <c r="AV86" s="27" t="n">
        <f aca="false">MIN(AJ85*(1+C$8),C$9)</f>
        <v>0</v>
      </c>
      <c r="AW86" s="27" t="n">
        <f aca="false">MIN(AK85*(1+D$8),D$9)</f>
        <v>0</v>
      </c>
      <c r="AX86" s="27" t="n">
        <f aca="false">MIN(AL85*(1+E$8),E$9)</f>
        <v>0</v>
      </c>
      <c r="AY86" s="27" t="n">
        <f aca="false">MIN(AM85*(1+F$8),F$9)</f>
        <v>0</v>
      </c>
      <c r="AZ86" s="27" t="n">
        <f aca="false">MIN(AN85*(1+G$8),G$9)</f>
        <v>0</v>
      </c>
      <c r="BA86" s="27" t="n">
        <f aca="false">MIN(AO85*(1+H$8),H$9)</f>
        <v>0</v>
      </c>
      <c r="BB86" s="27" t="n">
        <f aca="false">MIN(AP85*(1+I$8),I$9)</f>
        <v>0</v>
      </c>
      <c r="BC86" s="27" t="n">
        <f aca="false">MIN(AQ85*(1+J$8),J$9)</f>
        <v>0</v>
      </c>
      <c r="BD86" s="27" t="n">
        <f aca="false">MIN(AR85*(1+K$8),K$9)</f>
        <v>0</v>
      </c>
      <c r="BE86" s="27" t="n">
        <f aca="false">MIN(AI85*(1+B$8),MAX(AU86,$B$12-SUM(AV86:BD86)))</f>
        <v>0</v>
      </c>
      <c r="BF86" s="27" t="n">
        <f aca="false">MIN(AJ85*(1+C$8),MAX(AV86,$B$12-SUM(BE86:BE86)-SUM(AW86:BD86)))</f>
        <v>0</v>
      </c>
      <c r="BG86" s="27" t="n">
        <f aca="false">MIN(AK85*(1+D$8),MAX(AW86,$B$12-SUM(BE86:BF86)-SUM(AX86:BD86)))</f>
        <v>0</v>
      </c>
      <c r="BH86" s="27" t="n">
        <f aca="false">MIN(AL85*(1+E$8),MAX(AX86,$B$12-SUM(BE86:BG86)-SUM(AY86:BD86)))</f>
        <v>0</v>
      </c>
      <c r="BI86" s="27" t="n">
        <f aca="false">MIN(AM85*(1+F$8),MAX(AY86,$B$12-SUM(BE86:BH86)-SUM(AZ86:BD86)))</f>
        <v>0</v>
      </c>
      <c r="BJ86" s="27" t="n">
        <f aca="false">MIN(AN85*(1+G$8),MAX(AZ86,$B$12-SUM(BE86:BI86)-SUM(BA86:BD86)))</f>
        <v>0</v>
      </c>
      <c r="BK86" s="27" t="n">
        <f aca="false">MIN(AO85*(1+H$8),MAX(BA86,$B$12-SUM(BE86:BJ86)-SUM(BB86:BD86)))</f>
        <v>0</v>
      </c>
      <c r="BL86" s="27" t="n">
        <f aca="false">MIN(AP85*(1+I$8),MAX(BB86,$B$12-SUM(BE86:BK86)-SUM(BC86:BD86)))</f>
        <v>0</v>
      </c>
      <c r="BM86" s="27" t="n">
        <f aca="false">MIN(AQ85*(1+J$8),MAX(BC86,$B$12-SUM(BE86:BL86)-SUM(BD86:BD86)))</f>
        <v>0</v>
      </c>
      <c r="BN86" s="27" t="n">
        <f aca="false">MIN(AR85*(1+K$8),MAX(BD86,$B$12-SUM(BE86:BM86)))</f>
        <v>0</v>
      </c>
    </row>
    <row r="87" customFormat="false" ht="15" hidden="false" customHeight="false" outlineLevel="0" collapsed="false">
      <c r="A87" s="0" t="n">
        <v>73</v>
      </c>
      <c r="B87" s="27" t="n">
        <f aca="false">ROUND(MAX(0,B86*(1+B$8)-X87),2)</f>
        <v>0</v>
      </c>
      <c r="C87" s="27" t="n">
        <f aca="false">ROUND(MAX(0,C86*(1+C$8)-Y87),2)</f>
        <v>0</v>
      </c>
      <c r="D87" s="27" t="n">
        <f aca="false">ROUND(MAX(0,D86*(1+D$8)-Z87),2)</f>
        <v>0</v>
      </c>
      <c r="E87" s="27" t="n">
        <f aca="false">ROUND(MAX(0,E86*(1+E$8)-AA87),2)</f>
        <v>0</v>
      </c>
      <c r="F87" s="27" t="n">
        <f aca="false">ROUND(MAX(0,F86*(1+F$8)-AB87),2)</f>
        <v>0</v>
      </c>
      <c r="G87" s="27" t="n">
        <f aca="false">ROUND(MAX(0,G86*(1+G$8)-AC87),2)</f>
        <v>0</v>
      </c>
      <c r="H87" s="27" t="n">
        <f aca="false">ROUND(MAX(0,H86*(1+H$8)-AD87),2)</f>
        <v>0</v>
      </c>
      <c r="I87" s="27" t="n">
        <f aca="false">ROUND(MAX(0,I86*(1+I$8)-AE87),2)</f>
        <v>0</v>
      </c>
      <c r="J87" s="27" t="n">
        <f aca="false">ROUND(MAX(0,J86*(1+J$8)-AF87),2)</f>
        <v>0</v>
      </c>
      <c r="K87" s="27" t="n">
        <f aca="false">ROUND(MAX(0,K86*(1+K$8)-AG87),2)</f>
        <v>0</v>
      </c>
      <c r="L87" s="30" t="n">
        <f aca="false">SUM(B87:K87)</f>
        <v>0</v>
      </c>
      <c r="M87" s="27" t="n">
        <f aca="false">SUMPRODUCT(B86:K86,$B$8:$K$8)</f>
        <v>0</v>
      </c>
      <c r="N87" s="27" t="n">
        <f aca="false">MIN(B86*(1+B$8),B$9)</f>
        <v>0</v>
      </c>
      <c r="O87" s="27" t="n">
        <f aca="false">MIN(C86*(1+C$8),C$9)</f>
        <v>0</v>
      </c>
      <c r="P87" s="27" t="n">
        <f aca="false">MIN(D86*(1+D$8),D$9)</f>
        <v>0</v>
      </c>
      <c r="Q87" s="27" t="n">
        <f aca="false">MIN(E86*(1+E$8),E$9)</f>
        <v>0</v>
      </c>
      <c r="R87" s="27" t="n">
        <f aca="false">MIN(F86*(1+F$8),F$9)</f>
        <v>0</v>
      </c>
      <c r="S87" s="27" t="n">
        <f aca="false">MIN(G86*(1+G$8),G$9)</f>
        <v>0</v>
      </c>
      <c r="T87" s="27" t="n">
        <f aca="false">MIN(H86*(1+H$8),H$9)</f>
        <v>0</v>
      </c>
      <c r="U87" s="27" t="n">
        <f aca="false">MIN(I86*(1+I$8),I$9)</f>
        <v>0</v>
      </c>
      <c r="V87" s="27" t="n">
        <f aca="false">MIN(J86*(1+J$8),J$9)</f>
        <v>0</v>
      </c>
      <c r="W87" s="27" t="n">
        <f aca="false">MIN(K86*(1+K$8),K$9)</f>
        <v>0</v>
      </c>
      <c r="X87" s="27" t="n">
        <f aca="false">MIN(B86*(1+B$8),MAX(N87,$B$11-SUM(O87:W87)))</f>
        <v>0</v>
      </c>
      <c r="Y87" s="27" t="n">
        <f aca="false">MIN(C86*(1+C$8),MAX(O87,$B$11-SUM(X87:X87)-SUM(P87:W87)))</f>
        <v>0</v>
      </c>
      <c r="Z87" s="27" t="n">
        <f aca="false">MIN(D86*(1+D$8),MAX(P87,$B$11-SUM(X87:Y87)-SUM(Q87:W87)))</f>
        <v>0</v>
      </c>
      <c r="AA87" s="27" t="n">
        <f aca="false">MIN(E86*(1+E$8),MAX(Q87,$B$11-SUM(X87:Z87)-SUM(R87:W87)))</f>
        <v>0</v>
      </c>
      <c r="AB87" s="27" t="n">
        <f aca="false">MIN(F86*(1+F$8),MAX(R87,$B$11-SUM(X87:AA87)-SUM(S87:W87)))</f>
        <v>0</v>
      </c>
      <c r="AC87" s="27" t="n">
        <f aca="false">MIN(G86*(1+G$8),MAX(S87,$B$11-SUM(X87:AB87)-SUM(T87:W87)))</f>
        <v>0</v>
      </c>
      <c r="AD87" s="27" t="n">
        <f aca="false">MIN(H86*(1+H$8),MAX(T87,$B$11-SUM(X87:AC87)-SUM(U87:W87)))</f>
        <v>0</v>
      </c>
      <c r="AE87" s="27" t="n">
        <f aca="false">MIN(I86*(1+I$8),MAX(U87,$B$11-SUM(X87:AD87)-SUM(V87:W87)))</f>
        <v>0</v>
      </c>
      <c r="AF87" s="27" t="n">
        <f aca="false">MIN(J86*(1+J$8),MAX(V87,$B$11-SUM(X87:AE87)-SUM(W87:W87)))</f>
        <v>0</v>
      </c>
      <c r="AG87" s="27" t="n">
        <f aca="false">MIN(K86*(1+K$8),MAX(W87,$B$11-SUM(X87:AF87)))</f>
        <v>0</v>
      </c>
      <c r="AI87" s="27" t="n">
        <f aca="false">ROUND(MAX(0,AI86*(1+B$8)-BE87),2)</f>
        <v>0</v>
      </c>
      <c r="AJ87" s="27" t="n">
        <f aca="false">ROUND(MAX(0,AJ86*(1+C$8)-BF87),2)</f>
        <v>0</v>
      </c>
      <c r="AK87" s="27" t="n">
        <f aca="false">ROUND(MAX(0,AK86*(1+D$8)-BG87),2)</f>
        <v>0</v>
      </c>
      <c r="AL87" s="27" t="n">
        <f aca="false">ROUND(MAX(0,AL86*(1+E$8)-BH87),2)</f>
        <v>0</v>
      </c>
      <c r="AM87" s="27" t="n">
        <f aca="false">ROUND(MAX(0,AM86*(1+F$8)-BI87),2)</f>
        <v>0</v>
      </c>
      <c r="AN87" s="27" t="n">
        <f aca="false">ROUND(MAX(0,AN86*(1+G$8)-BJ87),2)</f>
        <v>0</v>
      </c>
      <c r="AO87" s="27" t="n">
        <f aca="false">ROUND(MAX(0,AO86*(1+H$8)-BK87),2)</f>
        <v>0</v>
      </c>
      <c r="AP87" s="27" t="n">
        <f aca="false">ROUND(MAX(0,AP86*(1+I$8)-BL87),2)</f>
        <v>0</v>
      </c>
      <c r="AQ87" s="27" t="n">
        <f aca="false">ROUND(MAX(0,AQ86*(1+J$8)-BM87),2)</f>
        <v>0</v>
      </c>
      <c r="AR87" s="27" t="n">
        <f aca="false">ROUND(MAX(0,AR86*(1+K$8)-BN87),2)</f>
        <v>0</v>
      </c>
      <c r="AS87" s="27" t="n">
        <f aca="false">SUM(AI87:AR87)</f>
        <v>0</v>
      </c>
      <c r="AT87" s="27" t="n">
        <f aca="false">SUMPRODUCT(AI86:AR86,$B$8:$K$8)</f>
        <v>0</v>
      </c>
      <c r="AU87" s="27" t="n">
        <f aca="false">MIN(AI86*(1+B$8),B$9)</f>
        <v>0</v>
      </c>
      <c r="AV87" s="27" t="n">
        <f aca="false">MIN(AJ86*(1+C$8),C$9)</f>
        <v>0</v>
      </c>
      <c r="AW87" s="27" t="n">
        <f aca="false">MIN(AK86*(1+D$8),D$9)</f>
        <v>0</v>
      </c>
      <c r="AX87" s="27" t="n">
        <f aca="false">MIN(AL86*(1+E$8),E$9)</f>
        <v>0</v>
      </c>
      <c r="AY87" s="27" t="n">
        <f aca="false">MIN(AM86*(1+F$8),F$9)</f>
        <v>0</v>
      </c>
      <c r="AZ87" s="27" t="n">
        <f aca="false">MIN(AN86*(1+G$8),G$9)</f>
        <v>0</v>
      </c>
      <c r="BA87" s="27" t="n">
        <f aca="false">MIN(AO86*(1+H$8),H$9)</f>
        <v>0</v>
      </c>
      <c r="BB87" s="27" t="n">
        <f aca="false">MIN(AP86*(1+I$8),I$9)</f>
        <v>0</v>
      </c>
      <c r="BC87" s="27" t="n">
        <f aca="false">MIN(AQ86*(1+J$8),J$9)</f>
        <v>0</v>
      </c>
      <c r="BD87" s="27" t="n">
        <f aca="false">MIN(AR86*(1+K$8),K$9)</f>
        <v>0</v>
      </c>
      <c r="BE87" s="27" t="n">
        <f aca="false">MIN(AI86*(1+B$8),MAX(AU87,$B$12-SUM(AV87:BD87)))</f>
        <v>0</v>
      </c>
      <c r="BF87" s="27" t="n">
        <f aca="false">MIN(AJ86*(1+C$8),MAX(AV87,$B$12-SUM(BE87:BE87)-SUM(AW87:BD87)))</f>
        <v>0</v>
      </c>
      <c r="BG87" s="27" t="n">
        <f aca="false">MIN(AK86*(1+D$8),MAX(AW87,$B$12-SUM(BE87:BF87)-SUM(AX87:BD87)))</f>
        <v>0</v>
      </c>
      <c r="BH87" s="27" t="n">
        <f aca="false">MIN(AL86*(1+E$8),MAX(AX87,$B$12-SUM(BE87:BG87)-SUM(AY87:BD87)))</f>
        <v>0</v>
      </c>
      <c r="BI87" s="27" t="n">
        <f aca="false">MIN(AM86*(1+F$8),MAX(AY87,$B$12-SUM(BE87:BH87)-SUM(AZ87:BD87)))</f>
        <v>0</v>
      </c>
      <c r="BJ87" s="27" t="n">
        <f aca="false">MIN(AN86*(1+G$8),MAX(AZ87,$B$12-SUM(BE87:BI87)-SUM(BA87:BD87)))</f>
        <v>0</v>
      </c>
      <c r="BK87" s="27" t="n">
        <f aca="false">MIN(AO86*(1+H$8),MAX(BA87,$B$12-SUM(BE87:BJ87)-SUM(BB87:BD87)))</f>
        <v>0</v>
      </c>
      <c r="BL87" s="27" t="n">
        <f aca="false">MIN(AP86*(1+I$8),MAX(BB87,$B$12-SUM(BE87:BK87)-SUM(BC87:BD87)))</f>
        <v>0</v>
      </c>
      <c r="BM87" s="27" t="n">
        <f aca="false">MIN(AQ86*(1+J$8),MAX(BC87,$B$12-SUM(BE87:BL87)-SUM(BD87:BD87)))</f>
        <v>0</v>
      </c>
      <c r="BN87" s="27" t="n">
        <f aca="false">MIN(AR86*(1+K$8),MAX(BD87,$B$12-SUM(BE87:BM87)))</f>
        <v>0</v>
      </c>
    </row>
    <row r="88" customFormat="false" ht="15" hidden="false" customHeight="false" outlineLevel="0" collapsed="false">
      <c r="A88" s="0" t="n">
        <v>74</v>
      </c>
      <c r="B88" s="27" t="n">
        <f aca="false">ROUND(MAX(0,B87*(1+B$8)-X88),2)</f>
        <v>0</v>
      </c>
      <c r="C88" s="27" t="n">
        <f aca="false">ROUND(MAX(0,C87*(1+C$8)-Y88),2)</f>
        <v>0</v>
      </c>
      <c r="D88" s="27" t="n">
        <f aca="false">ROUND(MAX(0,D87*(1+D$8)-Z88),2)</f>
        <v>0</v>
      </c>
      <c r="E88" s="27" t="n">
        <f aca="false">ROUND(MAX(0,E87*(1+E$8)-AA88),2)</f>
        <v>0</v>
      </c>
      <c r="F88" s="27" t="n">
        <f aca="false">ROUND(MAX(0,F87*(1+F$8)-AB88),2)</f>
        <v>0</v>
      </c>
      <c r="G88" s="27" t="n">
        <f aca="false">ROUND(MAX(0,G87*(1+G$8)-AC88),2)</f>
        <v>0</v>
      </c>
      <c r="H88" s="27" t="n">
        <f aca="false">ROUND(MAX(0,H87*(1+H$8)-AD88),2)</f>
        <v>0</v>
      </c>
      <c r="I88" s="27" t="n">
        <f aca="false">ROUND(MAX(0,I87*(1+I$8)-AE88),2)</f>
        <v>0</v>
      </c>
      <c r="J88" s="27" t="n">
        <f aca="false">ROUND(MAX(0,J87*(1+J$8)-AF88),2)</f>
        <v>0</v>
      </c>
      <c r="K88" s="27" t="n">
        <f aca="false">ROUND(MAX(0,K87*(1+K$8)-AG88),2)</f>
        <v>0</v>
      </c>
      <c r="L88" s="30" t="n">
        <f aca="false">SUM(B88:K88)</f>
        <v>0</v>
      </c>
      <c r="M88" s="27" t="n">
        <f aca="false">SUMPRODUCT(B87:K87,$B$8:$K$8)</f>
        <v>0</v>
      </c>
      <c r="N88" s="27" t="n">
        <f aca="false">MIN(B87*(1+B$8),B$9)</f>
        <v>0</v>
      </c>
      <c r="O88" s="27" t="n">
        <f aca="false">MIN(C87*(1+C$8),C$9)</f>
        <v>0</v>
      </c>
      <c r="P88" s="27" t="n">
        <f aca="false">MIN(D87*(1+D$8),D$9)</f>
        <v>0</v>
      </c>
      <c r="Q88" s="27" t="n">
        <f aca="false">MIN(E87*(1+E$8),E$9)</f>
        <v>0</v>
      </c>
      <c r="R88" s="27" t="n">
        <f aca="false">MIN(F87*(1+F$8),F$9)</f>
        <v>0</v>
      </c>
      <c r="S88" s="27" t="n">
        <f aca="false">MIN(G87*(1+G$8),G$9)</f>
        <v>0</v>
      </c>
      <c r="T88" s="27" t="n">
        <f aca="false">MIN(H87*(1+H$8),H$9)</f>
        <v>0</v>
      </c>
      <c r="U88" s="27" t="n">
        <f aca="false">MIN(I87*(1+I$8),I$9)</f>
        <v>0</v>
      </c>
      <c r="V88" s="27" t="n">
        <f aca="false">MIN(J87*(1+J$8),J$9)</f>
        <v>0</v>
      </c>
      <c r="W88" s="27" t="n">
        <f aca="false">MIN(K87*(1+K$8),K$9)</f>
        <v>0</v>
      </c>
      <c r="X88" s="27" t="n">
        <f aca="false">MIN(B87*(1+B$8),MAX(N88,$B$11-SUM(O88:W88)))</f>
        <v>0</v>
      </c>
      <c r="Y88" s="27" t="n">
        <f aca="false">MIN(C87*(1+C$8),MAX(O88,$B$11-SUM(X88:X88)-SUM(P88:W88)))</f>
        <v>0</v>
      </c>
      <c r="Z88" s="27" t="n">
        <f aca="false">MIN(D87*(1+D$8),MAX(P88,$B$11-SUM(X88:Y88)-SUM(Q88:W88)))</f>
        <v>0</v>
      </c>
      <c r="AA88" s="27" t="n">
        <f aca="false">MIN(E87*(1+E$8),MAX(Q88,$B$11-SUM(X88:Z88)-SUM(R88:W88)))</f>
        <v>0</v>
      </c>
      <c r="AB88" s="27" t="n">
        <f aca="false">MIN(F87*(1+F$8),MAX(R88,$B$11-SUM(X88:AA88)-SUM(S88:W88)))</f>
        <v>0</v>
      </c>
      <c r="AC88" s="27" t="n">
        <f aca="false">MIN(G87*(1+G$8),MAX(S88,$B$11-SUM(X88:AB88)-SUM(T88:W88)))</f>
        <v>0</v>
      </c>
      <c r="AD88" s="27" t="n">
        <f aca="false">MIN(H87*(1+H$8),MAX(T88,$B$11-SUM(X88:AC88)-SUM(U88:W88)))</f>
        <v>0</v>
      </c>
      <c r="AE88" s="27" t="n">
        <f aca="false">MIN(I87*(1+I$8),MAX(U88,$B$11-SUM(X88:AD88)-SUM(V88:W88)))</f>
        <v>0</v>
      </c>
      <c r="AF88" s="27" t="n">
        <f aca="false">MIN(J87*(1+J$8),MAX(V88,$B$11-SUM(X88:AE88)-SUM(W88:W88)))</f>
        <v>0</v>
      </c>
      <c r="AG88" s="27" t="n">
        <f aca="false">MIN(K87*(1+K$8),MAX(W88,$B$11-SUM(X88:AF88)))</f>
        <v>0</v>
      </c>
      <c r="AI88" s="27" t="n">
        <f aca="false">ROUND(MAX(0,AI87*(1+B$8)-BE88),2)</f>
        <v>0</v>
      </c>
      <c r="AJ88" s="27" t="n">
        <f aca="false">ROUND(MAX(0,AJ87*(1+C$8)-BF88),2)</f>
        <v>0</v>
      </c>
      <c r="AK88" s="27" t="n">
        <f aca="false">ROUND(MAX(0,AK87*(1+D$8)-BG88),2)</f>
        <v>0</v>
      </c>
      <c r="AL88" s="27" t="n">
        <f aca="false">ROUND(MAX(0,AL87*(1+E$8)-BH88),2)</f>
        <v>0</v>
      </c>
      <c r="AM88" s="27" t="n">
        <f aca="false">ROUND(MAX(0,AM87*(1+F$8)-BI88),2)</f>
        <v>0</v>
      </c>
      <c r="AN88" s="27" t="n">
        <f aca="false">ROUND(MAX(0,AN87*(1+G$8)-BJ88),2)</f>
        <v>0</v>
      </c>
      <c r="AO88" s="27" t="n">
        <f aca="false">ROUND(MAX(0,AO87*(1+H$8)-BK88),2)</f>
        <v>0</v>
      </c>
      <c r="AP88" s="27" t="n">
        <f aca="false">ROUND(MAX(0,AP87*(1+I$8)-BL88),2)</f>
        <v>0</v>
      </c>
      <c r="AQ88" s="27" t="n">
        <f aca="false">ROUND(MAX(0,AQ87*(1+J$8)-BM88),2)</f>
        <v>0</v>
      </c>
      <c r="AR88" s="27" t="n">
        <f aca="false">ROUND(MAX(0,AR87*(1+K$8)-BN88),2)</f>
        <v>0</v>
      </c>
      <c r="AS88" s="27" t="n">
        <f aca="false">SUM(AI88:AR88)</f>
        <v>0</v>
      </c>
      <c r="AT88" s="27" t="n">
        <f aca="false">SUMPRODUCT(AI87:AR87,$B$8:$K$8)</f>
        <v>0</v>
      </c>
      <c r="AU88" s="27" t="n">
        <f aca="false">MIN(AI87*(1+B$8),B$9)</f>
        <v>0</v>
      </c>
      <c r="AV88" s="27" t="n">
        <f aca="false">MIN(AJ87*(1+C$8),C$9)</f>
        <v>0</v>
      </c>
      <c r="AW88" s="27" t="n">
        <f aca="false">MIN(AK87*(1+D$8),D$9)</f>
        <v>0</v>
      </c>
      <c r="AX88" s="27" t="n">
        <f aca="false">MIN(AL87*(1+E$8),E$9)</f>
        <v>0</v>
      </c>
      <c r="AY88" s="27" t="n">
        <f aca="false">MIN(AM87*(1+F$8),F$9)</f>
        <v>0</v>
      </c>
      <c r="AZ88" s="27" t="n">
        <f aca="false">MIN(AN87*(1+G$8),G$9)</f>
        <v>0</v>
      </c>
      <c r="BA88" s="27" t="n">
        <f aca="false">MIN(AO87*(1+H$8),H$9)</f>
        <v>0</v>
      </c>
      <c r="BB88" s="27" t="n">
        <f aca="false">MIN(AP87*(1+I$8),I$9)</f>
        <v>0</v>
      </c>
      <c r="BC88" s="27" t="n">
        <f aca="false">MIN(AQ87*(1+J$8),J$9)</f>
        <v>0</v>
      </c>
      <c r="BD88" s="27" t="n">
        <f aca="false">MIN(AR87*(1+K$8),K$9)</f>
        <v>0</v>
      </c>
      <c r="BE88" s="27" t="n">
        <f aca="false">MIN(AI87*(1+B$8),MAX(AU88,$B$12-SUM(AV88:BD88)))</f>
        <v>0</v>
      </c>
      <c r="BF88" s="27" t="n">
        <f aca="false">MIN(AJ87*(1+C$8),MAX(AV88,$B$12-SUM(BE88:BE88)-SUM(AW88:BD88)))</f>
        <v>0</v>
      </c>
      <c r="BG88" s="27" t="n">
        <f aca="false">MIN(AK87*(1+D$8),MAX(AW88,$B$12-SUM(BE88:BF88)-SUM(AX88:BD88)))</f>
        <v>0</v>
      </c>
      <c r="BH88" s="27" t="n">
        <f aca="false">MIN(AL87*(1+E$8),MAX(AX88,$B$12-SUM(BE88:BG88)-SUM(AY88:BD88)))</f>
        <v>0</v>
      </c>
      <c r="BI88" s="27" t="n">
        <f aca="false">MIN(AM87*(1+F$8),MAX(AY88,$B$12-SUM(BE88:BH88)-SUM(AZ88:BD88)))</f>
        <v>0</v>
      </c>
      <c r="BJ88" s="27" t="n">
        <f aca="false">MIN(AN87*(1+G$8),MAX(AZ88,$B$12-SUM(BE88:BI88)-SUM(BA88:BD88)))</f>
        <v>0</v>
      </c>
      <c r="BK88" s="27" t="n">
        <f aca="false">MIN(AO87*(1+H$8),MAX(BA88,$B$12-SUM(BE88:BJ88)-SUM(BB88:BD88)))</f>
        <v>0</v>
      </c>
      <c r="BL88" s="27" t="n">
        <f aca="false">MIN(AP87*(1+I$8),MAX(BB88,$B$12-SUM(BE88:BK88)-SUM(BC88:BD88)))</f>
        <v>0</v>
      </c>
      <c r="BM88" s="27" t="n">
        <f aca="false">MIN(AQ87*(1+J$8),MAX(BC88,$B$12-SUM(BE88:BL88)-SUM(BD88:BD88)))</f>
        <v>0</v>
      </c>
      <c r="BN88" s="27" t="n">
        <f aca="false">MIN(AR87*(1+K$8),MAX(BD88,$B$12-SUM(BE88:BM88)))</f>
        <v>0</v>
      </c>
    </row>
    <row r="89" customFormat="false" ht="15" hidden="false" customHeight="false" outlineLevel="0" collapsed="false">
      <c r="A89" s="0" t="n">
        <v>75</v>
      </c>
      <c r="B89" s="27" t="n">
        <f aca="false">ROUND(MAX(0,B88*(1+B$8)-X89),2)</f>
        <v>0</v>
      </c>
      <c r="C89" s="27" t="n">
        <f aca="false">ROUND(MAX(0,C88*(1+C$8)-Y89),2)</f>
        <v>0</v>
      </c>
      <c r="D89" s="27" t="n">
        <f aca="false">ROUND(MAX(0,D88*(1+D$8)-Z89),2)</f>
        <v>0</v>
      </c>
      <c r="E89" s="27" t="n">
        <f aca="false">ROUND(MAX(0,E88*(1+E$8)-AA89),2)</f>
        <v>0</v>
      </c>
      <c r="F89" s="27" t="n">
        <f aca="false">ROUND(MAX(0,F88*(1+F$8)-AB89),2)</f>
        <v>0</v>
      </c>
      <c r="G89" s="27" t="n">
        <f aca="false">ROUND(MAX(0,G88*(1+G$8)-AC89),2)</f>
        <v>0</v>
      </c>
      <c r="H89" s="27" t="n">
        <f aca="false">ROUND(MAX(0,H88*(1+H$8)-AD89),2)</f>
        <v>0</v>
      </c>
      <c r="I89" s="27" t="n">
        <f aca="false">ROUND(MAX(0,I88*(1+I$8)-AE89),2)</f>
        <v>0</v>
      </c>
      <c r="J89" s="27" t="n">
        <f aca="false">ROUND(MAX(0,J88*(1+J$8)-AF89),2)</f>
        <v>0</v>
      </c>
      <c r="K89" s="27" t="n">
        <f aca="false">ROUND(MAX(0,K88*(1+K$8)-AG89),2)</f>
        <v>0</v>
      </c>
      <c r="L89" s="30" t="n">
        <f aca="false">SUM(B89:K89)</f>
        <v>0</v>
      </c>
      <c r="M89" s="27" t="n">
        <f aca="false">SUMPRODUCT(B88:K88,$B$8:$K$8)</f>
        <v>0</v>
      </c>
      <c r="N89" s="27" t="n">
        <f aca="false">MIN(B88*(1+B$8),B$9)</f>
        <v>0</v>
      </c>
      <c r="O89" s="27" t="n">
        <f aca="false">MIN(C88*(1+C$8),C$9)</f>
        <v>0</v>
      </c>
      <c r="P89" s="27" t="n">
        <f aca="false">MIN(D88*(1+D$8),D$9)</f>
        <v>0</v>
      </c>
      <c r="Q89" s="27" t="n">
        <f aca="false">MIN(E88*(1+E$8),E$9)</f>
        <v>0</v>
      </c>
      <c r="R89" s="27" t="n">
        <f aca="false">MIN(F88*(1+F$8),F$9)</f>
        <v>0</v>
      </c>
      <c r="S89" s="27" t="n">
        <f aca="false">MIN(G88*(1+G$8),G$9)</f>
        <v>0</v>
      </c>
      <c r="T89" s="27" t="n">
        <f aca="false">MIN(H88*(1+H$8),H$9)</f>
        <v>0</v>
      </c>
      <c r="U89" s="27" t="n">
        <f aca="false">MIN(I88*(1+I$8),I$9)</f>
        <v>0</v>
      </c>
      <c r="V89" s="27" t="n">
        <f aca="false">MIN(J88*(1+J$8),J$9)</f>
        <v>0</v>
      </c>
      <c r="W89" s="27" t="n">
        <f aca="false">MIN(K88*(1+K$8),K$9)</f>
        <v>0</v>
      </c>
      <c r="X89" s="27" t="n">
        <f aca="false">MIN(B88*(1+B$8),MAX(N89,$B$11-SUM(O89:W89)))</f>
        <v>0</v>
      </c>
      <c r="Y89" s="27" t="n">
        <f aca="false">MIN(C88*(1+C$8),MAX(O89,$B$11-SUM(X89:X89)-SUM(P89:W89)))</f>
        <v>0</v>
      </c>
      <c r="Z89" s="27" t="n">
        <f aca="false">MIN(D88*(1+D$8),MAX(P89,$B$11-SUM(X89:Y89)-SUM(Q89:W89)))</f>
        <v>0</v>
      </c>
      <c r="AA89" s="27" t="n">
        <f aca="false">MIN(E88*(1+E$8),MAX(Q89,$B$11-SUM(X89:Z89)-SUM(R89:W89)))</f>
        <v>0</v>
      </c>
      <c r="AB89" s="27" t="n">
        <f aca="false">MIN(F88*(1+F$8),MAX(R89,$B$11-SUM(X89:AA89)-SUM(S89:W89)))</f>
        <v>0</v>
      </c>
      <c r="AC89" s="27" t="n">
        <f aca="false">MIN(G88*(1+G$8),MAX(S89,$B$11-SUM(X89:AB89)-SUM(T89:W89)))</f>
        <v>0</v>
      </c>
      <c r="AD89" s="27" t="n">
        <f aca="false">MIN(H88*(1+H$8),MAX(T89,$B$11-SUM(X89:AC89)-SUM(U89:W89)))</f>
        <v>0</v>
      </c>
      <c r="AE89" s="27" t="n">
        <f aca="false">MIN(I88*(1+I$8),MAX(U89,$B$11-SUM(X89:AD89)-SUM(V89:W89)))</f>
        <v>0</v>
      </c>
      <c r="AF89" s="27" t="n">
        <f aca="false">MIN(J88*(1+J$8),MAX(V89,$B$11-SUM(X89:AE89)-SUM(W89:W89)))</f>
        <v>0</v>
      </c>
      <c r="AG89" s="27" t="n">
        <f aca="false">MIN(K88*(1+K$8),MAX(W89,$B$11-SUM(X89:AF89)))</f>
        <v>0</v>
      </c>
      <c r="AI89" s="27" t="n">
        <f aca="false">ROUND(MAX(0,AI88*(1+B$8)-BE89),2)</f>
        <v>0</v>
      </c>
      <c r="AJ89" s="27" t="n">
        <f aca="false">ROUND(MAX(0,AJ88*(1+C$8)-BF89),2)</f>
        <v>0</v>
      </c>
      <c r="AK89" s="27" t="n">
        <f aca="false">ROUND(MAX(0,AK88*(1+D$8)-BG89),2)</f>
        <v>0</v>
      </c>
      <c r="AL89" s="27" t="n">
        <f aca="false">ROUND(MAX(0,AL88*(1+E$8)-BH89),2)</f>
        <v>0</v>
      </c>
      <c r="AM89" s="27" t="n">
        <f aca="false">ROUND(MAX(0,AM88*(1+F$8)-BI89),2)</f>
        <v>0</v>
      </c>
      <c r="AN89" s="27" t="n">
        <f aca="false">ROUND(MAX(0,AN88*(1+G$8)-BJ89),2)</f>
        <v>0</v>
      </c>
      <c r="AO89" s="27" t="n">
        <f aca="false">ROUND(MAX(0,AO88*(1+H$8)-BK89),2)</f>
        <v>0</v>
      </c>
      <c r="AP89" s="27" t="n">
        <f aca="false">ROUND(MAX(0,AP88*(1+I$8)-BL89),2)</f>
        <v>0</v>
      </c>
      <c r="AQ89" s="27" t="n">
        <f aca="false">ROUND(MAX(0,AQ88*(1+J$8)-BM89),2)</f>
        <v>0</v>
      </c>
      <c r="AR89" s="27" t="n">
        <f aca="false">ROUND(MAX(0,AR88*(1+K$8)-BN89),2)</f>
        <v>0</v>
      </c>
      <c r="AS89" s="27" t="n">
        <f aca="false">SUM(AI89:AR89)</f>
        <v>0</v>
      </c>
      <c r="AT89" s="27" t="n">
        <f aca="false">SUMPRODUCT(AI88:AR88,$B$8:$K$8)</f>
        <v>0</v>
      </c>
      <c r="AU89" s="27" t="n">
        <f aca="false">MIN(AI88*(1+B$8),B$9)</f>
        <v>0</v>
      </c>
      <c r="AV89" s="27" t="n">
        <f aca="false">MIN(AJ88*(1+C$8),C$9)</f>
        <v>0</v>
      </c>
      <c r="AW89" s="27" t="n">
        <f aca="false">MIN(AK88*(1+D$8),D$9)</f>
        <v>0</v>
      </c>
      <c r="AX89" s="27" t="n">
        <f aca="false">MIN(AL88*(1+E$8),E$9)</f>
        <v>0</v>
      </c>
      <c r="AY89" s="27" t="n">
        <f aca="false">MIN(AM88*(1+F$8),F$9)</f>
        <v>0</v>
      </c>
      <c r="AZ89" s="27" t="n">
        <f aca="false">MIN(AN88*(1+G$8),G$9)</f>
        <v>0</v>
      </c>
      <c r="BA89" s="27" t="n">
        <f aca="false">MIN(AO88*(1+H$8),H$9)</f>
        <v>0</v>
      </c>
      <c r="BB89" s="27" t="n">
        <f aca="false">MIN(AP88*(1+I$8),I$9)</f>
        <v>0</v>
      </c>
      <c r="BC89" s="27" t="n">
        <f aca="false">MIN(AQ88*(1+J$8),J$9)</f>
        <v>0</v>
      </c>
      <c r="BD89" s="27" t="n">
        <f aca="false">MIN(AR88*(1+K$8),K$9)</f>
        <v>0</v>
      </c>
      <c r="BE89" s="27" t="n">
        <f aca="false">MIN(AI88*(1+B$8),MAX(AU89,$B$12-SUM(AV89:BD89)))</f>
        <v>0</v>
      </c>
      <c r="BF89" s="27" t="n">
        <f aca="false">MIN(AJ88*(1+C$8),MAX(AV89,$B$12-SUM(BE89:BE89)-SUM(AW89:BD89)))</f>
        <v>0</v>
      </c>
      <c r="BG89" s="27" t="n">
        <f aca="false">MIN(AK88*(1+D$8),MAX(AW89,$B$12-SUM(BE89:BF89)-SUM(AX89:BD89)))</f>
        <v>0</v>
      </c>
      <c r="BH89" s="27" t="n">
        <f aca="false">MIN(AL88*(1+E$8),MAX(AX89,$B$12-SUM(BE89:BG89)-SUM(AY89:BD89)))</f>
        <v>0</v>
      </c>
      <c r="BI89" s="27" t="n">
        <f aca="false">MIN(AM88*(1+F$8),MAX(AY89,$B$12-SUM(BE89:BH89)-SUM(AZ89:BD89)))</f>
        <v>0</v>
      </c>
      <c r="BJ89" s="27" t="n">
        <f aca="false">MIN(AN88*(1+G$8),MAX(AZ89,$B$12-SUM(BE89:BI89)-SUM(BA89:BD89)))</f>
        <v>0</v>
      </c>
      <c r="BK89" s="27" t="n">
        <f aca="false">MIN(AO88*(1+H$8),MAX(BA89,$B$12-SUM(BE89:BJ89)-SUM(BB89:BD89)))</f>
        <v>0</v>
      </c>
      <c r="BL89" s="27" t="n">
        <f aca="false">MIN(AP88*(1+I$8),MAX(BB89,$B$12-SUM(BE89:BK89)-SUM(BC89:BD89)))</f>
        <v>0</v>
      </c>
      <c r="BM89" s="27" t="n">
        <f aca="false">MIN(AQ88*(1+J$8),MAX(BC89,$B$12-SUM(BE89:BL89)-SUM(BD89:BD89)))</f>
        <v>0</v>
      </c>
      <c r="BN89" s="27" t="n">
        <f aca="false">MIN(AR88*(1+K$8),MAX(BD89,$B$12-SUM(BE89:BM89)))</f>
        <v>0</v>
      </c>
    </row>
    <row r="90" customFormat="false" ht="15" hidden="false" customHeight="false" outlineLevel="0" collapsed="false">
      <c r="A90" s="0" t="n">
        <v>76</v>
      </c>
      <c r="B90" s="27" t="n">
        <f aca="false">ROUND(MAX(0,B89*(1+B$8)-X90),2)</f>
        <v>0</v>
      </c>
      <c r="C90" s="27" t="n">
        <f aca="false">ROUND(MAX(0,C89*(1+C$8)-Y90),2)</f>
        <v>0</v>
      </c>
      <c r="D90" s="27" t="n">
        <f aca="false">ROUND(MAX(0,D89*(1+D$8)-Z90),2)</f>
        <v>0</v>
      </c>
      <c r="E90" s="27" t="n">
        <f aca="false">ROUND(MAX(0,E89*(1+E$8)-AA90),2)</f>
        <v>0</v>
      </c>
      <c r="F90" s="27" t="n">
        <f aca="false">ROUND(MAX(0,F89*(1+F$8)-AB90),2)</f>
        <v>0</v>
      </c>
      <c r="G90" s="27" t="n">
        <f aca="false">ROUND(MAX(0,G89*(1+G$8)-AC90),2)</f>
        <v>0</v>
      </c>
      <c r="H90" s="27" t="n">
        <f aca="false">ROUND(MAX(0,H89*(1+H$8)-AD90),2)</f>
        <v>0</v>
      </c>
      <c r="I90" s="27" t="n">
        <f aca="false">ROUND(MAX(0,I89*(1+I$8)-AE90),2)</f>
        <v>0</v>
      </c>
      <c r="J90" s="27" t="n">
        <f aca="false">ROUND(MAX(0,J89*(1+J$8)-AF90),2)</f>
        <v>0</v>
      </c>
      <c r="K90" s="27" t="n">
        <f aca="false">ROUND(MAX(0,K89*(1+K$8)-AG90),2)</f>
        <v>0</v>
      </c>
      <c r="L90" s="30" t="n">
        <f aca="false">SUM(B90:K90)</f>
        <v>0</v>
      </c>
      <c r="M90" s="27" t="n">
        <f aca="false">SUMPRODUCT(B89:K89,$B$8:$K$8)</f>
        <v>0</v>
      </c>
      <c r="N90" s="27" t="n">
        <f aca="false">MIN(B89*(1+B$8),B$9)</f>
        <v>0</v>
      </c>
      <c r="O90" s="27" t="n">
        <f aca="false">MIN(C89*(1+C$8),C$9)</f>
        <v>0</v>
      </c>
      <c r="P90" s="27" t="n">
        <f aca="false">MIN(D89*(1+D$8),D$9)</f>
        <v>0</v>
      </c>
      <c r="Q90" s="27" t="n">
        <f aca="false">MIN(E89*(1+E$8),E$9)</f>
        <v>0</v>
      </c>
      <c r="R90" s="27" t="n">
        <f aca="false">MIN(F89*(1+F$8),F$9)</f>
        <v>0</v>
      </c>
      <c r="S90" s="27" t="n">
        <f aca="false">MIN(G89*(1+G$8),G$9)</f>
        <v>0</v>
      </c>
      <c r="T90" s="27" t="n">
        <f aca="false">MIN(H89*(1+H$8),H$9)</f>
        <v>0</v>
      </c>
      <c r="U90" s="27" t="n">
        <f aca="false">MIN(I89*(1+I$8),I$9)</f>
        <v>0</v>
      </c>
      <c r="V90" s="27" t="n">
        <f aca="false">MIN(J89*(1+J$8),J$9)</f>
        <v>0</v>
      </c>
      <c r="W90" s="27" t="n">
        <f aca="false">MIN(K89*(1+K$8),K$9)</f>
        <v>0</v>
      </c>
      <c r="X90" s="27" t="n">
        <f aca="false">MIN(B89*(1+B$8),MAX(N90,$B$11-SUM(O90:W90)))</f>
        <v>0</v>
      </c>
      <c r="Y90" s="27" t="n">
        <f aca="false">MIN(C89*(1+C$8),MAX(O90,$B$11-SUM(X90:X90)-SUM(P90:W90)))</f>
        <v>0</v>
      </c>
      <c r="Z90" s="27" t="n">
        <f aca="false">MIN(D89*(1+D$8),MAX(P90,$B$11-SUM(X90:Y90)-SUM(Q90:W90)))</f>
        <v>0</v>
      </c>
      <c r="AA90" s="27" t="n">
        <f aca="false">MIN(E89*(1+E$8),MAX(Q90,$B$11-SUM(X90:Z90)-SUM(R90:W90)))</f>
        <v>0</v>
      </c>
      <c r="AB90" s="27" t="n">
        <f aca="false">MIN(F89*(1+F$8),MAX(R90,$B$11-SUM(X90:AA90)-SUM(S90:W90)))</f>
        <v>0</v>
      </c>
      <c r="AC90" s="27" t="n">
        <f aca="false">MIN(G89*(1+G$8),MAX(S90,$B$11-SUM(X90:AB90)-SUM(T90:W90)))</f>
        <v>0</v>
      </c>
      <c r="AD90" s="27" t="n">
        <f aca="false">MIN(H89*(1+H$8),MAX(T90,$B$11-SUM(X90:AC90)-SUM(U90:W90)))</f>
        <v>0</v>
      </c>
      <c r="AE90" s="27" t="n">
        <f aca="false">MIN(I89*(1+I$8),MAX(U90,$B$11-SUM(X90:AD90)-SUM(V90:W90)))</f>
        <v>0</v>
      </c>
      <c r="AF90" s="27" t="n">
        <f aca="false">MIN(J89*(1+J$8),MAX(V90,$B$11-SUM(X90:AE90)-SUM(W90:W90)))</f>
        <v>0</v>
      </c>
      <c r="AG90" s="27" t="n">
        <f aca="false">MIN(K89*(1+K$8),MAX(W90,$B$11-SUM(X90:AF90)))</f>
        <v>0</v>
      </c>
      <c r="AI90" s="27" t="n">
        <f aca="false">ROUND(MAX(0,AI89*(1+B$8)-BE90),2)</f>
        <v>0</v>
      </c>
      <c r="AJ90" s="27" t="n">
        <f aca="false">ROUND(MAX(0,AJ89*(1+C$8)-BF90),2)</f>
        <v>0</v>
      </c>
      <c r="AK90" s="27" t="n">
        <f aca="false">ROUND(MAX(0,AK89*(1+D$8)-BG90),2)</f>
        <v>0</v>
      </c>
      <c r="AL90" s="27" t="n">
        <f aca="false">ROUND(MAX(0,AL89*(1+E$8)-BH90),2)</f>
        <v>0</v>
      </c>
      <c r="AM90" s="27" t="n">
        <f aca="false">ROUND(MAX(0,AM89*(1+F$8)-BI90),2)</f>
        <v>0</v>
      </c>
      <c r="AN90" s="27" t="n">
        <f aca="false">ROUND(MAX(0,AN89*(1+G$8)-BJ90),2)</f>
        <v>0</v>
      </c>
      <c r="AO90" s="27" t="n">
        <f aca="false">ROUND(MAX(0,AO89*(1+H$8)-BK90),2)</f>
        <v>0</v>
      </c>
      <c r="AP90" s="27" t="n">
        <f aca="false">ROUND(MAX(0,AP89*(1+I$8)-BL90),2)</f>
        <v>0</v>
      </c>
      <c r="AQ90" s="27" t="n">
        <f aca="false">ROUND(MAX(0,AQ89*(1+J$8)-BM90),2)</f>
        <v>0</v>
      </c>
      <c r="AR90" s="27" t="n">
        <f aca="false">ROUND(MAX(0,AR89*(1+K$8)-BN90),2)</f>
        <v>0</v>
      </c>
      <c r="AS90" s="27" t="n">
        <f aca="false">SUM(AI90:AR90)</f>
        <v>0</v>
      </c>
      <c r="AT90" s="27" t="n">
        <f aca="false">SUMPRODUCT(AI89:AR89,$B$8:$K$8)</f>
        <v>0</v>
      </c>
      <c r="AU90" s="27" t="n">
        <f aca="false">MIN(AI89*(1+B$8),B$9)</f>
        <v>0</v>
      </c>
      <c r="AV90" s="27" t="n">
        <f aca="false">MIN(AJ89*(1+C$8),C$9)</f>
        <v>0</v>
      </c>
      <c r="AW90" s="27" t="n">
        <f aca="false">MIN(AK89*(1+D$8),D$9)</f>
        <v>0</v>
      </c>
      <c r="AX90" s="27" t="n">
        <f aca="false">MIN(AL89*(1+E$8),E$9)</f>
        <v>0</v>
      </c>
      <c r="AY90" s="27" t="n">
        <f aca="false">MIN(AM89*(1+F$8),F$9)</f>
        <v>0</v>
      </c>
      <c r="AZ90" s="27" t="n">
        <f aca="false">MIN(AN89*(1+G$8),G$9)</f>
        <v>0</v>
      </c>
      <c r="BA90" s="27" t="n">
        <f aca="false">MIN(AO89*(1+H$8),H$9)</f>
        <v>0</v>
      </c>
      <c r="BB90" s="27" t="n">
        <f aca="false">MIN(AP89*(1+I$8),I$9)</f>
        <v>0</v>
      </c>
      <c r="BC90" s="27" t="n">
        <f aca="false">MIN(AQ89*(1+J$8),J$9)</f>
        <v>0</v>
      </c>
      <c r="BD90" s="27" t="n">
        <f aca="false">MIN(AR89*(1+K$8),K$9)</f>
        <v>0</v>
      </c>
      <c r="BE90" s="27" t="n">
        <f aca="false">MIN(AI89*(1+B$8),MAX(AU90,$B$12-SUM(AV90:BD90)))</f>
        <v>0</v>
      </c>
      <c r="BF90" s="27" t="n">
        <f aca="false">MIN(AJ89*(1+C$8),MAX(AV90,$B$12-SUM(BE90:BE90)-SUM(AW90:BD90)))</f>
        <v>0</v>
      </c>
      <c r="BG90" s="27" t="n">
        <f aca="false">MIN(AK89*(1+D$8),MAX(AW90,$B$12-SUM(BE90:BF90)-SUM(AX90:BD90)))</f>
        <v>0</v>
      </c>
      <c r="BH90" s="27" t="n">
        <f aca="false">MIN(AL89*(1+E$8),MAX(AX90,$B$12-SUM(BE90:BG90)-SUM(AY90:BD90)))</f>
        <v>0</v>
      </c>
      <c r="BI90" s="27" t="n">
        <f aca="false">MIN(AM89*(1+F$8),MAX(AY90,$B$12-SUM(BE90:BH90)-SUM(AZ90:BD90)))</f>
        <v>0</v>
      </c>
      <c r="BJ90" s="27" t="n">
        <f aca="false">MIN(AN89*(1+G$8),MAX(AZ90,$B$12-SUM(BE90:BI90)-SUM(BA90:BD90)))</f>
        <v>0</v>
      </c>
      <c r="BK90" s="27" t="n">
        <f aca="false">MIN(AO89*(1+H$8),MAX(BA90,$B$12-SUM(BE90:BJ90)-SUM(BB90:BD90)))</f>
        <v>0</v>
      </c>
      <c r="BL90" s="27" t="n">
        <f aca="false">MIN(AP89*(1+I$8),MAX(BB90,$B$12-SUM(BE90:BK90)-SUM(BC90:BD90)))</f>
        <v>0</v>
      </c>
      <c r="BM90" s="27" t="n">
        <f aca="false">MIN(AQ89*(1+J$8),MAX(BC90,$B$12-SUM(BE90:BL90)-SUM(BD90:BD90)))</f>
        <v>0</v>
      </c>
      <c r="BN90" s="27" t="n">
        <f aca="false">MIN(AR89*(1+K$8),MAX(BD90,$B$12-SUM(BE90:BM90)))</f>
        <v>0</v>
      </c>
    </row>
    <row r="91" customFormat="false" ht="15" hidden="false" customHeight="false" outlineLevel="0" collapsed="false">
      <c r="A91" s="0" t="n">
        <v>77</v>
      </c>
      <c r="B91" s="27" t="n">
        <f aca="false">ROUND(MAX(0,B90*(1+B$8)-X91),2)</f>
        <v>0</v>
      </c>
      <c r="C91" s="27" t="n">
        <f aca="false">ROUND(MAX(0,C90*(1+C$8)-Y91),2)</f>
        <v>0</v>
      </c>
      <c r="D91" s="27" t="n">
        <f aca="false">ROUND(MAX(0,D90*(1+D$8)-Z91),2)</f>
        <v>0</v>
      </c>
      <c r="E91" s="27" t="n">
        <f aca="false">ROUND(MAX(0,E90*(1+E$8)-AA91),2)</f>
        <v>0</v>
      </c>
      <c r="F91" s="27" t="n">
        <f aca="false">ROUND(MAX(0,F90*(1+F$8)-AB91),2)</f>
        <v>0</v>
      </c>
      <c r="G91" s="27" t="n">
        <f aca="false">ROUND(MAX(0,G90*(1+G$8)-AC91),2)</f>
        <v>0</v>
      </c>
      <c r="H91" s="27" t="n">
        <f aca="false">ROUND(MAX(0,H90*(1+H$8)-AD91),2)</f>
        <v>0</v>
      </c>
      <c r="I91" s="27" t="n">
        <f aca="false">ROUND(MAX(0,I90*(1+I$8)-AE91),2)</f>
        <v>0</v>
      </c>
      <c r="J91" s="27" t="n">
        <f aca="false">ROUND(MAX(0,J90*(1+J$8)-AF91),2)</f>
        <v>0</v>
      </c>
      <c r="K91" s="27" t="n">
        <f aca="false">ROUND(MAX(0,K90*(1+K$8)-AG91),2)</f>
        <v>0</v>
      </c>
      <c r="L91" s="30" t="n">
        <f aca="false">SUM(B91:K91)</f>
        <v>0</v>
      </c>
      <c r="M91" s="27" t="n">
        <f aca="false">SUMPRODUCT(B90:K90,$B$8:$K$8)</f>
        <v>0</v>
      </c>
      <c r="N91" s="27" t="n">
        <f aca="false">MIN(B90*(1+B$8),B$9)</f>
        <v>0</v>
      </c>
      <c r="O91" s="27" t="n">
        <f aca="false">MIN(C90*(1+C$8),C$9)</f>
        <v>0</v>
      </c>
      <c r="P91" s="27" t="n">
        <f aca="false">MIN(D90*(1+D$8),D$9)</f>
        <v>0</v>
      </c>
      <c r="Q91" s="27" t="n">
        <f aca="false">MIN(E90*(1+E$8),E$9)</f>
        <v>0</v>
      </c>
      <c r="R91" s="27" t="n">
        <f aca="false">MIN(F90*(1+F$8),F$9)</f>
        <v>0</v>
      </c>
      <c r="S91" s="27" t="n">
        <f aca="false">MIN(G90*(1+G$8),G$9)</f>
        <v>0</v>
      </c>
      <c r="T91" s="27" t="n">
        <f aca="false">MIN(H90*(1+H$8),H$9)</f>
        <v>0</v>
      </c>
      <c r="U91" s="27" t="n">
        <f aca="false">MIN(I90*(1+I$8),I$9)</f>
        <v>0</v>
      </c>
      <c r="V91" s="27" t="n">
        <f aca="false">MIN(J90*(1+J$8),J$9)</f>
        <v>0</v>
      </c>
      <c r="W91" s="27" t="n">
        <f aca="false">MIN(K90*(1+K$8),K$9)</f>
        <v>0</v>
      </c>
      <c r="X91" s="27" t="n">
        <f aca="false">MIN(B90*(1+B$8),MAX(N91,$B$11-SUM(O91:W91)))</f>
        <v>0</v>
      </c>
      <c r="Y91" s="27" t="n">
        <f aca="false">MIN(C90*(1+C$8),MAX(O91,$B$11-SUM(X91:X91)-SUM(P91:W91)))</f>
        <v>0</v>
      </c>
      <c r="Z91" s="27" t="n">
        <f aca="false">MIN(D90*(1+D$8),MAX(P91,$B$11-SUM(X91:Y91)-SUM(Q91:W91)))</f>
        <v>0</v>
      </c>
      <c r="AA91" s="27" t="n">
        <f aca="false">MIN(E90*(1+E$8),MAX(Q91,$B$11-SUM(X91:Z91)-SUM(R91:W91)))</f>
        <v>0</v>
      </c>
      <c r="AB91" s="27" t="n">
        <f aca="false">MIN(F90*(1+F$8),MAX(R91,$B$11-SUM(X91:AA91)-SUM(S91:W91)))</f>
        <v>0</v>
      </c>
      <c r="AC91" s="27" t="n">
        <f aca="false">MIN(G90*(1+G$8),MAX(S91,$B$11-SUM(X91:AB91)-SUM(T91:W91)))</f>
        <v>0</v>
      </c>
      <c r="AD91" s="27" t="n">
        <f aca="false">MIN(H90*(1+H$8),MAX(T91,$B$11-SUM(X91:AC91)-SUM(U91:W91)))</f>
        <v>0</v>
      </c>
      <c r="AE91" s="27" t="n">
        <f aca="false">MIN(I90*(1+I$8),MAX(U91,$B$11-SUM(X91:AD91)-SUM(V91:W91)))</f>
        <v>0</v>
      </c>
      <c r="AF91" s="27" t="n">
        <f aca="false">MIN(J90*(1+J$8),MAX(V91,$B$11-SUM(X91:AE91)-SUM(W91:W91)))</f>
        <v>0</v>
      </c>
      <c r="AG91" s="27" t="n">
        <f aca="false">MIN(K90*(1+K$8),MAX(W91,$B$11-SUM(X91:AF91)))</f>
        <v>0</v>
      </c>
      <c r="AI91" s="27" t="n">
        <f aca="false">ROUND(MAX(0,AI90*(1+B$8)-BE91),2)</f>
        <v>0</v>
      </c>
      <c r="AJ91" s="27" t="n">
        <f aca="false">ROUND(MAX(0,AJ90*(1+C$8)-BF91),2)</f>
        <v>0</v>
      </c>
      <c r="AK91" s="27" t="n">
        <f aca="false">ROUND(MAX(0,AK90*(1+D$8)-BG91),2)</f>
        <v>0</v>
      </c>
      <c r="AL91" s="27" t="n">
        <f aca="false">ROUND(MAX(0,AL90*(1+E$8)-BH91),2)</f>
        <v>0</v>
      </c>
      <c r="AM91" s="27" t="n">
        <f aca="false">ROUND(MAX(0,AM90*(1+F$8)-BI91),2)</f>
        <v>0</v>
      </c>
      <c r="AN91" s="27" t="n">
        <f aca="false">ROUND(MAX(0,AN90*(1+G$8)-BJ91),2)</f>
        <v>0</v>
      </c>
      <c r="AO91" s="27" t="n">
        <f aca="false">ROUND(MAX(0,AO90*(1+H$8)-BK91),2)</f>
        <v>0</v>
      </c>
      <c r="AP91" s="27" t="n">
        <f aca="false">ROUND(MAX(0,AP90*(1+I$8)-BL91),2)</f>
        <v>0</v>
      </c>
      <c r="AQ91" s="27" t="n">
        <f aca="false">ROUND(MAX(0,AQ90*(1+J$8)-BM91),2)</f>
        <v>0</v>
      </c>
      <c r="AR91" s="27" t="n">
        <f aca="false">ROUND(MAX(0,AR90*(1+K$8)-BN91),2)</f>
        <v>0</v>
      </c>
      <c r="AS91" s="27" t="n">
        <f aca="false">SUM(AI91:AR91)</f>
        <v>0</v>
      </c>
      <c r="AT91" s="27" t="n">
        <f aca="false">SUMPRODUCT(AI90:AR90,$B$8:$K$8)</f>
        <v>0</v>
      </c>
      <c r="AU91" s="27" t="n">
        <f aca="false">MIN(AI90*(1+B$8),B$9)</f>
        <v>0</v>
      </c>
      <c r="AV91" s="27" t="n">
        <f aca="false">MIN(AJ90*(1+C$8),C$9)</f>
        <v>0</v>
      </c>
      <c r="AW91" s="27" t="n">
        <f aca="false">MIN(AK90*(1+D$8),D$9)</f>
        <v>0</v>
      </c>
      <c r="AX91" s="27" t="n">
        <f aca="false">MIN(AL90*(1+E$8),E$9)</f>
        <v>0</v>
      </c>
      <c r="AY91" s="27" t="n">
        <f aca="false">MIN(AM90*(1+F$8),F$9)</f>
        <v>0</v>
      </c>
      <c r="AZ91" s="27" t="n">
        <f aca="false">MIN(AN90*(1+G$8),G$9)</f>
        <v>0</v>
      </c>
      <c r="BA91" s="27" t="n">
        <f aca="false">MIN(AO90*(1+H$8),H$9)</f>
        <v>0</v>
      </c>
      <c r="BB91" s="27" t="n">
        <f aca="false">MIN(AP90*(1+I$8),I$9)</f>
        <v>0</v>
      </c>
      <c r="BC91" s="27" t="n">
        <f aca="false">MIN(AQ90*(1+J$8),J$9)</f>
        <v>0</v>
      </c>
      <c r="BD91" s="27" t="n">
        <f aca="false">MIN(AR90*(1+K$8),K$9)</f>
        <v>0</v>
      </c>
      <c r="BE91" s="27" t="n">
        <f aca="false">MIN(AI90*(1+B$8),MAX(AU91,$B$12-SUM(AV91:BD91)))</f>
        <v>0</v>
      </c>
      <c r="BF91" s="27" t="n">
        <f aca="false">MIN(AJ90*(1+C$8),MAX(AV91,$B$12-SUM(BE91:BE91)-SUM(AW91:BD91)))</f>
        <v>0</v>
      </c>
      <c r="BG91" s="27" t="n">
        <f aca="false">MIN(AK90*(1+D$8),MAX(AW91,$B$12-SUM(BE91:BF91)-SUM(AX91:BD91)))</f>
        <v>0</v>
      </c>
      <c r="BH91" s="27" t="n">
        <f aca="false">MIN(AL90*(1+E$8),MAX(AX91,$B$12-SUM(BE91:BG91)-SUM(AY91:BD91)))</f>
        <v>0</v>
      </c>
      <c r="BI91" s="27" t="n">
        <f aca="false">MIN(AM90*(1+F$8),MAX(AY91,$B$12-SUM(BE91:BH91)-SUM(AZ91:BD91)))</f>
        <v>0</v>
      </c>
      <c r="BJ91" s="27" t="n">
        <f aca="false">MIN(AN90*(1+G$8),MAX(AZ91,$B$12-SUM(BE91:BI91)-SUM(BA91:BD91)))</f>
        <v>0</v>
      </c>
      <c r="BK91" s="27" t="n">
        <f aca="false">MIN(AO90*(1+H$8),MAX(BA91,$B$12-SUM(BE91:BJ91)-SUM(BB91:BD91)))</f>
        <v>0</v>
      </c>
      <c r="BL91" s="27" t="n">
        <f aca="false">MIN(AP90*(1+I$8),MAX(BB91,$B$12-SUM(BE91:BK91)-SUM(BC91:BD91)))</f>
        <v>0</v>
      </c>
      <c r="BM91" s="27" t="n">
        <f aca="false">MIN(AQ90*(1+J$8),MAX(BC91,$B$12-SUM(BE91:BL91)-SUM(BD91:BD91)))</f>
        <v>0</v>
      </c>
      <c r="BN91" s="27" t="n">
        <f aca="false">MIN(AR90*(1+K$8),MAX(BD91,$B$12-SUM(BE91:BM91)))</f>
        <v>0</v>
      </c>
    </row>
    <row r="92" customFormat="false" ht="15" hidden="false" customHeight="false" outlineLevel="0" collapsed="false">
      <c r="A92" s="0" t="n">
        <v>78</v>
      </c>
      <c r="B92" s="27" t="n">
        <f aca="false">ROUND(MAX(0,B91*(1+B$8)-X92),2)</f>
        <v>0</v>
      </c>
      <c r="C92" s="27" t="n">
        <f aca="false">ROUND(MAX(0,C91*(1+C$8)-Y92),2)</f>
        <v>0</v>
      </c>
      <c r="D92" s="27" t="n">
        <f aca="false">ROUND(MAX(0,D91*(1+D$8)-Z92),2)</f>
        <v>0</v>
      </c>
      <c r="E92" s="27" t="n">
        <f aca="false">ROUND(MAX(0,E91*(1+E$8)-AA92),2)</f>
        <v>0</v>
      </c>
      <c r="F92" s="27" t="n">
        <f aca="false">ROUND(MAX(0,F91*(1+F$8)-AB92),2)</f>
        <v>0</v>
      </c>
      <c r="G92" s="27" t="n">
        <f aca="false">ROUND(MAX(0,G91*(1+G$8)-AC92),2)</f>
        <v>0</v>
      </c>
      <c r="H92" s="27" t="n">
        <f aca="false">ROUND(MAX(0,H91*(1+H$8)-AD92),2)</f>
        <v>0</v>
      </c>
      <c r="I92" s="27" t="n">
        <f aca="false">ROUND(MAX(0,I91*(1+I$8)-AE92),2)</f>
        <v>0</v>
      </c>
      <c r="J92" s="27" t="n">
        <f aca="false">ROUND(MAX(0,J91*(1+J$8)-AF92),2)</f>
        <v>0</v>
      </c>
      <c r="K92" s="27" t="n">
        <f aca="false">ROUND(MAX(0,K91*(1+K$8)-AG92),2)</f>
        <v>0</v>
      </c>
      <c r="L92" s="30" t="n">
        <f aca="false">SUM(B92:K92)</f>
        <v>0</v>
      </c>
      <c r="M92" s="27" t="n">
        <f aca="false">SUMPRODUCT(B91:K91,$B$8:$K$8)</f>
        <v>0</v>
      </c>
      <c r="N92" s="27" t="n">
        <f aca="false">MIN(B91*(1+B$8),B$9)</f>
        <v>0</v>
      </c>
      <c r="O92" s="27" t="n">
        <f aca="false">MIN(C91*(1+C$8),C$9)</f>
        <v>0</v>
      </c>
      <c r="P92" s="27" t="n">
        <f aca="false">MIN(D91*(1+D$8),D$9)</f>
        <v>0</v>
      </c>
      <c r="Q92" s="27" t="n">
        <f aca="false">MIN(E91*(1+E$8),E$9)</f>
        <v>0</v>
      </c>
      <c r="R92" s="27" t="n">
        <f aca="false">MIN(F91*(1+F$8),F$9)</f>
        <v>0</v>
      </c>
      <c r="S92" s="27" t="n">
        <f aca="false">MIN(G91*(1+G$8),G$9)</f>
        <v>0</v>
      </c>
      <c r="T92" s="27" t="n">
        <f aca="false">MIN(H91*(1+H$8),H$9)</f>
        <v>0</v>
      </c>
      <c r="U92" s="27" t="n">
        <f aca="false">MIN(I91*(1+I$8),I$9)</f>
        <v>0</v>
      </c>
      <c r="V92" s="27" t="n">
        <f aca="false">MIN(J91*(1+J$8),J$9)</f>
        <v>0</v>
      </c>
      <c r="W92" s="27" t="n">
        <f aca="false">MIN(K91*(1+K$8),K$9)</f>
        <v>0</v>
      </c>
      <c r="X92" s="27" t="n">
        <f aca="false">MIN(B91*(1+B$8),MAX(N92,$B$11-SUM(O92:W92)))</f>
        <v>0</v>
      </c>
      <c r="Y92" s="27" t="n">
        <f aca="false">MIN(C91*(1+C$8),MAX(O92,$B$11-SUM(X92:X92)-SUM(P92:W92)))</f>
        <v>0</v>
      </c>
      <c r="Z92" s="27" t="n">
        <f aca="false">MIN(D91*(1+D$8),MAX(P92,$B$11-SUM(X92:Y92)-SUM(Q92:W92)))</f>
        <v>0</v>
      </c>
      <c r="AA92" s="27" t="n">
        <f aca="false">MIN(E91*(1+E$8),MAX(Q92,$B$11-SUM(X92:Z92)-SUM(R92:W92)))</f>
        <v>0</v>
      </c>
      <c r="AB92" s="27" t="n">
        <f aca="false">MIN(F91*(1+F$8),MAX(R92,$B$11-SUM(X92:AA92)-SUM(S92:W92)))</f>
        <v>0</v>
      </c>
      <c r="AC92" s="27" t="n">
        <f aca="false">MIN(G91*(1+G$8),MAX(S92,$B$11-SUM(X92:AB92)-SUM(T92:W92)))</f>
        <v>0</v>
      </c>
      <c r="AD92" s="27" t="n">
        <f aca="false">MIN(H91*(1+H$8),MAX(T92,$B$11-SUM(X92:AC92)-SUM(U92:W92)))</f>
        <v>0</v>
      </c>
      <c r="AE92" s="27" t="n">
        <f aca="false">MIN(I91*(1+I$8),MAX(U92,$B$11-SUM(X92:AD92)-SUM(V92:W92)))</f>
        <v>0</v>
      </c>
      <c r="AF92" s="27" t="n">
        <f aca="false">MIN(J91*(1+J$8),MAX(V92,$B$11-SUM(X92:AE92)-SUM(W92:W92)))</f>
        <v>0</v>
      </c>
      <c r="AG92" s="27" t="n">
        <f aca="false">MIN(K91*(1+K$8),MAX(W92,$B$11-SUM(X92:AF92)))</f>
        <v>0</v>
      </c>
      <c r="AI92" s="27" t="n">
        <f aca="false">ROUND(MAX(0,AI91*(1+B$8)-BE92),2)</f>
        <v>0</v>
      </c>
      <c r="AJ92" s="27" t="n">
        <f aca="false">ROUND(MAX(0,AJ91*(1+C$8)-BF92),2)</f>
        <v>0</v>
      </c>
      <c r="AK92" s="27" t="n">
        <f aca="false">ROUND(MAX(0,AK91*(1+D$8)-BG92),2)</f>
        <v>0</v>
      </c>
      <c r="AL92" s="27" t="n">
        <f aca="false">ROUND(MAX(0,AL91*(1+E$8)-BH92),2)</f>
        <v>0</v>
      </c>
      <c r="AM92" s="27" t="n">
        <f aca="false">ROUND(MAX(0,AM91*(1+F$8)-BI92),2)</f>
        <v>0</v>
      </c>
      <c r="AN92" s="27" t="n">
        <f aca="false">ROUND(MAX(0,AN91*(1+G$8)-BJ92),2)</f>
        <v>0</v>
      </c>
      <c r="AO92" s="27" t="n">
        <f aca="false">ROUND(MAX(0,AO91*(1+H$8)-BK92),2)</f>
        <v>0</v>
      </c>
      <c r="AP92" s="27" t="n">
        <f aca="false">ROUND(MAX(0,AP91*(1+I$8)-BL92),2)</f>
        <v>0</v>
      </c>
      <c r="AQ92" s="27" t="n">
        <f aca="false">ROUND(MAX(0,AQ91*(1+J$8)-BM92),2)</f>
        <v>0</v>
      </c>
      <c r="AR92" s="27" t="n">
        <f aca="false">ROUND(MAX(0,AR91*(1+K$8)-BN92),2)</f>
        <v>0</v>
      </c>
      <c r="AS92" s="27" t="n">
        <f aca="false">SUM(AI92:AR92)</f>
        <v>0</v>
      </c>
      <c r="AT92" s="27" t="n">
        <f aca="false">SUMPRODUCT(AI91:AR91,$B$8:$K$8)</f>
        <v>0</v>
      </c>
      <c r="AU92" s="27" t="n">
        <f aca="false">MIN(AI91*(1+B$8),B$9)</f>
        <v>0</v>
      </c>
      <c r="AV92" s="27" t="n">
        <f aca="false">MIN(AJ91*(1+C$8),C$9)</f>
        <v>0</v>
      </c>
      <c r="AW92" s="27" t="n">
        <f aca="false">MIN(AK91*(1+D$8),D$9)</f>
        <v>0</v>
      </c>
      <c r="AX92" s="27" t="n">
        <f aca="false">MIN(AL91*(1+E$8),E$9)</f>
        <v>0</v>
      </c>
      <c r="AY92" s="27" t="n">
        <f aca="false">MIN(AM91*(1+F$8),F$9)</f>
        <v>0</v>
      </c>
      <c r="AZ92" s="27" t="n">
        <f aca="false">MIN(AN91*(1+G$8),G$9)</f>
        <v>0</v>
      </c>
      <c r="BA92" s="27" t="n">
        <f aca="false">MIN(AO91*(1+H$8),H$9)</f>
        <v>0</v>
      </c>
      <c r="BB92" s="27" t="n">
        <f aca="false">MIN(AP91*(1+I$8),I$9)</f>
        <v>0</v>
      </c>
      <c r="BC92" s="27" t="n">
        <f aca="false">MIN(AQ91*(1+J$8),J$9)</f>
        <v>0</v>
      </c>
      <c r="BD92" s="27" t="n">
        <f aca="false">MIN(AR91*(1+K$8),K$9)</f>
        <v>0</v>
      </c>
      <c r="BE92" s="27" t="n">
        <f aca="false">MIN(AI91*(1+B$8),MAX(AU92,$B$12-SUM(AV92:BD92)))</f>
        <v>0</v>
      </c>
      <c r="BF92" s="27" t="n">
        <f aca="false">MIN(AJ91*(1+C$8),MAX(AV92,$B$12-SUM(BE92:BE92)-SUM(AW92:BD92)))</f>
        <v>0</v>
      </c>
      <c r="BG92" s="27" t="n">
        <f aca="false">MIN(AK91*(1+D$8),MAX(AW92,$B$12-SUM(BE92:BF92)-SUM(AX92:BD92)))</f>
        <v>0</v>
      </c>
      <c r="BH92" s="27" t="n">
        <f aca="false">MIN(AL91*(1+E$8),MAX(AX92,$B$12-SUM(BE92:BG92)-SUM(AY92:BD92)))</f>
        <v>0</v>
      </c>
      <c r="BI92" s="27" t="n">
        <f aca="false">MIN(AM91*(1+F$8),MAX(AY92,$B$12-SUM(BE92:BH92)-SUM(AZ92:BD92)))</f>
        <v>0</v>
      </c>
      <c r="BJ92" s="27" t="n">
        <f aca="false">MIN(AN91*(1+G$8),MAX(AZ92,$B$12-SUM(BE92:BI92)-SUM(BA92:BD92)))</f>
        <v>0</v>
      </c>
      <c r="BK92" s="27" t="n">
        <f aca="false">MIN(AO91*(1+H$8),MAX(BA92,$B$12-SUM(BE92:BJ92)-SUM(BB92:BD92)))</f>
        <v>0</v>
      </c>
      <c r="BL92" s="27" t="n">
        <f aca="false">MIN(AP91*(1+I$8),MAX(BB92,$B$12-SUM(BE92:BK92)-SUM(BC92:BD92)))</f>
        <v>0</v>
      </c>
      <c r="BM92" s="27" t="n">
        <f aca="false">MIN(AQ91*(1+J$8),MAX(BC92,$B$12-SUM(BE92:BL92)-SUM(BD92:BD92)))</f>
        <v>0</v>
      </c>
      <c r="BN92" s="27" t="n">
        <f aca="false">MIN(AR91*(1+K$8),MAX(BD92,$B$12-SUM(BE92:BM92)))</f>
        <v>0</v>
      </c>
    </row>
    <row r="93" customFormat="false" ht="15" hidden="false" customHeight="false" outlineLevel="0" collapsed="false">
      <c r="A93" s="0" t="n">
        <v>79</v>
      </c>
      <c r="B93" s="27" t="n">
        <f aca="false">ROUND(MAX(0,B92*(1+B$8)-X93),2)</f>
        <v>0</v>
      </c>
      <c r="C93" s="27" t="n">
        <f aca="false">ROUND(MAX(0,C92*(1+C$8)-Y93),2)</f>
        <v>0</v>
      </c>
      <c r="D93" s="27" t="n">
        <f aca="false">ROUND(MAX(0,D92*(1+D$8)-Z93),2)</f>
        <v>0</v>
      </c>
      <c r="E93" s="27" t="n">
        <f aca="false">ROUND(MAX(0,E92*(1+E$8)-AA93),2)</f>
        <v>0</v>
      </c>
      <c r="F93" s="27" t="n">
        <f aca="false">ROUND(MAX(0,F92*(1+F$8)-AB93),2)</f>
        <v>0</v>
      </c>
      <c r="G93" s="27" t="n">
        <f aca="false">ROUND(MAX(0,G92*(1+G$8)-AC93),2)</f>
        <v>0</v>
      </c>
      <c r="H93" s="27" t="n">
        <f aca="false">ROUND(MAX(0,H92*(1+H$8)-AD93),2)</f>
        <v>0</v>
      </c>
      <c r="I93" s="27" t="n">
        <f aca="false">ROUND(MAX(0,I92*(1+I$8)-AE93),2)</f>
        <v>0</v>
      </c>
      <c r="J93" s="27" t="n">
        <f aca="false">ROUND(MAX(0,J92*(1+J$8)-AF93),2)</f>
        <v>0</v>
      </c>
      <c r="K93" s="27" t="n">
        <f aca="false">ROUND(MAX(0,K92*(1+K$8)-AG93),2)</f>
        <v>0</v>
      </c>
      <c r="L93" s="30" t="n">
        <f aca="false">SUM(B93:K93)</f>
        <v>0</v>
      </c>
      <c r="M93" s="27" t="n">
        <f aca="false">SUMPRODUCT(B92:K92,$B$8:$K$8)</f>
        <v>0</v>
      </c>
      <c r="N93" s="27" t="n">
        <f aca="false">MIN(B92*(1+B$8),B$9)</f>
        <v>0</v>
      </c>
      <c r="O93" s="27" t="n">
        <f aca="false">MIN(C92*(1+C$8),C$9)</f>
        <v>0</v>
      </c>
      <c r="P93" s="27" t="n">
        <f aca="false">MIN(D92*(1+D$8),D$9)</f>
        <v>0</v>
      </c>
      <c r="Q93" s="27" t="n">
        <f aca="false">MIN(E92*(1+E$8),E$9)</f>
        <v>0</v>
      </c>
      <c r="R93" s="27" t="n">
        <f aca="false">MIN(F92*(1+F$8),F$9)</f>
        <v>0</v>
      </c>
      <c r="S93" s="27" t="n">
        <f aca="false">MIN(G92*(1+G$8),G$9)</f>
        <v>0</v>
      </c>
      <c r="T93" s="27" t="n">
        <f aca="false">MIN(H92*(1+H$8),H$9)</f>
        <v>0</v>
      </c>
      <c r="U93" s="27" t="n">
        <f aca="false">MIN(I92*(1+I$8),I$9)</f>
        <v>0</v>
      </c>
      <c r="V93" s="27" t="n">
        <f aca="false">MIN(J92*(1+J$8),J$9)</f>
        <v>0</v>
      </c>
      <c r="W93" s="27" t="n">
        <f aca="false">MIN(K92*(1+K$8),K$9)</f>
        <v>0</v>
      </c>
      <c r="X93" s="27" t="n">
        <f aca="false">MIN(B92*(1+B$8),MAX(N93,$B$11-SUM(O93:W93)))</f>
        <v>0</v>
      </c>
      <c r="Y93" s="27" t="n">
        <f aca="false">MIN(C92*(1+C$8),MAX(O93,$B$11-SUM(X93:X93)-SUM(P93:W93)))</f>
        <v>0</v>
      </c>
      <c r="Z93" s="27" t="n">
        <f aca="false">MIN(D92*(1+D$8),MAX(P93,$B$11-SUM(X93:Y93)-SUM(Q93:W93)))</f>
        <v>0</v>
      </c>
      <c r="AA93" s="27" t="n">
        <f aca="false">MIN(E92*(1+E$8),MAX(Q93,$B$11-SUM(X93:Z93)-SUM(R93:W93)))</f>
        <v>0</v>
      </c>
      <c r="AB93" s="27" t="n">
        <f aca="false">MIN(F92*(1+F$8),MAX(R93,$B$11-SUM(X93:AA93)-SUM(S93:W93)))</f>
        <v>0</v>
      </c>
      <c r="AC93" s="27" t="n">
        <f aca="false">MIN(G92*(1+G$8),MAX(S93,$B$11-SUM(X93:AB93)-SUM(T93:W93)))</f>
        <v>0</v>
      </c>
      <c r="AD93" s="27" t="n">
        <f aca="false">MIN(H92*(1+H$8),MAX(T93,$B$11-SUM(X93:AC93)-SUM(U93:W93)))</f>
        <v>0</v>
      </c>
      <c r="AE93" s="27" t="n">
        <f aca="false">MIN(I92*(1+I$8),MAX(U93,$B$11-SUM(X93:AD93)-SUM(V93:W93)))</f>
        <v>0</v>
      </c>
      <c r="AF93" s="27" t="n">
        <f aca="false">MIN(J92*(1+J$8),MAX(V93,$B$11-SUM(X93:AE93)-SUM(W93:W93)))</f>
        <v>0</v>
      </c>
      <c r="AG93" s="27" t="n">
        <f aca="false">MIN(K92*(1+K$8),MAX(W93,$B$11-SUM(X93:AF93)))</f>
        <v>0</v>
      </c>
      <c r="AI93" s="27" t="n">
        <f aca="false">ROUND(MAX(0,AI92*(1+B$8)-BE93),2)</f>
        <v>0</v>
      </c>
      <c r="AJ93" s="27" t="n">
        <f aca="false">ROUND(MAX(0,AJ92*(1+C$8)-BF93),2)</f>
        <v>0</v>
      </c>
      <c r="AK93" s="27" t="n">
        <f aca="false">ROUND(MAX(0,AK92*(1+D$8)-BG93),2)</f>
        <v>0</v>
      </c>
      <c r="AL93" s="27" t="n">
        <f aca="false">ROUND(MAX(0,AL92*(1+E$8)-BH93),2)</f>
        <v>0</v>
      </c>
      <c r="AM93" s="27" t="n">
        <f aca="false">ROUND(MAX(0,AM92*(1+F$8)-BI93),2)</f>
        <v>0</v>
      </c>
      <c r="AN93" s="27" t="n">
        <f aca="false">ROUND(MAX(0,AN92*(1+G$8)-BJ93),2)</f>
        <v>0</v>
      </c>
      <c r="AO93" s="27" t="n">
        <f aca="false">ROUND(MAX(0,AO92*(1+H$8)-BK93),2)</f>
        <v>0</v>
      </c>
      <c r="AP93" s="27" t="n">
        <f aca="false">ROUND(MAX(0,AP92*(1+I$8)-BL93),2)</f>
        <v>0</v>
      </c>
      <c r="AQ93" s="27" t="n">
        <f aca="false">ROUND(MAX(0,AQ92*(1+J$8)-BM93),2)</f>
        <v>0</v>
      </c>
      <c r="AR93" s="27" t="n">
        <f aca="false">ROUND(MAX(0,AR92*(1+K$8)-BN93),2)</f>
        <v>0</v>
      </c>
      <c r="AS93" s="27" t="n">
        <f aca="false">SUM(AI93:AR93)</f>
        <v>0</v>
      </c>
      <c r="AT93" s="27" t="n">
        <f aca="false">SUMPRODUCT(AI92:AR92,$B$8:$K$8)</f>
        <v>0</v>
      </c>
      <c r="AU93" s="27" t="n">
        <f aca="false">MIN(AI92*(1+B$8),B$9)</f>
        <v>0</v>
      </c>
      <c r="AV93" s="27" t="n">
        <f aca="false">MIN(AJ92*(1+C$8),C$9)</f>
        <v>0</v>
      </c>
      <c r="AW93" s="27" t="n">
        <f aca="false">MIN(AK92*(1+D$8),D$9)</f>
        <v>0</v>
      </c>
      <c r="AX93" s="27" t="n">
        <f aca="false">MIN(AL92*(1+E$8),E$9)</f>
        <v>0</v>
      </c>
      <c r="AY93" s="27" t="n">
        <f aca="false">MIN(AM92*(1+F$8),F$9)</f>
        <v>0</v>
      </c>
      <c r="AZ93" s="27" t="n">
        <f aca="false">MIN(AN92*(1+G$8),G$9)</f>
        <v>0</v>
      </c>
      <c r="BA93" s="27" t="n">
        <f aca="false">MIN(AO92*(1+H$8),H$9)</f>
        <v>0</v>
      </c>
      <c r="BB93" s="27" t="n">
        <f aca="false">MIN(AP92*(1+I$8),I$9)</f>
        <v>0</v>
      </c>
      <c r="BC93" s="27" t="n">
        <f aca="false">MIN(AQ92*(1+J$8),J$9)</f>
        <v>0</v>
      </c>
      <c r="BD93" s="27" t="n">
        <f aca="false">MIN(AR92*(1+K$8),K$9)</f>
        <v>0</v>
      </c>
      <c r="BE93" s="27" t="n">
        <f aca="false">MIN(AI92*(1+B$8),MAX(AU93,$B$12-SUM(AV93:BD93)))</f>
        <v>0</v>
      </c>
      <c r="BF93" s="27" t="n">
        <f aca="false">MIN(AJ92*(1+C$8),MAX(AV93,$B$12-SUM(BE93:BE93)-SUM(AW93:BD93)))</f>
        <v>0</v>
      </c>
      <c r="BG93" s="27" t="n">
        <f aca="false">MIN(AK92*(1+D$8),MAX(AW93,$B$12-SUM(BE93:BF93)-SUM(AX93:BD93)))</f>
        <v>0</v>
      </c>
      <c r="BH93" s="27" t="n">
        <f aca="false">MIN(AL92*(1+E$8),MAX(AX93,$B$12-SUM(BE93:BG93)-SUM(AY93:BD93)))</f>
        <v>0</v>
      </c>
      <c r="BI93" s="27" t="n">
        <f aca="false">MIN(AM92*(1+F$8),MAX(AY93,$B$12-SUM(BE93:BH93)-SUM(AZ93:BD93)))</f>
        <v>0</v>
      </c>
      <c r="BJ93" s="27" t="n">
        <f aca="false">MIN(AN92*(1+G$8),MAX(AZ93,$B$12-SUM(BE93:BI93)-SUM(BA93:BD93)))</f>
        <v>0</v>
      </c>
      <c r="BK93" s="27" t="n">
        <f aca="false">MIN(AO92*(1+H$8),MAX(BA93,$B$12-SUM(BE93:BJ93)-SUM(BB93:BD93)))</f>
        <v>0</v>
      </c>
      <c r="BL93" s="27" t="n">
        <f aca="false">MIN(AP92*(1+I$8),MAX(BB93,$B$12-SUM(BE93:BK93)-SUM(BC93:BD93)))</f>
        <v>0</v>
      </c>
      <c r="BM93" s="27" t="n">
        <f aca="false">MIN(AQ92*(1+J$8),MAX(BC93,$B$12-SUM(BE93:BL93)-SUM(BD93:BD93)))</f>
        <v>0</v>
      </c>
      <c r="BN93" s="27" t="n">
        <f aca="false">MIN(AR92*(1+K$8),MAX(BD93,$B$12-SUM(BE93:BM93)))</f>
        <v>0</v>
      </c>
    </row>
    <row r="94" customFormat="false" ht="15" hidden="false" customHeight="false" outlineLevel="0" collapsed="false">
      <c r="A94" s="0" t="n">
        <v>80</v>
      </c>
      <c r="B94" s="27" t="n">
        <f aca="false">ROUND(MAX(0,B93*(1+B$8)-X94),2)</f>
        <v>0</v>
      </c>
      <c r="C94" s="27" t="n">
        <f aca="false">ROUND(MAX(0,C93*(1+C$8)-Y94),2)</f>
        <v>0</v>
      </c>
      <c r="D94" s="27" t="n">
        <f aca="false">ROUND(MAX(0,D93*(1+D$8)-Z94),2)</f>
        <v>0</v>
      </c>
      <c r="E94" s="27" t="n">
        <f aca="false">ROUND(MAX(0,E93*(1+E$8)-AA94),2)</f>
        <v>0</v>
      </c>
      <c r="F94" s="27" t="n">
        <f aca="false">ROUND(MAX(0,F93*(1+F$8)-AB94),2)</f>
        <v>0</v>
      </c>
      <c r="G94" s="27" t="n">
        <f aca="false">ROUND(MAX(0,G93*(1+G$8)-AC94),2)</f>
        <v>0</v>
      </c>
      <c r="H94" s="27" t="n">
        <f aca="false">ROUND(MAX(0,H93*(1+H$8)-AD94),2)</f>
        <v>0</v>
      </c>
      <c r="I94" s="27" t="n">
        <f aca="false">ROUND(MAX(0,I93*(1+I$8)-AE94),2)</f>
        <v>0</v>
      </c>
      <c r="J94" s="27" t="n">
        <f aca="false">ROUND(MAX(0,J93*(1+J$8)-AF94),2)</f>
        <v>0</v>
      </c>
      <c r="K94" s="27" t="n">
        <f aca="false">ROUND(MAX(0,K93*(1+K$8)-AG94),2)</f>
        <v>0</v>
      </c>
      <c r="L94" s="30" t="n">
        <f aca="false">SUM(B94:K94)</f>
        <v>0</v>
      </c>
      <c r="M94" s="27" t="n">
        <f aca="false">SUMPRODUCT(B93:K93,$B$8:$K$8)</f>
        <v>0</v>
      </c>
      <c r="N94" s="27" t="n">
        <f aca="false">MIN(B93*(1+B$8),B$9)</f>
        <v>0</v>
      </c>
      <c r="O94" s="27" t="n">
        <f aca="false">MIN(C93*(1+C$8),C$9)</f>
        <v>0</v>
      </c>
      <c r="P94" s="27" t="n">
        <f aca="false">MIN(D93*(1+D$8),D$9)</f>
        <v>0</v>
      </c>
      <c r="Q94" s="27" t="n">
        <f aca="false">MIN(E93*(1+E$8),E$9)</f>
        <v>0</v>
      </c>
      <c r="R94" s="27" t="n">
        <f aca="false">MIN(F93*(1+F$8),F$9)</f>
        <v>0</v>
      </c>
      <c r="S94" s="27" t="n">
        <f aca="false">MIN(G93*(1+G$8),G$9)</f>
        <v>0</v>
      </c>
      <c r="T94" s="27" t="n">
        <f aca="false">MIN(H93*(1+H$8),H$9)</f>
        <v>0</v>
      </c>
      <c r="U94" s="27" t="n">
        <f aca="false">MIN(I93*(1+I$8),I$9)</f>
        <v>0</v>
      </c>
      <c r="V94" s="27" t="n">
        <f aca="false">MIN(J93*(1+J$8),J$9)</f>
        <v>0</v>
      </c>
      <c r="W94" s="27" t="n">
        <f aca="false">MIN(K93*(1+K$8),K$9)</f>
        <v>0</v>
      </c>
      <c r="X94" s="27" t="n">
        <f aca="false">MIN(B93*(1+B$8),MAX(N94,$B$11-SUM(O94:W94)))</f>
        <v>0</v>
      </c>
      <c r="Y94" s="27" t="n">
        <f aca="false">MIN(C93*(1+C$8),MAX(O94,$B$11-SUM(X94:X94)-SUM(P94:W94)))</f>
        <v>0</v>
      </c>
      <c r="Z94" s="27" t="n">
        <f aca="false">MIN(D93*(1+D$8),MAX(P94,$B$11-SUM(X94:Y94)-SUM(Q94:W94)))</f>
        <v>0</v>
      </c>
      <c r="AA94" s="27" t="n">
        <f aca="false">MIN(E93*(1+E$8),MAX(Q94,$B$11-SUM(X94:Z94)-SUM(R94:W94)))</f>
        <v>0</v>
      </c>
      <c r="AB94" s="27" t="n">
        <f aca="false">MIN(F93*(1+F$8),MAX(R94,$B$11-SUM(X94:AA94)-SUM(S94:W94)))</f>
        <v>0</v>
      </c>
      <c r="AC94" s="27" t="n">
        <f aca="false">MIN(G93*(1+G$8),MAX(S94,$B$11-SUM(X94:AB94)-SUM(T94:W94)))</f>
        <v>0</v>
      </c>
      <c r="AD94" s="27" t="n">
        <f aca="false">MIN(H93*(1+H$8),MAX(T94,$B$11-SUM(X94:AC94)-SUM(U94:W94)))</f>
        <v>0</v>
      </c>
      <c r="AE94" s="27" t="n">
        <f aca="false">MIN(I93*(1+I$8),MAX(U94,$B$11-SUM(X94:AD94)-SUM(V94:W94)))</f>
        <v>0</v>
      </c>
      <c r="AF94" s="27" t="n">
        <f aca="false">MIN(J93*(1+J$8),MAX(V94,$B$11-SUM(X94:AE94)-SUM(W94:W94)))</f>
        <v>0</v>
      </c>
      <c r="AG94" s="27" t="n">
        <f aca="false">MIN(K93*(1+K$8),MAX(W94,$B$11-SUM(X94:AF94)))</f>
        <v>0</v>
      </c>
      <c r="AI94" s="27" t="n">
        <f aca="false">ROUND(MAX(0,AI93*(1+B$8)-BE94),2)</f>
        <v>0</v>
      </c>
      <c r="AJ94" s="27" t="n">
        <f aca="false">ROUND(MAX(0,AJ93*(1+C$8)-BF94),2)</f>
        <v>0</v>
      </c>
      <c r="AK94" s="27" t="n">
        <f aca="false">ROUND(MAX(0,AK93*(1+D$8)-BG94),2)</f>
        <v>0</v>
      </c>
      <c r="AL94" s="27" t="n">
        <f aca="false">ROUND(MAX(0,AL93*(1+E$8)-BH94),2)</f>
        <v>0</v>
      </c>
      <c r="AM94" s="27" t="n">
        <f aca="false">ROUND(MAX(0,AM93*(1+F$8)-BI94),2)</f>
        <v>0</v>
      </c>
      <c r="AN94" s="27" t="n">
        <f aca="false">ROUND(MAX(0,AN93*(1+G$8)-BJ94),2)</f>
        <v>0</v>
      </c>
      <c r="AO94" s="27" t="n">
        <f aca="false">ROUND(MAX(0,AO93*(1+H$8)-BK94),2)</f>
        <v>0</v>
      </c>
      <c r="AP94" s="27" t="n">
        <f aca="false">ROUND(MAX(0,AP93*(1+I$8)-BL94),2)</f>
        <v>0</v>
      </c>
      <c r="AQ94" s="27" t="n">
        <f aca="false">ROUND(MAX(0,AQ93*(1+J$8)-BM94),2)</f>
        <v>0</v>
      </c>
      <c r="AR94" s="27" t="n">
        <f aca="false">ROUND(MAX(0,AR93*(1+K$8)-BN94),2)</f>
        <v>0</v>
      </c>
      <c r="AS94" s="27" t="n">
        <f aca="false">SUM(AI94:AR94)</f>
        <v>0</v>
      </c>
      <c r="AT94" s="27" t="n">
        <f aca="false">SUMPRODUCT(AI93:AR93,$B$8:$K$8)</f>
        <v>0</v>
      </c>
      <c r="AU94" s="27" t="n">
        <f aca="false">MIN(AI93*(1+B$8),B$9)</f>
        <v>0</v>
      </c>
      <c r="AV94" s="27" t="n">
        <f aca="false">MIN(AJ93*(1+C$8),C$9)</f>
        <v>0</v>
      </c>
      <c r="AW94" s="27" t="n">
        <f aca="false">MIN(AK93*(1+D$8),D$9)</f>
        <v>0</v>
      </c>
      <c r="AX94" s="27" t="n">
        <f aca="false">MIN(AL93*(1+E$8),E$9)</f>
        <v>0</v>
      </c>
      <c r="AY94" s="27" t="n">
        <f aca="false">MIN(AM93*(1+F$8),F$9)</f>
        <v>0</v>
      </c>
      <c r="AZ94" s="27" t="n">
        <f aca="false">MIN(AN93*(1+G$8),G$9)</f>
        <v>0</v>
      </c>
      <c r="BA94" s="27" t="n">
        <f aca="false">MIN(AO93*(1+H$8),H$9)</f>
        <v>0</v>
      </c>
      <c r="BB94" s="27" t="n">
        <f aca="false">MIN(AP93*(1+I$8),I$9)</f>
        <v>0</v>
      </c>
      <c r="BC94" s="27" t="n">
        <f aca="false">MIN(AQ93*(1+J$8),J$9)</f>
        <v>0</v>
      </c>
      <c r="BD94" s="27" t="n">
        <f aca="false">MIN(AR93*(1+K$8),K$9)</f>
        <v>0</v>
      </c>
      <c r="BE94" s="27" t="n">
        <f aca="false">MIN(AI93*(1+B$8),MAX(AU94,$B$12-SUM(AV94:BD94)))</f>
        <v>0</v>
      </c>
      <c r="BF94" s="27" t="n">
        <f aca="false">MIN(AJ93*(1+C$8),MAX(AV94,$B$12-SUM(BE94:BE94)-SUM(AW94:BD94)))</f>
        <v>0</v>
      </c>
      <c r="BG94" s="27" t="n">
        <f aca="false">MIN(AK93*(1+D$8),MAX(AW94,$B$12-SUM(BE94:BF94)-SUM(AX94:BD94)))</f>
        <v>0</v>
      </c>
      <c r="BH94" s="27" t="n">
        <f aca="false">MIN(AL93*(1+E$8),MAX(AX94,$B$12-SUM(BE94:BG94)-SUM(AY94:BD94)))</f>
        <v>0</v>
      </c>
      <c r="BI94" s="27" t="n">
        <f aca="false">MIN(AM93*(1+F$8),MAX(AY94,$B$12-SUM(BE94:BH94)-SUM(AZ94:BD94)))</f>
        <v>0</v>
      </c>
      <c r="BJ94" s="27" t="n">
        <f aca="false">MIN(AN93*(1+G$8),MAX(AZ94,$B$12-SUM(BE94:BI94)-SUM(BA94:BD94)))</f>
        <v>0</v>
      </c>
      <c r="BK94" s="27" t="n">
        <f aca="false">MIN(AO93*(1+H$8),MAX(BA94,$B$12-SUM(BE94:BJ94)-SUM(BB94:BD94)))</f>
        <v>0</v>
      </c>
      <c r="BL94" s="27" t="n">
        <f aca="false">MIN(AP93*(1+I$8),MAX(BB94,$B$12-SUM(BE94:BK94)-SUM(BC94:BD94)))</f>
        <v>0</v>
      </c>
      <c r="BM94" s="27" t="n">
        <f aca="false">MIN(AQ93*(1+J$8),MAX(BC94,$B$12-SUM(BE94:BL94)-SUM(BD94:BD94)))</f>
        <v>0</v>
      </c>
      <c r="BN94" s="27" t="n">
        <f aca="false">MIN(AR93*(1+K$8),MAX(BD94,$B$12-SUM(BE94:BM94)))</f>
        <v>0</v>
      </c>
    </row>
    <row r="95" customFormat="false" ht="15" hidden="false" customHeight="false" outlineLevel="0" collapsed="false">
      <c r="A95" s="0" t="n">
        <v>81</v>
      </c>
      <c r="B95" s="27" t="n">
        <f aca="false">ROUND(MAX(0,B94*(1+B$8)-X95),2)</f>
        <v>0</v>
      </c>
      <c r="C95" s="27" t="n">
        <f aca="false">ROUND(MAX(0,C94*(1+C$8)-Y95),2)</f>
        <v>0</v>
      </c>
      <c r="D95" s="27" t="n">
        <f aca="false">ROUND(MAX(0,D94*(1+D$8)-Z95),2)</f>
        <v>0</v>
      </c>
      <c r="E95" s="27" t="n">
        <f aca="false">ROUND(MAX(0,E94*(1+E$8)-AA95),2)</f>
        <v>0</v>
      </c>
      <c r="F95" s="27" t="n">
        <f aca="false">ROUND(MAX(0,F94*(1+F$8)-AB95),2)</f>
        <v>0</v>
      </c>
      <c r="G95" s="27" t="n">
        <f aca="false">ROUND(MAX(0,G94*(1+G$8)-AC95),2)</f>
        <v>0</v>
      </c>
      <c r="H95" s="27" t="n">
        <f aca="false">ROUND(MAX(0,H94*(1+H$8)-AD95),2)</f>
        <v>0</v>
      </c>
      <c r="I95" s="27" t="n">
        <f aca="false">ROUND(MAX(0,I94*(1+I$8)-AE95),2)</f>
        <v>0</v>
      </c>
      <c r="J95" s="27" t="n">
        <f aca="false">ROUND(MAX(0,J94*(1+J$8)-AF95),2)</f>
        <v>0</v>
      </c>
      <c r="K95" s="27" t="n">
        <f aca="false">ROUND(MAX(0,K94*(1+K$8)-AG95),2)</f>
        <v>0</v>
      </c>
      <c r="L95" s="30" t="n">
        <f aca="false">SUM(B95:K95)</f>
        <v>0</v>
      </c>
      <c r="M95" s="27" t="n">
        <f aca="false">SUMPRODUCT(B94:K94,$B$8:$K$8)</f>
        <v>0</v>
      </c>
      <c r="N95" s="27" t="n">
        <f aca="false">MIN(B94*(1+B$8),B$9)</f>
        <v>0</v>
      </c>
      <c r="O95" s="27" t="n">
        <f aca="false">MIN(C94*(1+C$8),C$9)</f>
        <v>0</v>
      </c>
      <c r="P95" s="27" t="n">
        <f aca="false">MIN(D94*(1+D$8),D$9)</f>
        <v>0</v>
      </c>
      <c r="Q95" s="27" t="n">
        <f aca="false">MIN(E94*(1+E$8),E$9)</f>
        <v>0</v>
      </c>
      <c r="R95" s="27" t="n">
        <f aca="false">MIN(F94*(1+F$8),F$9)</f>
        <v>0</v>
      </c>
      <c r="S95" s="27" t="n">
        <f aca="false">MIN(G94*(1+G$8),G$9)</f>
        <v>0</v>
      </c>
      <c r="T95" s="27" t="n">
        <f aca="false">MIN(H94*(1+H$8),H$9)</f>
        <v>0</v>
      </c>
      <c r="U95" s="27" t="n">
        <f aca="false">MIN(I94*(1+I$8),I$9)</f>
        <v>0</v>
      </c>
      <c r="V95" s="27" t="n">
        <f aca="false">MIN(J94*(1+J$8),J$9)</f>
        <v>0</v>
      </c>
      <c r="W95" s="27" t="n">
        <f aca="false">MIN(K94*(1+K$8),K$9)</f>
        <v>0</v>
      </c>
      <c r="X95" s="27" t="n">
        <f aca="false">MIN(B94*(1+B$8),MAX(N95,$B$11-SUM(O95:W95)))</f>
        <v>0</v>
      </c>
      <c r="Y95" s="27" t="n">
        <f aca="false">MIN(C94*(1+C$8),MAX(O95,$B$11-SUM(X95:X95)-SUM(P95:W95)))</f>
        <v>0</v>
      </c>
      <c r="Z95" s="27" t="n">
        <f aca="false">MIN(D94*(1+D$8),MAX(P95,$B$11-SUM(X95:Y95)-SUM(Q95:W95)))</f>
        <v>0</v>
      </c>
      <c r="AA95" s="27" t="n">
        <f aca="false">MIN(E94*(1+E$8),MAX(Q95,$B$11-SUM(X95:Z95)-SUM(R95:W95)))</f>
        <v>0</v>
      </c>
      <c r="AB95" s="27" t="n">
        <f aca="false">MIN(F94*(1+F$8),MAX(R95,$B$11-SUM(X95:AA95)-SUM(S95:W95)))</f>
        <v>0</v>
      </c>
      <c r="AC95" s="27" t="n">
        <f aca="false">MIN(G94*(1+G$8),MAX(S95,$B$11-SUM(X95:AB95)-SUM(T95:W95)))</f>
        <v>0</v>
      </c>
      <c r="AD95" s="27" t="n">
        <f aca="false">MIN(H94*(1+H$8),MAX(T95,$B$11-SUM(X95:AC95)-SUM(U95:W95)))</f>
        <v>0</v>
      </c>
      <c r="AE95" s="27" t="n">
        <f aca="false">MIN(I94*(1+I$8),MAX(U95,$B$11-SUM(X95:AD95)-SUM(V95:W95)))</f>
        <v>0</v>
      </c>
      <c r="AF95" s="27" t="n">
        <f aca="false">MIN(J94*(1+J$8),MAX(V95,$B$11-SUM(X95:AE95)-SUM(W95:W95)))</f>
        <v>0</v>
      </c>
      <c r="AG95" s="27" t="n">
        <f aca="false">MIN(K94*(1+K$8),MAX(W95,$B$11-SUM(X95:AF95)))</f>
        <v>0</v>
      </c>
      <c r="AI95" s="27" t="n">
        <f aca="false">ROUND(MAX(0,AI94*(1+B$8)-BE95),2)</f>
        <v>0</v>
      </c>
      <c r="AJ95" s="27" t="n">
        <f aca="false">ROUND(MAX(0,AJ94*(1+C$8)-BF95),2)</f>
        <v>0</v>
      </c>
      <c r="AK95" s="27" t="n">
        <f aca="false">ROUND(MAX(0,AK94*(1+D$8)-BG95),2)</f>
        <v>0</v>
      </c>
      <c r="AL95" s="27" t="n">
        <f aca="false">ROUND(MAX(0,AL94*(1+E$8)-BH95),2)</f>
        <v>0</v>
      </c>
      <c r="AM95" s="27" t="n">
        <f aca="false">ROUND(MAX(0,AM94*(1+F$8)-BI95),2)</f>
        <v>0</v>
      </c>
      <c r="AN95" s="27" t="n">
        <f aca="false">ROUND(MAX(0,AN94*(1+G$8)-BJ95),2)</f>
        <v>0</v>
      </c>
      <c r="AO95" s="27" t="n">
        <f aca="false">ROUND(MAX(0,AO94*(1+H$8)-BK95),2)</f>
        <v>0</v>
      </c>
      <c r="AP95" s="27" t="n">
        <f aca="false">ROUND(MAX(0,AP94*(1+I$8)-BL95),2)</f>
        <v>0</v>
      </c>
      <c r="AQ95" s="27" t="n">
        <f aca="false">ROUND(MAX(0,AQ94*(1+J$8)-BM95),2)</f>
        <v>0</v>
      </c>
      <c r="AR95" s="27" t="n">
        <f aca="false">ROUND(MAX(0,AR94*(1+K$8)-BN95),2)</f>
        <v>0</v>
      </c>
      <c r="AS95" s="27" t="n">
        <f aca="false">SUM(AI95:AR95)</f>
        <v>0</v>
      </c>
      <c r="AT95" s="27" t="n">
        <f aca="false">SUMPRODUCT(AI94:AR94,$B$8:$K$8)</f>
        <v>0</v>
      </c>
      <c r="AU95" s="27" t="n">
        <f aca="false">MIN(AI94*(1+B$8),B$9)</f>
        <v>0</v>
      </c>
      <c r="AV95" s="27" t="n">
        <f aca="false">MIN(AJ94*(1+C$8),C$9)</f>
        <v>0</v>
      </c>
      <c r="AW95" s="27" t="n">
        <f aca="false">MIN(AK94*(1+D$8),D$9)</f>
        <v>0</v>
      </c>
      <c r="AX95" s="27" t="n">
        <f aca="false">MIN(AL94*(1+E$8),E$9)</f>
        <v>0</v>
      </c>
      <c r="AY95" s="27" t="n">
        <f aca="false">MIN(AM94*(1+F$8),F$9)</f>
        <v>0</v>
      </c>
      <c r="AZ95" s="27" t="n">
        <f aca="false">MIN(AN94*(1+G$8),G$9)</f>
        <v>0</v>
      </c>
      <c r="BA95" s="27" t="n">
        <f aca="false">MIN(AO94*(1+H$8),H$9)</f>
        <v>0</v>
      </c>
      <c r="BB95" s="27" t="n">
        <f aca="false">MIN(AP94*(1+I$8),I$9)</f>
        <v>0</v>
      </c>
      <c r="BC95" s="27" t="n">
        <f aca="false">MIN(AQ94*(1+J$8),J$9)</f>
        <v>0</v>
      </c>
      <c r="BD95" s="27" t="n">
        <f aca="false">MIN(AR94*(1+K$8),K$9)</f>
        <v>0</v>
      </c>
      <c r="BE95" s="27" t="n">
        <f aca="false">MIN(AI94*(1+B$8),MAX(AU95,$B$12-SUM(AV95:BD95)))</f>
        <v>0</v>
      </c>
      <c r="BF95" s="27" t="n">
        <f aca="false">MIN(AJ94*(1+C$8),MAX(AV95,$B$12-SUM(BE95:BE95)-SUM(AW95:BD95)))</f>
        <v>0</v>
      </c>
      <c r="BG95" s="27" t="n">
        <f aca="false">MIN(AK94*(1+D$8),MAX(AW95,$B$12-SUM(BE95:BF95)-SUM(AX95:BD95)))</f>
        <v>0</v>
      </c>
      <c r="BH95" s="27" t="n">
        <f aca="false">MIN(AL94*(1+E$8),MAX(AX95,$B$12-SUM(BE95:BG95)-SUM(AY95:BD95)))</f>
        <v>0</v>
      </c>
      <c r="BI95" s="27" t="n">
        <f aca="false">MIN(AM94*(1+F$8),MAX(AY95,$B$12-SUM(BE95:BH95)-SUM(AZ95:BD95)))</f>
        <v>0</v>
      </c>
      <c r="BJ95" s="27" t="n">
        <f aca="false">MIN(AN94*(1+G$8),MAX(AZ95,$B$12-SUM(BE95:BI95)-SUM(BA95:BD95)))</f>
        <v>0</v>
      </c>
      <c r="BK95" s="27" t="n">
        <f aca="false">MIN(AO94*(1+H$8),MAX(BA95,$B$12-SUM(BE95:BJ95)-SUM(BB95:BD95)))</f>
        <v>0</v>
      </c>
      <c r="BL95" s="27" t="n">
        <f aca="false">MIN(AP94*(1+I$8),MAX(BB95,$B$12-SUM(BE95:BK95)-SUM(BC95:BD95)))</f>
        <v>0</v>
      </c>
      <c r="BM95" s="27" t="n">
        <f aca="false">MIN(AQ94*(1+J$8),MAX(BC95,$B$12-SUM(BE95:BL95)-SUM(BD95:BD95)))</f>
        <v>0</v>
      </c>
      <c r="BN95" s="27" t="n">
        <f aca="false">MIN(AR94*(1+K$8),MAX(BD95,$B$12-SUM(BE95:BM95)))</f>
        <v>0</v>
      </c>
    </row>
    <row r="96" customFormat="false" ht="15" hidden="false" customHeight="false" outlineLevel="0" collapsed="false">
      <c r="A96" s="0" t="n">
        <v>82</v>
      </c>
      <c r="B96" s="27" t="n">
        <f aca="false">ROUND(MAX(0,B95*(1+B$8)-X96),2)</f>
        <v>0</v>
      </c>
      <c r="C96" s="27" t="n">
        <f aca="false">ROUND(MAX(0,C95*(1+C$8)-Y96),2)</f>
        <v>0</v>
      </c>
      <c r="D96" s="27" t="n">
        <f aca="false">ROUND(MAX(0,D95*(1+D$8)-Z96),2)</f>
        <v>0</v>
      </c>
      <c r="E96" s="27" t="n">
        <f aca="false">ROUND(MAX(0,E95*(1+E$8)-AA96),2)</f>
        <v>0</v>
      </c>
      <c r="F96" s="27" t="n">
        <f aca="false">ROUND(MAX(0,F95*(1+F$8)-AB96),2)</f>
        <v>0</v>
      </c>
      <c r="G96" s="27" t="n">
        <f aca="false">ROUND(MAX(0,G95*(1+G$8)-AC96),2)</f>
        <v>0</v>
      </c>
      <c r="H96" s="27" t="n">
        <f aca="false">ROUND(MAX(0,H95*(1+H$8)-AD96),2)</f>
        <v>0</v>
      </c>
      <c r="I96" s="27" t="n">
        <f aca="false">ROUND(MAX(0,I95*(1+I$8)-AE96),2)</f>
        <v>0</v>
      </c>
      <c r="J96" s="27" t="n">
        <f aca="false">ROUND(MAX(0,J95*(1+J$8)-AF96),2)</f>
        <v>0</v>
      </c>
      <c r="K96" s="27" t="n">
        <f aca="false">ROUND(MAX(0,K95*(1+K$8)-AG96),2)</f>
        <v>0</v>
      </c>
      <c r="L96" s="30" t="n">
        <f aca="false">SUM(B96:K96)</f>
        <v>0</v>
      </c>
      <c r="M96" s="27" t="n">
        <f aca="false">SUMPRODUCT(B95:K95,$B$8:$K$8)</f>
        <v>0</v>
      </c>
      <c r="N96" s="27" t="n">
        <f aca="false">MIN(B95*(1+B$8),B$9)</f>
        <v>0</v>
      </c>
      <c r="O96" s="27" t="n">
        <f aca="false">MIN(C95*(1+C$8),C$9)</f>
        <v>0</v>
      </c>
      <c r="P96" s="27" t="n">
        <f aca="false">MIN(D95*(1+D$8),D$9)</f>
        <v>0</v>
      </c>
      <c r="Q96" s="27" t="n">
        <f aca="false">MIN(E95*(1+E$8),E$9)</f>
        <v>0</v>
      </c>
      <c r="R96" s="27" t="n">
        <f aca="false">MIN(F95*(1+F$8),F$9)</f>
        <v>0</v>
      </c>
      <c r="S96" s="27" t="n">
        <f aca="false">MIN(G95*(1+G$8),G$9)</f>
        <v>0</v>
      </c>
      <c r="T96" s="27" t="n">
        <f aca="false">MIN(H95*(1+H$8),H$9)</f>
        <v>0</v>
      </c>
      <c r="U96" s="27" t="n">
        <f aca="false">MIN(I95*(1+I$8),I$9)</f>
        <v>0</v>
      </c>
      <c r="V96" s="27" t="n">
        <f aca="false">MIN(J95*(1+J$8),J$9)</f>
        <v>0</v>
      </c>
      <c r="W96" s="27" t="n">
        <f aca="false">MIN(K95*(1+K$8),K$9)</f>
        <v>0</v>
      </c>
      <c r="X96" s="27" t="n">
        <f aca="false">MIN(B95*(1+B$8),MAX(N96,$B$11-SUM(O96:W96)))</f>
        <v>0</v>
      </c>
      <c r="Y96" s="27" t="n">
        <f aca="false">MIN(C95*(1+C$8),MAX(O96,$B$11-SUM(X96:X96)-SUM(P96:W96)))</f>
        <v>0</v>
      </c>
      <c r="Z96" s="27" t="n">
        <f aca="false">MIN(D95*(1+D$8),MAX(P96,$B$11-SUM(X96:Y96)-SUM(Q96:W96)))</f>
        <v>0</v>
      </c>
      <c r="AA96" s="27" t="n">
        <f aca="false">MIN(E95*(1+E$8),MAX(Q96,$B$11-SUM(X96:Z96)-SUM(R96:W96)))</f>
        <v>0</v>
      </c>
      <c r="AB96" s="27" t="n">
        <f aca="false">MIN(F95*(1+F$8),MAX(R96,$B$11-SUM(X96:AA96)-SUM(S96:W96)))</f>
        <v>0</v>
      </c>
      <c r="AC96" s="27" t="n">
        <f aca="false">MIN(G95*(1+G$8),MAX(S96,$B$11-SUM(X96:AB96)-SUM(T96:W96)))</f>
        <v>0</v>
      </c>
      <c r="AD96" s="27" t="n">
        <f aca="false">MIN(H95*(1+H$8),MAX(T96,$B$11-SUM(X96:AC96)-SUM(U96:W96)))</f>
        <v>0</v>
      </c>
      <c r="AE96" s="27" t="n">
        <f aca="false">MIN(I95*(1+I$8),MAX(U96,$B$11-SUM(X96:AD96)-SUM(V96:W96)))</f>
        <v>0</v>
      </c>
      <c r="AF96" s="27" t="n">
        <f aca="false">MIN(J95*(1+J$8),MAX(V96,$B$11-SUM(X96:AE96)-SUM(W96:W96)))</f>
        <v>0</v>
      </c>
      <c r="AG96" s="27" t="n">
        <f aca="false">MIN(K95*(1+K$8),MAX(W96,$B$11-SUM(X96:AF96)))</f>
        <v>0</v>
      </c>
      <c r="AI96" s="27" t="n">
        <f aca="false">ROUND(MAX(0,AI95*(1+B$8)-BE96),2)</f>
        <v>0</v>
      </c>
      <c r="AJ96" s="27" t="n">
        <f aca="false">ROUND(MAX(0,AJ95*(1+C$8)-BF96),2)</f>
        <v>0</v>
      </c>
      <c r="AK96" s="27" t="n">
        <f aca="false">ROUND(MAX(0,AK95*(1+D$8)-BG96),2)</f>
        <v>0</v>
      </c>
      <c r="AL96" s="27" t="n">
        <f aca="false">ROUND(MAX(0,AL95*(1+E$8)-BH96),2)</f>
        <v>0</v>
      </c>
      <c r="AM96" s="27" t="n">
        <f aca="false">ROUND(MAX(0,AM95*(1+F$8)-BI96),2)</f>
        <v>0</v>
      </c>
      <c r="AN96" s="27" t="n">
        <f aca="false">ROUND(MAX(0,AN95*(1+G$8)-BJ96),2)</f>
        <v>0</v>
      </c>
      <c r="AO96" s="27" t="n">
        <f aca="false">ROUND(MAX(0,AO95*(1+H$8)-BK96),2)</f>
        <v>0</v>
      </c>
      <c r="AP96" s="27" t="n">
        <f aca="false">ROUND(MAX(0,AP95*(1+I$8)-BL96),2)</f>
        <v>0</v>
      </c>
      <c r="AQ96" s="27" t="n">
        <f aca="false">ROUND(MAX(0,AQ95*(1+J$8)-BM96),2)</f>
        <v>0</v>
      </c>
      <c r="AR96" s="27" t="n">
        <f aca="false">ROUND(MAX(0,AR95*(1+K$8)-BN96),2)</f>
        <v>0</v>
      </c>
      <c r="AS96" s="27" t="n">
        <f aca="false">SUM(AI96:AR96)</f>
        <v>0</v>
      </c>
      <c r="AT96" s="27" t="n">
        <f aca="false">SUMPRODUCT(AI95:AR95,$B$8:$K$8)</f>
        <v>0</v>
      </c>
      <c r="AU96" s="27" t="n">
        <f aca="false">MIN(AI95*(1+B$8),B$9)</f>
        <v>0</v>
      </c>
      <c r="AV96" s="27" t="n">
        <f aca="false">MIN(AJ95*(1+C$8),C$9)</f>
        <v>0</v>
      </c>
      <c r="AW96" s="27" t="n">
        <f aca="false">MIN(AK95*(1+D$8),D$9)</f>
        <v>0</v>
      </c>
      <c r="AX96" s="27" t="n">
        <f aca="false">MIN(AL95*(1+E$8),E$9)</f>
        <v>0</v>
      </c>
      <c r="AY96" s="27" t="n">
        <f aca="false">MIN(AM95*(1+F$8),F$9)</f>
        <v>0</v>
      </c>
      <c r="AZ96" s="27" t="n">
        <f aca="false">MIN(AN95*(1+G$8),G$9)</f>
        <v>0</v>
      </c>
      <c r="BA96" s="27" t="n">
        <f aca="false">MIN(AO95*(1+H$8),H$9)</f>
        <v>0</v>
      </c>
      <c r="BB96" s="27" t="n">
        <f aca="false">MIN(AP95*(1+I$8),I$9)</f>
        <v>0</v>
      </c>
      <c r="BC96" s="27" t="n">
        <f aca="false">MIN(AQ95*(1+J$8),J$9)</f>
        <v>0</v>
      </c>
      <c r="BD96" s="27" t="n">
        <f aca="false">MIN(AR95*(1+K$8),K$9)</f>
        <v>0</v>
      </c>
      <c r="BE96" s="27" t="n">
        <f aca="false">MIN(AI95*(1+B$8),MAX(AU96,$B$12-SUM(AV96:BD96)))</f>
        <v>0</v>
      </c>
      <c r="BF96" s="27" t="n">
        <f aca="false">MIN(AJ95*(1+C$8),MAX(AV96,$B$12-SUM(BE96:BE96)-SUM(AW96:BD96)))</f>
        <v>0</v>
      </c>
      <c r="BG96" s="27" t="n">
        <f aca="false">MIN(AK95*(1+D$8),MAX(AW96,$B$12-SUM(BE96:BF96)-SUM(AX96:BD96)))</f>
        <v>0</v>
      </c>
      <c r="BH96" s="27" t="n">
        <f aca="false">MIN(AL95*(1+E$8),MAX(AX96,$B$12-SUM(BE96:BG96)-SUM(AY96:BD96)))</f>
        <v>0</v>
      </c>
      <c r="BI96" s="27" t="n">
        <f aca="false">MIN(AM95*(1+F$8),MAX(AY96,$B$12-SUM(BE96:BH96)-SUM(AZ96:BD96)))</f>
        <v>0</v>
      </c>
      <c r="BJ96" s="27" t="n">
        <f aca="false">MIN(AN95*(1+G$8),MAX(AZ96,$B$12-SUM(BE96:BI96)-SUM(BA96:BD96)))</f>
        <v>0</v>
      </c>
      <c r="BK96" s="27" t="n">
        <f aca="false">MIN(AO95*(1+H$8),MAX(BA96,$B$12-SUM(BE96:BJ96)-SUM(BB96:BD96)))</f>
        <v>0</v>
      </c>
      <c r="BL96" s="27" t="n">
        <f aca="false">MIN(AP95*(1+I$8),MAX(BB96,$B$12-SUM(BE96:BK96)-SUM(BC96:BD96)))</f>
        <v>0</v>
      </c>
      <c r="BM96" s="27" t="n">
        <f aca="false">MIN(AQ95*(1+J$8),MAX(BC96,$B$12-SUM(BE96:BL96)-SUM(BD96:BD96)))</f>
        <v>0</v>
      </c>
      <c r="BN96" s="27" t="n">
        <f aca="false">MIN(AR95*(1+K$8),MAX(BD96,$B$12-SUM(BE96:BM96)))</f>
        <v>0</v>
      </c>
    </row>
    <row r="97" customFormat="false" ht="15" hidden="false" customHeight="false" outlineLevel="0" collapsed="false">
      <c r="A97" s="0" t="n">
        <v>83</v>
      </c>
      <c r="B97" s="27" t="n">
        <f aca="false">ROUND(MAX(0,B96*(1+B$8)-X97),2)</f>
        <v>0</v>
      </c>
      <c r="C97" s="27" t="n">
        <f aca="false">ROUND(MAX(0,C96*(1+C$8)-Y97),2)</f>
        <v>0</v>
      </c>
      <c r="D97" s="27" t="n">
        <f aca="false">ROUND(MAX(0,D96*(1+D$8)-Z97),2)</f>
        <v>0</v>
      </c>
      <c r="E97" s="27" t="n">
        <f aca="false">ROUND(MAX(0,E96*(1+E$8)-AA97),2)</f>
        <v>0</v>
      </c>
      <c r="F97" s="27" t="n">
        <f aca="false">ROUND(MAX(0,F96*(1+F$8)-AB97),2)</f>
        <v>0</v>
      </c>
      <c r="G97" s="27" t="n">
        <f aca="false">ROUND(MAX(0,G96*(1+G$8)-AC97),2)</f>
        <v>0</v>
      </c>
      <c r="H97" s="27" t="n">
        <f aca="false">ROUND(MAX(0,H96*(1+H$8)-AD97),2)</f>
        <v>0</v>
      </c>
      <c r="I97" s="27" t="n">
        <f aca="false">ROUND(MAX(0,I96*(1+I$8)-AE97),2)</f>
        <v>0</v>
      </c>
      <c r="J97" s="27" t="n">
        <f aca="false">ROUND(MAX(0,J96*(1+J$8)-AF97),2)</f>
        <v>0</v>
      </c>
      <c r="K97" s="27" t="n">
        <f aca="false">ROUND(MAX(0,K96*(1+K$8)-AG97),2)</f>
        <v>0</v>
      </c>
      <c r="L97" s="30" t="n">
        <f aca="false">SUM(B97:K97)</f>
        <v>0</v>
      </c>
      <c r="M97" s="27" t="n">
        <f aca="false">SUMPRODUCT(B96:K96,$B$8:$K$8)</f>
        <v>0</v>
      </c>
      <c r="N97" s="27" t="n">
        <f aca="false">MIN(B96*(1+B$8),B$9)</f>
        <v>0</v>
      </c>
      <c r="O97" s="27" t="n">
        <f aca="false">MIN(C96*(1+C$8),C$9)</f>
        <v>0</v>
      </c>
      <c r="P97" s="27" t="n">
        <f aca="false">MIN(D96*(1+D$8),D$9)</f>
        <v>0</v>
      </c>
      <c r="Q97" s="27" t="n">
        <f aca="false">MIN(E96*(1+E$8),E$9)</f>
        <v>0</v>
      </c>
      <c r="R97" s="27" t="n">
        <f aca="false">MIN(F96*(1+F$8),F$9)</f>
        <v>0</v>
      </c>
      <c r="S97" s="27" t="n">
        <f aca="false">MIN(G96*(1+G$8),G$9)</f>
        <v>0</v>
      </c>
      <c r="T97" s="27" t="n">
        <f aca="false">MIN(H96*(1+H$8),H$9)</f>
        <v>0</v>
      </c>
      <c r="U97" s="27" t="n">
        <f aca="false">MIN(I96*(1+I$8),I$9)</f>
        <v>0</v>
      </c>
      <c r="V97" s="27" t="n">
        <f aca="false">MIN(J96*(1+J$8),J$9)</f>
        <v>0</v>
      </c>
      <c r="W97" s="27" t="n">
        <f aca="false">MIN(K96*(1+K$8),K$9)</f>
        <v>0</v>
      </c>
      <c r="X97" s="27" t="n">
        <f aca="false">MIN(B96*(1+B$8),MAX(N97,$B$11-SUM(O97:W97)))</f>
        <v>0</v>
      </c>
      <c r="Y97" s="27" t="n">
        <f aca="false">MIN(C96*(1+C$8),MAX(O97,$B$11-SUM(X97:X97)-SUM(P97:W97)))</f>
        <v>0</v>
      </c>
      <c r="Z97" s="27" t="n">
        <f aca="false">MIN(D96*(1+D$8),MAX(P97,$B$11-SUM(X97:Y97)-SUM(Q97:W97)))</f>
        <v>0</v>
      </c>
      <c r="AA97" s="27" t="n">
        <f aca="false">MIN(E96*(1+E$8),MAX(Q97,$B$11-SUM(X97:Z97)-SUM(R97:W97)))</f>
        <v>0</v>
      </c>
      <c r="AB97" s="27" t="n">
        <f aca="false">MIN(F96*(1+F$8),MAX(R97,$B$11-SUM(X97:AA97)-SUM(S97:W97)))</f>
        <v>0</v>
      </c>
      <c r="AC97" s="27" t="n">
        <f aca="false">MIN(G96*(1+G$8),MAX(S97,$B$11-SUM(X97:AB97)-SUM(T97:W97)))</f>
        <v>0</v>
      </c>
      <c r="AD97" s="27" t="n">
        <f aca="false">MIN(H96*(1+H$8),MAX(T97,$B$11-SUM(X97:AC97)-SUM(U97:W97)))</f>
        <v>0</v>
      </c>
      <c r="AE97" s="27" t="n">
        <f aca="false">MIN(I96*(1+I$8),MAX(U97,$B$11-SUM(X97:AD97)-SUM(V97:W97)))</f>
        <v>0</v>
      </c>
      <c r="AF97" s="27" t="n">
        <f aca="false">MIN(J96*(1+J$8),MAX(V97,$B$11-SUM(X97:AE97)-SUM(W97:W97)))</f>
        <v>0</v>
      </c>
      <c r="AG97" s="27" t="n">
        <f aca="false">MIN(K96*(1+K$8),MAX(W97,$B$11-SUM(X97:AF97)))</f>
        <v>0</v>
      </c>
      <c r="AI97" s="27" t="n">
        <f aca="false">ROUND(MAX(0,AI96*(1+B$8)-BE97),2)</f>
        <v>0</v>
      </c>
      <c r="AJ97" s="27" t="n">
        <f aca="false">ROUND(MAX(0,AJ96*(1+C$8)-BF97),2)</f>
        <v>0</v>
      </c>
      <c r="AK97" s="27" t="n">
        <f aca="false">ROUND(MAX(0,AK96*(1+D$8)-BG97),2)</f>
        <v>0</v>
      </c>
      <c r="AL97" s="27" t="n">
        <f aca="false">ROUND(MAX(0,AL96*(1+E$8)-BH97),2)</f>
        <v>0</v>
      </c>
      <c r="AM97" s="27" t="n">
        <f aca="false">ROUND(MAX(0,AM96*(1+F$8)-BI97),2)</f>
        <v>0</v>
      </c>
      <c r="AN97" s="27" t="n">
        <f aca="false">ROUND(MAX(0,AN96*(1+G$8)-BJ97),2)</f>
        <v>0</v>
      </c>
      <c r="AO97" s="27" t="n">
        <f aca="false">ROUND(MAX(0,AO96*(1+H$8)-BK97),2)</f>
        <v>0</v>
      </c>
      <c r="AP97" s="27" t="n">
        <f aca="false">ROUND(MAX(0,AP96*(1+I$8)-BL97),2)</f>
        <v>0</v>
      </c>
      <c r="AQ97" s="27" t="n">
        <f aca="false">ROUND(MAX(0,AQ96*(1+J$8)-BM97),2)</f>
        <v>0</v>
      </c>
      <c r="AR97" s="27" t="n">
        <f aca="false">ROUND(MAX(0,AR96*(1+K$8)-BN97),2)</f>
        <v>0</v>
      </c>
      <c r="AS97" s="27" t="n">
        <f aca="false">SUM(AI97:AR97)</f>
        <v>0</v>
      </c>
      <c r="AT97" s="27" t="n">
        <f aca="false">SUMPRODUCT(AI96:AR96,$B$8:$K$8)</f>
        <v>0</v>
      </c>
      <c r="AU97" s="27" t="n">
        <f aca="false">MIN(AI96*(1+B$8),B$9)</f>
        <v>0</v>
      </c>
      <c r="AV97" s="27" t="n">
        <f aca="false">MIN(AJ96*(1+C$8),C$9)</f>
        <v>0</v>
      </c>
      <c r="AW97" s="27" t="n">
        <f aca="false">MIN(AK96*(1+D$8),D$9)</f>
        <v>0</v>
      </c>
      <c r="AX97" s="27" t="n">
        <f aca="false">MIN(AL96*(1+E$8),E$9)</f>
        <v>0</v>
      </c>
      <c r="AY97" s="27" t="n">
        <f aca="false">MIN(AM96*(1+F$8),F$9)</f>
        <v>0</v>
      </c>
      <c r="AZ97" s="27" t="n">
        <f aca="false">MIN(AN96*(1+G$8),G$9)</f>
        <v>0</v>
      </c>
      <c r="BA97" s="27" t="n">
        <f aca="false">MIN(AO96*(1+H$8),H$9)</f>
        <v>0</v>
      </c>
      <c r="BB97" s="27" t="n">
        <f aca="false">MIN(AP96*(1+I$8),I$9)</f>
        <v>0</v>
      </c>
      <c r="BC97" s="27" t="n">
        <f aca="false">MIN(AQ96*(1+J$8),J$9)</f>
        <v>0</v>
      </c>
      <c r="BD97" s="27" t="n">
        <f aca="false">MIN(AR96*(1+K$8),K$9)</f>
        <v>0</v>
      </c>
      <c r="BE97" s="27" t="n">
        <f aca="false">MIN(AI96*(1+B$8),MAX(AU97,$B$12-SUM(AV97:BD97)))</f>
        <v>0</v>
      </c>
      <c r="BF97" s="27" t="n">
        <f aca="false">MIN(AJ96*(1+C$8),MAX(AV97,$B$12-SUM(BE97:BE97)-SUM(AW97:BD97)))</f>
        <v>0</v>
      </c>
      <c r="BG97" s="27" t="n">
        <f aca="false">MIN(AK96*(1+D$8),MAX(AW97,$B$12-SUM(BE97:BF97)-SUM(AX97:BD97)))</f>
        <v>0</v>
      </c>
      <c r="BH97" s="27" t="n">
        <f aca="false">MIN(AL96*(1+E$8),MAX(AX97,$B$12-SUM(BE97:BG97)-SUM(AY97:BD97)))</f>
        <v>0</v>
      </c>
      <c r="BI97" s="27" t="n">
        <f aca="false">MIN(AM96*(1+F$8),MAX(AY97,$B$12-SUM(BE97:BH97)-SUM(AZ97:BD97)))</f>
        <v>0</v>
      </c>
      <c r="BJ97" s="27" t="n">
        <f aca="false">MIN(AN96*(1+G$8),MAX(AZ97,$B$12-SUM(BE97:BI97)-SUM(BA97:BD97)))</f>
        <v>0</v>
      </c>
      <c r="BK97" s="27" t="n">
        <f aca="false">MIN(AO96*(1+H$8),MAX(BA97,$B$12-SUM(BE97:BJ97)-SUM(BB97:BD97)))</f>
        <v>0</v>
      </c>
      <c r="BL97" s="27" t="n">
        <f aca="false">MIN(AP96*(1+I$8),MAX(BB97,$B$12-SUM(BE97:BK97)-SUM(BC97:BD97)))</f>
        <v>0</v>
      </c>
      <c r="BM97" s="27" t="n">
        <f aca="false">MIN(AQ96*(1+J$8),MAX(BC97,$B$12-SUM(BE97:BL97)-SUM(BD97:BD97)))</f>
        <v>0</v>
      </c>
      <c r="BN97" s="27" t="n">
        <f aca="false">MIN(AR96*(1+K$8),MAX(BD97,$B$12-SUM(BE97:BM97)))</f>
        <v>0</v>
      </c>
    </row>
    <row r="98" customFormat="false" ht="15" hidden="false" customHeight="false" outlineLevel="0" collapsed="false">
      <c r="A98" s="0" t="n">
        <v>84</v>
      </c>
      <c r="B98" s="27" t="n">
        <f aca="false">ROUND(MAX(0,B97*(1+B$8)-X98),2)</f>
        <v>0</v>
      </c>
      <c r="C98" s="27" t="n">
        <f aca="false">ROUND(MAX(0,C97*(1+C$8)-Y98),2)</f>
        <v>0</v>
      </c>
      <c r="D98" s="27" t="n">
        <f aca="false">ROUND(MAX(0,D97*(1+D$8)-Z98),2)</f>
        <v>0</v>
      </c>
      <c r="E98" s="27" t="n">
        <f aca="false">ROUND(MAX(0,E97*(1+E$8)-AA98),2)</f>
        <v>0</v>
      </c>
      <c r="F98" s="27" t="n">
        <f aca="false">ROUND(MAX(0,F97*(1+F$8)-AB98),2)</f>
        <v>0</v>
      </c>
      <c r="G98" s="27" t="n">
        <f aca="false">ROUND(MAX(0,G97*(1+G$8)-AC98),2)</f>
        <v>0</v>
      </c>
      <c r="H98" s="27" t="n">
        <f aca="false">ROUND(MAX(0,H97*(1+H$8)-AD98),2)</f>
        <v>0</v>
      </c>
      <c r="I98" s="27" t="n">
        <f aca="false">ROUND(MAX(0,I97*(1+I$8)-AE98),2)</f>
        <v>0</v>
      </c>
      <c r="J98" s="27" t="n">
        <f aca="false">ROUND(MAX(0,J97*(1+J$8)-AF98),2)</f>
        <v>0</v>
      </c>
      <c r="K98" s="27" t="n">
        <f aca="false">ROUND(MAX(0,K97*(1+K$8)-AG98),2)</f>
        <v>0</v>
      </c>
      <c r="L98" s="30" t="n">
        <f aca="false">SUM(B98:K98)</f>
        <v>0</v>
      </c>
      <c r="M98" s="27" t="n">
        <f aca="false">SUMPRODUCT(B97:K97,$B$8:$K$8)</f>
        <v>0</v>
      </c>
      <c r="N98" s="27" t="n">
        <f aca="false">MIN(B97*(1+B$8),B$9)</f>
        <v>0</v>
      </c>
      <c r="O98" s="27" t="n">
        <f aca="false">MIN(C97*(1+C$8),C$9)</f>
        <v>0</v>
      </c>
      <c r="P98" s="27" t="n">
        <f aca="false">MIN(D97*(1+D$8),D$9)</f>
        <v>0</v>
      </c>
      <c r="Q98" s="27" t="n">
        <f aca="false">MIN(E97*(1+E$8),E$9)</f>
        <v>0</v>
      </c>
      <c r="R98" s="27" t="n">
        <f aca="false">MIN(F97*(1+F$8),F$9)</f>
        <v>0</v>
      </c>
      <c r="S98" s="27" t="n">
        <f aca="false">MIN(G97*(1+G$8),G$9)</f>
        <v>0</v>
      </c>
      <c r="T98" s="27" t="n">
        <f aca="false">MIN(H97*(1+H$8),H$9)</f>
        <v>0</v>
      </c>
      <c r="U98" s="27" t="n">
        <f aca="false">MIN(I97*(1+I$8),I$9)</f>
        <v>0</v>
      </c>
      <c r="V98" s="27" t="n">
        <f aca="false">MIN(J97*(1+J$8),J$9)</f>
        <v>0</v>
      </c>
      <c r="W98" s="27" t="n">
        <f aca="false">MIN(K97*(1+K$8),K$9)</f>
        <v>0</v>
      </c>
      <c r="X98" s="27" t="n">
        <f aca="false">MIN(B97*(1+B$8),MAX(N98,$B$11-SUM(O98:W98)))</f>
        <v>0</v>
      </c>
      <c r="Y98" s="27" t="n">
        <f aca="false">MIN(C97*(1+C$8),MAX(O98,$B$11-SUM(X98:X98)-SUM(P98:W98)))</f>
        <v>0</v>
      </c>
      <c r="Z98" s="27" t="n">
        <f aca="false">MIN(D97*(1+D$8),MAX(P98,$B$11-SUM(X98:Y98)-SUM(Q98:W98)))</f>
        <v>0</v>
      </c>
      <c r="AA98" s="27" t="n">
        <f aca="false">MIN(E97*(1+E$8),MAX(Q98,$B$11-SUM(X98:Z98)-SUM(R98:W98)))</f>
        <v>0</v>
      </c>
      <c r="AB98" s="27" t="n">
        <f aca="false">MIN(F97*(1+F$8),MAX(R98,$B$11-SUM(X98:AA98)-SUM(S98:W98)))</f>
        <v>0</v>
      </c>
      <c r="AC98" s="27" t="n">
        <f aca="false">MIN(G97*(1+G$8),MAX(S98,$B$11-SUM(X98:AB98)-SUM(T98:W98)))</f>
        <v>0</v>
      </c>
      <c r="AD98" s="27" t="n">
        <f aca="false">MIN(H97*(1+H$8),MAX(T98,$B$11-SUM(X98:AC98)-SUM(U98:W98)))</f>
        <v>0</v>
      </c>
      <c r="AE98" s="27" t="n">
        <f aca="false">MIN(I97*(1+I$8),MAX(U98,$B$11-SUM(X98:AD98)-SUM(V98:W98)))</f>
        <v>0</v>
      </c>
      <c r="AF98" s="27" t="n">
        <f aca="false">MIN(J97*(1+J$8),MAX(V98,$B$11-SUM(X98:AE98)-SUM(W98:W98)))</f>
        <v>0</v>
      </c>
      <c r="AG98" s="27" t="n">
        <f aca="false">MIN(K97*(1+K$8),MAX(W98,$B$11-SUM(X98:AF98)))</f>
        <v>0</v>
      </c>
      <c r="AI98" s="27" t="n">
        <f aca="false">ROUND(MAX(0,AI97*(1+B$8)-BE98),2)</f>
        <v>0</v>
      </c>
      <c r="AJ98" s="27" t="n">
        <f aca="false">ROUND(MAX(0,AJ97*(1+C$8)-BF98),2)</f>
        <v>0</v>
      </c>
      <c r="AK98" s="27" t="n">
        <f aca="false">ROUND(MAX(0,AK97*(1+D$8)-BG98),2)</f>
        <v>0</v>
      </c>
      <c r="AL98" s="27" t="n">
        <f aca="false">ROUND(MAX(0,AL97*(1+E$8)-BH98),2)</f>
        <v>0</v>
      </c>
      <c r="AM98" s="27" t="n">
        <f aca="false">ROUND(MAX(0,AM97*(1+F$8)-BI98),2)</f>
        <v>0</v>
      </c>
      <c r="AN98" s="27" t="n">
        <f aca="false">ROUND(MAX(0,AN97*(1+G$8)-BJ98),2)</f>
        <v>0</v>
      </c>
      <c r="AO98" s="27" t="n">
        <f aca="false">ROUND(MAX(0,AO97*(1+H$8)-BK98),2)</f>
        <v>0</v>
      </c>
      <c r="AP98" s="27" t="n">
        <f aca="false">ROUND(MAX(0,AP97*(1+I$8)-BL98),2)</f>
        <v>0</v>
      </c>
      <c r="AQ98" s="27" t="n">
        <f aca="false">ROUND(MAX(0,AQ97*(1+J$8)-BM98),2)</f>
        <v>0</v>
      </c>
      <c r="AR98" s="27" t="n">
        <f aca="false">ROUND(MAX(0,AR97*(1+K$8)-BN98),2)</f>
        <v>0</v>
      </c>
      <c r="AS98" s="27" t="n">
        <f aca="false">SUM(AI98:AR98)</f>
        <v>0</v>
      </c>
      <c r="AT98" s="27" t="n">
        <f aca="false">SUMPRODUCT(AI97:AR97,$B$8:$K$8)</f>
        <v>0</v>
      </c>
      <c r="AU98" s="27" t="n">
        <f aca="false">MIN(AI97*(1+B$8),B$9)</f>
        <v>0</v>
      </c>
      <c r="AV98" s="27" t="n">
        <f aca="false">MIN(AJ97*(1+C$8),C$9)</f>
        <v>0</v>
      </c>
      <c r="AW98" s="27" t="n">
        <f aca="false">MIN(AK97*(1+D$8),D$9)</f>
        <v>0</v>
      </c>
      <c r="AX98" s="27" t="n">
        <f aca="false">MIN(AL97*(1+E$8),E$9)</f>
        <v>0</v>
      </c>
      <c r="AY98" s="27" t="n">
        <f aca="false">MIN(AM97*(1+F$8),F$9)</f>
        <v>0</v>
      </c>
      <c r="AZ98" s="27" t="n">
        <f aca="false">MIN(AN97*(1+G$8),G$9)</f>
        <v>0</v>
      </c>
      <c r="BA98" s="27" t="n">
        <f aca="false">MIN(AO97*(1+H$8),H$9)</f>
        <v>0</v>
      </c>
      <c r="BB98" s="27" t="n">
        <f aca="false">MIN(AP97*(1+I$8),I$9)</f>
        <v>0</v>
      </c>
      <c r="BC98" s="27" t="n">
        <f aca="false">MIN(AQ97*(1+J$8),J$9)</f>
        <v>0</v>
      </c>
      <c r="BD98" s="27" t="n">
        <f aca="false">MIN(AR97*(1+K$8),K$9)</f>
        <v>0</v>
      </c>
      <c r="BE98" s="27" t="n">
        <f aca="false">MIN(AI97*(1+B$8),MAX(AU98,$B$12-SUM(AV98:BD98)))</f>
        <v>0</v>
      </c>
      <c r="BF98" s="27" t="n">
        <f aca="false">MIN(AJ97*(1+C$8),MAX(AV98,$B$12-SUM(BE98:BE98)-SUM(AW98:BD98)))</f>
        <v>0</v>
      </c>
      <c r="BG98" s="27" t="n">
        <f aca="false">MIN(AK97*(1+D$8),MAX(AW98,$B$12-SUM(BE98:BF98)-SUM(AX98:BD98)))</f>
        <v>0</v>
      </c>
      <c r="BH98" s="27" t="n">
        <f aca="false">MIN(AL97*(1+E$8),MAX(AX98,$B$12-SUM(BE98:BG98)-SUM(AY98:BD98)))</f>
        <v>0</v>
      </c>
      <c r="BI98" s="27" t="n">
        <f aca="false">MIN(AM97*(1+F$8),MAX(AY98,$B$12-SUM(BE98:BH98)-SUM(AZ98:BD98)))</f>
        <v>0</v>
      </c>
      <c r="BJ98" s="27" t="n">
        <f aca="false">MIN(AN97*(1+G$8),MAX(AZ98,$B$12-SUM(BE98:BI98)-SUM(BA98:BD98)))</f>
        <v>0</v>
      </c>
      <c r="BK98" s="27" t="n">
        <f aca="false">MIN(AO97*(1+H$8),MAX(BA98,$B$12-SUM(BE98:BJ98)-SUM(BB98:BD98)))</f>
        <v>0</v>
      </c>
      <c r="BL98" s="27" t="n">
        <f aca="false">MIN(AP97*(1+I$8),MAX(BB98,$B$12-SUM(BE98:BK98)-SUM(BC98:BD98)))</f>
        <v>0</v>
      </c>
      <c r="BM98" s="27" t="n">
        <f aca="false">MIN(AQ97*(1+J$8),MAX(BC98,$B$12-SUM(BE98:BL98)-SUM(BD98:BD98)))</f>
        <v>0</v>
      </c>
      <c r="BN98" s="27" t="n">
        <f aca="false">MIN(AR97*(1+K$8),MAX(BD98,$B$12-SUM(BE98:BM98)))</f>
        <v>0</v>
      </c>
    </row>
    <row r="99" customFormat="false" ht="15" hidden="false" customHeight="false" outlineLevel="0" collapsed="false">
      <c r="A99" s="0" t="n">
        <v>85</v>
      </c>
      <c r="B99" s="27" t="n">
        <f aca="false">ROUND(MAX(0,B98*(1+B$8)-X99),2)</f>
        <v>0</v>
      </c>
      <c r="C99" s="27" t="n">
        <f aca="false">ROUND(MAX(0,C98*(1+C$8)-Y99),2)</f>
        <v>0</v>
      </c>
      <c r="D99" s="27" t="n">
        <f aca="false">ROUND(MAX(0,D98*(1+D$8)-Z99),2)</f>
        <v>0</v>
      </c>
      <c r="E99" s="27" t="n">
        <f aca="false">ROUND(MAX(0,E98*(1+E$8)-AA99),2)</f>
        <v>0</v>
      </c>
      <c r="F99" s="27" t="n">
        <f aca="false">ROUND(MAX(0,F98*(1+F$8)-AB99),2)</f>
        <v>0</v>
      </c>
      <c r="G99" s="27" t="n">
        <f aca="false">ROUND(MAX(0,G98*(1+G$8)-AC99),2)</f>
        <v>0</v>
      </c>
      <c r="H99" s="27" t="n">
        <f aca="false">ROUND(MAX(0,H98*(1+H$8)-AD99),2)</f>
        <v>0</v>
      </c>
      <c r="I99" s="27" t="n">
        <f aca="false">ROUND(MAX(0,I98*(1+I$8)-AE99),2)</f>
        <v>0</v>
      </c>
      <c r="J99" s="27" t="n">
        <f aca="false">ROUND(MAX(0,J98*(1+J$8)-AF99),2)</f>
        <v>0</v>
      </c>
      <c r="K99" s="27" t="n">
        <f aca="false">ROUND(MAX(0,K98*(1+K$8)-AG99),2)</f>
        <v>0</v>
      </c>
      <c r="L99" s="30" t="n">
        <f aca="false">SUM(B99:K99)</f>
        <v>0</v>
      </c>
      <c r="M99" s="27" t="n">
        <f aca="false">SUMPRODUCT(B98:K98,$B$8:$K$8)</f>
        <v>0</v>
      </c>
      <c r="N99" s="27" t="n">
        <f aca="false">MIN(B98*(1+B$8),B$9)</f>
        <v>0</v>
      </c>
      <c r="O99" s="27" t="n">
        <f aca="false">MIN(C98*(1+C$8),C$9)</f>
        <v>0</v>
      </c>
      <c r="P99" s="27" t="n">
        <f aca="false">MIN(D98*(1+D$8),D$9)</f>
        <v>0</v>
      </c>
      <c r="Q99" s="27" t="n">
        <f aca="false">MIN(E98*(1+E$8),E$9)</f>
        <v>0</v>
      </c>
      <c r="R99" s="27" t="n">
        <f aca="false">MIN(F98*(1+F$8),F$9)</f>
        <v>0</v>
      </c>
      <c r="S99" s="27" t="n">
        <f aca="false">MIN(G98*(1+G$8),G$9)</f>
        <v>0</v>
      </c>
      <c r="T99" s="27" t="n">
        <f aca="false">MIN(H98*(1+H$8),H$9)</f>
        <v>0</v>
      </c>
      <c r="U99" s="27" t="n">
        <f aca="false">MIN(I98*(1+I$8),I$9)</f>
        <v>0</v>
      </c>
      <c r="V99" s="27" t="n">
        <f aca="false">MIN(J98*(1+J$8),J$9)</f>
        <v>0</v>
      </c>
      <c r="W99" s="27" t="n">
        <f aca="false">MIN(K98*(1+K$8),K$9)</f>
        <v>0</v>
      </c>
      <c r="X99" s="27" t="n">
        <f aca="false">MIN(B98*(1+B$8),MAX(N99,$B$11-SUM(O99:W99)))</f>
        <v>0</v>
      </c>
      <c r="Y99" s="27" t="n">
        <f aca="false">MIN(C98*(1+C$8),MAX(O99,$B$11-SUM(X99:X99)-SUM(P99:W99)))</f>
        <v>0</v>
      </c>
      <c r="Z99" s="27" t="n">
        <f aca="false">MIN(D98*(1+D$8),MAX(P99,$B$11-SUM(X99:Y99)-SUM(Q99:W99)))</f>
        <v>0</v>
      </c>
      <c r="AA99" s="27" t="n">
        <f aca="false">MIN(E98*(1+E$8),MAX(Q99,$B$11-SUM(X99:Z99)-SUM(R99:W99)))</f>
        <v>0</v>
      </c>
      <c r="AB99" s="27" t="n">
        <f aca="false">MIN(F98*(1+F$8),MAX(R99,$B$11-SUM(X99:AA99)-SUM(S99:W99)))</f>
        <v>0</v>
      </c>
      <c r="AC99" s="27" t="n">
        <f aca="false">MIN(G98*(1+G$8),MAX(S99,$B$11-SUM(X99:AB99)-SUM(T99:W99)))</f>
        <v>0</v>
      </c>
      <c r="AD99" s="27" t="n">
        <f aca="false">MIN(H98*(1+H$8),MAX(T99,$B$11-SUM(X99:AC99)-SUM(U99:W99)))</f>
        <v>0</v>
      </c>
      <c r="AE99" s="27" t="n">
        <f aca="false">MIN(I98*(1+I$8),MAX(U99,$B$11-SUM(X99:AD99)-SUM(V99:W99)))</f>
        <v>0</v>
      </c>
      <c r="AF99" s="27" t="n">
        <f aca="false">MIN(J98*(1+J$8),MAX(V99,$B$11-SUM(X99:AE99)-SUM(W99:W99)))</f>
        <v>0</v>
      </c>
      <c r="AG99" s="27" t="n">
        <f aca="false">MIN(K98*(1+K$8),MAX(W99,$B$11-SUM(X99:AF99)))</f>
        <v>0</v>
      </c>
      <c r="AI99" s="27" t="n">
        <f aca="false">ROUND(MAX(0,AI98*(1+B$8)-BE99),2)</f>
        <v>0</v>
      </c>
      <c r="AJ99" s="27" t="n">
        <f aca="false">ROUND(MAX(0,AJ98*(1+C$8)-BF99),2)</f>
        <v>0</v>
      </c>
      <c r="AK99" s="27" t="n">
        <f aca="false">ROUND(MAX(0,AK98*(1+D$8)-BG99),2)</f>
        <v>0</v>
      </c>
      <c r="AL99" s="27" t="n">
        <f aca="false">ROUND(MAX(0,AL98*(1+E$8)-BH99),2)</f>
        <v>0</v>
      </c>
      <c r="AM99" s="27" t="n">
        <f aca="false">ROUND(MAX(0,AM98*(1+F$8)-BI99),2)</f>
        <v>0</v>
      </c>
      <c r="AN99" s="27" t="n">
        <f aca="false">ROUND(MAX(0,AN98*(1+G$8)-BJ99),2)</f>
        <v>0</v>
      </c>
      <c r="AO99" s="27" t="n">
        <f aca="false">ROUND(MAX(0,AO98*(1+H$8)-BK99),2)</f>
        <v>0</v>
      </c>
      <c r="AP99" s="27" t="n">
        <f aca="false">ROUND(MAX(0,AP98*(1+I$8)-BL99),2)</f>
        <v>0</v>
      </c>
      <c r="AQ99" s="27" t="n">
        <f aca="false">ROUND(MAX(0,AQ98*(1+J$8)-BM99),2)</f>
        <v>0</v>
      </c>
      <c r="AR99" s="27" t="n">
        <f aca="false">ROUND(MAX(0,AR98*(1+K$8)-BN99),2)</f>
        <v>0</v>
      </c>
      <c r="AS99" s="27" t="n">
        <f aca="false">SUM(AI99:AR99)</f>
        <v>0</v>
      </c>
      <c r="AT99" s="27" t="n">
        <f aca="false">SUMPRODUCT(AI98:AR98,$B$8:$K$8)</f>
        <v>0</v>
      </c>
      <c r="AU99" s="27" t="n">
        <f aca="false">MIN(AI98*(1+B$8),B$9)</f>
        <v>0</v>
      </c>
      <c r="AV99" s="27" t="n">
        <f aca="false">MIN(AJ98*(1+C$8),C$9)</f>
        <v>0</v>
      </c>
      <c r="AW99" s="27" t="n">
        <f aca="false">MIN(AK98*(1+D$8),D$9)</f>
        <v>0</v>
      </c>
      <c r="AX99" s="27" t="n">
        <f aca="false">MIN(AL98*(1+E$8),E$9)</f>
        <v>0</v>
      </c>
      <c r="AY99" s="27" t="n">
        <f aca="false">MIN(AM98*(1+F$8),F$9)</f>
        <v>0</v>
      </c>
      <c r="AZ99" s="27" t="n">
        <f aca="false">MIN(AN98*(1+G$8),G$9)</f>
        <v>0</v>
      </c>
      <c r="BA99" s="27" t="n">
        <f aca="false">MIN(AO98*(1+H$8),H$9)</f>
        <v>0</v>
      </c>
      <c r="BB99" s="27" t="n">
        <f aca="false">MIN(AP98*(1+I$8),I$9)</f>
        <v>0</v>
      </c>
      <c r="BC99" s="27" t="n">
        <f aca="false">MIN(AQ98*(1+J$8),J$9)</f>
        <v>0</v>
      </c>
      <c r="BD99" s="27" t="n">
        <f aca="false">MIN(AR98*(1+K$8),K$9)</f>
        <v>0</v>
      </c>
      <c r="BE99" s="27" t="n">
        <f aca="false">MIN(AI98*(1+B$8),MAX(AU99,$B$12-SUM(AV99:BD99)))</f>
        <v>0</v>
      </c>
      <c r="BF99" s="27" t="n">
        <f aca="false">MIN(AJ98*(1+C$8),MAX(AV99,$B$12-SUM(BE99:BE99)-SUM(AW99:BD99)))</f>
        <v>0</v>
      </c>
      <c r="BG99" s="27" t="n">
        <f aca="false">MIN(AK98*(1+D$8),MAX(AW99,$B$12-SUM(BE99:BF99)-SUM(AX99:BD99)))</f>
        <v>0</v>
      </c>
      <c r="BH99" s="27" t="n">
        <f aca="false">MIN(AL98*(1+E$8),MAX(AX99,$B$12-SUM(BE99:BG99)-SUM(AY99:BD99)))</f>
        <v>0</v>
      </c>
      <c r="BI99" s="27" t="n">
        <f aca="false">MIN(AM98*(1+F$8),MAX(AY99,$B$12-SUM(BE99:BH99)-SUM(AZ99:BD99)))</f>
        <v>0</v>
      </c>
      <c r="BJ99" s="27" t="n">
        <f aca="false">MIN(AN98*(1+G$8),MAX(AZ99,$B$12-SUM(BE99:BI99)-SUM(BA99:BD99)))</f>
        <v>0</v>
      </c>
      <c r="BK99" s="27" t="n">
        <f aca="false">MIN(AO98*(1+H$8),MAX(BA99,$B$12-SUM(BE99:BJ99)-SUM(BB99:BD99)))</f>
        <v>0</v>
      </c>
      <c r="BL99" s="27" t="n">
        <f aca="false">MIN(AP98*(1+I$8),MAX(BB99,$B$12-SUM(BE99:BK99)-SUM(BC99:BD99)))</f>
        <v>0</v>
      </c>
      <c r="BM99" s="27" t="n">
        <f aca="false">MIN(AQ98*(1+J$8),MAX(BC99,$B$12-SUM(BE99:BL99)-SUM(BD99:BD99)))</f>
        <v>0</v>
      </c>
      <c r="BN99" s="27" t="n">
        <f aca="false">MIN(AR98*(1+K$8),MAX(BD99,$B$12-SUM(BE99:BM99)))</f>
        <v>0</v>
      </c>
    </row>
    <row r="100" customFormat="false" ht="15" hidden="false" customHeight="false" outlineLevel="0" collapsed="false">
      <c r="A100" s="0" t="n">
        <v>86</v>
      </c>
      <c r="B100" s="27" t="n">
        <f aca="false">ROUND(MAX(0,B99*(1+B$8)-X100),2)</f>
        <v>0</v>
      </c>
      <c r="C100" s="27" t="n">
        <f aca="false">ROUND(MAX(0,C99*(1+C$8)-Y100),2)</f>
        <v>0</v>
      </c>
      <c r="D100" s="27" t="n">
        <f aca="false">ROUND(MAX(0,D99*(1+D$8)-Z100),2)</f>
        <v>0</v>
      </c>
      <c r="E100" s="27" t="n">
        <f aca="false">ROUND(MAX(0,E99*(1+E$8)-AA100),2)</f>
        <v>0</v>
      </c>
      <c r="F100" s="27" t="n">
        <f aca="false">ROUND(MAX(0,F99*(1+F$8)-AB100),2)</f>
        <v>0</v>
      </c>
      <c r="G100" s="27" t="n">
        <f aca="false">ROUND(MAX(0,G99*(1+G$8)-AC100),2)</f>
        <v>0</v>
      </c>
      <c r="H100" s="27" t="n">
        <f aca="false">ROUND(MAX(0,H99*(1+H$8)-AD100),2)</f>
        <v>0</v>
      </c>
      <c r="I100" s="27" t="n">
        <f aca="false">ROUND(MAX(0,I99*(1+I$8)-AE100),2)</f>
        <v>0</v>
      </c>
      <c r="J100" s="27" t="n">
        <f aca="false">ROUND(MAX(0,J99*(1+J$8)-AF100),2)</f>
        <v>0</v>
      </c>
      <c r="K100" s="27" t="n">
        <f aca="false">ROUND(MAX(0,K99*(1+K$8)-AG100),2)</f>
        <v>0</v>
      </c>
      <c r="L100" s="30" t="n">
        <f aca="false">SUM(B100:K100)</f>
        <v>0</v>
      </c>
      <c r="M100" s="27" t="n">
        <f aca="false">SUMPRODUCT(B99:K99,$B$8:$K$8)</f>
        <v>0</v>
      </c>
      <c r="N100" s="27" t="n">
        <f aca="false">MIN(B99*(1+B$8),B$9)</f>
        <v>0</v>
      </c>
      <c r="O100" s="27" t="n">
        <f aca="false">MIN(C99*(1+C$8),C$9)</f>
        <v>0</v>
      </c>
      <c r="P100" s="27" t="n">
        <f aca="false">MIN(D99*(1+D$8),D$9)</f>
        <v>0</v>
      </c>
      <c r="Q100" s="27" t="n">
        <f aca="false">MIN(E99*(1+E$8),E$9)</f>
        <v>0</v>
      </c>
      <c r="R100" s="27" t="n">
        <f aca="false">MIN(F99*(1+F$8),F$9)</f>
        <v>0</v>
      </c>
      <c r="S100" s="27" t="n">
        <f aca="false">MIN(G99*(1+G$8),G$9)</f>
        <v>0</v>
      </c>
      <c r="T100" s="27" t="n">
        <f aca="false">MIN(H99*(1+H$8),H$9)</f>
        <v>0</v>
      </c>
      <c r="U100" s="27" t="n">
        <f aca="false">MIN(I99*(1+I$8),I$9)</f>
        <v>0</v>
      </c>
      <c r="V100" s="27" t="n">
        <f aca="false">MIN(J99*(1+J$8),J$9)</f>
        <v>0</v>
      </c>
      <c r="W100" s="27" t="n">
        <f aca="false">MIN(K99*(1+K$8),K$9)</f>
        <v>0</v>
      </c>
      <c r="X100" s="27" t="n">
        <f aca="false">MIN(B99*(1+B$8),MAX(N100,$B$11-SUM(O100:W100)))</f>
        <v>0</v>
      </c>
      <c r="Y100" s="27" t="n">
        <f aca="false">MIN(C99*(1+C$8),MAX(O100,$B$11-SUM(X100:X100)-SUM(P100:W100)))</f>
        <v>0</v>
      </c>
      <c r="Z100" s="27" t="n">
        <f aca="false">MIN(D99*(1+D$8),MAX(P100,$B$11-SUM(X100:Y100)-SUM(Q100:W100)))</f>
        <v>0</v>
      </c>
      <c r="AA100" s="27" t="n">
        <f aca="false">MIN(E99*(1+E$8),MAX(Q100,$B$11-SUM(X100:Z100)-SUM(R100:W100)))</f>
        <v>0</v>
      </c>
      <c r="AB100" s="27" t="n">
        <f aca="false">MIN(F99*(1+F$8),MAX(R100,$B$11-SUM(X100:AA100)-SUM(S100:W100)))</f>
        <v>0</v>
      </c>
      <c r="AC100" s="27" t="n">
        <f aca="false">MIN(G99*(1+G$8),MAX(S100,$B$11-SUM(X100:AB100)-SUM(T100:W100)))</f>
        <v>0</v>
      </c>
      <c r="AD100" s="27" t="n">
        <f aca="false">MIN(H99*(1+H$8),MAX(T100,$B$11-SUM(X100:AC100)-SUM(U100:W100)))</f>
        <v>0</v>
      </c>
      <c r="AE100" s="27" t="n">
        <f aca="false">MIN(I99*(1+I$8),MAX(U100,$B$11-SUM(X100:AD100)-SUM(V100:W100)))</f>
        <v>0</v>
      </c>
      <c r="AF100" s="27" t="n">
        <f aca="false">MIN(J99*(1+J$8),MAX(V100,$B$11-SUM(X100:AE100)-SUM(W100:W100)))</f>
        <v>0</v>
      </c>
      <c r="AG100" s="27" t="n">
        <f aca="false">MIN(K99*(1+K$8),MAX(W100,$B$11-SUM(X100:AF100)))</f>
        <v>0</v>
      </c>
      <c r="AI100" s="27" t="n">
        <f aca="false">ROUND(MAX(0,AI99*(1+B$8)-BE100),2)</f>
        <v>0</v>
      </c>
      <c r="AJ100" s="27" t="n">
        <f aca="false">ROUND(MAX(0,AJ99*(1+C$8)-BF100),2)</f>
        <v>0</v>
      </c>
      <c r="AK100" s="27" t="n">
        <f aca="false">ROUND(MAX(0,AK99*(1+D$8)-BG100),2)</f>
        <v>0</v>
      </c>
      <c r="AL100" s="27" t="n">
        <f aca="false">ROUND(MAX(0,AL99*(1+E$8)-BH100),2)</f>
        <v>0</v>
      </c>
      <c r="AM100" s="27" t="n">
        <f aca="false">ROUND(MAX(0,AM99*(1+F$8)-BI100),2)</f>
        <v>0</v>
      </c>
      <c r="AN100" s="27" t="n">
        <f aca="false">ROUND(MAX(0,AN99*(1+G$8)-BJ100),2)</f>
        <v>0</v>
      </c>
      <c r="AO100" s="27" t="n">
        <f aca="false">ROUND(MAX(0,AO99*(1+H$8)-BK100),2)</f>
        <v>0</v>
      </c>
      <c r="AP100" s="27" t="n">
        <f aca="false">ROUND(MAX(0,AP99*(1+I$8)-BL100),2)</f>
        <v>0</v>
      </c>
      <c r="AQ100" s="27" t="n">
        <f aca="false">ROUND(MAX(0,AQ99*(1+J$8)-BM100),2)</f>
        <v>0</v>
      </c>
      <c r="AR100" s="27" t="n">
        <f aca="false">ROUND(MAX(0,AR99*(1+K$8)-BN100),2)</f>
        <v>0</v>
      </c>
      <c r="AS100" s="27" t="n">
        <f aca="false">SUM(AI100:AR100)</f>
        <v>0</v>
      </c>
      <c r="AT100" s="27" t="n">
        <f aca="false">SUMPRODUCT(AI99:AR99,$B$8:$K$8)</f>
        <v>0</v>
      </c>
      <c r="AU100" s="27" t="n">
        <f aca="false">MIN(AI99*(1+B$8),B$9)</f>
        <v>0</v>
      </c>
      <c r="AV100" s="27" t="n">
        <f aca="false">MIN(AJ99*(1+C$8),C$9)</f>
        <v>0</v>
      </c>
      <c r="AW100" s="27" t="n">
        <f aca="false">MIN(AK99*(1+D$8),D$9)</f>
        <v>0</v>
      </c>
      <c r="AX100" s="27" t="n">
        <f aca="false">MIN(AL99*(1+E$8),E$9)</f>
        <v>0</v>
      </c>
      <c r="AY100" s="27" t="n">
        <f aca="false">MIN(AM99*(1+F$8),F$9)</f>
        <v>0</v>
      </c>
      <c r="AZ100" s="27" t="n">
        <f aca="false">MIN(AN99*(1+G$8),G$9)</f>
        <v>0</v>
      </c>
      <c r="BA100" s="27" t="n">
        <f aca="false">MIN(AO99*(1+H$8),H$9)</f>
        <v>0</v>
      </c>
      <c r="BB100" s="27" t="n">
        <f aca="false">MIN(AP99*(1+I$8),I$9)</f>
        <v>0</v>
      </c>
      <c r="BC100" s="27" t="n">
        <f aca="false">MIN(AQ99*(1+J$8),J$9)</f>
        <v>0</v>
      </c>
      <c r="BD100" s="27" t="n">
        <f aca="false">MIN(AR99*(1+K$8),K$9)</f>
        <v>0</v>
      </c>
      <c r="BE100" s="27" t="n">
        <f aca="false">MIN(AI99*(1+B$8),MAX(AU100,$B$12-SUM(AV100:BD100)))</f>
        <v>0</v>
      </c>
      <c r="BF100" s="27" t="n">
        <f aca="false">MIN(AJ99*(1+C$8),MAX(AV100,$B$12-SUM(BE100:BE100)-SUM(AW100:BD100)))</f>
        <v>0</v>
      </c>
      <c r="BG100" s="27" t="n">
        <f aca="false">MIN(AK99*(1+D$8),MAX(AW100,$B$12-SUM(BE100:BF100)-SUM(AX100:BD100)))</f>
        <v>0</v>
      </c>
      <c r="BH100" s="27" t="n">
        <f aca="false">MIN(AL99*(1+E$8),MAX(AX100,$B$12-SUM(BE100:BG100)-SUM(AY100:BD100)))</f>
        <v>0</v>
      </c>
      <c r="BI100" s="27" t="n">
        <f aca="false">MIN(AM99*(1+F$8),MAX(AY100,$B$12-SUM(BE100:BH100)-SUM(AZ100:BD100)))</f>
        <v>0</v>
      </c>
      <c r="BJ100" s="27" t="n">
        <f aca="false">MIN(AN99*(1+G$8),MAX(AZ100,$B$12-SUM(BE100:BI100)-SUM(BA100:BD100)))</f>
        <v>0</v>
      </c>
      <c r="BK100" s="27" t="n">
        <f aca="false">MIN(AO99*(1+H$8),MAX(BA100,$B$12-SUM(BE100:BJ100)-SUM(BB100:BD100)))</f>
        <v>0</v>
      </c>
      <c r="BL100" s="27" t="n">
        <f aca="false">MIN(AP99*(1+I$8),MAX(BB100,$B$12-SUM(BE100:BK100)-SUM(BC100:BD100)))</f>
        <v>0</v>
      </c>
      <c r="BM100" s="27" t="n">
        <f aca="false">MIN(AQ99*(1+J$8),MAX(BC100,$B$12-SUM(BE100:BL100)-SUM(BD100:BD100)))</f>
        <v>0</v>
      </c>
      <c r="BN100" s="27" t="n">
        <f aca="false">MIN(AR99*(1+K$8),MAX(BD100,$B$12-SUM(BE100:BM100)))</f>
        <v>0</v>
      </c>
    </row>
    <row r="101" customFormat="false" ht="15" hidden="false" customHeight="false" outlineLevel="0" collapsed="false">
      <c r="A101" s="0" t="n">
        <v>87</v>
      </c>
      <c r="B101" s="27" t="n">
        <f aca="false">ROUND(MAX(0,B100*(1+B$8)-X101),2)</f>
        <v>0</v>
      </c>
      <c r="C101" s="27" t="n">
        <f aca="false">ROUND(MAX(0,C100*(1+C$8)-Y101),2)</f>
        <v>0</v>
      </c>
      <c r="D101" s="27" t="n">
        <f aca="false">ROUND(MAX(0,D100*(1+D$8)-Z101),2)</f>
        <v>0</v>
      </c>
      <c r="E101" s="27" t="n">
        <f aca="false">ROUND(MAX(0,E100*(1+E$8)-AA101),2)</f>
        <v>0</v>
      </c>
      <c r="F101" s="27" t="n">
        <f aca="false">ROUND(MAX(0,F100*(1+F$8)-AB101),2)</f>
        <v>0</v>
      </c>
      <c r="G101" s="27" t="n">
        <f aca="false">ROUND(MAX(0,G100*(1+G$8)-AC101),2)</f>
        <v>0</v>
      </c>
      <c r="H101" s="27" t="n">
        <f aca="false">ROUND(MAX(0,H100*(1+H$8)-AD101),2)</f>
        <v>0</v>
      </c>
      <c r="I101" s="27" t="n">
        <f aca="false">ROUND(MAX(0,I100*(1+I$8)-AE101),2)</f>
        <v>0</v>
      </c>
      <c r="J101" s="27" t="n">
        <f aca="false">ROUND(MAX(0,J100*(1+J$8)-AF101),2)</f>
        <v>0</v>
      </c>
      <c r="K101" s="27" t="n">
        <f aca="false">ROUND(MAX(0,K100*(1+K$8)-AG101),2)</f>
        <v>0</v>
      </c>
      <c r="L101" s="30" t="n">
        <f aca="false">SUM(B101:K101)</f>
        <v>0</v>
      </c>
      <c r="M101" s="27" t="n">
        <f aca="false">SUMPRODUCT(B100:K100,$B$8:$K$8)</f>
        <v>0</v>
      </c>
      <c r="N101" s="27" t="n">
        <f aca="false">MIN(B100*(1+B$8),B$9)</f>
        <v>0</v>
      </c>
      <c r="O101" s="27" t="n">
        <f aca="false">MIN(C100*(1+C$8),C$9)</f>
        <v>0</v>
      </c>
      <c r="P101" s="27" t="n">
        <f aca="false">MIN(D100*(1+D$8),D$9)</f>
        <v>0</v>
      </c>
      <c r="Q101" s="27" t="n">
        <f aca="false">MIN(E100*(1+E$8),E$9)</f>
        <v>0</v>
      </c>
      <c r="R101" s="27" t="n">
        <f aca="false">MIN(F100*(1+F$8),F$9)</f>
        <v>0</v>
      </c>
      <c r="S101" s="27" t="n">
        <f aca="false">MIN(G100*(1+G$8),G$9)</f>
        <v>0</v>
      </c>
      <c r="T101" s="27" t="n">
        <f aca="false">MIN(H100*(1+H$8),H$9)</f>
        <v>0</v>
      </c>
      <c r="U101" s="27" t="n">
        <f aca="false">MIN(I100*(1+I$8),I$9)</f>
        <v>0</v>
      </c>
      <c r="V101" s="27" t="n">
        <f aca="false">MIN(J100*(1+J$8),J$9)</f>
        <v>0</v>
      </c>
      <c r="W101" s="27" t="n">
        <f aca="false">MIN(K100*(1+K$8),K$9)</f>
        <v>0</v>
      </c>
      <c r="X101" s="27" t="n">
        <f aca="false">MIN(B100*(1+B$8),MAX(N101,$B$11-SUM(O101:W101)))</f>
        <v>0</v>
      </c>
      <c r="Y101" s="27" t="n">
        <f aca="false">MIN(C100*(1+C$8),MAX(O101,$B$11-SUM(X101:X101)-SUM(P101:W101)))</f>
        <v>0</v>
      </c>
      <c r="Z101" s="27" t="n">
        <f aca="false">MIN(D100*(1+D$8),MAX(P101,$B$11-SUM(X101:Y101)-SUM(Q101:W101)))</f>
        <v>0</v>
      </c>
      <c r="AA101" s="27" t="n">
        <f aca="false">MIN(E100*(1+E$8),MAX(Q101,$B$11-SUM(X101:Z101)-SUM(R101:W101)))</f>
        <v>0</v>
      </c>
      <c r="AB101" s="27" t="n">
        <f aca="false">MIN(F100*(1+F$8),MAX(R101,$B$11-SUM(X101:AA101)-SUM(S101:W101)))</f>
        <v>0</v>
      </c>
      <c r="AC101" s="27" t="n">
        <f aca="false">MIN(G100*(1+G$8),MAX(S101,$B$11-SUM(X101:AB101)-SUM(T101:W101)))</f>
        <v>0</v>
      </c>
      <c r="AD101" s="27" t="n">
        <f aca="false">MIN(H100*(1+H$8),MAX(T101,$B$11-SUM(X101:AC101)-SUM(U101:W101)))</f>
        <v>0</v>
      </c>
      <c r="AE101" s="27" t="n">
        <f aca="false">MIN(I100*(1+I$8),MAX(U101,$B$11-SUM(X101:AD101)-SUM(V101:W101)))</f>
        <v>0</v>
      </c>
      <c r="AF101" s="27" t="n">
        <f aca="false">MIN(J100*(1+J$8),MAX(V101,$B$11-SUM(X101:AE101)-SUM(W101:W101)))</f>
        <v>0</v>
      </c>
      <c r="AG101" s="27" t="n">
        <f aca="false">MIN(K100*(1+K$8),MAX(W101,$B$11-SUM(X101:AF101)))</f>
        <v>0</v>
      </c>
      <c r="AI101" s="27" t="n">
        <f aca="false">ROUND(MAX(0,AI100*(1+B$8)-BE101),2)</f>
        <v>0</v>
      </c>
      <c r="AJ101" s="27" t="n">
        <f aca="false">ROUND(MAX(0,AJ100*(1+C$8)-BF101),2)</f>
        <v>0</v>
      </c>
      <c r="AK101" s="27" t="n">
        <f aca="false">ROUND(MAX(0,AK100*(1+D$8)-BG101),2)</f>
        <v>0</v>
      </c>
      <c r="AL101" s="27" t="n">
        <f aca="false">ROUND(MAX(0,AL100*(1+E$8)-BH101),2)</f>
        <v>0</v>
      </c>
      <c r="AM101" s="27" t="n">
        <f aca="false">ROUND(MAX(0,AM100*(1+F$8)-BI101),2)</f>
        <v>0</v>
      </c>
      <c r="AN101" s="27" t="n">
        <f aca="false">ROUND(MAX(0,AN100*(1+G$8)-BJ101),2)</f>
        <v>0</v>
      </c>
      <c r="AO101" s="27" t="n">
        <f aca="false">ROUND(MAX(0,AO100*(1+H$8)-BK101),2)</f>
        <v>0</v>
      </c>
      <c r="AP101" s="27" t="n">
        <f aca="false">ROUND(MAX(0,AP100*(1+I$8)-BL101),2)</f>
        <v>0</v>
      </c>
      <c r="AQ101" s="27" t="n">
        <f aca="false">ROUND(MAX(0,AQ100*(1+J$8)-BM101),2)</f>
        <v>0</v>
      </c>
      <c r="AR101" s="27" t="n">
        <f aca="false">ROUND(MAX(0,AR100*(1+K$8)-BN101),2)</f>
        <v>0</v>
      </c>
      <c r="AS101" s="27" t="n">
        <f aca="false">SUM(AI101:AR101)</f>
        <v>0</v>
      </c>
      <c r="AT101" s="27" t="n">
        <f aca="false">SUMPRODUCT(AI100:AR100,$B$8:$K$8)</f>
        <v>0</v>
      </c>
      <c r="AU101" s="27" t="n">
        <f aca="false">MIN(AI100*(1+B$8),B$9)</f>
        <v>0</v>
      </c>
      <c r="AV101" s="27" t="n">
        <f aca="false">MIN(AJ100*(1+C$8),C$9)</f>
        <v>0</v>
      </c>
      <c r="AW101" s="27" t="n">
        <f aca="false">MIN(AK100*(1+D$8),D$9)</f>
        <v>0</v>
      </c>
      <c r="AX101" s="27" t="n">
        <f aca="false">MIN(AL100*(1+E$8),E$9)</f>
        <v>0</v>
      </c>
      <c r="AY101" s="27" t="n">
        <f aca="false">MIN(AM100*(1+F$8),F$9)</f>
        <v>0</v>
      </c>
      <c r="AZ101" s="27" t="n">
        <f aca="false">MIN(AN100*(1+G$8),G$9)</f>
        <v>0</v>
      </c>
      <c r="BA101" s="27" t="n">
        <f aca="false">MIN(AO100*(1+H$8),H$9)</f>
        <v>0</v>
      </c>
      <c r="BB101" s="27" t="n">
        <f aca="false">MIN(AP100*(1+I$8),I$9)</f>
        <v>0</v>
      </c>
      <c r="BC101" s="27" t="n">
        <f aca="false">MIN(AQ100*(1+J$8),J$9)</f>
        <v>0</v>
      </c>
      <c r="BD101" s="27" t="n">
        <f aca="false">MIN(AR100*(1+K$8),K$9)</f>
        <v>0</v>
      </c>
      <c r="BE101" s="27" t="n">
        <f aca="false">MIN(AI100*(1+B$8),MAX(AU101,$B$12-SUM(AV101:BD101)))</f>
        <v>0</v>
      </c>
      <c r="BF101" s="27" t="n">
        <f aca="false">MIN(AJ100*(1+C$8),MAX(AV101,$B$12-SUM(BE101:BE101)-SUM(AW101:BD101)))</f>
        <v>0</v>
      </c>
      <c r="BG101" s="27" t="n">
        <f aca="false">MIN(AK100*(1+D$8),MAX(AW101,$B$12-SUM(BE101:BF101)-SUM(AX101:BD101)))</f>
        <v>0</v>
      </c>
      <c r="BH101" s="27" t="n">
        <f aca="false">MIN(AL100*(1+E$8),MAX(AX101,$B$12-SUM(BE101:BG101)-SUM(AY101:BD101)))</f>
        <v>0</v>
      </c>
      <c r="BI101" s="27" t="n">
        <f aca="false">MIN(AM100*(1+F$8),MAX(AY101,$B$12-SUM(BE101:BH101)-SUM(AZ101:BD101)))</f>
        <v>0</v>
      </c>
      <c r="BJ101" s="27" t="n">
        <f aca="false">MIN(AN100*(1+G$8),MAX(AZ101,$B$12-SUM(BE101:BI101)-SUM(BA101:BD101)))</f>
        <v>0</v>
      </c>
      <c r="BK101" s="27" t="n">
        <f aca="false">MIN(AO100*(1+H$8),MAX(BA101,$B$12-SUM(BE101:BJ101)-SUM(BB101:BD101)))</f>
        <v>0</v>
      </c>
      <c r="BL101" s="27" t="n">
        <f aca="false">MIN(AP100*(1+I$8),MAX(BB101,$B$12-SUM(BE101:BK101)-SUM(BC101:BD101)))</f>
        <v>0</v>
      </c>
      <c r="BM101" s="27" t="n">
        <f aca="false">MIN(AQ100*(1+J$8),MAX(BC101,$B$12-SUM(BE101:BL101)-SUM(BD101:BD101)))</f>
        <v>0</v>
      </c>
      <c r="BN101" s="27" t="n">
        <f aca="false">MIN(AR100*(1+K$8),MAX(BD101,$B$12-SUM(BE101:BM101)))</f>
        <v>0</v>
      </c>
    </row>
    <row r="102" customFormat="false" ht="15" hidden="false" customHeight="false" outlineLevel="0" collapsed="false">
      <c r="A102" s="0" t="n">
        <v>88</v>
      </c>
      <c r="B102" s="27" t="n">
        <f aca="false">ROUND(MAX(0,B101*(1+B$8)-X102),2)</f>
        <v>0</v>
      </c>
      <c r="C102" s="27" t="n">
        <f aca="false">ROUND(MAX(0,C101*(1+C$8)-Y102),2)</f>
        <v>0</v>
      </c>
      <c r="D102" s="27" t="n">
        <f aca="false">ROUND(MAX(0,D101*(1+D$8)-Z102),2)</f>
        <v>0</v>
      </c>
      <c r="E102" s="27" t="n">
        <f aca="false">ROUND(MAX(0,E101*(1+E$8)-AA102),2)</f>
        <v>0</v>
      </c>
      <c r="F102" s="27" t="n">
        <f aca="false">ROUND(MAX(0,F101*(1+F$8)-AB102),2)</f>
        <v>0</v>
      </c>
      <c r="G102" s="27" t="n">
        <f aca="false">ROUND(MAX(0,G101*(1+G$8)-AC102),2)</f>
        <v>0</v>
      </c>
      <c r="H102" s="27" t="n">
        <f aca="false">ROUND(MAX(0,H101*(1+H$8)-AD102),2)</f>
        <v>0</v>
      </c>
      <c r="I102" s="27" t="n">
        <f aca="false">ROUND(MAX(0,I101*(1+I$8)-AE102),2)</f>
        <v>0</v>
      </c>
      <c r="J102" s="27" t="n">
        <f aca="false">ROUND(MAX(0,J101*(1+J$8)-AF102),2)</f>
        <v>0</v>
      </c>
      <c r="K102" s="27" t="n">
        <f aca="false">ROUND(MAX(0,K101*(1+K$8)-AG102),2)</f>
        <v>0</v>
      </c>
      <c r="L102" s="30" t="n">
        <f aca="false">SUM(B102:K102)</f>
        <v>0</v>
      </c>
      <c r="M102" s="27" t="n">
        <f aca="false">SUMPRODUCT(B101:K101,$B$8:$K$8)</f>
        <v>0</v>
      </c>
      <c r="N102" s="27" t="n">
        <f aca="false">MIN(B101*(1+B$8),B$9)</f>
        <v>0</v>
      </c>
      <c r="O102" s="27" t="n">
        <f aca="false">MIN(C101*(1+C$8),C$9)</f>
        <v>0</v>
      </c>
      <c r="P102" s="27" t="n">
        <f aca="false">MIN(D101*(1+D$8),D$9)</f>
        <v>0</v>
      </c>
      <c r="Q102" s="27" t="n">
        <f aca="false">MIN(E101*(1+E$8),E$9)</f>
        <v>0</v>
      </c>
      <c r="R102" s="27" t="n">
        <f aca="false">MIN(F101*(1+F$8),F$9)</f>
        <v>0</v>
      </c>
      <c r="S102" s="27" t="n">
        <f aca="false">MIN(G101*(1+G$8),G$9)</f>
        <v>0</v>
      </c>
      <c r="T102" s="27" t="n">
        <f aca="false">MIN(H101*(1+H$8),H$9)</f>
        <v>0</v>
      </c>
      <c r="U102" s="27" t="n">
        <f aca="false">MIN(I101*(1+I$8),I$9)</f>
        <v>0</v>
      </c>
      <c r="V102" s="27" t="n">
        <f aca="false">MIN(J101*(1+J$8),J$9)</f>
        <v>0</v>
      </c>
      <c r="W102" s="27" t="n">
        <f aca="false">MIN(K101*(1+K$8),K$9)</f>
        <v>0</v>
      </c>
      <c r="X102" s="27" t="n">
        <f aca="false">MIN(B101*(1+B$8),MAX(N102,$B$11-SUM(O102:W102)))</f>
        <v>0</v>
      </c>
      <c r="Y102" s="27" t="n">
        <f aca="false">MIN(C101*(1+C$8),MAX(O102,$B$11-SUM(X102:X102)-SUM(P102:W102)))</f>
        <v>0</v>
      </c>
      <c r="Z102" s="27" t="n">
        <f aca="false">MIN(D101*(1+D$8),MAX(P102,$B$11-SUM(X102:Y102)-SUM(Q102:W102)))</f>
        <v>0</v>
      </c>
      <c r="AA102" s="27" t="n">
        <f aca="false">MIN(E101*(1+E$8),MAX(Q102,$B$11-SUM(X102:Z102)-SUM(R102:W102)))</f>
        <v>0</v>
      </c>
      <c r="AB102" s="27" t="n">
        <f aca="false">MIN(F101*(1+F$8),MAX(R102,$B$11-SUM(X102:AA102)-SUM(S102:W102)))</f>
        <v>0</v>
      </c>
      <c r="AC102" s="27" t="n">
        <f aca="false">MIN(G101*(1+G$8),MAX(S102,$B$11-SUM(X102:AB102)-SUM(T102:W102)))</f>
        <v>0</v>
      </c>
      <c r="AD102" s="27" t="n">
        <f aca="false">MIN(H101*(1+H$8),MAX(T102,$B$11-SUM(X102:AC102)-SUM(U102:W102)))</f>
        <v>0</v>
      </c>
      <c r="AE102" s="27" t="n">
        <f aca="false">MIN(I101*(1+I$8),MAX(U102,$B$11-SUM(X102:AD102)-SUM(V102:W102)))</f>
        <v>0</v>
      </c>
      <c r="AF102" s="27" t="n">
        <f aca="false">MIN(J101*(1+J$8),MAX(V102,$B$11-SUM(X102:AE102)-SUM(W102:W102)))</f>
        <v>0</v>
      </c>
      <c r="AG102" s="27" t="n">
        <f aca="false">MIN(K101*(1+K$8),MAX(W102,$B$11-SUM(X102:AF102)))</f>
        <v>0</v>
      </c>
      <c r="AI102" s="27" t="n">
        <f aca="false">ROUND(MAX(0,AI101*(1+B$8)-BE102),2)</f>
        <v>0</v>
      </c>
      <c r="AJ102" s="27" t="n">
        <f aca="false">ROUND(MAX(0,AJ101*(1+C$8)-BF102),2)</f>
        <v>0</v>
      </c>
      <c r="AK102" s="27" t="n">
        <f aca="false">ROUND(MAX(0,AK101*(1+D$8)-BG102),2)</f>
        <v>0</v>
      </c>
      <c r="AL102" s="27" t="n">
        <f aca="false">ROUND(MAX(0,AL101*(1+E$8)-BH102),2)</f>
        <v>0</v>
      </c>
      <c r="AM102" s="27" t="n">
        <f aca="false">ROUND(MAX(0,AM101*(1+F$8)-BI102),2)</f>
        <v>0</v>
      </c>
      <c r="AN102" s="27" t="n">
        <f aca="false">ROUND(MAX(0,AN101*(1+G$8)-BJ102),2)</f>
        <v>0</v>
      </c>
      <c r="AO102" s="27" t="n">
        <f aca="false">ROUND(MAX(0,AO101*(1+H$8)-BK102),2)</f>
        <v>0</v>
      </c>
      <c r="AP102" s="27" t="n">
        <f aca="false">ROUND(MAX(0,AP101*(1+I$8)-BL102),2)</f>
        <v>0</v>
      </c>
      <c r="AQ102" s="27" t="n">
        <f aca="false">ROUND(MAX(0,AQ101*(1+J$8)-BM102),2)</f>
        <v>0</v>
      </c>
      <c r="AR102" s="27" t="n">
        <f aca="false">ROUND(MAX(0,AR101*(1+K$8)-BN102),2)</f>
        <v>0</v>
      </c>
      <c r="AS102" s="27" t="n">
        <f aca="false">SUM(AI102:AR102)</f>
        <v>0</v>
      </c>
      <c r="AT102" s="27" t="n">
        <f aca="false">SUMPRODUCT(AI101:AR101,$B$8:$K$8)</f>
        <v>0</v>
      </c>
      <c r="AU102" s="27" t="n">
        <f aca="false">MIN(AI101*(1+B$8),B$9)</f>
        <v>0</v>
      </c>
      <c r="AV102" s="27" t="n">
        <f aca="false">MIN(AJ101*(1+C$8),C$9)</f>
        <v>0</v>
      </c>
      <c r="AW102" s="27" t="n">
        <f aca="false">MIN(AK101*(1+D$8),D$9)</f>
        <v>0</v>
      </c>
      <c r="AX102" s="27" t="n">
        <f aca="false">MIN(AL101*(1+E$8),E$9)</f>
        <v>0</v>
      </c>
      <c r="AY102" s="27" t="n">
        <f aca="false">MIN(AM101*(1+F$8),F$9)</f>
        <v>0</v>
      </c>
      <c r="AZ102" s="27" t="n">
        <f aca="false">MIN(AN101*(1+G$8),G$9)</f>
        <v>0</v>
      </c>
      <c r="BA102" s="27" t="n">
        <f aca="false">MIN(AO101*(1+H$8),H$9)</f>
        <v>0</v>
      </c>
      <c r="BB102" s="27" t="n">
        <f aca="false">MIN(AP101*(1+I$8),I$9)</f>
        <v>0</v>
      </c>
      <c r="BC102" s="27" t="n">
        <f aca="false">MIN(AQ101*(1+J$8),J$9)</f>
        <v>0</v>
      </c>
      <c r="BD102" s="27" t="n">
        <f aca="false">MIN(AR101*(1+K$8),K$9)</f>
        <v>0</v>
      </c>
      <c r="BE102" s="27" t="n">
        <f aca="false">MIN(AI101*(1+B$8),MAX(AU102,$B$12-SUM(AV102:BD102)))</f>
        <v>0</v>
      </c>
      <c r="BF102" s="27" t="n">
        <f aca="false">MIN(AJ101*(1+C$8),MAX(AV102,$B$12-SUM(BE102:BE102)-SUM(AW102:BD102)))</f>
        <v>0</v>
      </c>
      <c r="BG102" s="27" t="n">
        <f aca="false">MIN(AK101*(1+D$8),MAX(AW102,$B$12-SUM(BE102:BF102)-SUM(AX102:BD102)))</f>
        <v>0</v>
      </c>
      <c r="BH102" s="27" t="n">
        <f aca="false">MIN(AL101*(1+E$8),MAX(AX102,$B$12-SUM(BE102:BG102)-SUM(AY102:BD102)))</f>
        <v>0</v>
      </c>
      <c r="BI102" s="27" t="n">
        <f aca="false">MIN(AM101*(1+F$8),MAX(AY102,$B$12-SUM(BE102:BH102)-SUM(AZ102:BD102)))</f>
        <v>0</v>
      </c>
      <c r="BJ102" s="27" t="n">
        <f aca="false">MIN(AN101*(1+G$8),MAX(AZ102,$B$12-SUM(BE102:BI102)-SUM(BA102:BD102)))</f>
        <v>0</v>
      </c>
      <c r="BK102" s="27" t="n">
        <f aca="false">MIN(AO101*(1+H$8),MAX(BA102,$B$12-SUM(BE102:BJ102)-SUM(BB102:BD102)))</f>
        <v>0</v>
      </c>
      <c r="BL102" s="27" t="n">
        <f aca="false">MIN(AP101*(1+I$8),MAX(BB102,$B$12-SUM(BE102:BK102)-SUM(BC102:BD102)))</f>
        <v>0</v>
      </c>
      <c r="BM102" s="27" t="n">
        <f aca="false">MIN(AQ101*(1+J$8),MAX(BC102,$B$12-SUM(BE102:BL102)-SUM(BD102:BD102)))</f>
        <v>0</v>
      </c>
      <c r="BN102" s="27" t="n">
        <f aca="false">MIN(AR101*(1+K$8),MAX(BD102,$B$12-SUM(BE102:BM102)))</f>
        <v>0</v>
      </c>
    </row>
    <row r="103" customFormat="false" ht="15" hidden="false" customHeight="false" outlineLevel="0" collapsed="false">
      <c r="A103" s="0" t="n">
        <v>89</v>
      </c>
      <c r="B103" s="27" t="n">
        <f aca="false">ROUND(MAX(0,B102*(1+B$8)-X103),2)</f>
        <v>0</v>
      </c>
      <c r="C103" s="27" t="n">
        <f aca="false">ROUND(MAX(0,C102*(1+C$8)-Y103),2)</f>
        <v>0</v>
      </c>
      <c r="D103" s="27" t="n">
        <f aca="false">ROUND(MAX(0,D102*(1+D$8)-Z103),2)</f>
        <v>0</v>
      </c>
      <c r="E103" s="27" t="n">
        <f aca="false">ROUND(MAX(0,E102*(1+E$8)-AA103),2)</f>
        <v>0</v>
      </c>
      <c r="F103" s="27" t="n">
        <f aca="false">ROUND(MAX(0,F102*(1+F$8)-AB103),2)</f>
        <v>0</v>
      </c>
      <c r="G103" s="27" t="n">
        <f aca="false">ROUND(MAX(0,G102*(1+G$8)-AC103),2)</f>
        <v>0</v>
      </c>
      <c r="H103" s="27" t="n">
        <f aca="false">ROUND(MAX(0,H102*(1+H$8)-AD103),2)</f>
        <v>0</v>
      </c>
      <c r="I103" s="27" t="n">
        <f aca="false">ROUND(MAX(0,I102*(1+I$8)-AE103),2)</f>
        <v>0</v>
      </c>
      <c r="J103" s="27" t="n">
        <f aca="false">ROUND(MAX(0,J102*(1+J$8)-AF103),2)</f>
        <v>0</v>
      </c>
      <c r="K103" s="27" t="n">
        <f aca="false">ROUND(MAX(0,K102*(1+K$8)-AG103),2)</f>
        <v>0</v>
      </c>
      <c r="L103" s="30" t="n">
        <f aca="false">SUM(B103:K103)</f>
        <v>0</v>
      </c>
      <c r="M103" s="27" t="n">
        <f aca="false">SUMPRODUCT(B102:K102,$B$8:$K$8)</f>
        <v>0</v>
      </c>
      <c r="N103" s="27" t="n">
        <f aca="false">MIN(B102*(1+B$8),B$9)</f>
        <v>0</v>
      </c>
      <c r="O103" s="27" t="n">
        <f aca="false">MIN(C102*(1+C$8),C$9)</f>
        <v>0</v>
      </c>
      <c r="P103" s="27" t="n">
        <f aca="false">MIN(D102*(1+D$8),D$9)</f>
        <v>0</v>
      </c>
      <c r="Q103" s="27" t="n">
        <f aca="false">MIN(E102*(1+E$8),E$9)</f>
        <v>0</v>
      </c>
      <c r="R103" s="27" t="n">
        <f aca="false">MIN(F102*(1+F$8),F$9)</f>
        <v>0</v>
      </c>
      <c r="S103" s="27" t="n">
        <f aca="false">MIN(G102*(1+G$8),G$9)</f>
        <v>0</v>
      </c>
      <c r="T103" s="27" t="n">
        <f aca="false">MIN(H102*(1+H$8),H$9)</f>
        <v>0</v>
      </c>
      <c r="U103" s="27" t="n">
        <f aca="false">MIN(I102*(1+I$8),I$9)</f>
        <v>0</v>
      </c>
      <c r="V103" s="27" t="n">
        <f aca="false">MIN(J102*(1+J$8),J$9)</f>
        <v>0</v>
      </c>
      <c r="W103" s="27" t="n">
        <f aca="false">MIN(K102*(1+K$8),K$9)</f>
        <v>0</v>
      </c>
      <c r="X103" s="27" t="n">
        <f aca="false">MIN(B102*(1+B$8),MAX(N103,$B$11-SUM(O103:W103)))</f>
        <v>0</v>
      </c>
      <c r="Y103" s="27" t="n">
        <f aca="false">MIN(C102*(1+C$8),MAX(O103,$B$11-SUM(X103:X103)-SUM(P103:W103)))</f>
        <v>0</v>
      </c>
      <c r="Z103" s="27" t="n">
        <f aca="false">MIN(D102*(1+D$8),MAX(P103,$B$11-SUM(X103:Y103)-SUM(Q103:W103)))</f>
        <v>0</v>
      </c>
      <c r="AA103" s="27" t="n">
        <f aca="false">MIN(E102*(1+E$8),MAX(Q103,$B$11-SUM(X103:Z103)-SUM(R103:W103)))</f>
        <v>0</v>
      </c>
      <c r="AB103" s="27" t="n">
        <f aca="false">MIN(F102*(1+F$8),MAX(R103,$B$11-SUM(X103:AA103)-SUM(S103:W103)))</f>
        <v>0</v>
      </c>
      <c r="AC103" s="27" t="n">
        <f aca="false">MIN(G102*(1+G$8),MAX(S103,$B$11-SUM(X103:AB103)-SUM(T103:W103)))</f>
        <v>0</v>
      </c>
      <c r="AD103" s="27" t="n">
        <f aca="false">MIN(H102*(1+H$8),MAX(T103,$B$11-SUM(X103:AC103)-SUM(U103:W103)))</f>
        <v>0</v>
      </c>
      <c r="AE103" s="27" t="n">
        <f aca="false">MIN(I102*(1+I$8),MAX(U103,$B$11-SUM(X103:AD103)-SUM(V103:W103)))</f>
        <v>0</v>
      </c>
      <c r="AF103" s="27" t="n">
        <f aca="false">MIN(J102*(1+J$8),MAX(V103,$B$11-SUM(X103:AE103)-SUM(W103:W103)))</f>
        <v>0</v>
      </c>
      <c r="AG103" s="27" t="n">
        <f aca="false">MIN(K102*(1+K$8),MAX(W103,$B$11-SUM(X103:AF103)))</f>
        <v>0</v>
      </c>
      <c r="AI103" s="27" t="n">
        <f aca="false">ROUND(MAX(0,AI102*(1+B$8)-BE103),2)</f>
        <v>0</v>
      </c>
      <c r="AJ103" s="27" t="n">
        <f aca="false">ROUND(MAX(0,AJ102*(1+C$8)-BF103),2)</f>
        <v>0</v>
      </c>
      <c r="AK103" s="27" t="n">
        <f aca="false">ROUND(MAX(0,AK102*(1+D$8)-BG103),2)</f>
        <v>0</v>
      </c>
      <c r="AL103" s="27" t="n">
        <f aca="false">ROUND(MAX(0,AL102*(1+E$8)-BH103),2)</f>
        <v>0</v>
      </c>
      <c r="AM103" s="27" t="n">
        <f aca="false">ROUND(MAX(0,AM102*(1+F$8)-BI103),2)</f>
        <v>0</v>
      </c>
      <c r="AN103" s="27" t="n">
        <f aca="false">ROUND(MAX(0,AN102*(1+G$8)-BJ103),2)</f>
        <v>0</v>
      </c>
      <c r="AO103" s="27" t="n">
        <f aca="false">ROUND(MAX(0,AO102*(1+H$8)-BK103),2)</f>
        <v>0</v>
      </c>
      <c r="AP103" s="27" t="n">
        <f aca="false">ROUND(MAX(0,AP102*(1+I$8)-BL103),2)</f>
        <v>0</v>
      </c>
      <c r="AQ103" s="27" t="n">
        <f aca="false">ROUND(MAX(0,AQ102*(1+J$8)-BM103),2)</f>
        <v>0</v>
      </c>
      <c r="AR103" s="27" t="n">
        <f aca="false">ROUND(MAX(0,AR102*(1+K$8)-BN103),2)</f>
        <v>0</v>
      </c>
      <c r="AS103" s="27" t="n">
        <f aca="false">SUM(AI103:AR103)</f>
        <v>0</v>
      </c>
      <c r="AT103" s="27" t="n">
        <f aca="false">SUMPRODUCT(AI102:AR102,$B$8:$K$8)</f>
        <v>0</v>
      </c>
      <c r="AU103" s="27" t="n">
        <f aca="false">MIN(AI102*(1+B$8),B$9)</f>
        <v>0</v>
      </c>
      <c r="AV103" s="27" t="n">
        <f aca="false">MIN(AJ102*(1+C$8),C$9)</f>
        <v>0</v>
      </c>
      <c r="AW103" s="27" t="n">
        <f aca="false">MIN(AK102*(1+D$8),D$9)</f>
        <v>0</v>
      </c>
      <c r="AX103" s="27" t="n">
        <f aca="false">MIN(AL102*(1+E$8),E$9)</f>
        <v>0</v>
      </c>
      <c r="AY103" s="27" t="n">
        <f aca="false">MIN(AM102*(1+F$8),F$9)</f>
        <v>0</v>
      </c>
      <c r="AZ103" s="27" t="n">
        <f aca="false">MIN(AN102*(1+G$8),G$9)</f>
        <v>0</v>
      </c>
      <c r="BA103" s="27" t="n">
        <f aca="false">MIN(AO102*(1+H$8),H$9)</f>
        <v>0</v>
      </c>
      <c r="BB103" s="27" t="n">
        <f aca="false">MIN(AP102*(1+I$8),I$9)</f>
        <v>0</v>
      </c>
      <c r="BC103" s="27" t="n">
        <f aca="false">MIN(AQ102*(1+J$8),J$9)</f>
        <v>0</v>
      </c>
      <c r="BD103" s="27" t="n">
        <f aca="false">MIN(AR102*(1+K$8),K$9)</f>
        <v>0</v>
      </c>
      <c r="BE103" s="27" t="n">
        <f aca="false">MIN(AI102*(1+B$8),MAX(AU103,$B$12-SUM(AV103:BD103)))</f>
        <v>0</v>
      </c>
      <c r="BF103" s="27" t="n">
        <f aca="false">MIN(AJ102*(1+C$8),MAX(AV103,$B$12-SUM(BE103:BE103)-SUM(AW103:BD103)))</f>
        <v>0</v>
      </c>
      <c r="BG103" s="27" t="n">
        <f aca="false">MIN(AK102*(1+D$8),MAX(AW103,$B$12-SUM(BE103:BF103)-SUM(AX103:BD103)))</f>
        <v>0</v>
      </c>
      <c r="BH103" s="27" t="n">
        <f aca="false">MIN(AL102*(1+E$8),MAX(AX103,$B$12-SUM(BE103:BG103)-SUM(AY103:BD103)))</f>
        <v>0</v>
      </c>
      <c r="BI103" s="27" t="n">
        <f aca="false">MIN(AM102*(1+F$8),MAX(AY103,$B$12-SUM(BE103:BH103)-SUM(AZ103:BD103)))</f>
        <v>0</v>
      </c>
      <c r="BJ103" s="27" t="n">
        <f aca="false">MIN(AN102*(1+G$8),MAX(AZ103,$B$12-SUM(BE103:BI103)-SUM(BA103:BD103)))</f>
        <v>0</v>
      </c>
      <c r="BK103" s="27" t="n">
        <f aca="false">MIN(AO102*(1+H$8),MAX(BA103,$B$12-SUM(BE103:BJ103)-SUM(BB103:BD103)))</f>
        <v>0</v>
      </c>
      <c r="BL103" s="27" t="n">
        <f aca="false">MIN(AP102*(1+I$8),MAX(BB103,$B$12-SUM(BE103:BK103)-SUM(BC103:BD103)))</f>
        <v>0</v>
      </c>
      <c r="BM103" s="27" t="n">
        <f aca="false">MIN(AQ102*(1+J$8),MAX(BC103,$B$12-SUM(BE103:BL103)-SUM(BD103:BD103)))</f>
        <v>0</v>
      </c>
      <c r="BN103" s="27" t="n">
        <f aca="false">MIN(AR102*(1+K$8),MAX(BD103,$B$12-SUM(BE103:BM103)))</f>
        <v>0</v>
      </c>
    </row>
    <row r="104" customFormat="false" ht="15" hidden="false" customHeight="false" outlineLevel="0" collapsed="false">
      <c r="A104" s="0" t="n">
        <v>90</v>
      </c>
      <c r="B104" s="27" t="n">
        <f aca="false">ROUND(MAX(0,B103*(1+B$8)-X104),2)</f>
        <v>0</v>
      </c>
      <c r="C104" s="27" t="n">
        <f aca="false">ROUND(MAX(0,C103*(1+C$8)-Y104),2)</f>
        <v>0</v>
      </c>
      <c r="D104" s="27" t="n">
        <f aca="false">ROUND(MAX(0,D103*(1+D$8)-Z104),2)</f>
        <v>0</v>
      </c>
      <c r="E104" s="27" t="n">
        <f aca="false">ROUND(MAX(0,E103*(1+E$8)-AA104),2)</f>
        <v>0</v>
      </c>
      <c r="F104" s="27" t="n">
        <f aca="false">ROUND(MAX(0,F103*(1+F$8)-AB104),2)</f>
        <v>0</v>
      </c>
      <c r="G104" s="27" t="n">
        <f aca="false">ROUND(MAX(0,G103*(1+G$8)-AC104),2)</f>
        <v>0</v>
      </c>
      <c r="H104" s="27" t="n">
        <f aca="false">ROUND(MAX(0,H103*(1+H$8)-AD104),2)</f>
        <v>0</v>
      </c>
      <c r="I104" s="27" t="n">
        <f aca="false">ROUND(MAX(0,I103*(1+I$8)-AE104),2)</f>
        <v>0</v>
      </c>
      <c r="J104" s="27" t="n">
        <f aca="false">ROUND(MAX(0,J103*(1+J$8)-AF104),2)</f>
        <v>0</v>
      </c>
      <c r="K104" s="27" t="n">
        <f aca="false">ROUND(MAX(0,K103*(1+K$8)-AG104),2)</f>
        <v>0</v>
      </c>
      <c r="L104" s="30" t="n">
        <f aca="false">SUM(B104:K104)</f>
        <v>0</v>
      </c>
      <c r="M104" s="27" t="n">
        <f aca="false">SUMPRODUCT(B103:K103,$B$8:$K$8)</f>
        <v>0</v>
      </c>
      <c r="N104" s="27" t="n">
        <f aca="false">MIN(B103*(1+B$8),B$9)</f>
        <v>0</v>
      </c>
      <c r="O104" s="27" t="n">
        <f aca="false">MIN(C103*(1+C$8),C$9)</f>
        <v>0</v>
      </c>
      <c r="P104" s="27" t="n">
        <f aca="false">MIN(D103*(1+D$8),D$9)</f>
        <v>0</v>
      </c>
      <c r="Q104" s="27" t="n">
        <f aca="false">MIN(E103*(1+E$8),E$9)</f>
        <v>0</v>
      </c>
      <c r="R104" s="27" t="n">
        <f aca="false">MIN(F103*(1+F$8),F$9)</f>
        <v>0</v>
      </c>
      <c r="S104" s="27" t="n">
        <f aca="false">MIN(G103*(1+G$8),G$9)</f>
        <v>0</v>
      </c>
      <c r="T104" s="27" t="n">
        <f aca="false">MIN(H103*(1+H$8),H$9)</f>
        <v>0</v>
      </c>
      <c r="U104" s="27" t="n">
        <f aca="false">MIN(I103*(1+I$8),I$9)</f>
        <v>0</v>
      </c>
      <c r="V104" s="27" t="n">
        <f aca="false">MIN(J103*(1+J$8),J$9)</f>
        <v>0</v>
      </c>
      <c r="W104" s="27" t="n">
        <f aca="false">MIN(K103*(1+K$8),K$9)</f>
        <v>0</v>
      </c>
      <c r="X104" s="27" t="n">
        <f aca="false">MIN(B103*(1+B$8),MAX(N104,$B$11-SUM(O104:W104)))</f>
        <v>0</v>
      </c>
      <c r="Y104" s="27" t="n">
        <f aca="false">MIN(C103*(1+C$8),MAX(O104,$B$11-SUM(X104:X104)-SUM(P104:W104)))</f>
        <v>0</v>
      </c>
      <c r="Z104" s="27" t="n">
        <f aca="false">MIN(D103*(1+D$8),MAX(P104,$B$11-SUM(X104:Y104)-SUM(Q104:W104)))</f>
        <v>0</v>
      </c>
      <c r="AA104" s="27" t="n">
        <f aca="false">MIN(E103*(1+E$8),MAX(Q104,$B$11-SUM(X104:Z104)-SUM(R104:W104)))</f>
        <v>0</v>
      </c>
      <c r="AB104" s="27" t="n">
        <f aca="false">MIN(F103*(1+F$8),MAX(R104,$B$11-SUM(X104:AA104)-SUM(S104:W104)))</f>
        <v>0</v>
      </c>
      <c r="AC104" s="27" t="n">
        <f aca="false">MIN(G103*(1+G$8),MAX(S104,$B$11-SUM(X104:AB104)-SUM(T104:W104)))</f>
        <v>0</v>
      </c>
      <c r="AD104" s="27" t="n">
        <f aca="false">MIN(H103*(1+H$8),MAX(T104,$B$11-SUM(X104:AC104)-SUM(U104:W104)))</f>
        <v>0</v>
      </c>
      <c r="AE104" s="27" t="n">
        <f aca="false">MIN(I103*(1+I$8),MAX(U104,$B$11-SUM(X104:AD104)-SUM(V104:W104)))</f>
        <v>0</v>
      </c>
      <c r="AF104" s="27" t="n">
        <f aca="false">MIN(J103*(1+J$8),MAX(V104,$B$11-SUM(X104:AE104)-SUM(W104:W104)))</f>
        <v>0</v>
      </c>
      <c r="AG104" s="27" t="n">
        <f aca="false">MIN(K103*(1+K$8),MAX(W104,$B$11-SUM(X104:AF104)))</f>
        <v>0</v>
      </c>
      <c r="AI104" s="27" t="n">
        <f aca="false">ROUND(MAX(0,AI103*(1+B$8)-BE104),2)</f>
        <v>0</v>
      </c>
      <c r="AJ104" s="27" t="n">
        <f aca="false">ROUND(MAX(0,AJ103*(1+C$8)-BF104),2)</f>
        <v>0</v>
      </c>
      <c r="AK104" s="27" t="n">
        <f aca="false">ROUND(MAX(0,AK103*(1+D$8)-BG104),2)</f>
        <v>0</v>
      </c>
      <c r="AL104" s="27" t="n">
        <f aca="false">ROUND(MAX(0,AL103*(1+E$8)-BH104),2)</f>
        <v>0</v>
      </c>
      <c r="AM104" s="27" t="n">
        <f aca="false">ROUND(MAX(0,AM103*(1+F$8)-BI104),2)</f>
        <v>0</v>
      </c>
      <c r="AN104" s="27" t="n">
        <f aca="false">ROUND(MAX(0,AN103*(1+G$8)-BJ104),2)</f>
        <v>0</v>
      </c>
      <c r="AO104" s="27" t="n">
        <f aca="false">ROUND(MAX(0,AO103*(1+H$8)-BK104),2)</f>
        <v>0</v>
      </c>
      <c r="AP104" s="27" t="n">
        <f aca="false">ROUND(MAX(0,AP103*(1+I$8)-BL104),2)</f>
        <v>0</v>
      </c>
      <c r="AQ104" s="27" t="n">
        <f aca="false">ROUND(MAX(0,AQ103*(1+J$8)-BM104),2)</f>
        <v>0</v>
      </c>
      <c r="AR104" s="27" t="n">
        <f aca="false">ROUND(MAX(0,AR103*(1+K$8)-BN104),2)</f>
        <v>0</v>
      </c>
      <c r="AS104" s="27" t="n">
        <f aca="false">SUM(AI104:AR104)</f>
        <v>0</v>
      </c>
      <c r="AT104" s="27" t="n">
        <f aca="false">SUMPRODUCT(AI103:AR103,$B$8:$K$8)</f>
        <v>0</v>
      </c>
      <c r="AU104" s="27" t="n">
        <f aca="false">MIN(AI103*(1+B$8),B$9)</f>
        <v>0</v>
      </c>
      <c r="AV104" s="27" t="n">
        <f aca="false">MIN(AJ103*(1+C$8),C$9)</f>
        <v>0</v>
      </c>
      <c r="AW104" s="27" t="n">
        <f aca="false">MIN(AK103*(1+D$8),D$9)</f>
        <v>0</v>
      </c>
      <c r="AX104" s="27" t="n">
        <f aca="false">MIN(AL103*(1+E$8),E$9)</f>
        <v>0</v>
      </c>
      <c r="AY104" s="27" t="n">
        <f aca="false">MIN(AM103*(1+F$8),F$9)</f>
        <v>0</v>
      </c>
      <c r="AZ104" s="27" t="n">
        <f aca="false">MIN(AN103*(1+G$8),G$9)</f>
        <v>0</v>
      </c>
      <c r="BA104" s="27" t="n">
        <f aca="false">MIN(AO103*(1+H$8),H$9)</f>
        <v>0</v>
      </c>
      <c r="BB104" s="27" t="n">
        <f aca="false">MIN(AP103*(1+I$8),I$9)</f>
        <v>0</v>
      </c>
      <c r="BC104" s="27" t="n">
        <f aca="false">MIN(AQ103*(1+J$8),J$9)</f>
        <v>0</v>
      </c>
      <c r="BD104" s="27" t="n">
        <f aca="false">MIN(AR103*(1+K$8),K$9)</f>
        <v>0</v>
      </c>
      <c r="BE104" s="27" t="n">
        <f aca="false">MIN(AI103*(1+B$8),MAX(AU104,$B$12-SUM(AV104:BD104)))</f>
        <v>0</v>
      </c>
      <c r="BF104" s="27" t="n">
        <f aca="false">MIN(AJ103*(1+C$8),MAX(AV104,$B$12-SUM(BE104:BE104)-SUM(AW104:BD104)))</f>
        <v>0</v>
      </c>
      <c r="BG104" s="27" t="n">
        <f aca="false">MIN(AK103*(1+D$8),MAX(AW104,$B$12-SUM(BE104:BF104)-SUM(AX104:BD104)))</f>
        <v>0</v>
      </c>
      <c r="BH104" s="27" t="n">
        <f aca="false">MIN(AL103*(1+E$8),MAX(AX104,$B$12-SUM(BE104:BG104)-SUM(AY104:BD104)))</f>
        <v>0</v>
      </c>
      <c r="BI104" s="27" t="n">
        <f aca="false">MIN(AM103*(1+F$8),MAX(AY104,$B$12-SUM(BE104:BH104)-SUM(AZ104:BD104)))</f>
        <v>0</v>
      </c>
      <c r="BJ104" s="27" t="n">
        <f aca="false">MIN(AN103*(1+G$8),MAX(AZ104,$B$12-SUM(BE104:BI104)-SUM(BA104:BD104)))</f>
        <v>0</v>
      </c>
      <c r="BK104" s="27" t="n">
        <f aca="false">MIN(AO103*(1+H$8),MAX(BA104,$B$12-SUM(BE104:BJ104)-SUM(BB104:BD104)))</f>
        <v>0</v>
      </c>
      <c r="BL104" s="27" t="n">
        <f aca="false">MIN(AP103*(1+I$8),MAX(BB104,$B$12-SUM(BE104:BK104)-SUM(BC104:BD104)))</f>
        <v>0</v>
      </c>
      <c r="BM104" s="27" t="n">
        <f aca="false">MIN(AQ103*(1+J$8),MAX(BC104,$B$12-SUM(BE104:BL104)-SUM(BD104:BD104)))</f>
        <v>0</v>
      </c>
      <c r="BN104" s="27" t="n">
        <f aca="false">MIN(AR103*(1+K$8),MAX(BD104,$B$12-SUM(BE104:BM104)))</f>
        <v>0</v>
      </c>
    </row>
    <row r="105" customFormat="false" ht="15" hidden="false" customHeight="false" outlineLevel="0" collapsed="false">
      <c r="A105" s="0" t="n">
        <v>91</v>
      </c>
      <c r="B105" s="27" t="n">
        <f aca="false">ROUND(MAX(0,B104*(1+B$8)-X105),2)</f>
        <v>0</v>
      </c>
      <c r="C105" s="27" t="n">
        <f aca="false">ROUND(MAX(0,C104*(1+C$8)-Y105),2)</f>
        <v>0</v>
      </c>
      <c r="D105" s="27" t="n">
        <f aca="false">ROUND(MAX(0,D104*(1+D$8)-Z105),2)</f>
        <v>0</v>
      </c>
      <c r="E105" s="27" t="n">
        <f aca="false">ROUND(MAX(0,E104*(1+E$8)-AA105),2)</f>
        <v>0</v>
      </c>
      <c r="F105" s="27" t="n">
        <f aca="false">ROUND(MAX(0,F104*(1+F$8)-AB105),2)</f>
        <v>0</v>
      </c>
      <c r="G105" s="27" t="n">
        <f aca="false">ROUND(MAX(0,G104*(1+G$8)-AC105),2)</f>
        <v>0</v>
      </c>
      <c r="H105" s="27" t="n">
        <f aca="false">ROUND(MAX(0,H104*(1+H$8)-AD105),2)</f>
        <v>0</v>
      </c>
      <c r="I105" s="27" t="n">
        <f aca="false">ROUND(MAX(0,I104*(1+I$8)-AE105),2)</f>
        <v>0</v>
      </c>
      <c r="J105" s="27" t="n">
        <f aca="false">ROUND(MAX(0,J104*(1+J$8)-AF105),2)</f>
        <v>0</v>
      </c>
      <c r="K105" s="27" t="n">
        <f aca="false">ROUND(MAX(0,K104*(1+K$8)-AG105),2)</f>
        <v>0</v>
      </c>
      <c r="L105" s="30" t="n">
        <f aca="false">SUM(B105:K105)</f>
        <v>0</v>
      </c>
      <c r="M105" s="27" t="n">
        <f aca="false">SUMPRODUCT(B104:K104,$B$8:$K$8)</f>
        <v>0</v>
      </c>
      <c r="N105" s="27" t="n">
        <f aca="false">MIN(B104*(1+B$8),B$9)</f>
        <v>0</v>
      </c>
      <c r="O105" s="27" t="n">
        <f aca="false">MIN(C104*(1+C$8),C$9)</f>
        <v>0</v>
      </c>
      <c r="P105" s="27" t="n">
        <f aca="false">MIN(D104*(1+D$8),D$9)</f>
        <v>0</v>
      </c>
      <c r="Q105" s="27" t="n">
        <f aca="false">MIN(E104*(1+E$8),E$9)</f>
        <v>0</v>
      </c>
      <c r="R105" s="27" t="n">
        <f aca="false">MIN(F104*(1+F$8),F$9)</f>
        <v>0</v>
      </c>
      <c r="S105" s="27" t="n">
        <f aca="false">MIN(G104*(1+G$8),G$9)</f>
        <v>0</v>
      </c>
      <c r="T105" s="27" t="n">
        <f aca="false">MIN(H104*(1+H$8),H$9)</f>
        <v>0</v>
      </c>
      <c r="U105" s="27" t="n">
        <f aca="false">MIN(I104*(1+I$8),I$9)</f>
        <v>0</v>
      </c>
      <c r="V105" s="27" t="n">
        <f aca="false">MIN(J104*(1+J$8),J$9)</f>
        <v>0</v>
      </c>
      <c r="W105" s="27" t="n">
        <f aca="false">MIN(K104*(1+K$8),K$9)</f>
        <v>0</v>
      </c>
      <c r="X105" s="27" t="n">
        <f aca="false">MIN(B104*(1+B$8),MAX(N105,$B$11-SUM(O105:W105)))</f>
        <v>0</v>
      </c>
      <c r="Y105" s="27" t="n">
        <f aca="false">MIN(C104*(1+C$8),MAX(O105,$B$11-SUM(X105:X105)-SUM(P105:W105)))</f>
        <v>0</v>
      </c>
      <c r="Z105" s="27" t="n">
        <f aca="false">MIN(D104*(1+D$8),MAX(P105,$B$11-SUM(X105:Y105)-SUM(Q105:W105)))</f>
        <v>0</v>
      </c>
      <c r="AA105" s="27" t="n">
        <f aca="false">MIN(E104*(1+E$8),MAX(Q105,$B$11-SUM(X105:Z105)-SUM(R105:W105)))</f>
        <v>0</v>
      </c>
      <c r="AB105" s="27" t="n">
        <f aca="false">MIN(F104*(1+F$8),MAX(R105,$B$11-SUM(X105:AA105)-SUM(S105:W105)))</f>
        <v>0</v>
      </c>
      <c r="AC105" s="27" t="n">
        <f aca="false">MIN(G104*(1+G$8),MAX(S105,$B$11-SUM(X105:AB105)-SUM(T105:W105)))</f>
        <v>0</v>
      </c>
      <c r="AD105" s="27" t="n">
        <f aca="false">MIN(H104*(1+H$8),MAX(T105,$B$11-SUM(X105:AC105)-SUM(U105:W105)))</f>
        <v>0</v>
      </c>
      <c r="AE105" s="27" t="n">
        <f aca="false">MIN(I104*(1+I$8),MAX(U105,$B$11-SUM(X105:AD105)-SUM(V105:W105)))</f>
        <v>0</v>
      </c>
      <c r="AF105" s="27" t="n">
        <f aca="false">MIN(J104*(1+J$8),MAX(V105,$B$11-SUM(X105:AE105)-SUM(W105:W105)))</f>
        <v>0</v>
      </c>
      <c r="AG105" s="27" t="n">
        <f aca="false">MIN(K104*(1+K$8),MAX(W105,$B$11-SUM(X105:AF105)))</f>
        <v>0</v>
      </c>
      <c r="AI105" s="27" t="n">
        <f aca="false">ROUND(MAX(0,AI104*(1+B$8)-BE105),2)</f>
        <v>0</v>
      </c>
      <c r="AJ105" s="27" t="n">
        <f aca="false">ROUND(MAX(0,AJ104*(1+C$8)-BF105),2)</f>
        <v>0</v>
      </c>
      <c r="AK105" s="27" t="n">
        <f aca="false">ROUND(MAX(0,AK104*(1+D$8)-BG105),2)</f>
        <v>0</v>
      </c>
      <c r="AL105" s="27" t="n">
        <f aca="false">ROUND(MAX(0,AL104*(1+E$8)-BH105),2)</f>
        <v>0</v>
      </c>
      <c r="AM105" s="27" t="n">
        <f aca="false">ROUND(MAX(0,AM104*(1+F$8)-BI105),2)</f>
        <v>0</v>
      </c>
      <c r="AN105" s="27" t="n">
        <f aca="false">ROUND(MAX(0,AN104*(1+G$8)-BJ105),2)</f>
        <v>0</v>
      </c>
      <c r="AO105" s="27" t="n">
        <f aca="false">ROUND(MAX(0,AO104*(1+H$8)-BK105),2)</f>
        <v>0</v>
      </c>
      <c r="AP105" s="27" t="n">
        <f aca="false">ROUND(MAX(0,AP104*(1+I$8)-BL105),2)</f>
        <v>0</v>
      </c>
      <c r="AQ105" s="27" t="n">
        <f aca="false">ROUND(MAX(0,AQ104*(1+J$8)-BM105),2)</f>
        <v>0</v>
      </c>
      <c r="AR105" s="27" t="n">
        <f aca="false">ROUND(MAX(0,AR104*(1+K$8)-BN105),2)</f>
        <v>0</v>
      </c>
      <c r="AS105" s="27" t="n">
        <f aca="false">SUM(AI105:AR105)</f>
        <v>0</v>
      </c>
      <c r="AT105" s="27" t="n">
        <f aca="false">SUMPRODUCT(AI104:AR104,$B$8:$K$8)</f>
        <v>0</v>
      </c>
      <c r="AU105" s="27" t="n">
        <f aca="false">MIN(AI104*(1+B$8),B$9)</f>
        <v>0</v>
      </c>
      <c r="AV105" s="27" t="n">
        <f aca="false">MIN(AJ104*(1+C$8),C$9)</f>
        <v>0</v>
      </c>
      <c r="AW105" s="27" t="n">
        <f aca="false">MIN(AK104*(1+D$8),D$9)</f>
        <v>0</v>
      </c>
      <c r="AX105" s="27" t="n">
        <f aca="false">MIN(AL104*(1+E$8),E$9)</f>
        <v>0</v>
      </c>
      <c r="AY105" s="27" t="n">
        <f aca="false">MIN(AM104*(1+F$8),F$9)</f>
        <v>0</v>
      </c>
      <c r="AZ105" s="27" t="n">
        <f aca="false">MIN(AN104*(1+G$8),G$9)</f>
        <v>0</v>
      </c>
      <c r="BA105" s="27" t="n">
        <f aca="false">MIN(AO104*(1+H$8),H$9)</f>
        <v>0</v>
      </c>
      <c r="BB105" s="27" t="n">
        <f aca="false">MIN(AP104*(1+I$8),I$9)</f>
        <v>0</v>
      </c>
      <c r="BC105" s="27" t="n">
        <f aca="false">MIN(AQ104*(1+J$8),J$9)</f>
        <v>0</v>
      </c>
      <c r="BD105" s="27" t="n">
        <f aca="false">MIN(AR104*(1+K$8),K$9)</f>
        <v>0</v>
      </c>
      <c r="BE105" s="27" t="n">
        <f aca="false">MIN(AI104*(1+B$8),MAX(AU105,$B$12-SUM(AV105:BD105)))</f>
        <v>0</v>
      </c>
      <c r="BF105" s="27" t="n">
        <f aca="false">MIN(AJ104*(1+C$8),MAX(AV105,$B$12-SUM(BE105:BE105)-SUM(AW105:BD105)))</f>
        <v>0</v>
      </c>
      <c r="BG105" s="27" t="n">
        <f aca="false">MIN(AK104*(1+D$8),MAX(AW105,$B$12-SUM(BE105:BF105)-SUM(AX105:BD105)))</f>
        <v>0</v>
      </c>
      <c r="BH105" s="27" t="n">
        <f aca="false">MIN(AL104*(1+E$8),MAX(AX105,$B$12-SUM(BE105:BG105)-SUM(AY105:BD105)))</f>
        <v>0</v>
      </c>
      <c r="BI105" s="27" t="n">
        <f aca="false">MIN(AM104*(1+F$8),MAX(AY105,$B$12-SUM(BE105:BH105)-SUM(AZ105:BD105)))</f>
        <v>0</v>
      </c>
      <c r="BJ105" s="27" t="n">
        <f aca="false">MIN(AN104*(1+G$8),MAX(AZ105,$B$12-SUM(BE105:BI105)-SUM(BA105:BD105)))</f>
        <v>0</v>
      </c>
      <c r="BK105" s="27" t="n">
        <f aca="false">MIN(AO104*(1+H$8),MAX(BA105,$B$12-SUM(BE105:BJ105)-SUM(BB105:BD105)))</f>
        <v>0</v>
      </c>
      <c r="BL105" s="27" t="n">
        <f aca="false">MIN(AP104*(1+I$8),MAX(BB105,$B$12-SUM(BE105:BK105)-SUM(BC105:BD105)))</f>
        <v>0</v>
      </c>
      <c r="BM105" s="27" t="n">
        <f aca="false">MIN(AQ104*(1+J$8),MAX(BC105,$B$12-SUM(BE105:BL105)-SUM(BD105:BD105)))</f>
        <v>0</v>
      </c>
      <c r="BN105" s="27" t="n">
        <f aca="false">MIN(AR104*(1+K$8),MAX(BD105,$B$12-SUM(BE105:BM105)))</f>
        <v>0</v>
      </c>
    </row>
    <row r="106" customFormat="false" ht="15" hidden="false" customHeight="false" outlineLevel="0" collapsed="false">
      <c r="A106" s="0" t="n">
        <v>92</v>
      </c>
      <c r="B106" s="27" t="n">
        <f aca="false">ROUND(MAX(0,B105*(1+B$8)-X106),2)</f>
        <v>0</v>
      </c>
      <c r="C106" s="27" t="n">
        <f aca="false">ROUND(MAX(0,C105*(1+C$8)-Y106),2)</f>
        <v>0</v>
      </c>
      <c r="D106" s="27" t="n">
        <f aca="false">ROUND(MAX(0,D105*(1+D$8)-Z106),2)</f>
        <v>0</v>
      </c>
      <c r="E106" s="27" t="n">
        <f aca="false">ROUND(MAX(0,E105*(1+E$8)-AA106),2)</f>
        <v>0</v>
      </c>
      <c r="F106" s="27" t="n">
        <f aca="false">ROUND(MAX(0,F105*(1+F$8)-AB106),2)</f>
        <v>0</v>
      </c>
      <c r="G106" s="27" t="n">
        <f aca="false">ROUND(MAX(0,G105*(1+G$8)-AC106),2)</f>
        <v>0</v>
      </c>
      <c r="H106" s="27" t="n">
        <f aca="false">ROUND(MAX(0,H105*(1+H$8)-AD106),2)</f>
        <v>0</v>
      </c>
      <c r="I106" s="27" t="n">
        <f aca="false">ROUND(MAX(0,I105*(1+I$8)-AE106),2)</f>
        <v>0</v>
      </c>
      <c r="J106" s="27" t="n">
        <f aca="false">ROUND(MAX(0,J105*(1+J$8)-AF106),2)</f>
        <v>0</v>
      </c>
      <c r="K106" s="27" t="n">
        <f aca="false">ROUND(MAX(0,K105*(1+K$8)-AG106),2)</f>
        <v>0</v>
      </c>
      <c r="L106" s="30" t="n">
        <f aca="false">SUM(B106:K106)</f>
        <v>0</v>
      </c>
      <c r="M106" s="27" t="n">
        <f aca="false">SUMPRODUCT(B105:K105,$B$8:$K$8)</f>
        <v>0</v>
      </c>
      <c r="N106" s="27" t="n">
        <f aca="false">MIN(B105*(1+B$8),B$9)</f>
        <v>0</v>
      </c>
      <c r="O106" s="27" t="n">
        <f aca="false">MIN(C105*(1+C$8),C$9)</f>
        <v>0</v>
      </c>
      <c r="P106" s="27" t="n">
        <f aca="false">MIN(D105*(1+D$8),D$9)</f>
        <v>0</v>
      </c>
      <c r="Q106" s="27" t="n">
        <f aca="false">MIN(E105*(1+E$8),E$9)</f>
        <v>0</v>
      </c>
      <c r="R106" s="27" t="n">
        <f aca="false">MIN(F105*(1+F$8),F$9)</f>
        <v>0</v>
      </c>
      <c r="S106" s="27" t="n">
        <f aca="false">MIN(G105*(1+G$8),G$9)</f>
        <v>0</v>
      </c>
      <c r="T106" s="27" t="n">
        <f aca="false">MIN(H105*(1+H$8),H$9)</f>
        <v>0</v>
      </c>
      <c r="U106" s="27" t="n">
        <f aca="false">MIN(I105*(1+I$8),I$9)</f>
        <v>0</v>
      </c>
      <c r="V106" s="27" t="n">
        <f aca="false">MIN(J105*(1+J$8),J$9)</f>
        <v>0</v>
      </c>
      <c r="W106" s="27" t="n">
        <f aca="false">MIN(K105*(1+K$8),K$9)</f>
        <v>0</v>
      </c>
      <c r="X106" s="27" t="n">
        <f aca="false">MIN(B105*(1+B$8),MAX(N106,$B$11-SUM(O106:W106)))</f>
        <v>0</v>
      </c>
      <c r="Y106" s="27" t="n">
        <f aca="false">MIN(C105*(1+C$8),MAX(O106,$B$11-SUM(X106:X106)-SUM(P106:W106)))</f>
        <v>0</v>
      </c>
      <c r="Z106" s="27" t="n">
        <f aca="false">MIN(D105*(1+D$8),MAX(P106,$B$11-SUM(X106:Y106)-SUM(Q106:W106)))</f>
        <v>0</v>
      </c>
      <c r="AA106" s="27" t="n">
        <f aca="false">MIN(E105*(1+E$8),MAX(Q106,$B$11-SUM(X106:Z106)-SUM(R106:W106)))</f>
        <v>0</v>
      </c>
      <c r="AB106" s="27" t="n">
        <f aca="false">MIN(F105*(1+F$8),MAX(R106,$B$11-SUM(X106:AA106)-SUM(S106:W106)))</f>
        <v>0</v>
      </c>
      <c r="AC106" s="27" t="n">
        <f aca="false">MIN(G105*(1+G$8),MAX(S106,$B$11-SUM(X106:AB106)-SUM(T106:W106)))</f>
        <v>0</v>
      </c>
      <c r="AD106" s="27" t="n">
        <f aca="false">MIN(H105*(1+H$8),MAX(T106,$B$11-SUM(X106:AC106)-SUM(U106:W106)))</f>
        <v>0</v>
      </c>
      <c r="AE106" s="27" t="n">
        <f aca="false">MIN(I105*(1+I$8),MAX(U106,$B$11-SUM(X106:AD106)-SUM(V106:W106)))</f>
        <v>0</v>
      </c>
      <c r="AF106" s="27" t="n">
        <f aca="false">MIN(J105*(1+J$8),MAX(V106,$B$11-SUM(X106:AE106)-SUM(W106:W106)))</f>
        <v>0</v>
      </c>
      <c r="AG106" s="27" t="n">
        <f aca="false">MIN(K105*(1+K$8),MAX(W106,$B$11-SUM(X106:AF106)))</f>
        <v>0</v>
      </c>
      <c r="AI106" s="27" t="n">
        <f aca="false">ROUND(MAX(0,AI105*(1+B$8)-BE106),2)</f>
        <v>0</v>
      </c>
      <c r="AJ106" s="27" t="n">
        <f aca="false">ROUND(MAX(0,AJ105*(1+C$8)-BF106),2)</f>
        <v>0</v>
      </c>
      <c r="AK106" s="27" t="n">
        <f aca="false">ROUND(MAX(0,AK105*(1+D$8)-BG106),2)</f>
        <v>0</v>
      </c>
      <c r="AL106" s="27" t="n">
        <f aca="false">ROUND(MAX(0,AL105*(1+E$8)-BH106),2)</f>
        <v>0</v>
      </c>
      <c r="AM106" s="27" t="n">
        <f aca="false">ROUND(MAX(0,AM105*(1+F$8)-BI106),2)</f>
        <v>0</v>
      </c>
      <c r="AN106" s="27" t="n">
        <f aca="false">ROUND(MAX(0,AN105*(1+G$8)-BJ106),2)</f>
        <v>0</v>
      </c>
      <c r="AO106" s="27" t="n">
        <f aca="false">ROUND(MAX(0,AO105*(1+H$8)-BK106),2)</f>
        <v>0</v>
      </c>
      <c r="AP106" s="27" t="n">
        <f aca="false">ROUND(MAX(0,AP105*(1+I$8)-BL106),2)</f>
        <v>0</v>
      </c>
      <c r="AQ106" s="27" t="n">
        <f aca="false">ROUND(MAX(0,AQ105*(1+J$8)-BM106),2)</f>
        <v>0</v>
      </c>
      <c r="AR106" s="27" t="n">
        <f aca="false">ROUND(MAX(0,AR105*(1+K$8)-BN106),2)</f>
        <v>0</v>
      </c>
      <c r="AS106" s="27" t="n">
        <f aca="false">SUM(AI106:AR106)</f>
        <v>0</v>
      </c>
      <c r="AT106" s="27" t="n">
        <f aca="false">SUMPRODUCT(AI105:AR105,$B$8:$K$8)</f>
        <v>0</v>
      </c>
      <c r="AU106" s="27" t="n">
        <f aca="false">MIN(AI105*(1+B$8),B$9)</f>
        <v>0</v>
      </c>
      <c r="AV106" s="27" t="n">
        <f aca="false">MIN(AJ105*(1+C$8),C$9)</f>
        <v>0</v>
      </c>
      <c r="AW106" s="27" t="n">
        <f aca="false">MIN(AK105*(1+D$8),D$9)</f>
        <v>0</v>
      </c>
      <c r="AX106" s="27" t="n">
        <f aca="false">MIN(AL105*(1+E$8),E$9)</f>
        <v>0</v>
      </c>
      <c r="AY106" s="27" t="n">
        <f aca="false">MIN(AM105*(1+F$8),F$9)</f>
        <v>0</v>
      </c>
      <c r="AZ106" s="27" t="n">
        <f aca="false">MIN(AN105*(1+G$8),G$9)</f>
        <v>0</v>
      </c>
      <c r="BA106" s="27" t="n">
        <f aca="false">MIN(AO105*(1+H$8),H$9)</f>
        <v>0</v>
      </c>
      <c r="BB106" s="27" t="n">
        <f aca="false">MIN(AP105*(1+I$8),I$9)</f>
        <v>0</v>
      </c>
      <c r="BC106" s="27" t="n">
        <f aca="false">MIN(AQ105*(1+J$8),J$9)</f>
        <v>0</v>
      </c>
      <c r="BD106" s="27" t="n">
        <f aca="false">MIN(AR105*(1+K$8),K$9)</f>
        <v>0</v>
      </c>
      <c r="BE106" s="27" t="n">
        <f aca="false">MIN(AI105*(1+B$8),MAX(AU106,$B$12-SUM(AV106:BD106)))</f>
        <v>0</v>
      </c>
      <c r="BF106" s="27" t="n">
        <f aca="false">MIN(AJ105*(1+C$8),MAX(AV106,$B$12-SUM(BE106:BE106)-SUM(AW106:BD106)))</f>
        <v>0</v>
      </c>
      <c r="BG106" s="27" t="n">
        <f aca="false">MIN(AK105*(1+D$8),MAX(AW106,$B$12-SUM(BE106:BF106)-SUM(AX106:BD106)))</f>
        <v>0</v>
      </c>
      <c r="BH106" s="27" t="n">
        <f aca="false">MIN(AL105*(1+E$8),MAX(AX106,$B$12-SUM(BE106:BG106)-SUM(AY106:BD106)))</f>
        <v>0</v>
      </c>
      <c r="BI106" s="27" t="n">
        <f aca="false">MIN(AM105*(1+F$8),MAX(AY106,$B$12-SUM(BE106:BH106)-SUM(AZ106:BD106)))</f>
        <v>0</v>
      </c>
      <c r="BJ106" s="27" t="n">
        <f aca="false">MIN(AN105*(1+G$8),MAX(AZ106,$B$12-SUM(BE106:BI106)-SUM(BA106:BD106)))</f>
        <v>0</v>
      </c>
      <c r="BK106" s="27" t="n">
        <f aca="false">MIN(AO105*(1+H$8),MAX(BA106,$B$12-SUM(BE106:BJ106)-SUM(BB106:BD106)))</f>
        <v>0</v>
      </c>
      <c r="BL106" s="27" t="n">
        <f aca="false">MIN(AP105*(1+I$8),MAX(BB106,$B$12-SUM(BE106:BK106)-SUM(BC106:BD106)))</f>
        <v>0</v>
      </c>
      <c r="BM106" s="27" t="n">
        <f aca="false">MIN(AQ105*(1+J$8),MAX(BC106,$B$12-SUM(BE106:BL106)-SUM(BD106:BD106)))</f>
        <v>0</v>
      </c>
      <c r="BN106" s="27" t="n">
        <f aca="false">MIN(AR105*(1+K$8),MAX(BD106,$B$12-SUM(BE106:BM106)))</f>
        <v>0</v>
      </c>
    </row>
    <row r="107" customFormat="false" ht="15" hidden="false" customHeight="false" outlineLevel="0" collapsed="false">
      <c r="A107" s="0" t="n">
        <v>93</v>
      </c>
      <c r="B107" s="27" t="n">
        <f aca="false">ROUND(MAX(0,B106*(1+B$8)-X107),2)</f>
        <v>0</v>
      </c>
      <c r="C107" s="27" t="n">
        <f aca="false">ROUND(MAX(0,C106*(1+C$8)-Y107),2)</f>
        <v>0</v>
      </c>
      <c r="D107" s="27" t="n">
        <f aca="false">ROUND(MAX(0,D106*(1+D$8)-Z107),2)</f>
        <v>0</v>
      </c>
      <c r="E107" s="27" t="n">
        <f aca="false">ROUND(MAX(0,E106*(1+E$8)-AA107),2)</f>
        <v>0</v>
      </c>
      <c r="F107" s="27" t="n">
        <f aca="false">ROUND(MAX(0,F106*(1+F$8)-AB107),2)</f>
        <v>0</v>
      </c>
      <c r="G107" s="27" t="n">
        <f aca="false">ROUND(MAX(0,G106*(1+G$8)-AC107),2)</f>
        <v>0</v>
      </c>
      <c r="H107" s="27" t="n">
        <f aca="false">ROUND(MAX(0,H106*(1+H$8)-AD107),2)</f>
        <v>0</v>
      </c>
      <c r="I107" s="27" t="n">
        <f aca="false">ROUND(MAX(0,I106*(1+I$8)-AE107),2)</f>
        <v>0</v>
      </c>
      <c r="J107" s="27" t="n">
        <f aca="false">ROUND(MAX(0,J106*(1+J$8)-AF107),2)</f>
        <v>0</v>
      </c>
      <c r="K107" s="27" t="n">
        <f aca="false">ROUND(MAX(0,K106*(1+K$8)-AG107),2)</f>
        <v>0</v>
      </c>
      <c r="L107" s="30" t="n">
        <f aca="false">SUM(B107:K107)</f>
        <v>0</v>
      </c>
      <c r="M107" s="27" t="n">
        <f aca="false">SUMPRODUCT(B106:K106,$B$8:$K$8)</f>
        <v>0</v>
      </c>
      <c r="N107" s="27" t="n">
        <f aca="false">MIN(B106*(1+B$8),B$9)</f>
        <v>0</v>
      </c>
      <c r="O107" s="27" t="n">
        <f aca="false">MIN(C106*(1+C$8),C$9)</f>
        <v>0</v>
      </c>
      <c r="P107" s="27" t="n">
        <f aca="false">MIN(D106*(1+D$8),D$9)</f>
        <v>0</v>
      </c>
      <c r="Q107" s="27" t="n">
        <f aca="false">MIN(E106*(1+E$8),E$9)</f>
        <v>0</v>
      </c>
      <c r="R107" s="27" t="n">
        <f aca="false">MIN(F106*(1+F$8),F$9)</f>
        <v>0</v>
      </c>
      <c r="S107" s="27" t="n">
        <f aca="false">MIN(G106*(1+G$8),G$9)</f>
        <v>0</v>
      </c>
      <c r="T107" s="27" t="n">
        <f aca="false">MIN(H106*(1+H$8),H$9)</f>
        <v>0</v>
      </c>
      <c r="U107" s="27" t="n">
        <f aca="false">MIN(I106*(1+I$8),I$9)</f>
        <v>0</v>
      </c>
      <c r="V107" s="27" t="n">
        <f aca="false">MIN(J106*(1+J$8),J$9)</f>
        <v>0</v>
      </c>
      <c r="W107" s="27" t="n">
        <f aca="false">MIN(K106*(1+K$8),K$9)</f>
        <v>0</v>
      </c>
      <c r="X107" s="27" t="n">
        <f aca="false">MIN(B106*(1+B$8),MAX(N107,$B$11-SUM(O107:W107)))</f>
        <v>0</v>
      </c>
      <c r="Y107" s="27" t="n">
        <f aca="false">MIN(C106*(1+C$8),MAX(O107,$B$11-SUM(X107:X107)-SUM(P107:W107)))</f>
        <v>0</v>
      </c>
      <c r="Z107" s="27" t="n">
        <f aca="false">MIN(D106*(1+D$8),MAX(P107,$B$11-SUM(X107:Y107)-SUM(Q107:W107)))</f>
        <v>0</v>
      </c>
      <c r="AA107" s="27" t="n">
        <f aca="false">MIN(E106*(1+E$8),MAX(Q107,$B$11-SUM(X107:Z107)-SUM(R107:W107)))</f>
        <v>0</v>
      </c>
      <c r="AB107" s="27" t="n">
        <f aca="false">MIN(F106*(1+F$8),MAX(R107,$B$11-SUM(X107:AA107)-SUM(S107:W107)))</f>
        <v>0</v>
      </c>
      <c r="AC107" s="27" t="n">
        <f aca="false">MIN(G106*(1+G$8),MAX(S107,$B$11-SUM(X107:AB107)-SUM(T107:W107)))</f>
        <v>0</v>
      </c>
      <c r="AD107" s="27" t="n">
        <f aca="false">MIN(H106*(1+H$8),MAX(T107,$B$11-SUM(X107:AC107)-SUM(U107:W107)))</f>
        <v>0</v>
      </c>
      <c r="AE107" s="27" t="n">
        <f aca="false">MIN(I106*(1+I$8),MAX(U107,$B$11-SUM(X107:AD107)-SUM(V107:W107)))</f>
        <v>0</v>
      </c>
      <c r="AF107" s="27" t="n">
        <f aca="false">MIN(J106*(1+J$8),MAX(V107,$B$11-SUM(X107:AE107)-SUM(W107:W107)))</f>
        <v>0</v>
      </c>
      <c r="AG107" s="27" t="n">
        <f aca="false">MIN(K106*(1+K$8),MAX(W107,$B$11-SUM(X107:AF107)))</f>
        <v>0</v>
      </c>
      <c r="AI107" s="27" t="n">
        <f aca="false">ROUND(MAX(0,AI106*(1+B$8)-BE107),2)</f>
        <v>0</v>
      </c>
      <c r="AJ107" s="27" t="n">
        <f aca="false">ROUND(MAX(0,AJ106*(1+C$8)-BF107),2)</f>
        <v>0</v>
      </c>
      <c r="AK107" s="27" t="n">
        <f aca="false">ROUND(MAX(0,AK106*(1+D$8)-BG107),2)</f>
        <v>0</v>
      </c>
      <c r="AL107" s="27" t="n">
        <f aca="false">ROUND(MAX(0,AL106*(1+E$8)-BH107),2)</f>
        <v>0</v>
      </c>
      <c r="AM107" s="27" t="n">
        <f aca="false">ROUND(MAX(0,AM106*(1+F$8)-BI107),2)</f>
        <v>0</v>
      </c>
      <c r="AN107" s="27" t="n">
        <f aca="false">ROUND(MAX(0,AN106*(1+G$8)-BJ107),2)</f>
        <v>0</v>
      </c>
      <c r="AO107" s="27" t="n">
        <f aca="false">ROUND(MAX(0,AO106*(1+H$8)-BK107),2)</f>
        <v>0</v>
      </c>
      <c r="AP107" s="27" t="n">
        <f aca="false">ROUND(MAX(0,AP106*(1+I$8)-BL107),2)</f>
        <v>0</v>
      </c>
      <c r="AQ107" s="27" t="n">
        <f aca="false">ROUND(MAX(0,AQ106*(1+J$8)-BM107),2)</f>
        <v>0</v>
      </c>
      <c r="AR107" s="27" t="n">
        <f aca="false">ROUND(MAX(0,AR106*(1+K$8)-BN107),2)</f>
        <v>0</v>
      </c>
      <c r="AS107" s="27" t="n">
        <f aca="false">SUM(AI107:AR107)</f>
        <v>0</v>
      </c>
      <c r="AT107" s="27" t="n">
        <f aca="false">SUMPRODUCT(AI106:AR106,$B$8:$K$8)</f>
        <v>0</v>
      </c>
      <c r="AU107" s="27" t="n">
        <f aca="false">MIN(AI106*(1+B$8),B$9)</f>
        <v>0</v>
      </c>
      <c r="AV107" s="27" t="n">
        <f aca="false">MIN(AJ106*(1+C$8),C$9)</f>
        <v>0</v>
      </c>
      <c r="AW107" s="27" t="n">
        <f aca="false">MIN(AK106*(1+D$8),D$9)</f>
        <v>0</v>
      </c>
      <c r="AX107" s="27" t="n">
        <f aca="false">MIN(AL106*(1+E$8),E$9)</f>
        <v>0</v>
      </c>
      <c r="AY107" s="27" t="n">
        <f aca="false">MIN(AM106*(1+F$8),F$9)</f>
        <v>0</v>
      </c>
      <c r="AZ107" s="27" t="n">
        <f aca="false">MIN(AN106*(1+G$8),G$9)</f>
        <v>0</v>
      </c>
      <c r="BA107" s="27" t="n">
        <f aca="false">MIN(AO106*(1+H$8),H$9)</f>
        <v>0</v>
      </c>
      <c r="BB107" s="27" t="n">
        <f aca="false">MIN(AP106*(1+I$8),I$9)</f>
        <v>0</v>
      </c>
      <c r="BC107" s="27" t="n">
        <f aca="false">MIN(AQ106*(1+J$8),J$9)</f>
        <v>0</v>
      </c>
      <c r="BD107" s="27" t="n">
        <f aca="false">MIN(AR106*(1+K$8),K$9)</f>
        <v>0</v>
      </c>
      <c r="BE107" s="27" t="n">
        <f aca="false">MIN(AI106*(1+B$8),MAX(AU107,$B$12-SUM(AV107:BD107)))</f>
        <v>0</v>
      </c>
      <c r="BF107" s="27" t="n">
        <f aca="false">MIN(AJ106*(1+C$8),MAX(AV107,$B$12-SUM(BE107:BE107)-SUM(AW107:BD107)))</f>
        <v>0</v>
      </c>
      <c r="BG107" s="27" t="n">
        <f aca="false">MIN(AK106*(1+D$8),MAX(AW107,$B$12-SUM(BE107:BF107)-SUM(AX107:BD107)))</f>
        <v>0</v>
      </c>
      <c r="BH107" s="27" t="n">
        <f aca="false">MIN(AL106*(1+E$8),MAX(AX107,$B$12-SUM(BE107:BG107)-SUM(AY107:BD107)))</f>
        <v>0</v>
      </c>
      <c r="BI107" s="27" t="n">
        <f aca="false">MIN(AM106*(1+F$8),MAX(AY107,$B$12-SUM(BE107:BH107)-SUM(AZ107:BD107)))</f>
        <v>0</v>
      </c>
      <c r="BJ107" s="27" t="n">
        <f aca="false">MIN(AN106*(1+G$8),MAX(AZ107,$B$12-SUM(BE107:BI107)-SUM(BA107:BD107)))</f>
        <v>0</v>
      </c>
      <c r="BK107" s="27" t="n">
        <f aca="false">MIN(AO106*(1+H$8),MAX(BA107,$B$12-SUM(BE107:BJ107)-SUM(BB107:BD107)))</f>
        <v>0</v>
      </c>
      <c r="BL107" s="27" t="n">
        <f aca="false">MIN(AP106*(1+I$8),MAX(BB107,$B$12-SUM(BE107:BK107)-SUM(BC107:BD107)))</f>
        <v>0</v>
      </c>
      <c r="BM107" s="27" t="n">
        <f aca="false">MIN(AQ106*(1+J$8),MAX(BC107,$B$12-SUM(BE107:BL107)-SUM(BD107:BD107)))</f>
        <v>0</v>
      </c>
      <c r="BN107" s="27" t="n">
        <f aca="false">MIN(AR106*(1+K$8),MAX(BD107,$B$12-SUM(BE107:BM107)))</f>
        <v>0</v>
      </c>
    </row>
    <row r="108" customFormat="false" ht="15" hidden="false" customHeight="false" outlineLevel="0" collapsed="false">
      <c r="A108" s="0" t="n">
        <v>94</v>
      </c>
      <c r="B108" s="27" t="n">
        <f aca="false">ROUND(MAX(0,B107*(1+B$8)-X108),2)</f>
        <v>0</v>
      </c>
      <c r="C108" s="27" t="n">
        <f aca="false">ROUND(MAX(0,C107*(1+C$8)-Y108),2)</f>
        <v>0</v>
      </c>
      <c r="D108" s="27" t="n">
        <f aca="false">ROUND(MAX(0,D107*(1+D$8)-Z108),2)</f>
        <v>0</v>
      </c>
      <c r="E108" s="27" t="n">
        <f aca="false">ROUND(MAX(0,E107*(1+E$8)-AA108),2)</f>
        <v>0</v>
      </c>
      <c r="F108" s="27" t="n">
        <f aca="false">ROUND(MAX(0,F107*(1+F$8)-AB108),2)</f>
        <v>0</v>
      </c>
      <c r="G108" s="27" t="n">
        <f aca="false">ROUND(MAX(0,G107*(1+G$8)-AC108),2)</f>
        <v>0</v>
      </c>
      <c r="H108" s="27" t="n">
        <f aca="false">ROUND(MAX(0,H107*(1+H$8)-AD108),2)</f>
        <v>0</v>
      </c>
      <c r="I108" s="27" t="n">
        <f aca="false">ROUND(MAX(0,I107*(1+I$8)-AE108),2)</f>
        <v>0</v>
      </c>
      <c r="J108" s="27" t="n">
        <f aca="false">ROUND(MAX(0,J107*(1+J$8)-AF108),2)</f>
        <v>0</v>
      </c>
      <c r="K108" s="27" t="n">
        <f aca="false">ROUND(MAX(0,K107*(1+K$8)-AG108),2)</f>
        <v>0</v>
      </c>
      <c r="L108" s="30" t="n">
        <f aca="false">SUM(B108:K108)</f>
        <v>0</v>
      </c>
      <c r="M108" s="27" t="n">
        <f aca="false">SUMPRODUCT(B107:K107,$B$8:$K$8)</f>
        <v>0</v>
      </c>
      <c r="N108" s="27" t="n">
        <f aca="false">MIN(B107*(1+B$8),B$9)</f>
        <v>0</v>
      </c>
      <c r="O108" s="27" t="n">
        <f aca="false">MIN(C107*(1+C$8),C$9)</f>
        <v>0</v>
      </c>
      <c r="P108" s="27" t="n">
        <f aca="false">MIN(D107*(1+D$8),D$9)</f>
        <v>0</v>
      </c>
      <c r="Q108" s="27" t="n">
        <f aca="false">MIN(E107*(1+E$8),E$9)</f>
        <v>0</v>
      </c>
      <c r="R108" s="27" t="n">
        <f aca="false">MIN(F107*(1+F$8),F$9)</f>
        <v>0</v>
      </c>
      <c r="S108" s="27" t="n">
        <f aca="false">MIN(G107*(1+G$8),G$9)</f>
        <v>0</v>
      </c>
      <c r="T108" s="27" t="n">
        <f aca="false">MIN(H107*(1+H$8),H$9)</f>
        <v>0</v>
      </c>
      <c r="U108" s="27" t="n">
        <f aca="false">MIN(I107*(1+I$8),I$9)</f>
        <v>0</v>
      </c>
      <c r="V108" s="27" t="n">
        <f aca="false">MIN(J107*(1+J$8),J$9)</f>
        <v>0</v>
      </c>
      <c r="W108" s="27" t="n">
        <f aca="false">MIN(K107*(1+K$8),K$9)</f>
        <v>0</v>
      </c>
      <c r="X108" s="27" t="n">
        <f aca="false">MIN(B107*(1+B$8),MAX(N108,$B$11-SUM(O108:W108)))</f>
        <v>0</v>
      </c>
      <c r="Y108" s="27" t="n">
        <f aca="false">MIN(C107*(1+C$8),MAX(O108,$B$11-SUM(X108:X108)-SUM(P108:W108)))</f>
        <v>0</v>
      </c>
      <c r="Z108" s="27" t="n">
        <f aca="false">MIN(D107*(1+D$8),MAX(P108,$B$11-SUM(X108:Y108)-SUM(Q108:W108)))</f>
        <v>0</v>
      </c>
      <c r="AA108" s="27" t="n">
        <f aca="false">MIN(E107*(1+E$8),MAX(Q108,$B$11-SUM(X108:Z108)-SUM(R108:W108)))</f>
        <v>0</v>
      </c>
      <c r="AB108" s="27" t="n">
        <f aca="false">MIN(F107*(1+F$8),MAX(R108,$B$11-SUM(X108:AA108)-SUM(S108:W108)))</f>
        <v>0</v>
      </c>
      <c r="AC108" s="27" t="n">
        <f aca="false">MIN(G107*(1+G$8),MAX(S108,$B$11-SUM(X108:AB108)-SUM(T108:W108)))</f>
        <v>0</v>
      </c>
      <c r="AD108" s="27" t="n">
        <f aca="false">MIN(H107*(1+H$8),MAX(T108,$B$11-SUM(X108:AC108)-SUM(U108:W108)))</f>
        <v>0</v>
      </c>
      <c r="AE108" s="27" t="n">
        <f aca="false">MIN(I107*(1+I$8),MAX(U108,$B$11-SUM(X108:AD108)-SUM(V108:W108)))</f>
        <v>0</v>
      </c>
      <c r="AF108" s="27" t="n">
        <f aca="false">MIN(J107*(1+J$8),MAX(V108,$B$11-SUM(X108:AE108)-SUM(W108:W108)))</f>
        <v>0</v>
      </c>
      <c r="AG108" s="27" t="n">
        <f aca="false">MIN(K107*(1+K$8),MAX(W108,$B$11-SUM(X108:AF108)))</f>
        <v>0</v>
      </c>
      <c r="AI108" s="27" t="n">
        <f aca="false">ROUND(MAX(0,AI107*(1+B$8)-BE108),2)</f>
        <v>0</v>
      </c>
      <c r="AJ108" s="27" t="n">
        <f aca="false">ROUND(MAX(0,AJ107*(1+C$8)-BF108),2)</f>
        <v>0</v>
      </c>
      <c r="AK108" s="27" t="n">
        <f aca="false">ROUND(MAX(0,AK107*(1+D$8)-BG108),2)</f>
        <v>0</v>
      </c>
      <c r="AL108" s="27" t="n">
        <f aca="false">ROUND(MAX(0,AL107*(1+E$8)-BH108),2)</f>
        <v>0</v>
      </c>
      <c r="AM108" s="27" t="n">
        <f aca="false">ROUND(MAX(0,AM107*(1+F$8)-BI108),2)</f>
        <v>0</v>
      </c>
      <c r="AN108" s="27" t="n">
        <f aca="false">ROUND(MAX(0,AN107*(1+G$8)-BJ108),2)</f>
        <v>0</v>
      </c>
      <c r="AO108" s="27" t="n">
        <f aca="false">ROUND(MAX(0,AO107*(1+H$8)-BK108),2)</f>
        <v>0</v>
      </c>
      <c r="AP108" s="27" t="n">
        <f aca="false">ROUND(MAX(0,AP107*(1+I$8)-BL108),2)</f>
        <v>0</v>
      </c>
      <c r="AQ108" s="27" t="n">
        <f aca="false">ROUND(MAX(0,AQ107*(1+J$8)-BM108),2)</f>
        <v>0</v>
      </c>
      <c r="AR108" s="27" t="n">
        <f aca="false">ROUND(MAX(0,AR107*(1+K$8)-BN108),2)</f>
        <v>0</v>
      </c>
      <c r="AS108" s="27" t="n">
        <f aca="false">SUM(AI108:AR108)</f>
        <v>0</v>
      </c>
      <c r="AT108" s="27" t="n">
        <f aca="false">SUMPRODUCT(AI107:AR107,$B$8:$K$8)</f>
        <v>0</v>
      </c>
      <c r="AU108" s="27" t="n">
        <f aca="false">MIN(AI107*(1+B$8),B$9)</f>
        <v>0</v>
      </c>
      <c r="AV108" s="27" t="n">
        <f aca="false">MIN(AJ107*(1+C$8),C$9)</f>
        <v>0</v>
      </c>
      <c r="AW108" s="27" t="n">
        <f aca="false">MIN(AK107*(1+D$8),D$9)</f>
        <v>0</v>
      </c>
      <c r="AX108" s="27" t="n">
        <f aca="false">MIN(AL107*(1+E$8),E$9)</f>
        <v>0</v>
      </c>
      <c r="AY108" s="27" t="n">
        <f aca="false">MIN(AM107*(1+F$8),F$9)</f>
        <v>0</v>
      </c>
      <c r="AZ108" s="27" t="n">
        <f aca="false">MIN(AN107*(1+G$8),G$9)</f>
        <v>0</v>
      </c>
      <c r="BA108" s="27" t="n">
        <f aca="false">MIN(AO107*(1+H$8),H$9)</f>
        <v>0</v>
      </c>
      <c r="BB108" s="27" t="n">
        <f aca="false">MIN(AP107*(1+I$8),I$9)</f>
        <v>0</v>
      </c>
      <c r="BC108" s="27" t="n">
        <f aca="false">MIN(AQ107*(1+J$8),J$9)</f>
        <v>0</v>
      </c>
      <c r="BD108" s="27" t="n">
        <f aca="false">MIN(AR107*(1+K$8),K$9)</f>
        <v>0</v>
      </c>
      <c r="BE108" s="27" t="n">
        <f aca="false">MIN(AI107*(1+B$8),MAX(AU108,$B$12-SUM(AV108:BD108)))</f>
        <v>0</v>
      </c>
      <c r="BF108" s="27" t="n">
        <f aca="false">MIN(AJ107*(1+C$8),MAX(AV108,$B$12-SUM(BE108:BE108)-SUM(AW108:BD108)))</f>
        <v>0</v>
      </c>
      <c r="BG108" s="27" t="n">
        <f aca="false">MIN(AK107*(1+D$8),MAX(AW108,$B$12-SUM(BE108:BF108)-SUM(AX108:BD108)))</f>
        <v>0</v>
      </c>
      <c r="BH108" s="27" t="n">
        <f aca="false">MIN(AL107*(1+E$8),MAX(AX108,$B$12-SUM(BE108:BG108)-SUM(AY108:BD108)))</f>
        <v>0</v>
      </c>
      <c r="BI108" s="27" t="n">
        <f aca="false">MIN(AM107*(1+F$8),MAX(AY108,$B$12-SUM(BE108:BH108)-SUM(AZ108:BD108)))</f>
        <v>0</v>
      </c>
      <c r="BJ108" s="27" t="n">
        <f aca="false">MIN(AN107*(1+G$8),MAX(AZ108,$B$12-SUM(BE108:BI108)-SUM(BA108:BD108)))</f>
        <v>0</v>
      </c>
      <c r="BK108" s="27" t="n">
        <f aca="false">MIN(AO107*(1+H$8),MAX(BA108,$B$12-SUM(BE108:BJ108)-SUM(BB108:BD108)))</f>
        <v>0</v>
      </c>
      <c r="BL108" s="27" t="n">
        <f aca="false">MIN(AP107*(1+I$8),MAX(BB108,$B$12-SUM(BE108:BK108)-SUM(BC108:BD108)))</f>
        <v>0</v>
      </c>
      <c r="BM108" s="27" t="n">
        <f aca="false">MIN(AQ107*(1+J$8),MAX(BC108,$B$12-SUM(BE108:BL108)-SUM(BD108:BD108)))</f>
        <v>0</v>
      </c>
      <c r="BN108" s="27" t="n">
        <f aca="false">MIN(AR107*(1+K$8),MAX(BD108,$B$12-SUM(BE108:BM108)))</f>
        <v>0</v>
      </c>
    </row>
    <row r="109" customFormat="false" ht="15" hidden="false" customHeight="false" outlineLevel="0" collapsed="false">
      <c r="A109" s="0" t="n">
        <v>95</v>
      </c>
      <c r="B109" s="27" t="n">
        <f aca="false">ROUND(MAX(0,B108*(1+B$8)-X109),2)</f>
        <v>0</v>
      </c>
      <c r="C109" s="27" t="n">
        <f aca="false">ROUND(MAX(0,C108*(1+C$8)-Y109),2)</f>
        <v>0</v>
      </c>
      <c r="D109" s="27" t="n">
        <f aca="false">ROUND(MAX(0,D108*(1+D$8)-Z109),2)</f>
        <v>0</v>
      </c>
      <c r="E109" s="27" t="n">
        <f aca="false">ROUND(MAX(0,E108*(1+E$8)-AA109),2)</f>
        <v>0</v>
      </c>
      <c r="F109" s="27" t="n">
        <f aca="false">ROUND(MAX(0,F108*(1+F$8)-AB109),2)</f>
        <v>0</v>
      </c>
      <c r="G109" s="27" t="n">
        <f aca="false">ROUND(MAX(0,G108*(1+G$8)-AC109),2)</f>
        <v>0</v>
      </c>
      <c r="H109" s="27" t="n">
        <f aca="false">ROUND(MAX(0,H108*(1+H$8)-AD109),2)</f>
        <v>0</v>
      </c>
      <c r="I109" s="27" t="n">
        <f aca="false">ROUND(MAX(0,I108*(1+I$8)-AE109),2)</f>
        <v>0</v>
      </c>
      <c r="J109" s="27" t="n">
        <f aca="false">ROUND(MAX(0,J108*(1+J$8)-AF109),2)</f>
        <v>0</v>
      </c>
      <c r="K109" s="27" t="n">
        <f aca="false">ROUND(MAX(0,K108*(1+K$8)-AG109),2)</f>
        <v>0</v>
      </c>
      <c r="L109" s="30" t="n">
        <f aca="false">SUM(B109:K109)</f>
        <v>0</v>
      </c>
      <c r="M109" s="27" t="n">
        <f aca="false">SUMPRODUCT(B108:K108,$B$8:$K$8)</f>
        <v>0</v>
      </c>
      <c r="N109" s="27" t="n">
        <f aca="false">MIN(B108*(1+B$8),B$9)</f>
        <v>0</v>
      </c>
      <c r="O109" s="27" t="n">
        <f aca="false">MIN(C108*(1+C$8),C$9)</f>
        <v>0</v>
      </c>
      <c r="P109" s="27" t="n">
        <f aca="false">MIN(D108*(1+D$8),D$9)</f>
        <v>0</v>
      </c>
      <c r="Q109" s="27" t="n">
        <f aca="false">MIN(E108*(1+E$8),E$9)</f>
        <v>0</v>
      </c>
      <c r="R109" s="27" t="n">
        <f aca="false">MIN(F108*(1+F$8),F$9)</f>
        <v>0</v>
      </c>
      <c r="S109" s="27" t="n">
        <f aca="false">MIN(G108*(1+G$8),G$9)</f>
        <v>0</v>
      </c>
      <c r="T109" s="27" t="n">
        <f aca="false">MIN(H108*(1+H$8),H$9)</f>
        <v>0</v>
      </c>
      <c r="U109" s="27" t="n">
        <f aca="false">MIN(I108*(1+I$8),I$9)</f>
        <v>0</v>
      </c>
      <c r="V109" s="27" t="n">
        <f aca="false">MIN(J108*(1+J$8),J$9)</f>
        <v>0</v>
      </c>
      <c r="W109" s="27" t="n">
        <f aca="false">MIN(K108*(1+K$8),K$9)</f>
        <v>0</v>
      </c>
      <c r="X109" s="27" t="n">
        <f aca="false">MIN(B108*(1+B$8),MAX(N109,$B$11-SUM(O109:W109)))</f>
        <v>0</v>
      </c>
      <c r="Y109" s="27" t="n">
        <f aca="false">MIN(C108*(1+C$8),MAX(O109,$B$11-SUM(X109:X109)-SUM(P109:W109)))</f>
        <v>0</v>
      </c>
      <c r="Z109" s="27" t="n">
        <f aca="false">MIN(D108*(1+D$8),MAX(P109,$B$11-SUM(X109:Y109)-SUM(Q109:W109)))</f>
        <v>0</v>
      </c>
      <c r="AA109" s="27" t="n">
        <f aca="false">MIN(E108*(1+E$8),MAX(Q109,$B$11-SUM(X109:Z109)-SUM(R109:W109)))</f>
        <v>0</v>
      </c>
      <c r="AB109" s="27" t="n">
        <f aca="false">MIN(F108*(1+F$8),MAX(R109,$B$11-SUM(X109:AA109)-SUM(S109:W109)))</f>
        <v>0</v>
      </c>
      <c r="AC109" s="27" t="n">
        <f aca="false">MIN(G108*(1+G$8),MAX(S109,$B$11-SUM(X109:AB109)-SUM(T109:W109)))</f>
        <v>0</v>
      </c>
      <c r="AD109" s="27" t="n">
        <f aca="false">MIN(H108*(1+H$8),MAX(T109,$B$11-SUM(X109:AC109)-SUM(U109:W109)))</f>
        <v>0</v>
      </c>
      <c r="AE109" s="27" t="n">
        <f aca="false">MIN(I108*(1+I$8),MAX(U109,$B$11-SUM(X109:AD109)-SUM(V109:W109)))</f>
        <v>0</v>
      </c>
      <c r="AF109" s="27" t="n">
        <f aca="false">MIN(J108*(1+J$8),MAX(V109,$B$11-SUM(X109:AE109)-SUM(W109:W109)))</f>
        <v>0</v>
      </c>
      <c r="AG109" s="27" t="n">
        <f aca="false">MIN(K108*(1+K$8),MAX(W109,$B$11-SUM(X109:AF109)))</f>
        <v>0</v>
      </c>
      <c r="AI109" s="27" t="n">
        <f aca="false">ROUND(MAX(0,AI108*(1+B$8)-BE109),2)</f>
        <v>0</v>
      </c>
      <c r="AJ109" s="27" t="n">
        <f aca="false">ROUND(MAX(0,AJ108*(1+C$8)-BF109),2)</f>
        <v>0</v>
      </c>
      <c r="AK109" s="27" t="n">
        <f aca="false">ROUND(MAX(0,AK108*(1+D$8)-BG109),2)</f>
        <v>0</v>
      </c>
      <c r="AL109" s="27" t="n">
        <f aca="false">ROUND(MAX(0,AL108*(1+E$8)-BH109),2)</f>
        <v>0</v>
      </c>
      <c r="AM109" s="27" t="n">
        <f aca="false">ROUND(MAX(0,AM108*(1+F$8)-BI109),2)</f>
        <v>0</v>
      </c>
      <c r="AN109" s="27" t="n">
        <f aca="false">ROUND(MAX(0,AN108*(1+G$8)-BJ109),2)</f>
        <v>0</v>
      </c>
      <c r="AO109" s="27" t="n">
        <f aca="false">ROUND(MAX(0,AO108*(1+H$8)-BK109),2)</f>
        <v>0</v>
      </c>
      <c r="AP109" s="27" t="n">
        <f aca="false">ROUND(MAX(0,AP108*(1+I$8)-BL109),2)</f>
        <v>0</v>
      </c>
      <c r="AQ109" s="27" t="n">
        <f aca="false">ROUND(MAX(0,AQ108*(1+J$8)-BM109),2)</f>
        <v>0</v>
      </c>
      <c r="AR109" s="27" t="n">
        <f aca="false">ROUND(MAX(0,AR108*(1+K$8)-BN109),2)</f>
        <v>0</v>
      </c>
      <c r="AS109" s="27" t="n">
        <f aca="false">SUM(AI109:AR109)</f>
        <v>0</v>
      </c>
      <c r="AT109" s="27" t="n">
        <f aca="false">SUMPRODUCT(AI108:AR108,$B$8:$K$8)</f>
        <v>0</v>
      </c>
      <c r="AU109" s="27" t="n">
        <f aca="false">MIN(AI108*(1+B$8),B$9)</f>
        <v>0</v>
      </c>
      <c r="AV109" s="27" t="n">
        <f aca="false">MIN(AJ108*(1+C$8),C$9)</f>
        <v>0</v>
      </c>
      <c r="AW109" s="27" t="n">
        <f aca="false">MIN(AK108*(1+D$8),D$9)</f>
        <v>0</v>
      </c>
      <c r="AX109" s="27" t="n">
        <f aca="false">MIN(AL108*(1+E$8),E$9)</f>
        <v>0</v>
      </c>
      <c r="AY109" s="27" t="n">
        <f aca="false">MIN(AM108*(1+F$8),F$9)</f>
        <v>0</v>
      </c>
      <c r="AZ109" s="27" t="n">
        <f aca="false">MIN(AN108*(1+G$8),G$9)</f>
        <v>0</v>
      </c>
      <c r="BA109" s="27" t="n">
        <f aca="false">MIN(AO108*(1+H$8),H$9)</f>
        <v>0</v>
      </c>
      <c r="BB109" s="27" t="n">
        <f aca="false">MIN(AP108*(1+I$8),I$9)</f>
        <v>0</v>
      </c>
      <c r="BC109" s="27" t="n">
        <f aca="false">MIN(AQ108*(1+J$8),J$9)</f>
        <v>0</v>
      </c>
      <c r="BD109" s="27" t="n">
        <f aca="false">MIN(AR108*(1+K$8),K$9)</f>
        <v>0</v>
      </c>
      <c r="BE109" s="27" t="n">
        <f aca="false">MIN(AI108*(1+B$8),MAX(AU109,$B$12-SUM(AV109:BD109)))</f>
        <v>0</v>
      </c>
      <c r="BF109" s="27" t="n">
        <f aca="false">MIN(AJ108*(1+C$8),MAX(AV109,$B$12-SUM(BE109:BE109)-SUM(AW109:BD109)))</f>
        <v>0</v>
      </c>
      <c r="BG109" s="27" t="n">
        <f aca="false">MIN(AK108*(1+D$8),MAX(AW109,$B$12-SUM(BE109:BF109)-SUM(AX109:BD109)))</f>
        <v>0</v>
      </c>
      <c r="BH109" s="27" t="n">
        <f aca="false">MIN(AL108*(1+E$8),MAX(AX109,$B$12-SUM(BE109:BG109)-SUM(AY109:BD109)))</f>
        <v>0</v>
      </c>
      <c r="BI109" s="27" t="n">
        <f aca="false">MIN(AM108*(1+F$8),MAX(AY109,$B$12-SUM(BE109:BH109)-SUM(AZ109:BD109)))</f>
        <v>0</v>
      </c>
      <c r="BJ109" s="27" t="n">
        <f aca="false">MIN(AN108*(1+G$8),MAX(AZ109,$B$12-SUM(BE109:BI109)-SUM(BA109:BD109)))</f>
        <v>0</v>
      </c>
      <c r="BK109" s="27" t="n">
        <f aca="false">MIN(AO108*(1+H$8),MAX(BA109,$B$12-SUM(BE109:BJ109)-SUM(BB109:BD109)))</f>
        <v>0</v>
      </c>
      <c r="BL109" s="27" t="n">
        <f aca="false">MIN(AP108*(1+I$8),MAX(BB109,$B$12-SUM(BE109:BK109)-SUM(BC109:BD109)))</f>
        <v>0</v>
      </c>
      <c r="BM109" s="27" t="n">
        <f aca="false">MIN(AQ108*(1+J$8),MAX(BC109,$B$12-SUM(BE109:BL109)-SUM(BD109:BD109)))</f>
        <v>0</v>
      </c>
      <c r="BN109" s="27" t="n">
        <f aca="false">MIN(AR108*(1+K$8),MAX(BD109,$B$12-SUM(BE109:BM109)))</f>
        <v>0</v>
      </c>
    </row>
    <row r="110" customFormat="false" ht="15" hidden="false" customHeight="false" outlineLevel="0" collapsed="false">
      <c r="A110" s="0" t="n">
        <v>96</v>
      </c>
      <c r="B110" s="27" t="n">
        <f aca="false">ROUND(MAX(0,B109*(1+B$8)-X110),2)</f>
        <v>0</v>
      </c>
      <c r="C110" s="27" t="n">
        <f aca="false">ROUND(MAX(0,C109*(1+C$8)-Y110),2)</f>
        <v>0</v>
      </c>
      <c r="D110" s="27" t="n">
        <f aca="false">ROUND(MAX(0,D109*(1+D$8)-Z110),2)</f>
        <v>0</v>
      </c>
      <c r="E110" s="27" t="n">
        <f aca="false">ROUND(MAX(0,E109*(1+E$8)-AA110),2)</f>
        <v>0</v>
      </c>
      <c r="F110" s="27" t="n">
        <f aca="false">ROUND(MAX(0,F109*(1+F$8)-AB110),2)</f>
        <v>0</v>
      </c>
      <c r="G110" s="27" t="n">
        <f aca="false">ROUND(MAX(0,G109*(1+G$8)-AC110),2)</f>
        <v>0</v>
      </c>
      <c r="H110" s="27" t="n">
        <f aca="false">ROUND(MAX(0,H109*(1+H$8)-AD110),2)</f>
        <v>0</v>
      </c>
      <c r="I110" s="27" t="n">
        <f aca="false">ROUND(MAX(0,I109*(1+I$8)-AE110),2)</f>
        <v>0</v>
      </c>
      <c r="J110" s="27" t="n">
        <f aca="false">ROUND(MAX(0,J109*(1+J$8)-AF110),2)</f>
        <v>0</v>
      </c>
      <c r="K110" s="27" t="n">
        <f aca="false">ROUND(MAX(0,K109*(1+K$8)-AG110),2)</f>
        <v>0</v>
      </c>
      <c r="L110" s="30" t="n">
        <f aca="false">SUM(B110:K110)</f>
        <v>0</v>
      </c>
      <c r="M110" s="27" t="n">
        <f aca="false">SUMPRODUCT(B109:K109,$B$8:$K$8)</f>
        <v>0</v>
      </c>
      <c r="N110" s="27" t="n">
        <f aca="false">MIN(B109*(1+B$8),B$9)</f>
        <v>0</v>
      </c>
      <c r="O110" s="27" t="n">
        <f aca="false">MIN(C109*(1+C$8),C$9)</f>
        <v>0</v>
      </c>
      <c r="P110" s="27" t="n">
        <f aca="false">MIN(D109*(1+D$8),D$9)</f>
        <v>0</v>
      </c>
      <c r="Q110" s="27" t="n">
        <f aca="false">MIN(E109*(1+E$8),E$9)</f>
        <v>0</v>
      </c>
      <c r="R110" s="27" t="n">
        <f aca="false">MIN(F109*(1+F$8),F$9)</f>
        <v>0</v>
      </c>
      <c r="S110" s="27" t="n">
        <f aca="false">MIN(G109*(1+G$8),G$9)</f>
        <v>0</v>
      </c>
      <c r="T110" s="27" t="n">
        <f aca="false">MIN(H109*(1+H$8),H$9)</f>
        <v>0</v>
      </c>
      <c r="U110" s="27" t="n">
        <f aca="false">MIN(I109*(1+I$8),I$9)</f>
        <v>0</v>
      </c>
      <c r="V110" s="27" t="n">
        <f aca="false">MIN(J109*(1+J$8),J$9)</f>
        <v>0</v>
      </c>
      <c r="W110" s="27" t="n">
        <f aca="false">MIN(K109*(1+K$8),K$9)</f>
        <v>0</v>
      </c>
      <c r="X110" s="27" t="n">
        <f aca="false">MIN(B109*(1+B$8),MAX(N110,$B$11-SUM(O110:W110)))</f>
        <v>0</v>
      </c>
      <c r="Y110" s="27" t="n">
        <f aca="false">MIN(C109*(1+C$8),MAX(O110,$B$11-SUM(X110:X110)-SUM(P110:W110)))</f>
        <v>0</v>
      </c>
      <c r="Z110" s="27" t="n">
        <f aca="false">MIN(D109*(1+D$8),MAX(P110,$B$11-SUM(X110:Y110)-SUM(Q110:W110)))</f>
        <v>0</v>
      </c>
      <c r="AA110" s="27" t="n">
        <f aca="false">MIN(E109*(1+E$8),MAX(Q110,$B$11-SUM(X110:Z110)-SUM(R110:W110)))</f>
        <v>0</v>
      </c>
      <c r="AB110" s="27" t="n">
        <f aca="false">MIN(F109*(1+F$8),MAX(R110,$B$11-SUM(X110:AA110)-SUM(S110:W110)))</f>
        <v>0</v>
      </c>
      <c r="AC110" s="27" t="n">
        <f aca="false">MIN(G109*(1+G$8),MAX(S110,$B$11-SUM(X110:AB110)-SUM(T110:W110)))</f>
        <v>0</v>
      </c>
      <c r="AD110" s="27" t="n">
        <f aca="false">MIN(H109*(1+H$8),MAX(T110,$B$11-SUM(X110:AC110)-SUM(U110:W110)))</f>
        <v>0</v>
      </c>
      <c r="AE110" s="27" t="n">
        <f aca="false">MIN(I109*(1+I$8),MAX(U110,$B$11-SUM(X110:AD110)-SUM(V110:W110)))</f>
        <v>0</v>
      </c>
      <c r="AF110" s="27" t="n">
        <f aca="false">MIN(J109*(1+J$8),MAX(V110,$B$11-SUM(X110:AE110)-SUM(W110:W110)))</f>
        <v>0</v>
      </c>
      <c r="AG110" s="27" t="n">
        <f aca="false">MIN(K109*(1+K$8),MAX(W110,$B$11-SUM(X110:AF110)))</f>
        <v>0</v>
      </c>
      <c r="AI110" s="27" t="n">
        <f aca="false">ROUND(MAX(0,AI109*(1+B$8)-BE110),2)</f>
        <v>0</v>
      </c>
      <c r="AJ110" s="27" t="n">
        <f aca="false">ROUND(MAX(0,AJ109*(1+C$8)-BF110),2)</f>
        <v>0</v>
      </c>
      <c r="AK110" s="27" t="n">
        <f aca="false">ROUND(MAX(0,AK109*(1+D$8)-BG110),2)</f>
        <v>0</v>
      </c>
      <c r="AL110" s="27" t="n">
        <f aca="false">ROUND(MAX(0,AL109*(1+E$8)-BH110),2)</f>
        <v>0</v>
      </c>
      <c r="AM110" s="27" t="n">
        <f aca="false">ROUND(MAX(0,AM109*(1+F$8)-BI110),2)</f>
        <v>0</v>
      </c>
      <c r="AN110" s="27" t="n">
        <f aca="false">ROUND(MAX(0,AN109*(1+G$8)-BJ110),2)</f>
        <v>0</v>
      </c>
      <c r="AO110" s="27" t="n">
        <f aca="false">ROUND(MAX(0,AO109*(1+H$8)-BK110),2)</f>
        <v>0</v>
      </c>
      <c r="AP110" s="27" t="n">
        <f aca="false">ROUND(MAX(0,AP109*(1+I$8)-BL110),2)</f>
        <v>0</v>
      </c>
      <c r="AQ110" s="27" t="n">
        <f aca="false">ROUND(MAX(0,AQ109*(1+J$8)-BM110),2)</f>
        <v>0</v>
      </c>
      <c r="AR110" s="27" t="n">
        <f aca="false">ROUND(MAX(0,AR109*(1+K$8)-BN110),2)</f>
        <v>0</v>
      </c>
      <c r="AS110" s="27" t="n">
        <f aca="false">SUM(AI110:AR110)</f>
        <v>0</v>
      </c>
      <c r="AT110" s="27" t="n">
        <f aca="false">SUMPRODUCT(AI109:AR109,$B$8:$K$8)</f>
        <v>0</v>
      </c>
      <c r="AU110" s="27" t="n">
        <f aca="false">MIN(AI109*(1+B$8),B$9)</f>
        <v>0</v>
      </c>
      <c r="AV110" s="27" t="n">
        <f aca="false">MIN(AJ109*(1+C$8),C$9)</f>
        <v>0</v>
      </c>
      <c r="AW110" s="27" t="n">
        <f aca="false">MIN(AK109*(1+D$8),D$9)</f>
        <v>0</v>
      </c>
      <c r="AX110" s="27" t="n">
        <f aca="false">MIN(AL109*(1+E$8),E$9)</f>
        <v>0</v>
      </c>
      <c r="AY110" s="27" t="n">
        <f aca="false">MIN(AM109*(1+F$8),F$9)</f>
        <v>0</v>
      </c>
      <c r="AZ110" s="27" t="n">
        <f aca="false">MIN(AN109*(1+G$8),G$9)</f>
        <v>0</v>
      </c>
      <c r="BA110" s="27" t="n">
        <f aca="false">MIN(AO109*(1+H$8),H$9)</f>
        <v>0</v>
      </c>
      <c r="BB110" s="27" t="n">
        <f aca="false">MIN(AP109*(1+I$8),I$9)</f>
        <v>0</v>
      </c>
      <c r="BC110" s="27" t="n">
        <f aca="false">MIN(AQ109*(1+J$8),J$9)</f>
        <v>0</v>
      </c>
      <c r="BD110" s="27" t="n">
        <f aca="false">MIN(AR109*(1+K$8),K$9)</f>
        <v>0</v>
      </c>
      <c r="BE110" s="27" t="n">
        <f aca="false">MIN(AI109*(1+B$8),MAX(AU110,$B$12-SUM(AV110:BD110)))</f>
        <v>0</v>
      </c>
      <c r="BF110" s="27" t="n">
        <f aca="false">MIN(AJ109*(1+C$8),MAX(AV110,$B$12-SUM(BE110:BE110)-SUM(AW110:BD110)))</f>
        <v>0</v>
      </c>
      <c r="BG110" s="27" t="n">
        <f aca="false">MIN(AK109*(1+D$8),MAX(AW110,$B$12-SUM(BE110:BF110)-SUM(AX110:BD110)))</f>
        <v>0</v>
      </c>
      <c r="BH110" s="27" t="n">
        <f aca="false">MIN(AL109*(1+E$8),MAX(AX110,$B$12-SUM(BE110:BG110)-SUM(AY110:BD110)))</f>
        <v>0</v>
      </c>
      <c r="BI110" s="27" t="n">
        <f aca="false">MIN(AM109*(1+F$8),MAX(AY110,$B$12-SUM(BE110:BH110)-SUM(AZ110:BD110)))</f>
        <v>0</v>
      </c>
      <c r="BJ110" s="27" t="n">
        <f aca="false">MIN(AN109*(1+G$8),MAX(AZ110,$B$12-SUM(BE110:BI110)-SUM(BA110:BD110)))</f>
        <v>0</v>
      </c>
      <c r="BK110" s="27" t="n">
        <f aca="false">MIN(AO109*(1+H$8),MAX(BA110,$B$12-SUM(BE110:BJ110)-SUM(BB110:BD110)))</f>
        <v>0</v>
      </c>
      <c r="BL110" s="27" t="n">
        <f aca="false">MIN(AP109*(1+I$8),MAX(BB110,$B$12-SUM(BE110:BK110)-SUM(BC110:BD110)))</f>
        <v>0</v>
      </c>
      <c r="BM110" s="27" t="n">
        <f aca="false">MIN(AQ109*(1+J$8),MAX(BC110,$B$12-SUM(BE110:BL110)-SUM(BD110:BD110)))</f>
        <v>0</v>
      </c>
      <c r="BN110" s="27" t="n">
        <f aca="false">MIN(AR109*(1+K$8),MAX(BD110,$B$12-SUM(BE110:BM110)))</f>
        <v>0</v>
      </c>
    </row>
    <row r="111" customFormat="false" ht="15" hidden="false" customHeight="false" outlineLevel="0" collapsed="false">
      <c r="A111" s="0" t="n">
        <v>97</v>
      </c>
      <c r="B111" s="27" t="n">
        <f aca="false">ROUND(MAX(0,B110*(1+B$8)-X111),2)</f>
        <v>0</v>
      </c>
      <c r="C111" s="27" t="n">
        <f aca="false">ROUND(MAX(0,C110*(1+C$8)-Y111),2)</f>
        <v>0</v>
      </c>
      <c r="D111" s="27" t="n">
        <f aca="false">ROUND(MAX(0,D110*(1+D$8)-Z111),2)</f>
        <v>0</v>
      </c>
      <c r="E111" s="27" t="n">
        <f aca="false">ROUND(MAX(0,E110*(1+E$8)-AA111),2)</f>
        <v>0</v>
      </c>
      <c r="F111" s="27" t="n">
        <f aca="false">ROUND(MAX(0,F110*(1+F$8)-AB111),2)</f>
        <v>0</v>
      </c>
      <c r="G111" s="27" t="n">
        <f aca="false">ROUND(MAX(0,G110*(1+G$8)-AC111),2)</f>
        <v>0</v>
      </c>
      <c r="H111" s="27" t="n">
        <f aca="false">ROUND(MAX(0,H110*(1+H$8)-AD111),2)</f>
        <v>0</v>
      </c>
      <c r="I111" s="27" t="n">
        <f aca="false">ROUND(MAX(0,I110*(1+I$8)-AE111),2)</f>
        <v>0</v>
      </c>
      <c r="J111" s="27" t="n">
        <f aca="false">ROUND(MAX(0,J110*(1+J$8)-AF111),2)</f>
        <v>0</v>
      </c>
      <c r="K111" s="27" t="n">
        <f aca="false">ROUND(MAX(0,K110*(1+K$8)-AG111),2)</f>
        <v>0</v>
      </c>
      <c r="L111" s="30" t="n">
        <f aca="false">SUM(B111:K111)</f>
        <v>0</v>
      </c>
      <c r="M111" s="27" t="n">
        <f aca="false">SUMPRODUCT(B110:K110,$B$8:$K$8)</f>
        <v>0</v>
      </c>
      <c r="N111" s="27" t="n">
        <f aca="false">MIN(B110*(1+B$8),B$9)</f>
        <v>0</v>
      </c>
      <c r="O111" s="27" t="n">
        <f aca="false">MIN(C110*(1+C$8),C$9)</f>
        <v>0</v>
      </c>
      <c r="P111" s="27" t="n">
        <f aca="false">MIN(D110*(1+D$8),D$9)</f>
        <v>0</v>
      </c>
      <c r="Q111" s="27" t="n">
        <f aca="false">MIN(E110*(1+E$8),E$9)</f>
        <v>0</v>
      </c>
      <c r="R111" s="27" t="n">
        <f aca="false">MIN(F110*(1+F$8),F$9)</f>
        <v>0</v>
      </c>
      <c r="S111" s="27" t="n">
        <f aca="false">MIN(G110*(1+G$8),G$9)</f>
        <v>0</v>
      </c>
      <c r="T111" s="27" t="n">
        <f aca="false">MIN(H110*(1+H$8),H$9)</f>
        <v>0</v>
      </c>
      <c r="U111" s="27" t="n">
        <f aca="false">MIN(I110*(1+I$8),I$9)</f>
        <v>0</v>
      </c>
      <c r="V111" s="27" t="n">
        <f aca="false">MIN(J110*(1+J$8),J$9)</f>
        <v>0</v>
      </c>
      <c r="W111" s="27" t="n">
        <f aca="false">MIN(K110*(1+K$8),K$9)</f>
        <v>0</v>
      </c>
      <c r="X111" s="27" t="n">
        <f aca="false">MIN(B110*(1+B$8),MAX(N111,$B$11-SUM(O111:W111)))</f>
        <v>0</v>
      </c>
      <c r="Y111" s="27" t="n">
        <f aca="false">MIN(C110*(1+C$8),MAX(O111,$B$11-SUM(X111:X111)-SUM(P111:W111)))</f>
        <v>0</v>
      </c>
      <c r="Z111" s="27" t="n">
        <f aca="false">MIN(D110*(1+D$8),MAX(P111,$B$11-SUM(X111:Y111)-SUM(Q111:W111)))</f>
        <v>0</v>
      </c>
      <c r="AA111" s="27" t="n">
        <f aca="false">MIN(E110*(1+E$8),MAX(Q111,$B$11-SUM(X111:Z111)-SUM(R111:W111)))</f>
        <v>0</v>
      </c>
      <c r="AB111" s="27" t="n">
        <f aca="false">MIN(F110*(1+F$8),MAX(R111,$B$11-SUM(X111:AA111)-SUM(S111:W111)))</f>
        <v>0</v>
      </c>
      <c r="AC111" s="27" t="n">
        <f aca="false">MIN(G110*(1+G$8),MAX(S111,$B$11-SUM(X111:AB111)-SUM(T111:W111)))</f>
        <v>0</v>
      </c>
      <c r="AD111" s="27" t="n">
        <f aca="false">MIN(H110*(1+H$8),MAX(T111,$B$11-SUM(X111:AC111)-SUM(U111:W111)))</f>
        <v>0</v>
      </c>
      <c r="AE111" s="27" t="n">
        <f aca="false">MIN(I110*(1+I$8),MAX(U111,$B$11-SUM(X111:AD111)-SUM(V111:W111)))</f>
        <v>0</v>
      </c>
      <c r="AF111" s="27" t="n">
        <f aca="false">MIN(J110*(1+J$8),MAX(V111,$B$11-SUM(X111:AE111)-SUM(W111:W111)))</f>
        <v>0</v>
      </c>
      <c r="AG111" s="27" t="n">
        <f aca="false">MIN(K110*(1+K$8),MAX(W111,$B$11-SUM(X111:AF111)))</f>
        <v>0</v>
      </c>
      <c r="AI111" s="27" t="n">
        <f aca="false">ROUND(MAX(0,AI110*(1+B$8)-BE111),2)</f>
        <v>0</v>
      </c>
      <c r="AJ111" s="27" t="n">
        <f aca="false">ROUND(MAX(0,AJ110*(1+C$8)-BF111),2)</f>
        <v>0</v>
      </c>
      <c r="AK111" s="27" t="n">
        <f aca="false">ROUND(MAX(0,AK110*(1+D$8)-BG111),2)</f>
        <v>0</v>
      </c>
      <c r="AL111" s="27" t="n">
        <f aca="false">ROUND(MAX(0,AL110*(1+E$8)-BH111),2)</f>
        <v>0</v>
      </c>
      <c r="AM111" s="27" t="n">
        <f aca="false">ROUND(MAX(0,AM110*(1+F$8)-BI111),2)</f>
        <v>0</v>
      </c>
      <c r="AN111" s="27" t="n">
        <f aca="false">ROUND(MAX(0,AN110*(1+G$8)-BJ111),2)</f>
        <v>0</v>
      </c>
      <c r="AO111" s="27" t="n">
        <f aca="false">ROUND(MAX(0,AO110*(1+H$8)-BK111),2)</f>
        <v>0</v>
      </c>
      <c r="AP111" s="27" t="n">
        <f aca="false">ROUND(MAX(0,AP110*(1+I$8)-BL111),2)</f>
        <v>0</v>
      </c>
      <c r="AQ111" s="27" t="n">
        <f aca="false">ROUND(MAX(0,AQ110*(1+J$8)-BM111),2)</f>
        <v>0</v>
      </c>
      <c r="AR111" s="27" t="n">
        <f aca="false">ROUND(MAX(0,AR110*(1+K$8)-BN111),2)</f>
        <v>0</v>
      </c>
      <c r="AS111" s="27" t="n">
        <f aca="false">SUM(AI111:AR111)</f>
        <v>0</v>
      </c>
      <c r="AT111" s="27" t="n">
        <f aca="false">SUMPRODUCT(AI110:AR110,$B$8:$K$8)</f>
        <v>0</v>
      </c>
      <c r="AU111" s="27" t="n">
        <f aca="false">MIN(AI110*(1+B$8),B$9)</f>
        <v>0</v>
      </c>
      <c r="AV111" s="27" t="n">
        <f aca="false">MIN(AJ110*(1+C$8),C$9)</f>
        <v>0</v>
      </c>
      <c r="AW111" s="27" t="n">
        <f aca="false">MIN(AK110*(1+D$8),D$9)</f>
        <v>0</v>
      </c>
      <c r="AX111" s="27" t="n">
        <f aca="false">MIN(AL110*(1+E$8),E$9)</f>
        <v>0</v>
      </c>
      <c r="AY111" s="27" t="n">
        <f aca="false">MIN(AM110*(1+F$8),F$9)</f>
        <v>0</v>
      </c>
      <c r="AZ111" s="27" t="n">
        <f aca="false">MIN(AN110*(1+G$8),G$9)</f>
        <v>0</v>
      </c>
      <c r="BA111" s="27" t="n">
        <f aca="false">MIN(AO110*(1+H$8),H$9)</f>
        <v>0</v>
      </c>
      <c r="BB111" s="27" t="n">
        <f aca="false">MIN(AP110*(1+I$8),I$9)</f>
        <v>0</v>
      </c>
      <c r="BC111" s="27" t="n">
        <f aca="false">MIN(AQ110*(1+J$8),J$9)</f>
        <v>0</v>
      </c>
      <c r="BD111" s="27" t="n">
        <f aca="false">MIN(AR110*(1+K$8),K$9)</f>
        <v>0</v>
      </c>
      <c r="BE111" s="27" t="n">
        <f aca="false">MIN(AI110*(1+B$8),MAX(AU111,$B$12-SUM(AV111:BD111)))</f>
        <v>0</v>
      </c>
      <c r="BF111" s="27" t="n">
        <f aca="false">MIN(AJ110*(1+C$8),MAX(AV111,$B$12-SUM(BE111:BE111)-SUM(AW111:BD111)))</f>
        <v>0</v>
      </c>
      <c r="BG111" s="27" t="n">
        <f aca="false">MIN(AK110*(1+D$8),MAX(AW111,$B$12-SUM(BE111:BF111)-SUM(AX111:BD111)))</f>
        <v>0</v>
      </c>
      <c r="BH111" s="27" t="n">
        <f aca="false">MIN(AL110*(1+E$8),MAX(AX111,$B$12-SUM(BE111:BG111)-SUM(AY111:BD111)))</f>
        <v>0</v>
      </c>
      <c r="BI111" s="27" t="n">
        <f aca="false">MIN(AM110*(1+F$8),MAX(AY111,$B$12-SUM(BE111:BH111)-SUM(AZ111:BD111)))</f>
        <v>0</v>
      </c>
      <c r="BJ111" s="27" t="n">
        <f aca="false">MIN(AN110*(1+G$8),MAX(AZ111,$B$12-SUM(BE111:BI111)-SUM(BA111:BD111)))</f>
        <v>0</v>
      </c>
      <c r="BK111" s="27" t="n">
        <f aca="false">MIN(AO110*(1+H$8),MAX(BA111,$B$12-SUM(BE111:BJ111)-SUM(BB111:BD111)))</f>
        <v>0</v>
      </c>
      <c r="BL111" s="27" t="n">
        <f aca="false">MIN(AP110*(1+I$8),MAX(BB111,$B$12-SUM(BE111:BK111)-SUM(BC111:BD111)))</f>
        <v>0</v>
      </c>
      <c r="BM111" s="27" t="n">
        <f aca="false">MIN(AQ110*(1+J$8),MAX(BC111,$B$12-SUM(BE111:BL111)-SUM(BD111:BD111)))</f>
        <v>0</v>
      </c>
      <c r="BN111" s="27" t="n">
        <f aca="false">MIN(AR110*(1+K$8),MAX(BD111,$B$12-SUM(BE111:BM111)))</f>
        <v>0</v>
      </c>
    </row>
    <row r="112" customFormat="false" ht="15" hidden="false" customHeight="false" outlineLevel="0" collapsed="false">
      <c r="A112" s="0" t="n">
        <v>98</v>
      </c>
      <c r="B112" s="27" t="n">
        <f aca="false">ROUND(MAX(0,B111*(1+B$8)-X112),2)</f>
        <v>0</v>
      </c>
      <c r="C112" s="27" t="n">
        <f aca="false">ROUND(MAX(0,C111*(1+C$8)-Y112),2)</f>
        <v>0</v>
      </c>
      <c r="D112" s="27" t="n">
        <f aca="false">ROUND(MAX(0,D111*(1+D$8)-Z112),2)</f>
        <v>0</v>
      </c>
      <c r="E112" s="27" t="n">
        <f aca="false">ROUND(MAX(0,E111*(1+E$8)-AA112),2)</f>
        <v>0</v>
      </c>
      <c r="F112" s="27" t="n">
        <f aca="false">ROUND(MAX(0,F111*(1+F$8)-AB112),2)</f>
        <v>0</v>
      </c>
      <c r="G112" s="27" t="n">
        <f aca="false">ROUND(MAX(0,G111*(1+G$8)-AC112),2)</f>
        <v>0</v>
      </c>
      <c r="H112" s="27" t="n">
        <f aca="false">ROUND(MAX(0,H111*(1+H$8)-AD112),2)</f>
        <v>0</v>
      </c>
      <c r="I112" s="27" t="n">
        <f aca="false">ROUND(MAX(0,I111*(1+I$8)-AE112),2)</f>
        <v>0</v>
      </c>
      <c r="J112" s="27" t="n">
        <f aca="false">ROUND(MAX(0,J111*(1+J$8)-AF112),2)</f>
        <v>0</v>
      </c>
      <c r="K112" s="27" t="n">
        <f aca="false">ROUND(MAX(0,K111*(1+K$8)-AG112),2)</f>
        <v>0</v>
      </c>
      <c r="L112" s="30" t="n">
        <f aca="false">SUM(B112:K112)</f>
        <v>0</v>
      </c>
      <c r="M112" s="27" t="n">
        <f aca="false">SUMPRODUCT(B111:K111,$B$8:$K$8)</f>
        <v>0</v>
      </c>
      <c r="N112" s="27" t="n">
        <f aca="false">MIN(B111*(1+B$8),B$9)</f>
        <v>0</v>
      </c>
      <c r="O112" s="27" t="n">
        <f aca="false">MIN(C111*(1+C$8),C$9)</f>
        <v>0</v>
      </c>
      <c r="P112" s="27" t="n">
        <f aca="false">MIN(D111*(1+D$8),D$9)</f>
        <v>0</v>
      </c>
      <c r="Q112" s="27" t="n">
        <f aca="false">MIN(E111*(1+E$8),E$9)</f>
        <v>0</v>
      </c>
      <c r="R112" s="27" t="n">
        <f aca="false">MIN(F111*(1+F$8),F$9)</f>
        <v>0</v>
      </c>
      <c r="S112" s="27" t="n">
        <f aca="false">MIN(G111*(1+G$8),G$9)</f>
        <v>0</v>
      </c>
      <c r="T112" s="27" t="n">
        <f aca="false">MIN(H111*(1+H$8),H$9)</f>
        <v>0</v>
      </c>
      <c r="U112" s="27" t="n">
        <f aca="false">MIN(I111*(1+I$8),I$9)</f>
        <v>0</v>
      </c>
      <c r="V112" s="27" t="n">
        <f aca="false">MIN(J111*(1+J$8),J$9)</f>
        <v>0</v>
      </c>
      <c r="W112" s="27" t="n">
        <f aca="false">MIN(K111*(1+K$8),K$9)</f>
        <v>0</v>
      </c>
      <c r="X112" s="27" t="n">
        <f aca="false">MIN(B111*(1+B$8),MAX(N112,$B$11-SUM(O112:W112)))</f>
        <v>0</v>
      </c>
      <c r="Y112" s="27" t="n">
        <f aca="false">MIN(C111*(1+C$8),MAX(O112,$B$11-SUM(X112:X112)-SUM(P112:W112)))</f>
        <v>0</v>
      </c>
      <c r="Z112" s="27" t="n">
        <f aca="false">MIN(D111*(1+D$8),MAX(P112,$B$11-SUM(X112:Y112)-SUM(Q112:W112)))</f>
        <v>0</v>
      </c>
      <c r="AA112" s="27" t="n">
        <f aca="false">MIN(E111*(1+E$8),MAX(Q112,$B$11-SUM(X112:Z112)-SUM(R112:W112)))</f>
        <v>0</v>
      </c>
      <c r="AB112" s="27" t="n">
        <f aca="false">MIN(F111*(1+F$8),MAX(R112,$B$11-SUM(X112:AA112)-SUM(S112:W112)))</f>
        <v>0</v>
      </c>
      <c r="AC112" s="27" t="n">
        <f aca="false">MIN(G111*(1+G$8),MAX(S112,$B$11-SUM(X112:AB112)-SUM(T112:W112)))</f>
        <v>0</v>
      </c>
      <c r="AD112" s="27" t="n">
        <f aca="false">MIN(H111*(1+H$8),MAX(T112,$B$11-SUM(X112:AC112)-SUM(U112:W112)))</f>
        <v>0</v>
      </c>
      <c r="AE112" s="27" t="n">
        <f aca="false">MIN(I111*(1+I$8),MAX(U112,$B$11-SUM(X112:AD112)-SUM(V112:W112)))</f>
        <v>0</v>
      </c>
      <c r="AF112" s="27" t="n">
        <f aca="false">MIN(J111*(1+J$8),MAX(V112,$B$11-SUM(X112:AE112)-SUM(W112:W112)))</f>
        <v>0</v>
      </c>
      <c r="AG112" s="27" t="n">
        <f aca="false">MIN(K111*(1+K$8),MAX(W112,$B$11-SUM(X112:AF112)))</f>
        <v>0</v>
      </c>
      <c r="AI112" s="27" t="n">
        <f aca="false">ROUND(MAX(0,AI111*(1+B$8)-BE112),2)</f>
        <v>0</v>
      </c>
      <c r="AJ112" s="27" t="n">
        <f aca="false">ROUND(MAX(0,AJ111*(1+C$8)-BF112),2)</f>
        <v>0</v>
      </c>
      <c r="AK112" s="27" t="n">
        <f aca="false">ROUND(MAX(0,AK111*(1+D$8)-BG112),2)</f>
        <v>0</v>
      </c>
      <c r="AL112" s="27" t="n">
        <f aca="false">ROUND(MAX(0,AL111*(1+E$8)-BH112),2)</f>
        <v>0</v>
      </c>
      <c r="AM112" s="27" t="n">
        <f aca="false">ROUND(MAX(0,AM111*(1+F$8)-BI112),2)</f>
        <v>0</v>
      </c>
      <c r="AN112" s="27" t="n">
        <f aca="false">ROUND(MAX(0,AN111*(1+G$8)-BJ112),2)</f>
        <v>0</v>
      </c>
      <c r="AO112" s="27" t="n">
        <f aca="false">ROUND(MAX(0,AO111*(1+H$8)-BK112),2)</f>
        <v>0</v>
      </c>
      <c r="AP112" s="27" t="n">
        <f aca="false">ROUND(MAX(0,AP111*(1+I$8)-BL112),2)</f>
        <v>0</v>
      </c>
      <c r="AQ112" s="27" t="n">
        <f aca="false">ROUND(MAX(0,AQ111*(1+J$8)-BM112),2)</f>
        <v>0</v>
      </c>
      <c r="AR112" s="27" t="n">
        <f aca="false">ROUND(MAX(0,AR111*(1+K$8)-BN112),2)</f>
        <v>0</v>
      </c>
      <c r="AS112" s="27" t="n">
        <f aca="false">SUM(AI112:AR112)</f>
        <v>0</v>
      </c>
      <c r="AT112" s="27" t="n">
        <f aca="false">SUMPRODUCT(AI111:AR111,$B$8:$K$8)</f>
        <v>0</v>
      </c>
      <c r="AU112" s="27" t="n">
        <f aca="false">MIN(AI111*(1+B$8),B$9)</f>
        <v>0</v>
      </c>
      <c r="AV112" s="27" t="n">
        <f aca="false">MIN(AJ111*(1+C$8),C$9)</f>
        <v>0</v>
      </c>
      <c r="AW112" s="27" t="n">
        <f aca="false">MIN(AK111*(1+D$8),D$9)</f>
        <v>0</v>
      </c>
      <c r="AX112" s="27" t="n">
        <f aca="false">MIN(AL111*(1+E$8),E$9)</f>
        <v>0</v>
      </c>
      <c r="AY112" s="27" t="n">
        <f aca="false">MIN(AM111*(1+F$8),F$9)</f>
        <v>0</v>
      </c>
      <c r="AZ112" s="27" t="n">
        <f aca="false">MIN(AN111*(1+G$8),G$9)</f>
        <v>0</v>
      </c>
      <c r="BA112" s="27" t="n">
        <f aca="false">MIN(AO111*(1+H$8),H$9)</f>
        <v>0</v>
      </c>
      <c r="BB112" s="27" t="n">
        <f aca="false">MIN(AP111*(1+I$8),I$9)</f>
        <v>0</v>
      </c>
      <c r="BC112" s="27" t="n">
        <f aca="false">MIN(AQ111*(1+J$8),J$9)</f>
        <v>0</v>
      </c>
      <c r="BD112" s="27" t="n">
        <f aca="false">MIN(AR111*(1+K$8),K$9)</f>
        <v>0</v>
      </c>
      <c r="BE112" s="27" t="n">
        <f aca="false">MIN(AI111*(1+B$8),MAX(AU112,$B$12-SUM(AV112:BD112)))</f>
        <v>0</v>
      </c>
      <c r="BF112" s="27" t="n">
        <f aca="false">MIN(AJ111*(1+C$8),MAX(AV112,$B$12-SUM(BE112:BE112)-SUM(AW112:BD112)))</f>
        <v>0</v>
      </c>
      <c r="BG112" s="27" t="n">
        <f aca="false">MIN(AK111*(1+D$8),MAX(AW112,$B$12-SUM(BE112:BF112)-SUM(AX112:BD112)))</f>
        <v>0</v>
      </c>
      <c r="BH112" s="27" t="n">
        <f aca="false">MIN(AL111*(1+E$8),MAX(AX112,$B$12-SUM(BE112:BG112)-SUM(AY112:BD112)))</f>
        <v>0</v>
      </c>
      <c r="BI112" s="27" t="n">
        <f aca="false">MIN(AM111*(1+F$8),MAX(AY112,$B$12-SUM(BE112:BH112)-SUM(AZ112:BD112)))</f>
        <v>0</v>
      </c>
      <c r="BJ112" s="27" t="n">
        <f aca="false">MIN(AN111*(1+G$8),MAX(AZ112,$B$12-SUM(BE112:BI112)-SUM(BA112:BD112)))</f>
        <v>0</v>
      </c>
      <c r="BK112" s="27" t="n">
        <f aca="false">MIN(AO111*(1+H$8),MAX(BA112,$B$12-SUM(BE112:BJ112)-SUM(BB112:BD112)))</f>
        <v>0</v>
      </c>
      <c r="BL112" s="27" t="n">
        <f aca="false">MIN(AP111*(1+I$8),MAX(BB112,$B$12-SUM(BE112:BK112)-SUM(BC112:BD112)))</f>
        <v>0</v>
      </c>
      <c r="BM112" s="27" t="n">
        <f aca="false">MIN(AQ111*(1+J$8),MAX(BC112,$B$12-SUM(BE112:BL112)-SUM(BD112:BD112)))</f>
        <v>0</v>
      </c>
      <c r="BN112" s="27" t="n">
        <f aca="false">MIN(AR111*(1+K$8),MAX(BD112,$B$12-SUM(BE112:BM112)))</f>
        <v>0</v>
      </c>
    </row>
    <row r="113" customFormat="false" ht="15" hidden="false" customHeight="false" outlineLevel="0" collapsed="false">
      <c r="A113" s="0" t="n">
        <v>99</v>
      </c>
      <c r="B113" s="27" t="n">
        <f aca="false">ROUND(MAX(0,B112*(1+B$8)-X113),2)</f>
        <v>0</v>
      </c>
      <c r="C113" s="27" t="n">
        <f aca="false">ROUND(MAX(0,C112*(1+C$8)-Y113),2)</f>
        <v>0</v>
      </c>
      <c r="D113" s="27" t="n">
        <f aca="false">ROUND(MAX(0,D112*(1+D$8)-Z113),2)</f>
        <v>0</v>
      </c>
      <c r="E113" s="27" t="n">
        <f aca="false">ROUND(MAX(0,E112*(1+E$8)-AA113),2)</f>
        <v>0</v>
      </c>
      <c r="F113" s="27" t="n">
        <f aca="false">ROUND(MAX(0,F112*(1+F$8)-AB113),2)</f>
        <v>0</v>
      </c>
      <c r="G113" s="27" t="n">
        <f aca="false">ROUND(MAX(0,G112*(1+G$8)-AC113),2)</f>
        <v>0</v>
      </c>
      <c r="H113" s="27" t="n">
        <f aca="false">ROUND(MAX(0,H112*(1+H$8)-AD113),2)</f>
        <v>0</v>
      </c>
      <c r="I113" s="27" t="n">
        <f aca="false">ROUND(MAX(0,I112*(1+I$8)-AE113),2)</f>
        <v>0</v>
      </c>
      <c r="J113" s="27" t="n">
        <f aca="false">ROUND(MAX(0,J112*(1+J$8)-AF113),2)</f>
        <v>0</v>
      </c>
      <c r="K113" s="27" t="n">
        <f aca="false">ROUND(MAX(0,K112*(1+K$8)-AG113),2)</f>
        <v>0</v>
      </c>
      <c r="L113" s="30" t="n">
        <f aca="false">SUM(B113:K113)</f>
        <v>0</v>
      </c>
      <c r="M113" s="27" t="n">
        <f aca="false">SUMPRODUCT(B112:K112,$B$8:$K$8)</f>
        <v>0</v>
      </c>
      <c r="N113" s="27" t="n">
        <f aca="false">MIN(B112*(1+B$8),B$9)</f>
        <v>0</v>
      </c>
      <c r="O113" s="27" t="n">
        <f aca="false">MIN(C112*(1+C$8),C$9)</f>
        <v>0</v>
      </c>
      <c r="P113" s="27" t="n">
        <f aca="false">MIN(D112*(1+D$8),D$9)</f>
        <v>0</v>
      </c>
      <c r="Q113" s="27" t="n">
        <f aca="false">MIN(E112*(1+E$8),E$9)</f>
        <v>0</v>
      </c>
      <c r="R113" s="27" t="n">
        <f aca="false">MIN(F112*(1+F$8),F$9)</f>
        <v>0</v>
      </c>
      <c r="S113" s="27" t="n">
        <f aca="false">MIN(G112*(1+G$8),G$9)</f>
        <v>0</v>
      </c>
      <c r="T113" s="27" t="n">
        <f aca="false">MIN(H112*(1+H$8),H$9)</f>
        <v>0</v>
      </c>
      <c r="U113" s="27" t="n">
        <f aca="false">MIN(I112*(1+I$8),I$9)</f>
        <v>0</v>
      </c>
      <c r="V113" s="27" t="n">
        <f aca="false">MIN(J112*(1+J$8),J$9)</f>
        <v>0</v>
      </c>
      <c r="W113" s="27" t="n">
        <f aca="false">MIN(K112*(1+K$8),K$9)</f>
        <v>0</v>
      </c>
      <c r="X113" s="27" t="n">
        <f aca="false">MIN(B112*(1+B$8),MAX(N113,$B$11-SUM(O113:W113)))</f>
        <v>0</v>
      </c>
      <c r="Y113" s="27" t="n">
        <f aca="false">MIN(C112*(1+C$8),MAX(O113,$B$11-SUM(X113:X113)-SUM(P113:W113)))</f>
        <v>0</v>
      </c>
      <c r="Z113" s="27" t="n">
        <f aca="false">MIN(D112*(1+D$8),MAX(P113,$B$11-SUM(X113:Y113)-SUM(Q113:W113)))</f>
        <v>0</v>
      </c>
      <c r="AA113" s="27" t="n">
        <f aca="false">MIN(E112*(1+E$8),MAX(Q113,$B$11-SUM(X113:Z113)-SUM(R113:W113)))</f>
        <v>0</v>
      </c>
      <c r="AB113" s="27" t="n">
        <f aca="false">MIN(F112*(1+F$8),MAX(R113,$B$11-SUM(X113:AA113)-SUM(S113:W113)))</f>
        <v>0</v>
      </c>
      <c r="AC113" s="27" t="n">
        <f aca="false">MIN(G112*(1+G$8),MAX(S113,$B$11-SUM(X113:AB113)-SUM(T113:W113)))</f>
        <v>0</v>
      </c>
      <c r="AD113" s="27" t="n">
        <f aca="false">MIN(H112*(1+H$8),MAX(T113,$B$11-SUM(X113:AC113)-SUM(U113:W113)))</f>
        <v>0</v>
      </c>
      <c r="AE113" s="27" t="n">
        <f aca="false">MIN(I112*(1+I$8),MAX(U113,$B$11-SUM(X113:AD113)-SUM(V113:W113)))</f>
        <v>0</v>
      </c>
      <c r="AF113" s="27" t="n">
        <f aca="false">MIN(J112*(1+J$8),MAX(V113,$B$11-SUM(X113:AE113)-SUM(W113:W113)))</f>
        <v>0</v>
      </c>
      <c r="AG113" s="27" t="n">
        <f aca="false">MIN(K112*(1+K$8),MAX(W113,$B$11-SUM(X113:AF113)))</f>
        <v>0</v>
      </c>
      <c r="AI113" s="27" t="n">
        <f aca="false">ROUND(MAX(0,AI112*(1+B$8)-BE113),2)</f>
        <v>0</v>
      </c>
      <c r="AJ113" s="27" t="n">
        <f aca="false">ROUND(MAX(0,AJ112*(1+C$8)-BF113),2)</f>
        <v>0</v>
      </c>
      <c r="AK113" s="27" t="n">
        <f aca="false">ROUND(MAX(0,AK112*(1+D$8)-BG113),2)</f>
        <v>0</v>
      </c>
      <c r="AL113" s="27" t="n">
        <f aca="false">ROUND(MAX(0,AL112*(1+E$8)-BH113),2)</f>
        <v>0</v>
      </c>
      <c r="AM113" s="27" t="n">
        <f aca="false">ROUND(MAX(0,AM112*(1+F$8)-BI113),2)</f>
        <v>0</v>
      </c>
      <c r="AN113" s="27" t="n">
        <f aca="false">ROUND(MAX(0,AN112*(1+G$8)-BJ113),2)</f>
        <v>0</v>
      </c>
      <c r="AO113" s="27" t="n">
        <f aca="false">ROUND(MAX(0,AO112*(1+H$8)-BK113),2)</f>
        <v>0</v>
      </c>
      <c r="AP113" s="27" t="n">
        <f aca="false">ROUND(MAX(0,AP112*(1+I$8)-BL113),2)</f>
        <v>0</v>
      </c>
      <c r="AQ113" s="27" t="n">
        <f aca="false">ROUND(MAX(0,AQ112*(1+J$8)-BM113),2)</f>
        <v>0</v>
      </c>
      <c r="AR113" s="27" t="n">
        <f aca="false">ROUND(MAX(0,AR112*(1+K$8)-BN113),2)</f>
        <v>0</v>
      </c>
      <c r="AS113" s="27" t="n">
        <f aca="false">SUM(AI113:AR113)</f>
        <v>0</v>
      </c>
      <c r="AT113" s="27" t="n">
        <f aca="false">SUMPRODUCT(AI112:AR112,$B$8:$K$8)</f>
        <v>0</v>
      </c>
      <c r="AU113" s="27" t="n">
        <f aca="false">MIN(AI112*(1+B$8),B$9)</f>
        <v>0</v>
      </c>
      <c r="AV113" s="27" t="n">
        <f aca="false">MIN(AJ112*(1+C$8),C$9)</f>
        <v>0</v>
      </c>
      <c r="AW113" s="27" t="n">
        <f aca="false">MIN(AK112*(1+D$8),D$9)</f>
        <v>0</v>
      </c>
      <c r="AX113" s="27" t="n">
        <f aca="false">MIN(AL112*(1+E$8),E$9)</f>
        <v>0</v>
      </c>
      <c r="AY113" s="27" t="n">
        <f aca="false">MIN(AM112*(1+F$8),F$9)</f>
        <v>0</v>
      </c>
      <c r="AZ113" s="27" t="n">
        <f aca="false">MIN(AN112*(1+G$8),G$9)</f>
        <v>0</v>
      </c>
      <c r="BA113" s="27" t="n">
        <f aca="false">MIN(AO112*(1+H$8),H$9)</f>
        <v>0</v>
      </c>
      <c r="BB113" s="27" t="n">
        <f aca="false">MIN(AP112*(1+I$8),I$9)</f>
        <v>0</v>
      </c>
      <c r="BC113" s="27" t="n">
        <f aca="false">MIN(AQ112*(1+J$8),J$9)</f>
        <v>0</v>
      </c>
      <c r="BD113" s="27" t="n">
        <f aca="false">MIN(AR112*(1+K$8),K$9)</f>
        <v>0</v>
      </c>
      <c r="BE113" s="27" t="n">
        <f aca="false">MIN(AI112*(1+B$8),MAX(AU113,$B$12-SUM(AV113:BD113)))</f>
        <v>0</v>
      </c>
      <c r="BF113" s="27" t="n">
        <f aca="false">MIN(AJ112*(1+C$8),MAX(AV113,$B$12-SUM(BE113:BE113)-SUM(AW113:BD113)))</f>
        <v>0</v>
      </c>
      <c r="BG113" s="27" t="n">
        <f aca="false">MIN(AK112*(1+D$8),MAX(AW113,$B$12-SUM(BE113:BF113)-SUM(AX113:BD113)))</f>
        <v>0</v>
      </c>
      <c r="BH113" s="27" t="n">
        <f aca="false">MIN(AL112*(1+E$8),MAX(AX113,$B$12-SUM(BE113:BG113)-SUM(AY113:BD113)))</f>
        <v>0</v>
      </c>
      <c r="BI113" s="27" t="n">
        <f aca="false">MIN(AM112*(1+F$8),MAX(AY113,$B$12-SUM(BE113:BH113)-SUM(AZ113:BD113)))</f>
        <v>0</v>
      </c>
      <c r="BJ113" s="27" t="n">
        <f aca="false">MIN(AN112*(1+G$8),MAX(AZ113,$B$12-SUM(BE113:BI113)-SUM(BA113:BD113)))</f>
        <v>0</v>
      </c>
      <c r="BK113" s="27" t="n">
        <f aca="false">MIN(AO112*(1+H$8),MAX(BA113,$B$12-SUM(BE113:BJ113)-SUM(BB113:BD113)))</f>
        <v>0</v>
      </c>
      <c r="BL113" s="27" t="n">
        <f aca="false">MIN(AP112*(1+I$8),MAX(BB113,$B$12-SUM(BE113:BK113)-SUM(BC113:BD113)))</f>
        <v>0</v>
      </c>
      <c r="BM113" s="27" t="n">
        <f aca="false">MIN(AQ112*(1+J$8),MAX(BC113,$B$12-SUM(BE113:BL113)-SUM(BD113:BD113)))</f>
        <v>0</v>
      </c>
      <c r="BN113" s="27" t="n">
        <f aca="false">MIN(AR112*(1+K$8),MAX(BD113,$B$12-SUM(BE113:BM113)))</f>
        <v>0</v>
      </c>
    </row>
    <row r="114" customFormat="false" ht="15" hidden="false" customHeight="false" outlineLevel="0" collapsed="false">
      <c r="A114" s="0" t="n">
        <v>100</v>
      </c>
      <c r="B114" s="27" t="n">
        <f aca="false">ROUND(MAX(0,B113*(1+B$8)-X114),2)</f>
        <v>0</v>
      </c>
      <c r="C114" s="27" t="n">
        <f aca="false">ROUND(MAX(0,C113*(1+C$8)-Y114),2)</f>
        <v>0</v>
      </c>
      <c r="D114" s="27" t="n">
        <f aca="false">ROUND(MAX(0,D113*(1+D$8)-Z114),2)</f>
        <v>0</v>
      </c>
      <c r="E114" s="27" t="n">
        <f aca="false">ROUND(MAX(0,E113*(1+E$8)-AA114),2)</f>
        <v>0</v>
      </c>
      <c r="F114" s="27" t="n">
        <f aca="false">ROUND(MAX(0,F113*(1+F$8)-AB114),2)</f>
        <v>0</v>
      </c>
      <c r="G114" s="27" t="n">
        <f aca="false">ROUND(MAX(0,G113*(1+G$8)-AC114),2)</f>
        <v>0</v>
      </c>
      <c r="H114" s="27" t="n">
        <f aca="false">ROUND(MAX(0,H113*(1+H$8)-AD114),2)</f>
        <v>0</v>
      </c>
      <c r="I114" s="27" t="n">
        <f aca="false">ROUND(MAX(0,I113*(1+I$8)-AE114),2)</f>
        <v>0</v>
      </c>
      <c r="J114" s="27" t="n">
        <f aca="false">ROUND(MAX(0,J113*(1+J$8)-AF114),2)</f>
        <v>0</v>
      </c>
      <c r="K114" s="27" t="n">
        <f aca="false">ROUND(MAX(0,K113*(1+K$8)-AG114),2)</f>
        <v>0</v>
      </c>
      <c r="L114" s="30" t="n">
        <f aca="false">SUM(B114:K114)</f>
        <v>0</v>
      </c>
      <c r="M114" s="27" t="n">
        <f aca="false">SUMPRODUCT(B113:K113,$B$8:$K$8)</f>
        <v>0</v>
      </c>
      <c r="N114" s="27" t="n">
        <f aca="false">MIN(B113*(1+B$8),B$9)</f>
        <v>0</v>
      </c>
      <c r="O114" s="27" t="n">
        <f aca="false">MIN(C113*(1+C$8),C$9)</f>
        <v>0</v>
      </c>
      <c r="P114" s="27" t="n">
        <f aca="false">MIN(D113*(1+D$8),D$9)</f>
        <v>0</v>
      </c>
      <c r="Q114" s="27" t="n">
        <f aca="false">MIN(E113*(1+E$8),E$9)</f>
        <v>0</v>
      </c>
      <c r="R114" s="27" t="n">
        <f aca="false">MIN(F113*(1+F$8),F$9)</f>
        <v>0</v>
      </c>
      <c r="S114" s="27" t="n">
        <f aca="false">MIN(G113*(1+G$8),G$9)</f>
        <v>0</v>
      </c>
      <c r="T114" s="27" t="n">
        <f aca="false">MIN(H113*(1+H$8),H$9)</f>
        <v>0</v>
      </c>
      <c r="U114" s="27" t="n">
        <f aca="false">MIN(I113*(1+I$8),I$9)</f>
        <v>0</v>
      </c>
      <c r="V114" s="27" t="n">
        <f aca="false">MIN(J113*(1+J$8),J$9)</f>
        <v>0</v>
      </c>
      <c r="W114" s="27" t="n">
        <f aca="false">MIN(K113*(1+K$8),K$9)</f>
        <v>0</v>
      </c>
      <c r="X114" s="27" t="n">
        <f aca="false">MIN(B113*(1+B$8),MAX(N114,$B$11-SUM(O114:W114)))</f>
        <v>0</v>
      </c>
      <c r="Y114" s="27" t="n">
        <f aca="false">MIN(C113*(1+C$8),MAX(O114,$B$11-SUM(X114:X114)-SUM(P114:W114)))</f>
        <v>0</v>
      </c>
      <c r="Z114" s="27" t="n">
        <f aca="false">MIN(D113*(1+D$8),MAX(P114,$B$11-SUM(X114:Y114)-SUM(Q114:W114)))</f>
        <v>0</v>
      </c>
      <c r="AA114" s="27" t="n">
        <f aca="false">MIN(E113*(1+E$8),MAX(Q114,$B$11-SUM(X114:Z114)-SUM(R114:W114)))</f>
        <v>0</v>
      </c>
      <c r="AB114" s="27" t="n">
        <f aca="false">MIN(F113*(1+F$8),MAX(R114,$B$11-SUM(X114:AA114)-SUM(S114:W114)))</f>
        <v>0</v>
      </c>
      <c r="AC114" s="27" t="n">
        <f aca="false">MIN(G113*(1+G$8),MAX(S114,$B$11-SUM(X114:AB114)-SUM(T114:W114)))</f>
        <v>0</v>
      </c>
      <c r="AD114" s="27" t="n">
        <f aca="false">MIN(H113*(1+H$8),MAX(T114,$B$11-SUM(X114:AC114)-SUM(U114:W114)))</f>
        <v>0</v>
      </c>
      <c r="AE114" s="27" t="n">
        <f aca="false">MIN(I113*(1+I$8),MAX(U114,$B$11-SUM(X114:AD114)-SUM(V114:W114)))</f>
        <v>0</v>
      </c>
      <c r="AF114" s="27" t="n">
        <f aca="false">MIN(J113*(1+J$8),MAX(V114,$B$11-SUM(X114:AE114)-SUM(W114:W114)))</f>
        <v>0</v>
      </c>
      <c r="AG114" s="27" t="n">
        <f aca="false">MIN(K113*(1+K$8),MAX(W114,$B$11-SUM(X114:AF114)))</f>
        <v>0</v>
      </c>
      <c r="AI114" s="27" t="n">
        <f aca="false">ROUND(MAX(0,AI113*(1+B$8)-BE114),2)</f>
        <v>0</v>
      </c>
      <c r="AJ114" s="27" t="n">
        <f aca="false">ROUND(MAX(0,AJ113*(1+C$8)-BF114),2)</f>
        <v>0</v>
      </c>
      <c r="AK114" s="27" t="n">
        <f aca="false">ROUND(MAX(0,AK113*(1+D$8)-BG114),2)</f>
        <v>0</v>
      </c>
      <c r="AL114" s="27" t="n">
        <f aca="false">ROUND(MAX(0,AL113*(1+E$8)-BH114),2)</f>
        <v>0</v>
      </c>
      <c r="AM114" s="27" t="n">
        <f aca="false">ROUND(MAX(0,AM113*(1+F$8)-BI114),2)</f>
        <v>0</v>
      </c>
      <c r="AN114" s="27" t="n">
        <f aca="false">ROUND(MAX(0,AN113*(1+G$8)-BJ114),2)</f>
        <v>0</v>
      </c>
      <c r="AO114" s="27" t="n">
        <f aca="false">ROUND(MAX(0,AO113*(1+H$8)-BK114),2)</f>
        <v>0</v>
      </c>
      <c r="AP114" s="27" t="n">
        <f aca="false">ROUND(MAX(0,AP113*(1+I$8)-BL114),2)</f>
        <v>0</v>
      </c>
      <c r="AQ114" s="27" t="n">
        <f aca="false">ROUND(MAX(0,AQ113*(1+J$8)-BM114),2)</f>
        <v>0</v>
      </c>
      <c r="AR114" s="27" t="n">
        <f aca="false">ROUND(MAX(0,AR113*(1+K$8)-BN114),2)</f>
        <v>0</v>
      </c>
      <c r="AS114" s="27" t="n">
        <f aca="false">SUM(AI114:AR114)</f>
        <v>0</v>
      </c>
      <c r="AT114" s="27" t="n">
        <f aca="false">SUMPRODUCT(AI113:AR113,$B$8:$K$8)</f>
        <v>0</v>
      </c>
      <c r="AU114" s="27" t="n">
        <f aca="false">MIN(AI113*(1+B$8),B$9)</f>
        <v>0</v>
      </c>
      <c r="AV114" s="27" t="n">
        <f aca="false">MIN(AJ113*(1+C$8),C$9)</f>
        <v>0</v>
      </c>
      <c r="AW114" s="27" t="n">
        <f aca="false">MIN(AK113*(1+D$8),D$9)</f>
        <v>0</v>
      </c>
      <c r="AX114" s="27" t="n">
        <f aca="false">MIN(AL113*(1+E$8),E$9)</f>
        <v>0</v>
      </c>
      <c r="AY114" s="27" t="n">
        <f aca="false">MIN(AM113*(1+F$8),F$9)</f>
        <v>0</v>
      </c>
      <c r="AZ114" s="27" t="n">
        <f aca="false">MIN(AN113*(1+G$8),G$9)</f>
        <v>0</v>
      </c>
      <c r="BA114" s="27" t="n">
        <f aca="false">MIN(AO113*(1+H$8),H$9)</f>
        <v>0</v>
      </c>
      <c r="BB114" s="27" t="n">
        <f aca="false">MIN(AP113*(1+I$8),I$9)</f>
        <v>0</v>
      </c>
      <c r="BC114" s="27" t="n">
        <f aca="false">MIN(AQ113*(1+J$8),J$9)</f>
        <v>0</v>
      </c>
      <c r="BD114" s="27" t="n">
        <f aca="false">MIN(AR113*(1+K$8),K$9)</f>
        <v>0</v>
      </c>
      <c r="BE114" s="27" t="n">
        <f aca="false">MIN(AI113*(1+B$8),MAX(AU114,$B$12-SUM(AV114:BD114)))</f>
        <v>0</v>
      </c>
      <c r="BF114" s="27" t="n">
        <f aca="false">MIN(AJ113*(1+C$8),MAX(AV114,$B$12-SUM(BE114:BE114)-SUM(AW114:BD114)))</f>
        <v>0</v>
      </c>
      <c r="BG114" s="27" t="n">
        <f aca="false">MIN(AK113*(1+D$8),MAX(AW114,$B$12-SUM(BE114:BF114)-SUM(AX114:BD114)))</f>
        <v>0</v>
      </c>
      <c r="BH114" s="27" t="n">
        <f aca="false">MIN(AL113*(1+E$8),MAX(AX114,$B$12-SUM(BE114:BG114)-SUM(AY114:BD114)))</f>
        <v>0</v>
      </c>
      <c r="BI114" s="27" t="n">
        <f aca="false">MIN(AM113*(1+F$8),MAX(AY114,$B$12-SUM(BE114:BH114)-SUM(AZ114:BD114)))</f>
        <v>0</v>
      </c>
      <c r="BJ114" s="27" t="n">
        <f aca="false">MIN(AN113*(1+G$8),MAX(AZ114,$B$12-SUM(BE114:BI114)-SUM(BA114:BD114)))</f>
        <v>0</v>
      </c>
      <c r="BK114" s="27" t="n">
        <f aca="false">MIN(AO113*(1+H$8),MAX(BA114,$B$12-SUM(BE114:BJ114)-SUM(BB114:BD114)))</f>
        <v>0</v>
      </c>
      <c r="BL114" s="27" t="n">
        <f aca="false">MIN(AP113*(1+I$8),MAX(BB114,$B$12-SUM(BE114:BK114)-SUM(BC114:BD114)))</f>
        <v>0</v>
      </c>
      <c r="BM114" s="27" t="n">
        <f aca="false">MIN(AQ113*(1+J$8),MAX(BC114,$B$12-SUM(BE114:BL114)-SUM(BD114:BD114)))</f>
        <v>0</v>
      </c>
      <c r="BN114" s="27" t="n">
        <f aca="false">MIN(AR113*(1+K$8),MAX(BD114,$B$12-SUM(BE114:BM114)))</f>
        <v>0</v>
      </c>
    </row>
    <row r="115" customFormat="false" ht="15" hidden="false" customHeight="false" outlineLevel="0" collapsed="false">
      <c r="A115" s="0" t="n">
        <v>101</v>
      </c>
      <c r="B115" s="27" t="n">
        <f aca="false">ROUND(MAX(0,B114*(1+B$8)-X115),2)</f>
        <v>0</v>
      </c>
      <c r="C115" s="27" t="n">
        <f aca="false">ROUND(MAX(0,C114*(1+C$8)-Y115),2)</f>
        <v>0</v>
      </c>
      <c r="D115" s="27" t="n">
        <f aca="false">ROUND(MAX(0,D114*(1+D$8)-Z115),2)</f>
        <v>0</v>
      </c>
      <c r="E115" s="27" t="n">
        <f aca="false">ROUND(MAX(0,E114*(1+E$8)-AA115),2)</f>
        <v>0</v>
      </c>
      <c r="F115" s="27" t="n">
        <f aca="false">ROUND(MAX(0,F114*(1+F$8)-AB115),2)</f>
        <v>0</v>
      </c>
      <c r="G115" s="27" t="n">
        <f aca="false">ROUND(MAX(0,G114*(1+G$8)-AC115),2)</f>
        <v>0</v>
      </c>
      <c r="H115" s="27" t="n">
        <f aca="false">ROUND(MAX(0,H114*(1+H$8)-AD115),2)</f>
        <v>0</v>
      </c>
      <c r="I115" s="27" t="n">
        <f aca="false">ROUND(MAX(0,I114*(1+I$8)-AE115),2)</f>
        <v>0</v>
      </c>
      <c r="J115" s="27" t="n">
        <f aca="false">ROUND(MAX(0,J114*(1+J$8)-AF115),2)</f>
        <v>0</v>
      </c>
      <c r="K115" s="27" t="n">
        <f aca="false">ROUND(MAX(0,K114*(1+K$8)-AG115),2)</f>
        <v>0</v>
      </c>
      <c r="L115" s="30" t="n">
        <f aca="false">SUM(B115:K115)</f>
        <v>0</v>
      </c>
      <c r="M115" s="27" t="n">
        <f aca="false">SUMPRODUCT(B114:K114,$B$8:$K$8)</f>
        <v>0</v>
      </c>
      <c r="N115" s="27" t="n">
        <f aca="false">MIN(B114*(1+B$8),B$9)</f>
        <v>0</v>
      </c>
      <c r="O115" s="27" t="n">
        <f aca="false">MIN(C114*(1+C$8),C$9)</f>
        <v>0</v>
      </c>
      <c r="P115" s="27" t="n">
        <f aca="false">MIN(D114*(1+D$8),D$9)</f>
        <v>0</v>
      </c>
      <c r="Q115" s="27" t="n">
        <f aca="false">MIN(E114*(1+E$8),E$9)</f>
        <v>0</v>
      </c>
      <c r="R115" s="27" t="n">
        <f aca="false">MIN(F114*(1+F$8),F$9)</f>
        <v>0</v>
      </c>
      <c r="S115" s="27" t="n">
        <f aca="false">MIN(G114*(1+G$8),G$9)</f>
        <v>0</v>
      </c>
      <c r="T115" s="27" t="n">
        <f aca="false">MIN(H114*(1+H$8),H$9)</f>
        <v>0</v>
      </c>
      <c r="U115" s="27" t="n">
        <f aca="false">MIN(I114*(1+I$8),I$9)</f>
        <v>0</v>
      </c>
      <c r="V115" s="27" t="n">
        <f aca="false">MIN(J114*(1+J$8),J$9)</f>
        <v>0</v>
      </c>
      <c r="W115" s="27" t="n">
        <f aca="false">MIN(K114*(1+K$8),K$9)</f>
        <v>0</v>
      </c>
      <c r="X115" s="27" t="n">
        <f aca="false">MIN(B114*(1+B$8),MAX(N115,$B$11-SUM(O115:W115)))</f>
        <v>0</v>
      </c>
      <c r="Y115" s="27" t="n">
        <f aca="false">MIN(C114*(1+C$8),MAX(O115,$B$11-SUM(X115:X115)-SUM(P115:W115)))</f>
        <v>0</v>
      </c>
      <c r="Z115" s="27" t="n">
        <f aca="false">MIN(D114*(1+D$8),MAX(P115,$B$11-SUM(X115:Y115)-SUM(Q115:W115)))</f>
        <v>0</v>
      </c>
      <c r="AA115" s="27" t="n">
        <f aca="false">MIN(E114*(1+E$8),MAX(Q115,$B$11-SUM(X115:Z115)-SUM(R115:W115)))</f>
        <v>0</v>
      </c>
      <c r="AB115" s="27" t="n">
        <f aca="false">MIN(F114*(1+F$8),MAX(R115,$B$11-SUM(X115:AA115)-SUM(S115:W115)))</f>
        <v>0</v>
      </c>
      <c r="AC115" s="27" t="n">
        <f aca="false">MIN(G114*(1+G$8),MAX(S115,$B$11-SUM(X115:AB115)-SUM(T115:W115)))</f>
        <v>0</v>
      </c>
      <c r="AD115" s="27" t="n">
        <f aca="false">MIN(H114*(1+H$8),MAX(T115,$B$11-SUM(X115:AC115)-SUM(U115:W115)))</f>
        <v>0</v>
      </c>
      <c r="AE115" s="27" t="n">
        <f aca="false">MIN(I114*(1+I$8),MAX(U115,$B$11-SUM(X115:AD115)-SUM(V115:W115)))</f>
        <v>0</v>
      </c>
      <c r="AF115" s="27" t="n">
        <f aca="false">MIN(J114*(1+J$8),MAX(V115,$B$11-SUM(X115:AE115)-SUM(W115:W115)))</f>
        <v>0</v>
      </c>
      <c r="AG115" s="27" t="n">
        <f aca="false">MIN(K114*(1+K$8),MAX(W115,$B$11-SUM(X115:AF115)))</f>
        <v>0</v>
      </c>
      <c r="AI115" s="27" t="n">
        <f aca="false">ROUND(MAX(0,AI114*(1+B$8)-BE115),2)</f>
        <v>0</v>
      </c>
      <c r="AJ115" s="27" t="n">
        <f aca="false">ROUND(MAX(0,AJ114*(1+C$8)-BF115),2)</f>
        <v>0</v>
      </c>
      <c r="AK115" s="27" t="n">
        <f aca="false">ROUND(MAX(0,AK114*(1+D$8)-BG115),2)</f>
        <v>0</v>
      </c>
      <c r="AL115" s="27" t="n">
        <f aca="false">ROUND(MAX(0,AL114*(1+E$8)-BH115),2)</f>
        <v>0</v>
      </c>
      <c r="AM115" s="27" t="n">
        <f aca="false">ROUND(MAX(0,AM114*(1+F$8)-BI115),2)</f>
        <v>0</v>
      </c>
      <c r="AN115" s="27" t="n">
        <f aca="false">ROUND(MAX(0,AN114*(1+G$8)-BJ115),2)</f>
        <v>0</v>
      </c>
      <c r="AO115" s="27" t="n">
        <f aca="false">ROUND(MAX(0,AO114*(1+H$8)-BK115),2)</f>
        <v>0</v>
      </c>
      <c r="AP115" s="27" t="n">
        <f aca="false">ROUND(MAX(0,AP114*(1+I$8)-BL115),2)</f>
        <v>0</v>
      </c>
      <c r="AQ115" s="27" t="n">
        <f aca="false">ROUND(MAX(0,AQ114*(1+J$8)-BM115),2)</f>
        <v>0</v>
      </c>
      <c r="AR115" s="27" t="n">
        <f aca="false">ROUND(MAX(0,AR114*(1+K$8)-BN115),2)</f>
        <v>0</v>
      </c>
      <c r="AS115" s="27" t="n">
        <f aca="false">SUM(AI115:AR115)</f>
        <v>0</v>
      </c>
      <c r="AT115" s="27" t="n">
        <f aca="false">SUMPRODUCT(AI114:AR114,$B$8:$K$8)</f>
        <v>0</v>
      </c>
      <c r="AU115" s="27" t="n">
        <f aca="false">MIN(AI114*(1+B$8),B$9)</f>
        <v>0</v>
      </c>
      <c r="AV115" s="27" t="n">
        <f aca="false">MIN(AJ114*(1+C$8),C$9)</f>
        <v>0</v>
      </c>
      <c r="AW115" s="27" t="n">
        <f aca="false">MIN(AK114*(1+D$8),D$9)</f>
        <v>0</v>
      </c>
      <c r="AX115" s="27" t="n">
        <f aca="false">MIN(AL114*(1+E$8),E$9)</f>
        <v>0</v>
      </c>
      <c r="AY115" s="27" t="n">
        <f aca="false">MIN(AM114*(1+F$8),F$9)</f>
        <v>0</v>
      </c>
      <c r="AZ115" s="27" t="n">
        <f aca="false">MIN(AN114*(1+G$8),G$9)</f>
        <v>0</v>
      </c>
      <c r="BA115" s="27" t="n">
        <f aca="false">MIN(AO114*(1+H$8),H$9)</f>
        <v>0</v>
      </c>
      <c r="BB115" s="27" t="n">
        <f aca="false">MIN(AP114*(1+I$8),I$9)</f>
        <v>0</v>
      </c>
      <c r="BC115" s="27" t="n">
        <f aca="false">MIN(AQ114*(1+J$8),J$9)</f>
        <v>0</v>
      </c>
      <c r="BD115" s="27" t="n">
        <f aca="false">MIN(AR114*(1+K$8),K$9)</f>
        <v>0</v>
      </c>
      <c r="BE115" s="27" t="n">
        <f aca="false">MIN(AI114*(1+B$8),MAX(AU115,$B$12-SUM(AV115:BD115)))</f>
        <v>0</v>
      </c>
      <c r="BF115" s="27" t="n">
        <f aca="false">MIN(AJ114*(1+C$8),MAX(AV115,$B$12-SUM(BE115:BE115)-SUM(AW115:BD115)))</f>
        <v>0</v>
      </c>
      <c r="BG115" s="27" t="n">
        <f aca="false">MIN(AK114*(1+D$8),MAX(AW115,$B$12-SUM(BE115:BF115)-SUM(AX115:BD115)))</f>
        <v>0</v>
      </c>
      <c r="BH115" s="27" t="n">
        <f aca="false">MIN(AL114*(1+E$8),MAX(AX115,$B$12-SUM(BE115:BG115)-SUM(AY115:BD115)))</f>
        <v>0</v>
      </c>
      <c r="BI115" s="27" t="n">
        <f aca="false">MIN(AM114*(1+F$8),MAX(AY115,$B$12-SUM(BE115:BH115)-SUM(AZ115:BD115)))</f>
        <v>0</v>
      </c>
      <c r="BJ115" s="27" t="n">
        <f aca="false">MIN(AN114*(1+G$8),MAX(AZ115,$B$12-SUM(BE115:BI115)-SUM(BA115:BD115)))</f>
        <v>0</v>
      </c>
      <c r="BK115" s="27" t="n">
        <f aca="false">MIN(AO114*(1+H$8),MAX(BA115,$B$12-SUM(BE115:BJ115)-SUM(BB115:BD115)))</f>
        <v>0</v>
      </c>
      <c r="BL115" s="27" t="n">
        <f aca="false">MIN(AP114*(1+I$8),MAX(BB115,$B$12-SUM(BE115:BK115)-SUM(BC115:BD115)))</f>
        <v>0</v>
      </c>
      <c r="BM115" s="27" t="n">
        <f aca="false">MIN(AQ114*(1+J$8),MAX(BC115,$B$12-SUM(BE115:BL115)-SUM(BD115:BD115)))</f>
        <v>0</v>
      </c>
      <c r="BN115" s="27" t="n">
        <f aca="false">MIN(AR114*(1+K$8),MAX(BD115,$B$12-SUM(BE115:BM115)))</f>
        <v>0</v>
      </c>
    </row>
    <row r="116" customFormat="false" ht="15" hidden="false" customHeight="false" outlineLevel="0" collapsed="false">
      <c r="A116" s="0" t="n">
        <v>102</v>
      </c>
      <c r="B116" s="27" t="n">
        <f aca="false">ROUND(MAX(0,B115*(1+B$8)-X116),2)</f>
        <v>0</v>
      </c>
      <c r="C116" s="27" t="n">
        <f aca="false">ROUND(MAX(0,C115*(1+C$8)-Y116),2)</f>
        <v>0</v>
      </c>
      <c r="D116" s="27" t="n">
        <f aca="false">ROUND(MAX(0,D115*(1+D$8)-Z116),2)</f>
        <v>0</v>
      </c>
      <c r="E116" s="27" t="n">
        <f aca="false">ROUND(MAX(0,E115*(1+E$8)-AA116),2)</f>
        <v>0</v>
      </c>
      <c r="F116" s="27" t="n">
        <f aca="false">ROUND(MAX(0,F115*(1+F$8)-AB116),2)</f>
        <v>0</v>
      </c>
      <c r="G116" s="27" t="n">
        <f aca="false">ROUND(MAX(0,G115*(1+G$8)-AC116),2)</f>
        <v>0</v>
      </c>
      <c r="H116" s="27" t="n">
        <f aca="false">ROUND(MAX(0,H115*(1+H$8)-AD116),2)</f>
        <v>0</v>
      </c>
      <c r="I116" s="27" t="n">
        <f aca="false">ROUND(MAX(0,I115*(1+I$8)-AE116),2)</f>
        <v>0</v>
      </c>
      <c r="J116" s="27" t="n">
        <f aca="false">ROUND(MAX(0,J115*(1+J$8)-AF116),2)</f>
        <v>0</v>
      </c>
      <c r="K116" s="27" t="n">
        <f aca="false">ROUND(MAX(0,K115*(1+K$8)-AG116),2)</f>
        <v>0</v>
      </c>
      <c r="L116" s="30" t="n">
        <f aca="false">SUM(B116:K116)</f>
        <v>0</v>
      </c>
      <c r="M116" s="27" t="n">
        <f aca="false">SUMPRODUCT(B115:K115,$B$8:$K$8)</f>
        <v>0</v>
      </c>
      <c r="N116" s="27" t="n">
        <f aca="false">MIN(B115*(1+B$8),B$9)</f>
        <v>0</v>
      </c>
      <c r="O116" s="27" t="n">
        <f aca="false">MIN(C115*(1+C$8),C$9)</f>
        <v>0</v>
      </c>
      <c r="P116" s="27" t="n">
        <f aca="false">MIN(D115*(1+D$8),D$9)</f>
        <v>0</v>
      </c>
      <c r="Q116" s="27" t="n">
        <f aca="false">MIN(E115*(1+E$8),E$9)</f>
        <v>0</v>
      </c>
      <c r="R116" s="27" t="n">
        <f aca="false">MIN(F115*(1+F$8),F$9)</f>
        <v>0</v>
      </c>
      <c r="S116" s="27" t="n">
        <f aca="false">MIN(G115*(1+G$8),G$9)</f>
        <v>0</v>
      </c>
      <c r="T116" s="27" t="n">
        <f aca="false">MIN(H115*(1+H$8),H$9)</f>
        <v>0</v>
      </c>
      <c r="U116" s="27" t="n">
        <f aca="false">MIN(I115*(1+I$8),I$9)</f>
        <v>0</v>
      </c>
      <c r="V116" s="27" t="n">
        <f aca="false">MIN(J115*(1+J$8),J$9)</f>
        <v>0</v>
      </c>
      <c r="W116" s="27" t="n">
        <f aca="false">MIN(K115*(1+K$8),K$9)</f>
        <v>0</v>
      </c>
      <c r="X116" s="27" t="n">
        <f aca="false">MIN(B115*(1+B$8),MAX(N116,$B$11-SUM(O116:W116)))</f>
        <v>0</v>
      </c>
      <c r="Y116" s="27" t="n">
        <f aca="false">MIN(C115*(1+C$8),MAX(O116,$B$11-SUM(X116:X116)-SUM(P116:W116)))</f>
        <v>0</v>
      </c>
      <c r="Z116" s="27" t="n">
        <f aca="false">MIN(D115*(1+D$8),MAX(P116,$B$11-SUM(X116:Y116)-SUM(Q116:W116)))</f>
        <v>0</v>
      </c>
      <c r="AA116" s="27" t="n">
        <f aca="false">MIN(E115*(1+E$8),MAX(Q116,$B$11-SUM(X116:Z116)-SUM(R116:W116)))</f>
        <v>0</v>
      </c>
      <c r="AB116" s="27" t="n">
        <f aca="false">MIN(F115*(1+F$8),MAX(R116,$B$11-SUM(X116:AA116)-SUM(S116:W116)))</f>
        <v>0</v>
      </c>
      <c r="AC116" s="27" t="n">
        <f aca="false">MIN(G115*(1+G$8),MAX(S116,$B$11-SUM(X116:AB116)-SUM(T116:W116)))</f>
        <v>0</v>
      </c>
      <c r="AD116" s="27" t="n">
        <f aca="false">MIN(H115*(1+H$8),MAX(T116,$B$11-SUM(X116:AC116)-SUM(U116:W116)))</f>
        <v>0</v>
      </c>
      <c r="AE116" s="27" t="n">
        <f aca="false">MIN(I115*(1+I$8),MAX(U116,$B$11-SUM(X116:AD116)-SUM(V116:W116)))</f>
        <v>0</v>
      </c>
      <c r="AF116" s="27" t="n">
        <f aca="false">MIN(J115*(1+J$8),MAX(V116,$B$11-SUM(X116:AE116)-SUM(W116:W116)))</f>
        <v>0</v>
      </c>
      <c r="AG116" s="27" t="n">
        <f aca="false">MIN(K115*(1+K$8),MAX(W116,$B$11-SUM(X116:AF116)))</f>
        <v>0</v>
      </c>
      <c r="AI116" s="27" t="n">
        <f aca="false">ROUND(MAX(0,AI115*(1+B$8)-BE116),2)</f>
        <v>0</v>
      </c>
      <c r="AJ116" s="27" t="n">
        <f aca="false">ROUND(MAX(0,AJ115*(1+C$8)-BF116),2)</f>
        <v>0</v>
      </c>
      <c r="AK116" s="27" t="n">
        <f aca="false">ROUND(MAX(0,AK115*(1+D$8)-BG116),2)</f>
        <v>0</v>
      </c>
      <c r="AL116" s="27" t="n">
        <f aca="false">ROUND(MAX(0,AL115*(1+E$8)-BH116),2)</f>
        <v>0</v>
      </c>
      <c r="AM116" s="27" t="n">
        <f aca="false">ROUND(MAX(0,AM115*(1+F$8)-BI116),2)</f>
        <v>0</v>
      </c>
      <c r="AN116" s="27" t="n">
        <f aca="false">ROUND(MAX(0,AN115*(1+G$8)-BJ116),2)</f>
        <v>0</v>
      </c>
      <c r="AO116" s="27" t="n">
        <f aca="false">ROUND(MAX(0,AO115*(1+H$8)-BK116),2)</f>
        <v>0</v>
      </c>
      <c r="AP116" s="27" t="n">
        <f aca="false">ROUND(MAX(0,AP115*(1+I$8)-BL116),2)</f>
        <v>0</v>
      </c>
      <c r="AQ116" s="27" t="n">
        <f aca="false">ROUND(MAX(0,AQ115*(1+J$8)-BM116),2)</f>
        <v>0</v>
      </c>
      <c r="AR116" s="27" t="n">
        <f aca="false">ROUND(MAX(0,AR115*(1+K$8)-BN116),2)</f>
        <v>0</v>
      </c>
      <c r="AS116" s="27" t="n">
        <f aca="false">SUM(AI116:AR116)</f>
        <v>0</v>
      </c>
      <c r="AT116" s="27" t="n">
        <f aca="false">SUMPRODUCT(AI115:AR115,$B$8:$K$8)</f>
        <v>0</v>
      </c>
      <c r="AU116" s="27" t="n">
        <f aca="false">MIN(AI115*(1+B$8),B$9)</f>
        <v>0</v>
      </c>
      <c r="AV116" s="27" t="n">
        <f aca="false">MIN(AJ115*(1+C$8),C$9)</f>
        <v>0</v>
      </c>
      <c r="AW116" s="27" t="n">
        <f aca="false">MIN(AK115*(1+D$8),D$9)</f>
        <v>0</v>
      </c>
      <c r="AX116" s="27" t="n">
        <f aca="false">MIN(AL115*(1+E$8),E$9)</f>
        <v>0</v>
      </c>
      <c r="AY116" s="27" t="n">
        <f aca="false">MIN(AM115*(1+F$8),F$9)</f>
        <v>0</v>
      </c>
      <c r="AZ116" s="27" t="n">
        <f aca="false">MIN(AN115*(1+G$8),G$9)</f>
        <v>0</v>
      </c>
      <c r="BA116" s="27" t="n">
        <f aca="false">MIN(AO115*(1+H$8),H$9)</f>
        <v>0</v>
      </c>
      <c r="BB116" s="27" t="n">
        <f aca="false">MIN(AP115*(1+I$8),I$9)</f>
        <v>0</v>
      </c>
      <c r="BC116" s="27" t="n">
        <f aca="false">MIN(AQ115*(1+J$8),J$9)</f>
        <v>0</v>
      </c>
      <c r="BD116" s="27" t="n">
        <f aca="false">MIN(AR115*(1+K$8),K$9)</f>
        <v>0</v>
      </c>
      <c r="BE116" s="27" t="n">
        <f aca="false">MIN(AI115*(1+B$8),MAX(AU116,$B$12-SUM(AV116:BD116)))</f>
        <v>0</v>
      </c>
      <c r="BF116" s="27" t="n">
        <f aca="false">MIN(AJ115*(1+C$8),MAX(AV116,$B$12-SUM(BE116:BE116)-SUM(AW116:BD116)))</f>
        <v>0</v>
      </c>
      <c r="BG116" s="27" t="n">
        <f aca="false">MIN(AK115*(1+D$8),MAX(AW116,$B$12-SUM(BE116:BF116)-SUM(AX116:BD116)))</f>
        <v>0</v>
      </c>
      <c r="BH116" s="27" t="n">
        <f aca="false">MIN(AL115*(1+E$8),MAX(AX116,$B$12-SUM(BE116:BG116)-SUM(AY116:BD116)))</f>
        <v>0</v>
      </c>
      <c r="BI116" s="27" t="n">
        <f aca="false">MIN(AM115*(1+F$8),MAX(AY116,$B$12-SUM(BE116:BH116)-SUM(AZ116:BD116)))</f>
        <v>0</v>
      </c>
      <c r="BJ116" s="27" t="n">
        <f aca="false">MIN(AN115*(1+G$8),MAX(AZ116,$B$12-SUM(BE116:BI116)-SUM(BA116:BD116)))</f>
        <v>0</v>
      </c>
      <c r="BK116" s="27" t="n">
        <f aca="false">MIN(AO115*(1+H$8),MAX(BA116,$B$12-SUM(BE116:BJ116)-SUM(BB116:BD116)))</f>
        <v>0</v>
      </c>
      <c r="BL116" s="27" t="n">
        <f aca="false">MIN(AP115*(1+I$8),MAX(BB116,$B$12-SUM(BE116:BK116)-SUM(BC116:BD116)))</f>
        <v>0</v>
      </c>
      <c r="BM116" s="27" t="n">
        <f aca="false">MIN(AQ115*(1+J$8),MAX(BC116,$B$12-SUM(BE116:BL116)-SUM(BD116:BD116)))</f>
        <v>0</v>
      </c>
      <c r="BN116" s="27" t="n">
        <f aca="false">MIN(AR115*(1+K$8),MAX(BD116,$B$12-SUM(BE116:BM116)))</f>
        <v>0</v>
      </c>
    </row>
    <row r="117" customFormat="false" ht="15" hidden="false" customHeight="false" outlineLevel="0" collapsed="false">
      <c r="A117" s="0" t="n">
        <v>103</v>
      </c>
      <c r="B117" s="27" t="n">
        <f aca="false">ROUND(MAX(0,B116*(1+B$8)-X117),2)</f>
        <v>0</v>
      </c>
      <c r="C117" s="27" t="n">
        <f aca="false">ROUND(MAX(0,C116*(1+C$8)-Y117),2)</f>
        <v>0</v>
      </c>
      <c r="D117" s="27" t="n">
        <f aca="false">ROUND(MAX(0,D116*(1+D$8)-Z117),2)</f>
        <v>0</v>
      </c>
      <c r="E117" s="27" t="n">
        <f aca="false">ROUND(MAX(0,E116*(1+E$8)-AA117),2)</f>
        <v>0</v>
      </c>
      <c r="F117" s="27" t="n">
        <f aca="false">ROUND(MAX(0,F116*(1+F$8)-AB117),2)</f>
        <v>0</v>
      </c>
      <c r="G117" s="27" t="n">
        <f aca="false">ROUND(MAX(0,G116*(1+G$8)-AC117),2)</f>
        <v>0</v>
      </c>
      <c r="H117" s="27" t="n">
        <f aca="false">ROUND(MAX(0,H116*(1+H$8)-AD117),2)</f>
        <v>0</v>
      </c>
      <c r="I117" s="27" t="n">
        <f aca="false">ROUND(MAX(0,I116*(1+I$8)-AE117),2)</f>
        <v>0</v>
      </c>
      <c r="J117" s="27" t="n">
        <f aca="false">ROUND(MAX(0,J116*(1+J$8)-AF117),2)</f>
        <v>0</v>
      </c>
      <c r="K117" s="27" t="n">
        <f aca="false">ROUND(MAX(0,K116*(1+K$8)-AG117),2)</f>
        <v>0</v>
      </c>
      <c r="L117" s="30" t="n">
        <f aca="false">SUM(B117:K117)</f>
        <v>0</v>
      </c>
      <c r="M117" s="27" t="n">
        <f aca="false">SUMPRODUCT(B116:K116,$B$8:$K$8)</f>
        <v>0</v>
      </c>
      <c r="N117" s="27" t="n">
        <f aca="false">MIN(B116*(1+B$8),B$9)</f>
        <v>0</v>
      </c>
      <c r="O117" s="27" t="n">
        <f aca="false">MIN(C116*(1+C$8),C$9)</f>
        <v>0</v>
      </c>
      <c r="P117" s="27" t="n">
        <f aca="false">MIN(D116*(1+D$8),D$9)</f>
        <v>0</v>
      </c>
      <c r="Q117" s="27" t="n">
        <f aca="false">MIN(E116*(1+E$8),E$9)</f>
        <v>0</v>
      </c>
      <c r="R117" s="27" t="n">
        <f aca="false">MIN(F116*(1+F$8),F$9)</f>
        <v>0</v>
      </c>
      <c r="S117" s="27" t="n">
        <f aca="false">MIN(G116*(1+G$8),G$9)</f>
        <v>0</v>
      </c>
      <c r="T117" s="27" t="n">
        <f aca="false">MIN(H116*(1+H$8),H$9)</f>
        <v>0</v>
      </c>
      <c r="U117" s="27" t="n">
        <f aca="false">MIN(I116*(1+I$8),I$9)</f>
        <v>0</v>
      </c>
      <c r="V117" s="27" t="n">
        <f aca="false">MIN(J116*(1+J$8),J$9)</f>
        <v>0</v>
      </c>
      <c r="W117" s="27" t="n">
        <f aca="false">MIN(K116*(1+K$8),K$9)</f>
        <v>0</v>
      </c>
      <c r="X117" s="27" t="n">
        <f aca="false">MIN(B116*(1+B$8),MAX(N117,$B$11-SUM(O117:W117)))</f>
        <v>0</v>
      </c>
      <c r="Y117" s="27" t="n">
        <f aca="false">MIN(C116*(1+C$8),MAX(O117,$B$11-SUM(X117:X117)-SUM(P117:W117)))</f>
        <v>0</v>
      </c>
      <c r="Z117" s="27" t="n">
        <f aca="false">MIN(D116*(1+D$8),MAX(P117,$B$11-SUM(X117:Y117)-SUM(Q117:W117)))</f>
        <v>0</v>
      </c>
      <c r="AA117" s="27" t="n">
        <f aca="false">MIN(E116*(1+E$8),MAX(Q117,$B$11-SUM(X117:Z117)-SUM(R117:W117)))</f>
        <v>0</v>
      </c>
      <c r="AB117" s="27" t="n">
        <f aca="false">MIN(F116*(1+F$8),MAX(R117,$B$11-SUM(X117:AA117)-SUM(S117:W117)))</f>
        <v>0</v>
      </c>
      <c r="AC117" s="27" t="n">
        <f aca="false">MIN(G116*(1+G$8),MAX(S117,$B$11-SUM(X117:AB117)-SUM(T117:W117)))</f>
        <v>0</v>
      </c>
      <c r="AD117" s="27" t="n">
        <f aca="false">MIN(H116*(1+H$8),MAX(T117,$B$11-SUM(X117:AC117)-SUM(U117:W117)))</f>
        <v>0</v>
      </c>
      <c r="AE117" s="27" t="n">
        <f aca="false">MIN(I116*(1+I$8),MAX(U117,$B$11-SUM(X117:AD117)-SUM(V117:W117)))</f>
        <v>0</v>
      </c>
      <c r="AF117" s="27" t="n">
        <f aca="false">MIN(J116*(1+J$8),MAX(V117,$B$11-SUM(X117:AE117)-SUM(W117:W117)))</f>
        <v>0</v>
      </c>
      <c r="AG117" s="27" t="n">
        <f aca="false">MIN(K116*(1+K$8),MAX(W117,$B$11-SUM(X117:AF117)))</f>
        <v>0</v>
      </c>
      <c r="AI117" s="27" t="n">
        <f aca="false">ROUND(MAX(0,AI116*(1+B$8)-BE117),2)</f>
        <v>0</v>
      </c>
      <c r="AJ117" s="27" t="n">
        <f aca="false">ROUND(MAX(0,AJ116*(1+C$8)-BF117),2)</f>
        <v>0</v>
      </c>
      <c r="AK117" s="27" t="n">
        <f aca="false">ROUND(MAX(0,AK116*(1+D$8)-BG117),2)</f>
        <v>0</v>
      </c>
      <c r="AL117" s="27" t="n">
        <f aca="false">ROUND(MAX(0,AL116*(1+E$8)-BH117),2)</f>
        <v>0</v>
      </c>
      <c r="AM117" s="27" t="n">
        <f aca="false">ROUND(MAX(0,AM116*(1+F$8)-BI117),2)</f>
        <v>0</v>
      </c>
      <c r="AN117" s="27" t="n">
        <f aca="false">ROUND(MAX(0,AN116*(1+G$8)-BJ117),2)</f>
        <v>0</v>
      </c>
      <c r="AO117" s="27" t="n">
        <f aca="false">ROUND(MAX(0,AO116*(1+H$8)-BK117),2)</f>
        <v>0</v>
      </c>
      <c r="AP117" s="27" t="n">
        <f aca="false">ROUND(MAX(0,AP116*(1+I$8)-BL117),2)</f>
        <v>0</v>
      </c>
      <c r="AQ117" s="27" t="n">
        <f aca="false">ROUND(MAX(0,AQ116*(1+J$8)-BM117),2)</f>
        <v>0</v>
      </c>
      <c r="AR117" s="27" t="n">
        <f aca="false">ROUND(MAX(0,AR116*(1+K$8)-BN117),2)</f>
        <v>0</v>
      </c>
      <c r="AS117" s="27" t="n">
        <f aca="false">SUM(AI117:AR117)</f>
        <v>0</v>
      </c>
      <c r="AT117" s="27" t="n">
        <f aca="false">SUMPRODUCT(AI116:AR116,$B$8:$K$8)</f>
        <v>0</v>
      </c>
      <c r="AU117" s="27" t="n">
        <f aca="false">MIN(AI116*(1+B$8),B$9)</f>
        <v>0</v>
      </c>
      <c r="AV117" s="27" t="n">
        <f aca="false">MIN(AJ116*(1+C$8),C$9)</f>
        <v>0</v>
      </c>
      <c r="AW117" s="27" t="n">
        <f aca="false">MIN(AK116*(1+D$8),D$9)</f>
        <v>0</v>
      </c>
      <c r="AX117" s="27" t="n">
        <f aca="false">MIN(AL116*(1+E$8),E$9)</f>
        <v>0</v>
      </c>
      <c r="AY117" s="27" t="n">
        <f aca="false">MIN(AM116*(1+F$8),F$9)</f>
        <v>0</v>
      </c>
      <c r="AZ117" s="27" t="n">
        <f aca="false">MIN(AN116*(1+G$8),G$9)</f>
        <v>0</v>
      </c>
      <c r="BA117" s="27" t="n">
        <f aca="false">MIN(AO116*(1+H$8),H$9)</f>
        <v>0</v>
      </c>
      <c r="BB117" s="27" t="n">
        <f aca="false">MIN(AP116*(1+I$8),I$9)</f>
        <v>0</v>
      </c>
      <c r="BC117" s="27" t="n">
        <f aca="false">MIN(AQ116*(1+J$8),J$9)</f>
        <v>0</v>
      </c>
      <c r="BD117" s="27" t="n">
        <f aca="false">MIN(AR116*(1+K$8),K$9)</f>
        <v>0</v>
      </c>
      <c r="BE117" s="27" t="n">
        <f aca="false">MIN(AI116*(1+B$8),MAX(AU117,$B$12-SUM(AV117:BD117)))</f>
        <v>0</v>
      </c>
      <c r="BF117" s="27" t="n">
        <f aca="false">MIN(AJ116*(1+C$8),MAX(AV117,$B$12-SUM(BE117:BE117)-SUM(AW117:BD117)))</f>
        <v>0</v>
      </c>
      <c r="BG117" s="27" t="n">
        <f aca="false">MIN(AK116*(1+D$8),MAX(AW117,$B$12-SUM(BE117:BF117)-SUM(AX117:BD117)))</f>
        <v>0</v>
      </c>
      <c r="BH117" s="27" t="n">
        <f aca="false">MIN(AL116*(1+E$8),MAX(AX117,$B$12-SUM(BE117:BG117)-SUM(AY117:BD117)))</f>
        <v>0</v>
      </c>
      <c r="BI117" s="27" t="n">
        <f aca="false">MIN(AM116*(1+F$8),MAX(AY117,$B$12-SUM(BE117:BH117)-SUM(AZ117:BD117)))</f>
        <v>0</v>
      </c>
      <c r="BJ117" s="27" t="n">
        <f aca="false">MIN(AN116*(1+G$8),MAX(AZ117,$B$12-SUM(BE117:BI117)-SUM(BA117:BD117)))</f>
        <v>0</v>
      </c>
      <c r="BK117" s="27" t="n">
        <f aca="false">MIN(AO116*(1+H$8),MAX(BA117,$B$12-SUM(BE117:BJ117)-SUM(BB117:BD117)))</f>
        <v>0</v>
      </c>
      <c r="BL117" s="27" t="n">
        <f aca="false">MIN(AP116*(1+I$8),MAX(BB117,$B$12-SUM(BE117:BK117)-SUM(BC117:BD117)))</f>
        <v>0</v>
      </c>
      <c r="BM117" s="27" t="n">
        <f aca="false">MIN(AQ116*(1+J$8),MAX(BC117,$B$12-SUM(BE117:BL117)-SUM(BD117:BD117)))</f>
        <v>0</v>
      </c>
      <c r="BN117" s="27" t="n">
        <f aca="false">MIN(AR116*(1+K$8),MAX(BD117,$B$12-SUM(BE117:BM117)))</f>
        <v>0</v>
      </c>
    </row>
    <row r="118" customFormat="false" ht="15" hidden="false" customHeight="false" outlineLevel="0" collapsed="false">
      <c r="A118" s="0" t="n">
        <v>104</v>
      </c>
      <c r="B118" s="27" t="n">
        <f aca="false">ROUND(MAX(0,B117*(1+B$8)-X118),2)</f>
        <v>0</v>
      </c>
      <c r="C118" s="27" t="n">
        <f aca="false">ROUND(MAX(0,C117*(1+C$8)-Y118),2)</f>
        <v>0</v>
      </c>
      <c r="D118" s="27" t="n">
        <f aca="false">ROUND(MAX(0,D117*(1+D$8)-Z118),2)</f>
        <v>0</v>
      </c>
      <c r="E118" s="27" t="n">
        <f aca="false">ROUND(MAX(0,E117*(1+E$8)-AA118),2)</f>
        <v>0</v>
      </c>
      <c r="F118" s="27" t="n">
        <f aca="false">ROUND(MAX(0,F117*(1+F$8)-AB118),2)</f>
        <v>0</v>
      </c>
      <c r="G118" s="27" t="n">
        <f aca="false">ROUND(MAX(0,G117*(1+G$8)-AC118),2)</f>
        <v>0</v>
      </c>
      <c r="H118" s="27" t="n">
        <f aca="false">ROUND(MAX(0,H117*(1+H$8)-AD118),2)</f>
        <v>0</v>
      </c>
      <c r="I118" s="27" t="n">
        <f aca="false">ROUND(MAX(0,I117*(1+I$8)-AE118),2)</f>
        <v>0</v>
      </c>
      <c r="J118" s="27" t="n">
        <f aca="false">ROUND(MAX(0,J117*(1+J$8)-AF118),2)</f>
        <v>0</v>
      </c>
      <c r="K118" s="27" t="n">
        <f aca="false">ROUND(MAX(0,K117*(1+K$8)-AG118),2)</f>
        <v>0</v>
      </c>
      <c r="L118" s="30" t="n">
        <f aca="false">SUM(B118:K118)</f>
        <v>0</v>
      </c>
      <c r="M118" s="27" t="n">
        <f aca="false">SUMPRODUCT(B117:K117,$B$8:$K$8)</f>
        <v>0</v>
      </c>
      <c r="N118" s="27" t="n">
        <f aca="false">MIN(B117*(1+B$8),B$9)</f>
        <v>0</v>
      </c>
      <c r="O118" s="27" t="n">
        <f aca="false">MIN(C117*(1+C$8),C$9)</f>
        <v>0</v>
      </c>
      <c r="P118" s="27" t="n">
        <f aca="false">MIN(D117*(1+D$8),D$9)</f>
        <v>0</v>
      </c>
      <c r="Q118" s="27" t="n">
        <f aca="false">MIN(E117*(1+E$8),E$9)</f>
        <v>0</v>
      </c>
      <c r="R118" s="27" t="n">
        <f aca="false">MIN(F117*(1+F$8),F$9)</f>
        <v>0</v>
      </c>
      <c r="S118" s="27" t="n">
        <f aca="false">MIN(G117*(1+G$8),G$9)</f>
        <v>0</v>
      </c>
      <c r="T118" s="27" t="n">
        <f aca="false">MIN(H117*(1+H$8),H$9)</f>
        <v>0</v>
      </c>
      <c r="U118" s="27" t="n">
        <f aca="false">MIN(I117*(1+I$8),I$9)</f>
        <v>0</v>
      </c>
      <c r="V118" s="27" t="n">
        <f aca="false">MIN(J117*(1+J$8),J$9)</f>
        <v>0</v>
      </c>
      <c r="W118" s="27" t="n">
        <f aca="false">MIN(K117*(1+K$8),K$9)</f>
        <v>0</v>
      </c>
      <c r="X118" s="27" t="n">
        <f aca="false">MIN(B117*(1+B$8),MAX(N118,$B$11-SUM(O118:W118)))</f>
        <v>0</v>
      </c>
      <c r="Y118" s="27" t="n">
        <f aca="false">MIN(C117*(1+C$8),MAX(O118,$B$11-SUM(X118:X118)-SUM(P118:W118)))</f>
        <v>0</v>
      </c>
      <c r="Z118" s="27" t="n">
        <f aca="false">MIN(D117*(1+D$8),MAX(P118,$B$11-SUM(X118:Y118)-SUM(Q118:W118)))</f>
        <v>0</v>
      </c>
      <c r="AA118" s="27" t="n">
        <f aca="false">MIN(E117*(1+E$8),MAX(Q118,$B$11-SUM(X118:Z118)-SUM(R118:W118)))</f>
        <v>0</v>
      </c>
      <c r="AB118" s="27" t="n">
        <f aca="false">MIN(F117*(1+F$8),MAX(R118,$B$11-SUM(X118:AA118)-SUM(S118:W118)))</f>
        <v>0</v>
      </c>
      <c r="AC118" s="27" t="n">
        <f aca="false">MIN(G117*(1+G$8),MAX(S118,$B$11-SUM(X118:AB118)-SUM(T118:W118)))</f>
        <v>0</v>
      </c>
      <c r="AD118" s="27" t="n">
        <f aca="false">MIN(H117*(1+H$8),MAX(T118,$B$11-SUM(X118:AC118)-SUM(U118:W118)))</f>
        <v>0</v>
      </c>
      <c r="AE118" s="27" t="n">
        <f aca="false">MIN(I117*(1+I$8),MAX(U118,$B$11-SUM(X118:AD118)-SUM(V118:W118)))</f>
        <v>0</v>
      </c>
      <c r="AF118" s="27" t="n">
        <f aca="false">MIN(J117*(1+J$8),MAX(V118,$B$11-SUM(X118:AE118)-SUM(W118:W118)))</f>
        <v>0</v>
      </c>
      <c r="AG118" s="27" t="n">
        <f aca="false">MIN(K117*(1+K$8),MAX(W118,$B$11-SUM(X118:AF118)))</f>
        <v>0</v>
      </c>
      <c r="AI118" s="27" t="n">
        <f aca="false">ROUND(MAX(0,AI117*(1+B$8)-BE118),2)</f>
        <v>0</v>
      </c>
      <c r="AJ118" s="27" t="n">
        <f aca="false">ROUND(MAX(0,AJ117*(1+C$8)-BF118),2)</f>
        <v>0</v>
      </c>
      <c r="AK118" s="27" t="n">
        <f aca="false">ROUND(MAX(0,AK117*(1+D$8)-BG118),2)</f>
        <v>0</v>
      </c>
      <c r="AL118" s="27" t="n">
        <f aca="false">ROUND(MAX(0,AL117*(1+E$8)-BH118),2)</f>
        <v>0</v>
      </c>
      <c r="AM118" s="27" t="n">
        <f aca="false">ROUND(MAX(0,AM117*(1+F$8)-BI118),2)</f>
        <v>0</v>
      </c>
      <c r="AN118" s="27" t="n">
        <f aca="false">ROUND(MAX(0,AN117*(1+G$8)-BJ118),2)</f>
        <v>0</v>
      </c>
      <c r="AO118" s="27" t="n">
        <f aca="false">ROUND(MAX(0,AO117*(1+H$8)-BK118),2)</f>
        <v>0</v>
      </c>
      <c r="AP118" s="27" t="n">
        <f aca="false">ROUND(MAX(0,AP117*(1+I$8)-BL118),2)</f>
        <v>0</v>
      </c>
      <c r="AQ118" s="27" t="n">
        <f aca="false">ROUND(MAX(0,AQ117*(1+J$8)-BM118),2)</f>
        <v>0</v>
      </c>
      <c r="AR118" s="27" t="n">
        <f aca="false">ROUND(MAX(0,AR117*(1+K$8)-BN118),2)</f>
        <v>0</v>
      </c>
      <c r="AS118" s="27" t="n">
        <f aca="false">SUM(AI118:AR118)</f>
        <v>0</v>
      </c>
      <c r="AT118" s="27" t="n">
        <f aca="false">SUMPRODUCT(AI117:AR117,$B$8:$K$8)</f>
        <v>0</v>
      </c>
      <c r="AU118" s="27" t="n">
        <f aca="false">MIN(AI117*(1+B$8),B$9)</f>
        <v>0</v>
      </c>
      <c r="AV118" s="27" t="n">
        <f aca="false">MIN(AJ117*(1+C$8),C$9)</f>
        <v>0</v>
      </c>
      <c r="AW118" s="27" t="n">
        <f aca="false">MIN(AK117*(1+D$8),D$9)</f>
        <v>0</v>
      </c>
      <c r="AX118" s="27" t="n">
        <f aca="false">MIN(AL117*(1+E$8),E$9)</f>
        <v>0</v>
      </c>
      <c r="AY118" s="27" t="n">
        <f aca="false">MIN(AM117*(1+F$8),F$9)</f>
        <v>0</v>
      </c>
      <c r="AZ118" s="27" t="n">
        <f aca="false">MIN(AN117*(1+G$8),G$9)</f>
        <v>0</v>
      </c>
      <c r="BA118" s="27" t="n">
        <f aca="false">MIN(AO117*(1+H$8),H$9)</f>
        <v>0</v>
      </c>
      <c r="BB118" s="27" t="n">
        <f aca="false">MIN(AP117*(1+I$8),I$9)</f>
        <v>0</v>
      </c>
      <c r="BC118" s="27" t="n">
        <f aca="false">MIN(AQ117*(1+J$8),J$9)</f>
        <v>0</v>
      </c>
      <c r="BD118" s="27" t="n">
        <f aca="false">MIN(AR117*(1+K$8),K$9)</f>
        <v>0</v>
      </c>
      <c r="BE118" s="27" t="n">
        <f aca="false">MIN(AI117*(1+B$8),MAX(AU118,$B$12-SUM(AV118:BD118)))</f>
        <v>0</v>
      </c>
      <c r="BF118" s="27" t="n">
        <f aca="false">MIN(AJ117*(1+C$8),MAX(AV118,$B$12-SUM(BE118:BE118)-SUM(AW118:BD118)))</f>
        <v>0</v>
      </c>
      <c r="BG118" s="27" t="n">
        <f aca="false">MIN(AK117*(1+D$8),MAX(AW118,$B$12-SUM(BE118:BF118)-SUM(AX118:BD118)))</f>
        <v>0</v>
      </c>
      <c r="BH118" s="27" t="n">
        <f aca="false">MIN(AL117*(1+E$8),MAX(AX118,$B$12-SUM(BE118:BG118)-SUM(AY118:BD118)))</f>
        <v>0</v>
      </c>
      <c r="BI118" s="27" t="n">
        <f aca="false">MIN(AM117*(1+F$8),MAX(AY118,$B$12-SUM(BE118:BH118)-SUM(AZ118:BD118)))</f>
        <v>0</v>
      </c>
      <c r="BJ118" s="27" t="n">
        <f aca="false">MIN(AN117*(1+G$8),MAX(AZ118,$B$12-SUM(BE118:BI118)-SUM(BA118:BD118)))</f>
        <v>0</v>
      </c>
      <c r="BK118" s="27" t="n">
        <f aca="false">MIN(AO117*(1+H$8),MAX(BA118,$B$12-SUM(BE118:BJ118)-SUM(BB118:BD118)))</f>
        <v>0</v>
      </c>
      <c r="BL118" s="27" t="n">
        <f aca="false">MIN(AP117*(1+I$8),MAX(BB118,$B$12-SUM(BE118:BK118)-SUM(BC118:BD118)))</f>
        <v>0</v>
      </c>
      <c r="BM118" s="27" t="n">
        <f aca="false">MIN(AQ117*(1+J$8),MAX(BC118,$B$12-SUM(BE118:BL118)-SUM(BD118:BD118)))</f>
        <v>0</v>
      </c>
      <c r="BN118" s="27" t="n">
        <f aca="false">MIN(AR117*(1+K$8),MAX(BD118,$B$12-SUM(BE118:BM118)))</f>
        <v>0</v>
      </c>
    </row>
    <row r="119" customFormat="false" ht="15" hidden="false" customHeight="false" outlineLevel="0" collapsed="false">
      <c r="A119" s="0" t="n">
        <v>105</v>
      </c>
      <c r="B119" s="27" t="n">
        <f aca="false">ROUND(MAX(0,B118*(1+B$8)-X119),2)</f>
        <v>0</v>
      </c>
      <c r="C119" s="27" t="n">
        <f aca="false">ROUND(MAX(0,C118*(1+C$8)-Y119),2)</f>
        <v>0</v>
      </c>
      <c r="D119" s="27" t="n">
        <f aca="false">ROUND(MAX(0,D118*(1+D$8)-Z119),2)</f>
        <v>0</v>
      </c>
      <c r="E119" s="27" t="n">
        <f aca="false">ROUND(MAX(0,E118*(1+E$8)-AA119),2)</f>
        <v>0</v>
      </c>
      <c r="F119" s="27" t="n">
        <f aca="false">ROUND(MAX(0,F118*(1+F$8)-AB119),2)</f>
        <v>0</v>
      </c>
      <c r="G119" s="27" t="n">
        <f aca="false">ROUND(MAX(0,G118*(1+G$8)-AC119),2)</f>
        <v>0</v>
      </c>
      <c r="H119" s="27" t="n">
        <f aca="false">ROUND(MAX(0,H118*(1+H$8)-AD119),2)</f>
        <v>0</v>
      </c>
      <c r="I119" s="27" t="n">
        <f aca="false">ROUND(MAX(0,I118*(1+I$8)-AE119),2)</f>
        <v>0</v>
      </c>
      <c r="J119" s="27" t="n">
        <f aca="false">ROUND(MAX(0,J118*(1+J$8)-AF119),2)</f>
        <v>0</v>
      </c>
      <c r="K119" s="27" t="n">
        <f aca="false">ROUND(MAX(0,K118*(1+K$8)-AG119),2)</f>
        <v>0</v>
      </c>
      <c r="L119" s="30" t="n">
        <f aca="false">SUM(B119:K119)</f>
        <v>0</v>
      </c>
      <c r="M119" s="27" t="n">
        <f aca="false">SUMPRODUCT(B118:K118,$B$8:$K$8)</f>
        <v>0</v>
      </c>
      <c r="N119" s="27" t="n">
        <f aca="false">MIN(B118*(1+B$8),B$9)</f>
        <v>0</v>
      </c>
      <c r="O119" s="27" t="n">
        <f aca="false">MIN(C118*(1+C$8),C$9)</f>
        <v>0</v>
      </c>
      <c r="P119" s="27" t="n">
        <f aca="false">MIN(D118*(1+D$8),D$9)</f>
        <v>0</v>
      </c>
      <c r="Q119" s="27" t="n">
        <f aca="false">MIN(E118*(1+E$8),E$9)</f>
        <v>0</v>
      </c>
      <c r="R119" s="27" t="n">
        <f aca="false">MIN(F118*(1+F$8),F$9)</f>
        <v>0</v>
      </c>
      <c r="S119" s="27" t="n">
        <f aca="false">MIN(G118*(1+G$8),G$9)</f>
        <v>0</v>
      </c>
      <c r="T119" s="27" t="n">
        <f aca="false">MIN(H118*(1+H$8),H$9)</f>
        <v>0</v>
      </c>
      <c r="U119" s="27" t="n">
        <f aca="false">MIN(I118*(1+I$8),I$9)</f>
        <v>0</v>
      </c>
      <c r="V119" s="27" t="n">
        <f aca="false">MIN(J118*(1+J$8),J$9)</f>
        <v>0</v>
      </c>
      <c r="W119" s="27" t="n">
        <f aca="false">MIN(K118*(1+K$8),K$9)</f>
        <v>0</v>
      </c>
      <c r="X119" s="27" t="n">
        <f aca="false">MIN(B118*(1+B$8),MAX(N119,$B$11-SUM(O119:W119)))</f>
        <v>0</v>
      </c>
      <c r="Y119" s="27" t="n">
        <f aca="false">MIN(C118*(1+C$8),MAX(O119,$B$11-SUM(X119:X119)-SUM(P119:W119)))</f>
        <v>0</v>
      </c>
      <c r="Z119" s="27" t="n">
        <f aca="false">MIN(D118*(1+D$8),MAX(P119,$B$11-SUM(X119:Y119)-SUM(Q119:W119)))</f>
        <v>0</v>
      </c>
      <c r="AA119" s="27" t="n">
        <f aca="false">MIN(E118*(1+E$8),MAX(Q119,$B$11-SUM(X119:Z119)-SUM(R119:W119)))</f>
        <v>0</v>
      </c>
      <c r="AB119" s="27" t="n">
        <f aca="false">MIN(F118*(1+F$8),MAX(R119,$B$11-SUM(X119:AA119)-SUM(S119:W119)))</f>
        <v>0</v>
      </c>
      <c r="AC119" s="27" t="n">
        <f aca="false">MIN(G118*(1+G$8),MAX(S119,$B$11-SUM(X119:AB119)-SUM(T119:W119)))</f>
        <v>0</v>
      </c>
      <c r="AD119" s="27" t="n">
        <f aca="false">MIN(H118*(1+H$8),MAX(T119,$B$11-SUM(X119:AC119)-SUM(U119:W119)))</f>
        <v>0</v>
      </c>
      <c r="AE119" s="27" t="n">
        <f aca="false">MIN(I118*(1+I$8),MAX(U119,$B$11-SUM(X119:AD119)-SUM(V119:W119)))</f>
        <v>0</v>
      </c>
      <c r="AF119" s="27" t="n">
        <f aca="false">MIN(J118*(1+J$8),MAX(V119,$B$11-SUM(X119:AE119)-SUM(W119:W119)))</f>
        <v>0</v>
      </c>
      <c r="AG119" s="27" t="n">
        <f aca="false">MIN(K118*(1+K$8),MAX(W119,$B$11-SUM(X119:AF119)))</f>
        <v>0</v>
      </c>
      <c r="AI119" s="27" t="n">
        <f aca="false">ROUND(MAX(0,AI118*(1+B$8)-BE119),2)</f>
        <v>0</v>
      </c>
      <c r="AJ119" s="27" t="n">
        <f aca="false">ROUND(MAX(0,AJ118*(1+C$8)-BF119),2)</f>
        <v>0</v>
      </c>
      <c r="AK119" s="27" t="n">
        <f aca="false">ROUND(MAX(0,AK118*(1+D$8)-BG119),2)</f>
        <v>0</v>
      </c>
      <c r="AL119" s="27" t="n">
        <f aca="false">ROUND(MAX(0,AL118*(1+E$8)-BH119),2)</f>
        <v>0</v>
      </c>
      <c r="AM119" s="27" t="n">
        <f aca="false">ROUND(MAX(0,AM118*(1+F$8)-BI119),2)</f>
        <v>0</v>
      </c>
      <c r="AN119" s="27" t="n">
        <f aca="false">ROUND(MAX(0,AN118*(1+G$8)-BJ119),2)</f>
        <v>0</v>
      </c>
      <c r="AO119" s="27" t="n">
        <f aca="false">ROUND(MAX(0,AO118*(1+H$8)-BK119),2)</f>
        <v>0</v>
      </c>
      <c r="AP119" s="27" t="n">
        <f aca="false">ROUND(MAX(0,AP118*(1+I$8)-BL119),2)</f>
        <v>0</v>
      </c>
      <c r="AQ119" s="27" t="n">
        <f aca="false">ROUND(MAX(0,AQ118*(1+J$8)-BM119),2)</f>
        <v>0</v>
      </c>
      <c r="AR119" s="27" t="n">
        <f aca="false">ROUND(MAX(0,AR118*(1+K$8)-BN119),2)</f>
        <v>0</v>
      </c>
      <c r="AS119" s="27" t="n">
        <f aca="false">SUM(AI119:AR119)</f>
        <v>0</v>
      </c>
      <c r="AT119" s="27" t="n">
        <f aca="false">SUMPRODUCT(AI118:AR118,$B$8:$K$8)</f>
        <v>0</v>
      </c>
      <c r="AU119" s="27" t="n">
        <f aca="false">MIN(AI118*(1+B$8),B$9)</f>
        <v>0</v>
      </c>
      <c r="AV119" s="27" t="n">
        <f aca="false">MIN(AJ118*(1+C$8),C$9)</f>
        <v>0</v>
      </c>
      <c r="AW119" s="27" t="n">
        <f aca="false">MIN(AK118*(1+D$8),D$9)</f>
        <v>0</v>
      </c>
      <c r="AX119" s="27" t="n">
        <f aca="false">MIN(AL118*(1+E$8),E$9)</f>
        <v>0</v>
      </c>
      <c r="AY119" s="27" t="n">
        <f aca="false">MIN(AM118*(1+F$8),F$9)</f>
        <v>0</v>
      </c>
      <c r="AZ119" s="27" t="n">
        <f aca="false">MIN(AN118*(1+G$8),G$9)</f>
        <v>0</v>
      </c>
      <c r="BA119" s="27" t="n">
        <f aca="false">MIN(AO118*(1+H$8),H$9)</f>
        <v>0</v>
      </c>
      <c r="BB119" s="27" t="n">
        <f aca="false">MIN(AP118*(1+I$8),I$9)</f>
        <v>0</v>
      </c>
      <c r="BC119" s="27" t="n">
        <f aca="false">MIN(AQ118*(1+J$8),J$9)</f>
        <v>0</v>
      </c>
      <c r="BD119" s="27" t="n">
        <f aca="false">MIN(AR118*(1+K$8),K$9)</f>
        <v>0</v>
      </c>
      <c r="BE119" s="27" t="n">
        <f aca="false">MIN(AI118*(1+B$8),MAX(AU119,$B$12-SUM(AV119:BD119)))</f>
        <v>0</v>
      </c>
      <c r="BF119" s="27" t="n">
        <f aca="false">MIN(AJ118*(1+C$8),MAX(AV119,$B$12-SUM(BE119:BE119)-SUM(AW119:BD119)))</f>
        <v>0</v>
      </c>
      <c r="BG119" s="27" t="n">
        <f aca="false">MIN(AK118*(1+D$8),MAX(AW119,$B$12-SUM(BE119:BF119)-SUM(AX119:BD119)))</f>
        <v>0</v>
      </c>
      <c r="BH119" s="27" t="n">
        <f aca="false">MIN(AL118*(1+E$8),MAX(AX119,$B$12-SUM(BE119:BG119)-SUM(AY119:BD119)))</f>
        <v>0</v>
      </c>
      <c r="BI119" s="27" t="n">
        <f aca="false">MIN(AM118*(1+F$8),MAX(AY119,$B$12-SUM(BE119:BH119)-SUM(AZ119:BD119)))</f>
        <v>0</v>
      </c>
      <c r="BJ119" s="27" t="n">
        <f aca="false">MIN(AN118*(1+G$8),MAX(AZ119,$B$12-SUM(BE119:BI119)-SUM(BA119:BD119)))</f>
        <v>0</v>
      </c>
      <c r="BK119" s="27" t="n">
        <f aca="false">MIN(AO118*(1+H$8),MAX(BA119,$B$12-SUM(BE119:BJ119)-SUM(BB119:BD119)))</f>
        <v>0</v>
      </c>
      <c r="BL119" s="27" t="n">
        <f aca="false">MIN(AP118*(1+I$8),MAX(BB119,$B$12-SUM(BE119:BK119)-SUM(BC119:BD119)))</f>
        <v>0</v>
      </c>
      <c r="BM119" s="27" t="n">
        <f aca="false">MIN(AQ118*(1+J$8),MAX(BC119,$B$12-SUM(BE119:BL119)-SUM(BD119:BD119)))</f>
        <v>0</v>
      </c>
      <c r="BN119" s="27" t="n">
        <f aca="false">MIN(AR118*(1+K$8),MAX(BD119,$B$12-SUM(BE119:BM119)))</f>
        <v>0</v>
      </c>
    </row>
    <row r="120" customFormat="false" ht="15" hidden="false" customHeight="false" outlineLevel="0" collapsed="false">
      <c r="A120" s="0" t="n">
        <v>106</v>
      </c>
      <c r="B120" s="27" t="n">
        <f aca="false">ROUND(MAX(0,B119*(1+B$8)-X120),2)</f>
        <v>0</v>
      </c>
      <c r="C120" s="27" t="n">
        <f aca="false">ROUND(MAX(0,C119*(1+C$8)-Y120),2)</f>
        <v>0</v>
      </c>
      <c r="D120" s="27" t="n">
        <f aca="false">ROUND(MAX(0,D119*(1+D$8)-Z120),2)</f>
        <v>0</v>
      </c>
      <c r="E120" s="27" t="n">
        <f aca="false">ROUND(MAX(0,E119*(1+E$8)-AA120),2)</f>
        <v>0</v>
      </c>
      <c r="F120" s="27" t="n">
        <f aca="false">ROUND(MAX(0,F119*(1+F$8)-AB120),2)</f>
        <v>0</v>
      </c>
      <c r="G120" s="27" t="n">
        <f aca="false">ROUND(MAX(0,G119*(1+G$8)-AC120),2)</f>
        <v>0</v>
      </c>
      <c r="H120" s="27" t="n">
        <f aca="false">ROUND(MAX(0,H119*(1+H$8)-AD120),2)</f>
        <v>0</v>
      </c>
      <c r="I120" s="27" t="n">
        <f aca="false">ROUND(MAX(0,I119*(1+I$8)-AE120),2)</f>
        <v>0</v>
      </c>
      <c r="J120" s="27" t="n">
        <f aca="false">ROUND(MAX(0,J119*(1+J$8)-AF120),2)</f>
        <v>0</v>
      </c>
      <c r="K120" s="27" t="n">
        <f aca="false">ROUND(MAX(0,K119*(1+K$8)-AG120),2)</f>
        <v>0</v>
      </c>
      <c r="L120" s="30" t="n">
        <f aca="false">SUM(B120:K120)</f>
        <v>0</v>
      </c>
      <c r="M120" s="27" t="n">
        <f aca="false">SUMPRODUCT(B119:K119,$B$8:$K$8)</f>
        <v>0</v>
      </c>
      <c r="N120" s="27" t="n">
        <f aca="false">MIN(B119*(1+B$8),B$9)</f>
        <v>0</v>
      </c>
      <c r="O120" s="27" t="n">
        <f aca="false">MIN(C119*(1+C$8),C$9)</f>
        <v>0</v>
      </c>
      <c r="P120" s="27" t="n">
        <f aca="false">MIN(D119*(1+D$8),D$9)</f>
        <v>0</v>
      </c>
      <c r="Q120" s="27" t="n">
        <f aca="false">MIN(E119*(1+E$8),E$9)</f>
        <v>0</v>
      </c>
      <c r="R120" s="27" t="n">
        <f aca="false">MIN(F119*(1+F$8),F$9)</f>
        <v>0</v>
      </c>
      <c r="S120" s="27" t="n">
        <f aca="false">MIN(G119*(1+G$8),G$9)</f>
        <v>0</v>
      </c>
      <c r="T120" s="27" t="n">
        <f aca="false">MIN(H119*(1+H$8),H$9)</f>
        <v>0</v>
      </c>
      <c r="U120" s="27" t="n">
        <f aca="false">MIN(I119*(1+I$8),I$9)</f>
        <v>0</v>
      </c>
      <c r="V120" s="27" t="n">
        <f aca="false">MIN(J119*(1+J$8),J$9)</f>
        <v>0</v>
      </c>
      <c r="W120" s="27" t="n">
        <f aca="false">MIN(K119*(1+K$8),K$9)</f>
        <v>0</v>
      </c>
      <c r="X120" s="27" t="n">
        <f aca="false">MIN(B119*(1+B$8),MAX(N120,$B$11-SUM(O120:W120)))</f>
        <v>0</v>
      </c>
      <c r="Y120" s="27" t="n">
        <f aca="false">MIN(C119*(1+C$8),MAX(O120,$B$11-SUM(X120:X120)-SUM(P120:W120)))</f>
        <v>0</v>
      </c>
      <c r="Z120" s="27" t="n">
        <f aca="false">MIN(D119*(1+D$8),MAX(P120,$B$11-SUM(X120:Y120)-SUM(Q120:W120)))</f>
        <v>0</v>
      </c>
      <c r="AA120" s="27" t="n">
        <f aca="false">MIN(E119*(1+E$8),MAX(Q120,$B$11-SUM(X120:Z120)-SUM(R120:W120)))</f>
        <v>0</v>
      </c>
      <c r="AB120" s="27" t="n">
        <f aca="false">MIN(F119*(1+F$8),MAX(R120,$B$11-SUM(X120:AA120)-SUM(S120:W120)))</f>
        <v>0</v>
      </c>
      <c r="AC120" s="27" t="n">
        <f aca="false">MIN(G119*(1+G$8),MAX(S120,$B$11-SUM(X120:AB120)-SUM(T120:W120)))</f>
        <v>0</v>
      </c>
      <c r="AD120" s="27" t="n">
        <f aca="false">MIN(H119*(1+H$8),MAX(T120,$B$11-SUM(X120:AC120)-SUM(U120:W120)))</f>
        <v>0</v>
      </c>
      <c r="AE120" s="27" t="n">
        <f aca="false">MIN(I119*(1+I$8),MAX(U120,$B$11-SUM(X120:AD120)-SUM(V120:W120)))</f>
        <v>0</v>
      </c>
      <c r="AF120" s="27" t="n">
        <f aca="false">MIN(J119*(1+J$8),MAX(V120,$B$11-SUM(X120:AE120)-SUM(W120:W120)))</f>
        <v>0</v>
      </c>
      <c r="AG120" s="27" t="n">
        <f aca="false">MIN(K119*(1+K$8),MAX(W120,$B$11-SUM(X120:AF120)))</f>
        <v>0</v>
      </c>
      <c r="AI120" s="27" t="n">
        <f aca="false">ROUND(MAX(0,AI119*(1+B$8)-BE120),2)</f>
        <v>0</v>
      </c>
      <c r="AJ120" s="27" t="n">
        <f aca="false">ROUND(MAX(0,AJ119*(1+C$8)-BF120),2)</f>
        <v>0</v>
      </c>
      <c r="AK120" s="27" t="n">
        <f aca="false">ROUND(MAX(0,AK119*(1+D$8)-BG120),2)</f>
        <v>0</v>
      </c>
      <c r="AL120" s="27" t="n">
        <f aca="false">ROUND(MAX(0,AL119*(1+E$8)-BH120),2)</f>
        <v>0</v>
      </c>
      <c r="AM120" s="27" t="n">
        <f aca="false">ROUND(MAX(0,AM119*(1+F$8)-BI120),2)</f>
        <v>0</v>
      </c>
      <c r="AN120" s="27" t="n">
        <f aca="false">ROUND(MAX(0,AN119*(1+G$8)-BJ120),2)</f>
        <v>0</v>
      </c>
      <c r="AO120" s="27" t="n">
        <f aca="false">ROUND(MAX(0,AO119*(1+H$8)-BK120),2)</f>
        <v>0</v>
      </c>
      <c r="AP120" s="27" t="n">
        <f aca="false">ROUND(MAX(0,AP119*(1+I$8)-BL120),2)</f>
        <v>0</v>
      </c>
      <c r="AQ120" s="27" t="n">
        <f aca="false">ROUND(MAX(0,AQ119*(1+J$8)-BM120),2)</f>
        <v>0</v>
      </c>
      <c r="AR120" s="27" t="n">
        <f aca="false">ROUND(MAX(0,AR119*(1+K$8)-BN120),2)</f>
        <v>0</v>
      </c>
      <c r="AS120" s="27" t="n">
        <f aca="false">SUM(AI120:AR120)</f>
        <v>0</v>
      </c>
      <c r="AT120" s="27" t="n">
        <f aca="false">SUMPRODUCT(AI119:AR119,$B$8:$K$8)</f>
        <v>0</v>
      </c>
      <c r="AU120" s="27" t="n">
        <f aca="false">MIN(AI119*(1+B$8),B$9)</f>
        <v>0</v>
      </c>
      <c r="AV120" s="27" t="n">
        <f aca="false">MIN(AJ119*(1+C$8),C$9)</f>
        <v>0</v>
      </c>
      <c r="AW120" s="27" t="n">
        <f aca="false">MIN(AK119*(1+D$8),D$9)</f>
        <v>0</v>
      </c>
      <c r="AX120" s="27" t="n">
        <f aca="false">MIN(AL119*(1+E$8),E$9)</f>
        <v>0</v>
      </c>
      <c r="AY120" s="27" t="n">
        <f aca="false">MIN(AM119*(1+F$8),F$9)</f>
        <v>0</v>
      </c>
      <c r="AZ120" s="27" t="n">
        <f aca="false">MIN(AN119*(1+G$8),G$9)</f>
        <v>0</v>
      </c>
      <c r="BA120" s="27" t="n">
        <f aca="false">MIN(AO119*(1+H$8),H$9)</f>
        <v>0</v>
      </c>
      <c r="BB120" s="27" t="n">
        <f aca="false">MIN(AP119*(1+I$8),I$9)</f>
        <v>0</v>
      </c>
      <c r="BC120" s="27" t="n">
        <f aca="false">MIN(AQ119*(1+J$8),J$9)</f>
        <v>0</v>
      </c>
      <c r="BD120" s="27" t="n">
        <f aca="false">MIN(AR119*(1+K$8),K$9)</f>
        <v>0</v>
      </c>
      <c r="BE120" s="27" t="n">
        <f aca="false">MIN(AI119*(1+B$8),MAX(AU120,$B$12-SUM(AV120:BD120)))</f>
        <v>0</v>
      </c>
      <c r="BF120" s="27" t="n">
        <f aca="false">MIN(AJ119*(1+C$8),MAX(AV120,$B$12-SUM(BE120:BE120)-SUM(AW120:BD120)))</f>
        <v>0</v>
      </c>
      <c r="BG120" s="27" t="n">
        <f aca="false">MIN(AK119*(1+D$8),MAX(AW120,$B$12-SUM(BE120:BF120)-SUM(AX120:BD120)))</f>
        <v>0</v>
      </c>
      <c r="BH120" s="27" t="n">
        <f aca="false">MIN(AL119*(1+E$8),MAX(AX120,$B$12-SUM(BE120:BG120)-SUM(AY120:BD120)))</f>
        <v>0</v>
      </c>
      <c r="BI120" s="27" t="n">
        <f aca="false">MIN(AM119*(1+F$8),MAX(AY120,$B$12-SUM(BE120:BH120)-SUM(AZ120:BD120)))</f>
        <v>0</v>
      </c>
      <c r="BJ120" s="27" t="n">
        <f aca="false">MIN(AN119*(1+G$8),MAX(AZ120,$B$12-SUM(BE120:BI120)-SUM(BA120:BD120)))</f>
        <v>0</v>
      </c>
      <c r="BK120" s="27" t="n">
        <f aca="false">MIN(AO119*(1+H$8),MAX(BA120,$B$12-SUM(BE120:BJ120)-SUM(BB120:BD120)))</f>
        <v>0</v>
      </c>
      <c r="BL120" s="27" t="n">
        <f aca="false">MIN(AP119*(1+I$8),MAX(BB120,$B$12-SUM(BE120:BK120)-SUM(BC120:BD120)))</f>
        <v>0</v>
      </c>
      <c r="BM120" s="27" t="n">
        <f aca="false">MIN(AQ119*(1+J$8),MAX(BC120,$B$12-SUM(BE120:BL120)-SUM(BD120:BD120)))</f>
        <v>0</v>
      </c>
      <c r="BN120" s="27" t="n">
        <f aca="false">MIN(AR119*(1+K$8),MAX(BD120,$B$12-SUM(BE120:BM120)))</f>
        <v>0</v>
      </c>
    </row>
    <row r="121" customFormat="false" ht="15" hidden="false" customHeight="false" outlineLevel="0" collapsed="false">
      <c r="A121" s="0" t="n">
        <v>107</v>
      </c>
      <c r="B121" s="27" t="n">
        <f aca="false">ROUND(MAX(0,B120*(1+B$8)-X121),2)</f>
        <v>0</v>
      </c>
      <c r="C121" s="27" t="n">
        <f aca="false">ROUND(MAX(0,C120*(1+C$8)-Y121),2)</f>
        <v>0</v>
      </c>
      <c r="D121" s="27" t="n">
        <f aca="false">ROUND(MAX(0,D120*(1+D$8)-Z121),2)</f>
        <v>0</v>
      </c>
      <c r="E121" s="27" t="n">
        <f aca="false">ROUND(MAX(0,E120*(1+E$8)-AA121),2)</f>
        <v>0</v>
      </c>
      <c r="F121" s="27" t="n">
        <f aca="false">ROUND(MAX(0,F120*(1+F$8)-AB121),2)</f>
        <v>0</v>
      </c>
      <c r="G121" s="27" t="n">
        <f aca="false">ROUND(MAX(0,G120*(1+G$8)-AC121),2)</f>
        <v>0</v>
      </c>
      <c r="H121" s="27" t="n">
        <f aca="false">ROUND(MAX(0,H120*(1+H$8)-AD121),2)</f>
        <v>0</v>
      </c>
      <c r="I121" s="27" t="n">
        <f aca="false">ROUND(MAX(0,I120*(1+I$8)-AE121),2)</f>
        <v>0</v>
      </c>
      <c r="J121" s="27" t="n">
        <f aca="false">ROUND(MAX(0,J120*(1+J$8)-AF121),2)</f>
        <v>0</v>
      </c>
      <c r="K121" s="27" t="n">
        <f aca="false">ROUND(MAX(0,K120*(1+K$8)-AG121),2)</f>
        <v>0</v>
      </c>
      <c r="L121" s="30" t="n">
        <f aca="false">SUM(B121:K121)</f>
        <v>0</v>
      </c>
      <c r="M121" s="27" t="n">
        <f aca="false">SUMPRODUCT(B120:K120,$B$8:$K$8)</f>
        <v>0</v>
      </c>
      <c r="N121" s="27" t="n">
        <f aca="false">MIN(B120*(1+B$8),B$9)</f>
        <v>0</v>
      </c>
      <c r="O121" s="27" t="n">
        <f aca="false">MIN(C120*(1+C$8),C$9)</f>
        <v>0</v>
      </c>
      <c r="P121" s="27" t="n">
        <f aca="false">MIN(D120*(1+D$8),D$9)</f>
        <v>0</v>
      </c>
      <c r="Q121" s="27" t="n">
        <f aca="false">MIN(E120*(1+E$8),E$9)</f>
        <v>0</v>
      </c>
      <c r="R121" s="27" t="n">
        <f aca="false">MIN(F120*(1+F$8),F$9)</f>
        <v>0</v>
      </c>
      <c r="S121" s="27" t="n">
        <f aca="false">MIN(G120*(1+G$8),G$9)</f>
        <v>0</v>
      </c>
      <c r="T121" s="27" t="n">
        <f aca="false">MIN(H120*(1+H$8),H$9)</f>
        <v>0</v>
      </c>
      <c r="U121" s="27" t="n">
        <f aca="false">MIN(I120*(1+I$8),I$9)</f>
        <v>0</v>
      </c>
      <c r="V121" s="27" t="n">
        <f aca="false">MIN(J120*(1+J$8),J$9)</f>
        <v>0</v>
      </c>
      <c r="W121" s="27" t="n">
        <f aca="false">MIN(K120*(1+K$8),K$9)</f>
        <v>0</v>
      </c>
      <c r="X121" s="27" t="n">
        <f aca="false">MIN(B120*(1+B$8),MAX(N121,$B$11-SUM(O121:W121)))</f>
        <v>0</v>
      </c>
      <c r="Y121" s="27" t="n">
        <f aca="false">MIN(C120*(1+C$8),MAX(O121,$B$11-SUM(X121:X121)-SUM(P121:W121)))</f>
        <v>0</v>
      </c>
      <c r="Z121" s="27" t="n">
        <f aca="false">MIN(D120*(1+D$8),MAX(P121,$B$11-SUM(X121:Y121)-SUM(Q121:W121)))</f>
        <v>0</v>
      </c>
      <c r="AA121" s="27" t="n">
        <f aca="false">MIN(E120*(1+E$8),MAX(Q121,$B$11-SUM(X121:Z121)-SUM(R121:W121)))</f>
        <v>0</v>
      </c>
      <c r="AB121" s="27" t="n">
        <f aca="false">MIN(F120*(1+F$8),MAX(R121,$B$11-SUM(X121:AA121)-SUM(S121:W121)))</f>
        <v>0</v>
      </c>
      <c r="AC121" s="27" t="n">
        <f aca="false">MIN(G120*(1+G$8),MAX(S121,$B$11-SUM(X121:AB121)-SUM(T121:W121)))</f>
        <v>0</v>
      </c>
      <c r="AD121" s="27" t="n">
        <f aca="false">MIN(H120*(1+H$8),MAX(T121,$B$11-SUM(X121:AC121)-SUM(U121:W121)))</f>
        <v>0</v>
      </c>
      <c r="AE121" s="27" t="n">
        <f aca="false">MIN(I120*(1+I$8),MAX(U121,$B$11-SUM(X121:AD121)-SUM(V121:W121)))</f>
        <v>0</v>
      </c>
      <c r="AF121" s="27" t="n">
        <f aca="false">MIN(J120*(1+J$8),MAX(V121,$B$11-SUM(X121:AE121)-SUM(W121:W121)))</f>
        <v>0</v>
      </c>
      <c r="AG121" s="27" t="n">
        <f aca="false">MIN(K120*(1+K$8),MAX(W121,$B$11-SUM(X121:AF121)))</f>
        <v>0</v>
      </c>
      <c r="AI121" s="27" t="n">
        <f aca="false">ROUND(MAX(0,AI120*(1+B$8)-BE121),2)</f>
        <v>0</v>
      </c>
      <c r="AJ121" s="27" t="n">
        <f aca="false">ROUND(MAX(0,AJ120*(1+C$8)-BF121),2)</f>
        <v>0</v>
      </c>
      <c r="AK121" s="27" t="n">
        <f aca="false">ROUND(MAX(0,AK120*(1+D$8)-BG121),2)</f>
        <v>0</v>
      </c>
      <c r="AL121" s="27" t="n">
        <f aca="false">ROUND(MAX(0,AL120*(1+E$8)-BH121),2)</f>
        <v>0</v>
      </c>
      <c r="AM121" s="27" t="n">
        <f aca="false">ROUND(MAX(0,AM120*(1+F$8)-BI121),2)</f>
        <v>0</v>
      </c>
      <c r="AN121" s="27" t="n">
        <f aca="false">ROUND(MAX(0,AN120*(1+G$8)-BJ121),2)</f>
        <v>0</v>
      </c>
      <c r="AO121" s="27" t="n">
        <f aca="false">ROUND(MAX(0,AO120*(1+H$8)-BK121),2)</f>
        <v>0</v>
      </c>
      <c r="AP121" s="27" t="n">
        <f aca="false">ROUND(MAX(0,AP120*(1+I$8)-BL121),2)</f>
        <v>0</v>
      </c>
      <c r="AQ121" s="27" t="n">
        <f aca="false">ROUND(MAX(0,AQ120*(1+J$8)-BM121),2)</f>
        <v>0</v>
      </c>
      <c r="AR121" s="27" t="n">
        <f aca="false">ROUND(MAX(0,AR120*(1+K$8)-BN121),2)</f>
        <v>0</v>
      </c>
      <c r="AS121" s="27" t="n">
        <f aca="false">SUM(AI121:AR121)</f>
        <v>0</v>
      </c>
      <c r="AT121" s="27" t="n">
        <f aca="false">SUMPRODUCT(AI120:AR120,$B$8:$K$8)</f>
        <v>0</v>
      </c>
      <c r="AU121" s="27" t="n">
        <f aca="false">MIN(AI120*(1+B$8),B$9)</f>
        <v>0</v>
      </c>
      <c r="AV121" s="27" t="n">
        <f aca="false">MIN(AJ120*(1+C$8),C$9)</f>
        <v>0</v>
      </c>
      <c r="AW121" s="27" t="n">
        <f aca="false">MIN(AK120*(1+D$8),D$9)</f>
        <v>0</v>
      </c>
      <c r="AX121" s="27" t="n">
        <f aca="false">MIN(AL120*(1+E$8),E$9)</f>
        <v>0</v>
      </c>
      <c r="AY121" s="27" t="n">
        <f aca="false">MIN(AM120*(1+F$8),F$9)</f>
        <v>0</v>
      </c>
      <c r="AZ121" s="27" t="n">
        <f aca="false">MIN(AN120*(1+G$8),G$9)</f>
        <v>0</v>
      </c>
      <c r="BA121" s="27" t="n">
        <f aca="false">MIN(AO120*(1+H$8),H$9)</f>
        <v>0</v>
      </c>
      <c r="BB121" s="27" t="n">
        <f aca="false">MIN(AP120*(1+I$8),I$9)</f>
        <v>0</v>
      </c>
      <c r="BC121" s="27" t="n">
        <f aca="false">MIN(AQ120*(1+J$8),J$9)</f>
        <v>0</v>
      </c>
      <c r="BD121" s="27" t="n">
        <f aca="false">MIN(AR120*(1+K$8),K$9)</f>
        <v>0</v>
      </c>
      <c r="BE121" s="27" t="n">
        <f aca="false">MIN(AI120*(1+B$8),MAX(AU121,$B$12-SUM(AV121:BD121)))</f>
        <v>0</v>
      </c>
      <c r="BF121" s="27" t="n">
        <f aca="false">MIN(AJ120*(1+C$8),MAX(AV121,$B$12-SUM(BE121:BE121)-SUM(AW121:BD121)))</f>
        <v>0</v>
      </c>
      <c r="BG121" s="27" t="n">
        <f aca="false">MIN(AK120*(1+D$8),MAX(AW121,$B$12-SUM(BE121:BF121)-SUM(AX121:BD121)))</f>
        <v>0</v>
      </c>
      <c r="BH121" s="27" t="n">
        <f aca="false">MIN(AL120*(1+E$8),MAX(AX121,$B$12-SUM(BE121:BG121)-SUM(AY121:BD121)))</f>
        <v>0</v>
      </c>
      <c r="BI121" s="27" t="n">
        <f aca="false">MIN(AM120*(1+F$8),MAX(AY121,$B$12-SUM(BE121:BH121)-SUM(AZ121:BD121)))</f>
        <v>0</v>
      </c>
      <c r="BJ121" s="27" t="n">
        <f aca="false">MIN(AN120*(1+G$8),MAX(AZ121,$B$12-SUM(BE121:BI121)-SUM(BA121:BD121)))</f>
        <v>0</v>
      </c>
      <c r="BK121" s="27" t="n">
        <f aca="false">MIN(AO120*(1+H$8),MAX(BA121,$B$12-SUM(BE121:BJ121)-SUM(BB121:BD121)))</f>
        <v>0</v>
      </c>
      <c r="BL121" s="27" t="n">
        <f aca="false">MIN(AP120*(1+I$8),MAX(BB121,$B$12-SUM(BE121:BK121)-SUM(BC121:BD121)))</f>
        <v>0</v>
      </c>
      <c r="BM121" s="27" t="n">
        <f aca="false">MIN(AQ120*(1+J$8),MAX(BC121,$B$12-SUM(BE121:BL121)-SUM(BD121:BD121)))</f>
        <v>0</v>
      </c>
      <c r="BN121" s="27" t="n">
        <f aca="false">MIN(AR120*(1+K$8),MAX(BD121,$B$12-SUM(BE121:BM121)))</f>
        <v>0</v>
      </c>
    </row>
    <row r="122" customFormat="false" ht="15" hidden="false" customHeight="false" outlineLevel="0" collapsed="false">
      <c r="A122" s="0" t="n">
        <v>108</v>
      </c>
      <c r="B122" s="27" t="n">
        <f aca="false">ROUND(MAX(0,B121*(1+B$8)-X122),2)</f>
        <v>0</v>
      </c>
      <c r="C122" s="27" t="n">
        <f aca="false">ROUND(MAX(0,C121*(1+C$8)-Y122),2)</f>
        <v>0</v>
      </c>
      <c r="D122" s="27" t="n">
        <f aca="false">ROUND(MAX(0,D121*(1+D$8)-Z122),2)</f>
        <v>0</v>
      </c>
      <c r="E122" s="27" t="n">
        <f aca="false">ROUND(MAX(0,E121*(1+E$8)-AA122),2)</f>
        <v>0</v>
      </c>
      <c r="F122" s="27" t="n">
        <f aca="false">ROUND(MAX(0,F121*(1+F$8)-AB122),2)</f>
        <v>0</v>
      </c>
      <c r="G122" s="27" t="n">
        <f aca="false">ROUND(MAX(0,G121*(1+G$8)-AC122),2)</f>
        <v>0</v>
      </c>
      <c r="H122" s="27" t="n">
        <f aca="false">ROUND(MAX(0,H121*(1+H$8)-AD122),2)</f>
        <v>0</v>
      </c>
      <c r="I122" s="27" t="n">
        <f aca="false">ROUND(MAX(0,I121*(1+I$8)-AE122),2)</f>
        <v>0</v>
      </c>
      <c r="J122" s="27" t="n">
        <f aca="false">ROUND(MAX(0,J121*(1+J$8)-AF122),2)</f>
        <v>0</v>
      </c>
      <c r="K122" s="27" t="n">
        <f aca="false">ROUND(MAX(0,K121*(1+K$8)-AG122),2)</f>
        <v>0</v>
      </c>
      <c r="L122" s="30" t="n">
        <f aca="false">SUM(B122:K122)</f>
        <v>0</v>
      </c>
      <c r="M122" s="27" t="n">
        <f aca="false">SUMPRODUCT(B121:K121,$B$8:$K$8)</f>
        <v>0</v>
      </c>
      <c r="N122" s="27" t="n">
        <f aca="false">MIN(B121*(1+B$8),B$9)</f>
        <v>0</v>
      </c>
      <c r="O122" s="27" t="n">
        <f aca="false">MIN(C121*(1+C$8),C$9)</f>
        <v>0</v>
      </c>
      <c r="P122" s="27" t="n">
        <f aca="false">MIN(D121*(1+D$8),D$9)</f>
        <v>0</v>
      </c>
      <c r="Q122" s="27" t="n">
        <f aca="false">MIN(E121*(1+E$8),E$9)</f>
        <v>0</v>
      </c>
      <c r="R122" s="27" t="n">
        <f aca="false">MIN(F121*(1+F$8),F$9)</f>
        <v>0</v>
      </c>
      <c r="S122" s="27" t="n">
        <f aca="false">MIN(G121*(1+G$8),G$9)</f>
        <v>0</v>
      </c>
      <c r="T122" s="27" t="n">
        <f aca="false">MIN(H121*(1+H$8),H$9)</f>
        <v>0</v>
      </c>
      <c r="U122" s="27" t="n">
        <f aca="false">MIN(I121*(1+I$8),I$9)</f>
        <v>0</v>
      </c>
      <c r="V122" s="27" t="n">
        <f aca="false">MIN(J121*(1+J$8),J$9)</f>
        <v>0</v>
      </c>
      <c r="W122" s="27" t="n">
        <f aca="false">MIN(K121*(1+K$8),K$9)</f>
        <v>0</v>
      </c>
      <c r="X122" s="27" t="n">
        <f aca="false">MIN(B121*(1+B$8),MAX(N122,$B$11-SUM(O122:W122)))</f>
        <v>0</v>
      </c>
      <c r="Y122" s="27" t="n">
        <f aca="false">MIN(C121*(1+C$8),MAX(O122,$B$11-SUM(X122:X122)-SUM(P122:W122)))</f>
        <v>0</v>
      </c>
      <c r="Z122" s="27" t="n">
        <f aca="false">MIN(D121*(1+D$8),MAX(P122,$B$11-SUM(X122:Y122)-SUM(Q122:W122)))</f>
        <v>0</v>
      </c>
      <c r="AA122" s="27" t="n">
        <f aca="false">MIN(E121*(1+E$8),MAX(Q122,$B$11-SUM(X122:Z122)-SUM(R122:W122)))</f>
        <v>0</v>
      </c>
      <c r="AB122" s="27" t="n">
        <f aca="false">MIN(F121*(1+F$8),MAX(R122,$B$11-SUM(X122:AA122)-SUM(S122:W122)))</f>
        <v>0</v>
      </c>
      <c r="AC122" s="27" t="n">
        <f aca="false">MIN(G121*(1+G$8),MAX(S122,$B$11-SUM(X122:AB122)-SUM(T122:W122)))</f>
        <v>0</v>
      </c>
      <c r="AD122" s="27" t="n">
        <f aca="false">MIN(H121*(1+H$8),MAX(T122,$B$11-SUM(X122:AC122)-SUM(U122:W122)))</f>
        <v>0</v>
      </c>
      <c r="AE122" s="27" t="n">
        <f aca="false">MIN(I121*(1+I$8),MAX(U122,$B$11-SUM(X122:AD122)-SUM(V122:W122)))</f>
        <v>0</v>
      </c>
      <c r="AF122" s="27" t="n">
        <f aca="false">MIN(J121*(1+J$8),MAX(V122,$B$11-SUM(X122:AE122)-SUM(W122:W122)))</f>
        <v>0</v>
      </c>
      <c r="AG122" s="27" t="n">
        <f aca="false">MIN(K121*(1+K$8),MAX(W122,$B$11-SUM(X122:AF122)))</f>
        <v>0</v>
      </c>
      <c r="AI122" s="27" t="n">
        <f aca="false">ROUND(MAX(0,AI121*(1+B$8)-BE122),2)</f>
        <v>0</v>
      </c>
      <c r="AJ122" s="27" t="n">
        <f aca="false">ROUND(MAX(0,AJ121*(1+C$8)-BF122),2)</f>
        <v>0</v>
      </c>
      <c r="AK122" s="27" t="n">
        <f aca="false">ROUND(MAX(0,AK121*(1+D$8)-BG122),2)</f>
        <v>0</v>
      </c>
      <c r="AL122" s="27" t="n">
        <f aca="false">ROUND(MAX(0,AL121*(1+E$8)-BH122),2)</f>
        <v>0</v>
      </c>
      <c r="AM122" s="27" t="n">
        <f aca="false">ROUND(MAX(0,AM121*(1+F$8)-BI122),2)</f>
        <v>0</v>
      </c>
      <c r="AN122" s="27" t="n">
        <f aca="false">ROUND(MAX(0,AN121*(1+G$8)-BJ122),2)</f>
        <v>0</v>
      </c>
      <c r="AO122" s="27" t="n">
        <f aca="false">ROUND(MAX(0,AO121*(1+H$8)-BK122),2)</f>
        <v>0</v>
      </c>
      <c r="AP122" s="27" t="n">
        <f aca="false">ROUND(MAX(0,AP121*(1+I$8)-BL122),2)</f>
        <v>0</v>
      </c>
      <c r="AQ122" s="27" t="n">
        <f aca="false">ROUND(MAX(0,AQ121*(1+J$8)-BM122),2)</f>
        <v>0</v>
      </c>
      <c r="AR122" s="27" t="n">
        <f aca="false">ROUND(MAX(0,AR121*(1+K$8)-BN122),2)</f>
        <v>0</v>
      </c>
      <c r="AS122" s="27" t="n">
        <f aca="false">SUM(AI122:AR122)</f>
        <v>0</v>
      </c>
      <c r="AT122" s="27" t="n">
        <f aca="false">SUMPRODUCT(AI121:AR121,$B$8:$K$8)</f>
        <v>0</v>
      </c>
      <c r="AU122" s="27" t="n">
        <f aca="false">MIN(AI121*(1+B$8),B$9)</f>
        <v>0</v>
      </c>
      <c r="AV122" s="27" t="n">
        <f aca="false">MIN(AJ121*(1+C$8),C$9)</f>
        <v>0</v>
      </c>
      <c r="AW122" s="27" t="n">
        <f aca="false">MIN(AK121*(1+D$8),D$9)</f>
        <v>0</v>
      </c>
      <c r="AX122" s="27" t="n">
        <f aca="false">MIN(AL121*(1+E$8),E$9)</f>
        <v>0</v>
      </c>
      <c r="AY122" s="27" t="n">
        <f aca="false">MIN(AM121*(1+F$8),F$9)</f>
        <v>0</v>
      </c>
      <c r="AZ122" s="27" t="n">
        <f aca="false">MIN(AN121*(1+G$8),G$9)</f>
        <v>0</v>
      </c>
      <c r="BA122" s="27" t="n">
        <f aca="false">MIN(AO121*(1+H$8),H$9)</f>
        <v>0</v>
      </c>
      <c r="BB122" s="27" t="n">
        <f aca="false">MIN(AP121*(1+I$8),I$9)</f>
        <v>0</v>
      </c>
      <c r="BC122" s="27" t="n">
        <f aca="false">MIN(AQ121*(1+J$8),J$9)</f>
        <v>0</v>
      </c>
      <c r="BD122" s="27" t="n">
        <f aca="false">MIN(AR121*(1+K$8),K$9)</f>
        <v>0</v>
      </c>
      <c r="BE122" s="27" t="n">
        <f aca="false">MIN(AI121*(1+B$8),MAX(AU122,$B$12-SUM(AV122:BD122)))</f>
        <v>0</v>
      </c>
      <c r="BF122" s="27" t="n">
        <f aca="false">MIN(AJ121*(1+C$8),MAX(AV122,$B$12-SUM(BE122:BE122)-SUM(AW122:BD122)))</f>
        <v>0</v>
      </c>
      <c r="BG122" s="27" t="n">
        <f aca="false">MIN(AK121*(1+D$8),MAX(AW122,$B$12-SUM(BE122:BF122)-SUM(AX122:BD122)))</f>
        <v>0</v>
      </c>
      <c r="BH122" s="27" t="n">
        <f aca="false">MIN(AL121*(1+E$8),MAX(AX122,$B$12-SUM(BE122:BG122)-SUM(AY122:BD122)))</f>
        <v>0</v>
      </c>
      <c r="BI122" s="27" t="n">
        <f aca="false">MIN(AM121*(1+F$8),MAX(AY122,$B$12-SUM(BE122:BH122)-SUM(AZ122:BD122)))</f>
        <v>0</v>
      </c>
      <c r="BJ122" s="27" t="n">
        <f aca="false">MIN(AN121*(1+G$8),MAX(AZ122,$B$12-SUM(BE122:BI122)-SUM(BA122:BD122)))</f>
        <v>0</v>
      </c>
      <c r="BK122" s="27" t="n">
        <f aca="false">MIN(AO121*(1+H$8),MAX(BA122,$B$12-SUM(BE122:BJ122)-SUM(BB122:BD122)))</f>
        <v>0</v>
      </c>
      <c r="BL122" s="27" t="n">
        <f aca="false">MIN(AP121*(1+I$8),MAX(BB122,$B$12-SUM(BE122:BK122)-SUM(BC122:BD122)))</f>
        <v>0</v>
      </c>
      <c r="BM122" s="27" t="n">
        <f aca="false">MIN(AQ121*(1+J$8),MAX(BC122,$B$12-SUM(BE122:BL122)-SUM(BD122:BD122)))</f>
        <v>0</v>
      </c>
      <c r="BN122" s="27" t="n">
        <f aca="false">MIN(AR121*(1+K$8),MAX(BD122,$B$12-SUM(BE122:BM122)))</f>
        <v>0</v>
      </c>
    </row>
    <row r="123" customFormat="false" ht="15" hidden="false" customHeight="false" outlineLevel="0" collapsed="false">
      <c r="A123" s="0" t="n">
        <v>109</v>
      </c>
      <c r="B123" s="27" t="n">
        <f aca="false">ROUND(MAX(0,B122*(1+B$8)-X123),2)</f>
        <v>0</v>
      </c>
      <c r="C123" s="27" t="n">
        <f aca="false">ROUND(MAX(0,C122*(1+C$8)-Y123),2)</f>
        <v>0</v>
      </c>
      <c r="D123" s="27" t="n">
        <f aca="false">ROUND(MAX(0,D122*(1+D$8)-Z123),2)</f>
        <v>0</v>
      </c>
      <c r="E123" s="27" t="n">
        <f aca="false">ROUND(MAX(0,E122*(1+E$8)-AA123),2)</f>
        <v>0</v>
      </c>
      <c r="F123" s="27" t="n">
        <f aca="false">ROUND(MAX(0,F122*(1+F$8)-AB123),2)</f>
        <v>0</v>
      </c>
      <c r="G123" s="27" t="n">
        <f aca="false">ROUND(MAX(0,G122*(1+G$8)-AC123),2)</f>
        <v>0</v>
      </c>
      <c r="H123" s="27" t="n">
        <f aca="false">ROUND(MAX(0,H122*(1+H$8)-AD123),2)</f>
        <v>0</v>
      </c>
      <c r="I123" s="27" t="n">
        <f aca="false">ROUND(MAX(0,I122*(1+I$8)-AE123),2)</f>
        <v>0</v>
      </c>
      <c r="J123" s="27" t="n">
        <f aca="false">ROUND(MAX(0,J122*(1+J$8)-AF123),2)</f>
        <v>0</v>
      </c>
      <c r="K123" s="27" t="n">
        <f aca="false">ROUND(MAX(0,K122*(1+K$8)-AG123),2)</f>
        <v>0</v>
      </c>
      <c r="L123" s="30" t="n">
        <f aca="false">SUM(B123:K123)</f>
        <v>0</v>
      </c>
      <c r="M123" s="27" t="n">
        <f aca="false">SUMPRODUCT(B122:K122,$B$8:$K$8)</f>
        <v>0</v>
      </c>
      <c r="N123" s="27" t="n">
        <f aca="false">MIN(B122*(1+B$8),B$9)</f>
        <v>0</v>
      </c>
      <c r="O123" s="27" t="n">
        <f aca="false">MIN(C122*(1+C$8),C$9)</f>
        <v>0</v>
      </c>
      <c r="P123" s="27" t="n">
        <f aca="false">MIN(D122*(1+D$8),D$9)</f>
        <v>0</v>
      </c>
      <c r="Q123" s="27" t="n">
        <f aca="false">MIN(E122*(1+E$8),E$9)</f>
        <v>0</v>
      </c>
      <c r="R123" s="27" t="n">
        <f aca="false">MIN(F122*(1+F$8),F$9)</f>
        <v>0</v>
      </c>
      <c r="S123" s="27" t="n">
        <f aca="false">MIN(G122*(1+G$8),G$9)</f>
        <v>0</v>
      </c>
      <c r="T123" s="27" t="n">
        <f aca="false">MIN(H122*(1+H$8),H$9)</f>
        <v>0</v>
      </c>
      <c r="U123" s="27" t="n">
        <f aca="false">MIN(I122*(1+I$8),I$9)</f>
        <v>0</v>
      </c>
      <c r="V123" s="27" t="n">
        <f aca="false">MIN(J122*(1+J$8),J$9)</f>
        <v>0</v>
      </c>
      <c r="W123" s="27" t="n">
        <f aca="false">MIN(K122*(1+K$8),K$9)</f>
        <v>0</v>
      </c>
      <c r="X123" s="27" t="n">
        <f aca="false">MIN(B122*(1+B$8),MAX(N123,$B$11-SUM(O123:W123)))</f>
        <v>0</v>
      </c>
      <c r="Y123" s="27" t="n">
        <f aca="false">MIN(C122*(1+C$8),MAX(O123,$B$11-SUM(X123:X123)-SUM(P123:W123)))</f>
        <v>0</v>
      </c>
      <c r="Z123" s="27" t="n">
        <f aca="false">MIN(D122*(1+D$8),MAX(P123,$B$11-SUM(X123:Y123)-SUM(Q123:W123)))</f>
        <v>0</v>
      </c>
      <c r="AA123" s="27" t="n">
        <f aca="false">MIN(E122*(1+E$8),MAX(Q123,$B$11-SUM(X123:Z123)-SUM(R123:W123)))</f>
        <v>0</v>
      </c>
      <c r="AB123" s="27" t="n">
        <f aca="false">MIN(F122*(1+F$8),MAX(R123,$B$11-SUM(X123:AA123)-SUM(S123:W123)))</f>
        <v>0</v>
      </c>
      <c r="AC123" s="27" t="n">
        <f aca="false">MIN(G122*(1+G$8),MAX(S123,$B$11-SUM(X123:AB123)-SUM(T123:W123)))</f>
        <v>0</v>
      </c>
      <c r="AD123" s="27" t="n">
        <f aca="false">MIN(H122*(1+H$8),MAX(T123,$B$11-SUM(X123:AC123)-SUM(U123:W123)))</f>
        <v>0</v>
      </c>
      <c r="AE123" s="27" t="n">
        <f aca="false">MIN(I122*(1+I$8),MAX(U123,$B$11-SUM(X123:AD123)-SUM(V123:W123)))</f>
        <v>0</v>
      </c>
      <c r="AF123" s="27" t="n">
        <f aca="false">MIN(J122*(1+J$8),MAX(V123,$B$11-SUM(X123:AE123)-SUM(W123:W123)))</f>
        <v>0</v>
      </c>
      <c r="AG123" s="27" t="n">
        <f aca="false">MIN(K122*(1+K$8),MAX(W123,$B$11-SUM(X123:AF123)))</f>
        <v>0</v>
      </c>
      <c r="AI123" s="27" t="n">
        <f aca="false">ROUND(MAX(0,AI122*(1+B$8)-BE123),2)</f>
        <v>0</v>
      </c>
      <c r="AJ123" s="27" t="n">
        <f aca="false">ROUND(MAX(0,AJ122*(1+C$8)-BF123),2)</f>
        <v>0</v>
      </c>
      <c r="AK123" s="27" t="n">
        <f aca="false">ROUND(MAX(0,AK122*(1+D$8)-BG123),2)</f>
        <v>0</v>
      </c>
      <c r="AL123" s="27" t="n">
        <f aca="false">ROUND(MAX(0,AL122*(1+E$8)-BH123),2)</f>
        <v>0</v>
      </c>
      <c r="AM123" s="27" t="n">
        <f aca="false">ROUND(MAX(0,AM122*(1+F$8)-BI123),2)</f>
        <v>0</v>
      </c>
      <c r="AN123" s="27" t="n">
        <f aca="false">ROUND(MAX(0,AN122*(1+G$8)-BJ123),2)</f>
        <v>0</v>
      </c>
      <c r="AO123" s="27" t="n">
        <f aca="false">ROUND(MAX(0,AO122*(1+H$8)-BK123),2)</f>
        <v>0</v>
      </c>
      <c r="AP123" s="27" t="n">
        <f aca="false">ROUND(MAX(0,AP122*(1+I$8)-BL123),2)</f>
        <v>0</v>
      </c>
      <c r="AQ123" s="27" t="n">
        <f aca="false">ROUND(MAX(0,AQ122*(1+J$8)-BM123),2)</f>
        <v>0</v>
      </c>
      <c r="AR123" s="27" t="n">
        <f aca="false">ROUND(MAX(0,AR122*(1+K$8)-BN123),2)</f>
        <v>0</v>
      </c>
      <c r="AS123" s="27" t="n">
        <f aca="false">SUM(AI123:AR123)</f>
        <v>0</v>
      </c>
      <c r="AT123" s="27" t="n">
        <f aca="false">SUMPRODUCT(AI122:AR122,$B$8:$K$8)</f>
        <v>0</v>
      </c>
      <c r="AU123" s="27" t="n">
        <f aca="false">MIN(AI122*(1+B$8),B$9)</f>
        <v>0</v>
      </c>
      <c r="AV123" s="27" t="n">
        <f aca="false">MIN(AJ122*(1+C$8),C$9)</f>
        <v>0</v>
      </c>
      <c r="AW123" s="27" t="n">
        <f aca="false">MIN(AK122*(1+D$8),D$9)</f>
        <v>0</v>
      </c>
      <c r="AX123" s="27" t="n">
        <f aca="false">MIN(AL122*(1+E$8),E$9)</f>
        <v>0</v>
      </c>
      <c r="AY123" s="27" t="n">
        <f aca="false">MIN(AM122*(1+F$8),F$9)</f>
        <v>0</v>
      </c>
      <c r="AZ123" s="27" t="n">
        <f aca="false">MIN(AN122*(1+G$8),G$9)</f>
        <v>0</v>
      </c>
      <c r="BA123" s="27" t="n">
        <f aca="false">MIN(AO122*(1+H$8),H$9)</f>
        <v>0</v>
      </c>
      <c r="BB123" s="27" t="n">
        <f aca="false">MIN(AP122*(1+I$8),I$9)</f>
        <v>0</v>
      </c>
      <c r="BC123" s="27" t="n">
        <f aca="false">MIN(AQ122*(1+J$8),J$9)</f>
        <v>0</v>
      </c>
      <c r="BD123" s="27" t="n">
        <f aca="false">MIN(AR122*(1+K$8),K$9)</f>
        <v>0</v>
      </c>
      <c r="BE123" s="27" t="n">
        <f aca="false">MIN(AI122*(1+B$8),MAX(AU123,$B$12-SUM(AV123:BD123)))</f>
        <v>0</v>
      </c>
      <c r="BF123" s="27" t="n">
        <f aca="false">MIN(AJ122*(1+C$8),MAX(AV123,$B$12-SUM(BE123:BE123)-SUM(AW123:BD123)))</f>
        <v>0</v>
      </c>
      <c r="BG123" s="27" t="n">
        <f aca="false">MIN(AK122*(1+D$8),MAX(AW123,$B$12-SUM(BE123:BF123)-SUM(AX123:BD123)))</f>
        <v>0</v>
      </c>
      <c r="BH123" s="27" t="n">
        <f aca="false">MIN(AL122*(1+E$8),MAX(AX123,$B$12-SUM(BE123:BG123)-SUM(AY123:BD123)))</f>
        <v>0</v>
      </c>
      <c r="BI123" s="27" t="n">
        <f aca="false">MIN(AM122*(1+F$8),MAX(AY123,$B$12-SUM(BE123:BH123)-SUM(AZ123:BD123)))</f>
        <v>0</v>
      </c>
      <c r="BJ123" s="27" t="n">
        <f aca="false">MIN(AN122*(1+G$8),MAX(AZ123,$B$12-SUM(BE123:BI123)-SUM(BA123:BD123)))</f>
        <v>0</v>
      </c>
      <c r="BK123" s="27" t="n">
        <f aca="false">MIN(AO122*(1+H$8),MAX(BA123,$B$12-SUM(BE123:BJ123)-SUM(BB123:BD123)))</f>
        <v>0</v>
      </c>
      <c r="BL123" s="27" t="n">
        <f aca="false">MIN(AP122*(1+I$8),MAX(BB123,$B$12-SUM(BE123:BK123)-SUM(BC123:BD123)))</f>
        <v>0</v>
      </c>
      <c r="BM123" s="27" t="n">
        <f aca="false">MIN(AQ122*(1+J$8),MAX(BC123,$B$12-SUM(BE123:BL123)-SUM(BD123:BD123)))</f>
        <v>0</v>
      </c>
      <c r="BN123" s="27" t="n">
        <f aca="false">MIN(AR122*(1+K$8),MAX(BD123,$B$12-SUM(BE123:BM123)))</f>
        <v>0</v>
      </c>
    </row>
    <row r="124" customFormat="false" ht="15" hidden="false" customHeight="false" outlineLevel="0" collapsed="false">
      <c r="A124" s="0" t="n">
        <v>110</v>
      </c>
      <c r="B124" s="27" t="n">
        <f aca="false">ROUND(MAX(0,B123*(1+B$8)-X124),2)</f>
        <v>0</v>
      </c>
      <c r="C124" s="27" t="n">
        <f aca="false">ROUND(MAX(0,C123*(1+C$8)-Y124),2)</f>
        <v>0</v>
      </c>
      <c r="D124" s="27" t="n">
        <f aca="false">ROUND(MAX(0,D123*(1+D$8)-Z124),2)</f>
        <v>0</v>
      </c>
      <c r="E124" s="27" t="n">
        <f aca="false">ROUND(MAX(0,E123*(1+E$8)-AA124),2)</f>
        <v>0</v>
      </c>
      <c r="F124" s="27" t="n">
        <f aca="false">ROUND(MAX(0,F123*(1+F$8)-AB124),2)</f>
        <v>0</v>
      </c>
      <c r="G124" s="27" t="n">
        <f aca="false">ROUND(MAX(0,G123*(1+G$8)-AC124),2)</f>
        <v>0</v>
      </c>
      <c r="H124" s="27" t="n">
        <f aca="false">ROUND(MAX(0,H123*(1+H$8)-AD124),2)</f>
        <v>0</v>
      </c>
      <c r="I124" s="27" t="n">
        <f aca="false">ROUND(MAX(0,I123*(1+I$8)-AE124),2)</f>
        <v>0</v>
      </c>
      <c r="J124" s="27" t="n">
        <f aca="false">ROUND(MAX(0,J123*(1+J$8)-AF124),2)</f>
        <v>0</v>
      </c>
      <c r="K124" s="27" t="n">
        <f aca="false">ROUND(MAX(0,K123*(1+K$8)-AG124),2)</f>
        <v>0</v>
      </c>
      <c r="L124" s="30" t="n">
        <f aca="false">SUM(B124:K124)</f>
        <v>0</v>
      </c>
      <c r="M124" s="27" t="n">
        <f aca="false">SUMPRODUCT(B123:K123,$B$8:$K$8)</f>
        <v>0</v>
      </c>
      <c r="N124" s="27" t="n">
        <f aca="false">MIN(B123*(1+B$8),B$9)</f>
        <v>0</v>
      </c>
      <c r="O124" s="27" t="n">
        <f aca="false">MIN(C123*(1+C$8),C$9)</f>
        <v>0</v>
      </c>
      <c r="P124" s="27" t="n">
        <f aca="false">MIN(D123*(1+D$8),D$9)</f>
        <v>0</v>
      </c>
      <c r="Q124" s="27" t="n">
        <f aca="false">MIN(E123*(1+E$8),E$9)</f>
        <v>0</v>
      </c>
      <c r="R124" s="27" t="n">
        <f aca="false">MIN(F123*(1+F$8),F$9)</f>
        <v>0</v>
      </c>
      <c r="S124" s="27" t="n">
        <f aca="false">MIN(G123*(1+G$8),G$9)</f>
        <v>0</v>
      </c>
      <c r="T124" s="27" t="n">
        <f aca="false">MIN(H123*(1+H$8),H$9)</f>
        <v>0</v>
      </c>
      <c r="U124" s="27" t="n">
        <f aca="false">MIN(I123*(1+I$8),I$9)</f>
        <v>0</v>
      </c>
      <c r="V124" s="27" t="n">
        <f aca="false">MIN(J123*(1+J$8),J$9)</f>
        <v>0</v>
      </c>
      <c r="W124" s="27" t="n">
        <f aca="false">MIN(K123*(1+K$8),K$9)</f>
        <v>0</v>
      </c>
      <c r="X124" s="27" t="n">
        <f aca="false">MIN(B123*(1+B$8),MAX(N124,$B$11-SUM(O124:W124)))</f>
        <v>0</v>
      </c>
      <c r="Y124" s="27" t="n">
        <f aca="false">MIN(C123*(1+C$8),MAX(O124,$B$11-SUM(X124:X124)-SUM(P124:W124)))</f>
        <v>0</v>
      </c>
      <c r="Z124" s="27" t="n">
        <f aca="false">MIN(D123*(1+D$8),MAX(P124,$B$11-SUM(X124:Y124)-SUM(Q124:W124)))</f>
        <v>0</v>
      </c>
      <c r="AA124" s="27" t="n">
        <f aca="false">MIN(E123*(1+E$8),MAX(Q124,$B$11-SUM(X124:Z124)-SUM(R124:W124)))</f>
        <v>0</v>
      </c>
      <c r="AB124" s="27" t="n">
        <f aca="false">MIN(F123*(1+F$8),MAX(R124,$B$11-SUM(X124:AA124)-SUM(S124:W124)))</f>
        <v>0</v>
      </c>
      <c r="AC124" s="27" t="n">
        <f aca="false">MIN(G123*(1+G$8),MAX(S124,$B$11-SUM(X124:AB124)-SUM(T124:W124)))</f>
        <v>0</v>
      </c>
      <c r="AD124" s="27" t="n">
        <f aca="false">MIN(H123*(1+H$8),MAX(T124,$B$11-SUM(X124:AC124)-SUM(U124:W124)))</f>
        <v>0</v>
      </c>
      <c r="AE124" s="27" t="n">
        <f aca="false">MIN(I123*(1+I$8),MAX(U124,$B$11-SUM(X124:AD124)-SUM(V124:W124)))</f>
        <v>0</v>
      </c>
      <c r="AF124" s="27" t="n">
        <f aca="false">MIN(J123*(1+J$8),MAX(V124,$B$11-SUM(X124:AE124)-SUM(W124:W124)))</f>
        <v>0</v>
      </c>
      <c r="AG124" s="27" t="n">
        <f aca="false">MIN(K123*(1+K$8),MAX(W124,$B$11-SUM(X124:AF124)))</f>
        <v>0</v>
      </c>
      <c r="AI124" s="27" t="n">
        <f aca="false">ROUND(MAX(0,AI123*(1+B$8)-BE124),2)</f>
        <v>0</v>
      </c>
      <c r="AJ124" s="27" t="n">
        <f aca="false">ROUND(MAX(0,AJ123*(1+C$8)-BF124),2)</f>
        <v>0</v>
      </c>
      <c r="AK124" s="27" t="n">
        <f aca="false">ROUND(MAX(0,AK123*(1+D$8)-BG124),2)</f>
        <v>0</v>
      </c>
      <c r="AL124" s="27" t="n">
        <f aca="false">ROUND(MAX(0,AL123*(1+E$8)-BH124),2)</f>
        <v>0</v>
      </c>
      <c r="AM124" s="27" t="n">
        <f aca="false">ROUND(MAX(0,AM123*(1+F$8)-BI124),2)</f>
        <v>0</v>
      </c>
      <c r="AN124" s="27" t="n">
        <f aca="false">ROUND(MAX(0,AN123*(1+G$8)-BJ124),2)</f>
        <v>0</v>
      </c>
      <c r="AO124" s="27" t="n">
        <f aca="false">ROUND(MAX(0,AO123*(1+H$8)-BK124),2)</f>
        <v>0</v>
      </c>
      <c r="AP124" s="27" t="n">
        <f aca="false">ROUND(MAX(0,AP123*(1+I$8)-BL124),2)</f>
        <v>0</v>
      </c>
      <c r="AQ124" s="27" t="n">
        <f aca="false">ROUND(MAX(0,AQ123*(1+J$8)-BM124),2)</f>
        <v>0</v>
      </c>
      <c r="AR124" s="27" t="n">
        <f aca="false">ROUND(MAX(0,AR123*(1+K$8)-BN124),2)</f>
        <v>0</v>
      </c>
      <c r="AS124" s="27" t="n">
        <f aca="false">SUM(AI124:AR124)</f>
        <v>0</v>
      </c>
      <c r="AT124" s="27" t="n">
        <f aca="false">SUMPRODUCT(AI123:AR123,$B$8:$K$8)</f>
        <v>0</v>
      </c>
      <c r="AU124" s="27" t="n">
        <f aca="false">MIN(AI123*(1+B$8),B$9)</f>
        <v>0</v>
      </c>
      <c r="AV124" s="27" t="n">
        <f aca="false">MIN(AJ123*(1+C$8),C$9)</f>
        <v>0</v>
      </c>
      <c r="AW124" s="27" t="n">
        <f aca="false">MIN(AK123*(1+D$8),D$9)</f>
        <v>0</v>
      </c>
      <c r="AX124" s="27" t="n">
        <f aca="false">MIN(AL123*(1+E$8),E$9)</f>
        <v>0</v>
      </c>
      <c r="AY124" s="27" t="n">
        <f aca="false">MIN(AM123*(1+F$8),F$9)</f>
        <v>0</v>
      </c>
      <c r="AZ124" s="27" t="n">
        <f aca="false">MIN(AN123*(1+G$8),G$9)</f>
        <v>0</v>
      </c>
      <c r="BA124" s="27" t="n">
        <f aca="false">MIN(AO123*(1+H$8),H$9)</f>
        <v>0</v>
      </c>
      <c r="BB124" s="27" t="n">
        <f aca="false">MIN(AP123*(1+I$8),I$9)</f>
        <v>0</v>
      </c>
      <c r="BC124" s="27" t="n">
        <f aca="false">MIN(AQ123*(1+J$8),J$9)</f>
        <v>0</v>
      </c>
      <c r="BD124" s="27" t="n">
        <f aca="false">MIN(AR123*(1+K$8),K$9)</f>
        <v>0</v>
      </c>
      <c r="BE124" s="27" t="n">
        <f aca="false">MIN(AI123*(1+B$8),MAX(AU124,$B$12-SUM(AV124:BD124)))</f>
        <v>0</v>
      </c>
      <c r="BF124" s="27" t="n">
        <f aca="false">MIN(AJ123*(1+C$8),MAX(AV124,$B$12-SUM(BE124:BE124)-SUM(AW124:BD124)))</f>
        <v>0</v>
      </c>
      <c r="BG124" s="27" t="n">
        <f aca="false">MIN(AK123*(1+D$8),MAX(AW124,$B$12-SUM(BE124:BF124)-SUM(AX124:BD124)))</f>
        <v>0</v>
      </c>
      <c r="BH124" s="27" t="n">
        <f aca="false">MIN(AL123*(1+E$8),MAX(AX124,$B$12-SUM(BE124:BG124)-SUM(AY124:BD124)))</f>
        <v>0</v>
      </c>
      <c r="BI124" s="27" t="n">
        <f aca="false">MIN(AM123*(1+F$8),MAX(AY124,$B$12-SUM(BE124:BH124)-SUM(AZ124:BD124)))</f>
        <v>0</v>
      </c>
      <c r="BJ124" s="27" t="n">
        <f aca="false">MIN(AN123*(1+G$8),MAX(AZ124,$B$12-SUM(BE124:BI124)-SUM(BA124:BD124)))</f>
        <v>0</v>
      </c>
      <c r="BK124" s="27" t="n">
        <f aca="false">MIN(AO123*(1+H$8),MAX(BA124,$B$12-SUM(BE124:BJ124)-SUM(BB124:BD124)))</f>
        <v>0</v>
      </c>
      <c r="BL124" s="27" t="n">
        <f aca="false">MIN(AP123*(1+I$8),MAX(BB124,$B$12-SUM(BE124:BK124)-SUM(BC124:BD124)))</f>
        <v>0</v>
      </c>
      <c r="BM124" s="27" t="n">
        <f aca="false">MIN(AQ123*(1+J$8),MAX(BC124,$B$12-SUM(BE124:BL124)-SUM(BD124:BD124)))</f>
        <v>0</v>
      </c>
      <c r="BN124" s="27" t="n">
        <f aca="false">MIN(AR123*(1+K$8),MAX(BD124,$B$12-SUM(BE124:BM124)))</f>
        <v>0</v>
      </c>
    </row>
    <row r="125" customFormat="false" ht="15" hidden="false" customHeight="false" outlineLevel="0" collapsed="false">
      <c r="A125" s="0" t="n">
        <v>111</v>
      </c>
      <c r="B125" s="27" t="n">
        <f aca="false">ROUND(MAX(0,B124*(1+B$8)-X125),2)</f>
        <v>0</v>
      </c>
      <c r="C125" s="27" t="n">
        <f aca="false">ROUND(MAX(0,C124*(1+C$8)-Y125),2)</f>
        <v>0</v>
      </c>
      <c r="D125" s="27" t="n">
        <f aca="false">ROUND(MAX(0,D124*(1+D$8)-Z125),2)</f>
        <v>0</v>
      </c>
      <c r="E125" s="27" t="n">
        <f aca="false">ROUND(MAX(0,E124*(1+E$8)-AA125),2)</f>
        <v>0</v>
      </c>
      <c r="F125" s="27" t="n">
        <f aca="false">ROUND(MAX(0,F124*(1+F$8)-AB125),2)</f>
        <v>0</v>
      </c>
      <c r="G125" s="27" t="n">
        <f aca="false">ROUND(MAX(0,G124*(1+G$8)-AC125),2)</f>
        <v>0</v>
      </c>
      <c r="H125" s="27" t="n">
        <f aca="false">ROUND(MAX(0,H124*(1+H$8)-AD125),2)</f>
        <v>0</v>
      </c>
      <c r="I125" s="27" t="n">
        <f aca="false">ROUND(MAX(0,I124*(1+I$8)-AE125),2)</f>
        <v>0</v>
      </c>
      <c r="J125" s="27" t="n">
        <f aca="false">ROUND(MAX(0,J124*(1+J$8)-AF125),2)</f>
        <v>0</v>
      </c>
      <c r="K125" s="27" t="n">
        <f aca="false">ROUND(MAX(0,K124*(1+K$8)-AG125),2)</f>
        <v>0</v>
      </c>
      <c r="L125" s="30" t="n">
        <f aca="false">SUM(B125:K125)</f>
        <v>0</v>
      </c>
      <c r="M125" s="27" t="n">
        <f aca="false">SUMPRODUCT(B124:K124,$B$8:$K$8)</f>
        <v>0</v>
      </c>
      <c r="N125" s="27" t="n">
        <f aca="false">MIN(B124*(1+B$8),B$9)</f>
        <v>0</v>
      </c>
      <c r="O125" s="27" t="n">
        <f aca="false">MIN(C124*(1+C$8),C$9)</f>
        <v>0</v>
      </c>
      <c r="P125" s="27" t="n">
        <f aca="false">MIN(D124*(1+D$8),D$9)</f>
        <v>0</v>
      </c>
      <c r="Q125" s="27" t="n">
        <f aca="false">MIN(E124*(1+E$8),E$9)</f>
        <v>0</v>
      </c>
      <c r="R125" s="27" t="n">
        <f aca="false">MIN(F124*(1+F$8),F$9)</f>
        <v>0</v>
      </c>
      <c r="S125" s="27" t="n">
        <f aca="false">MIN(G124*(1+G$8),G$9)</f>
        <v>0</v>
      </c>
      <c r="T125" s="27" t="n">
        <f aca="false">MIN(H124*(1+H$8),H$9)</f>
        <v>0</v>
      </c>
      <c r="U125" s="27" t="n">
        <f aca="false">MIN(I124*(1+I$8),I$9)</f>
        <v>0</v>
      </c>
      <c r="V125" s="27" t="n">
        <f aca="false">MIN(J124*(1+J$8),J$9)</f>
        <v>0</v>
      </c>
      <c r="W125" s="27" t="n">
        <f aca="false">MIN(K124*(1+K$8),K$9)</f>
        <v>0</v>
      </c>
      <c r="X125" s="27" t="n">
        <f aca="false">MIN(B124*(1+B$8),MAX(N125,$B$11-SUM(O125:W125)))</f>
        <v>0</v>
      </c>
      <c r="Y125" s="27" t="n">
        <f aca="false">MIN(C124*(1+C$8),MAX(O125,$B$11-SUM(X125:X125)-SUM(P125:W125)))</f>
        <v>0</v>
      </c>
      <c r="Z125" s="27" t="n">
        <f aca="false">MIN(D124*(1+D$8),MAX(P125,$B$11-SUM(X125:Y125)-SUM(Q125:W125)))</f>
        <v>0</v>
      </c>
      <c r="AA125" s="27" t="n">
        <f aca="false">MIN(E124*(1+E$8),MAX(Q125,$B$11-SUM(X125:Z125)-SUM(R125:W125)))</f>
        <v>0</v>
      </c>
      <c r="AB125" s="27" t="n">
        <f aca="false">MIN(F124*(1+F$8),MAX(R125,$B$11-SUM(X125:AA125)-SUM(S125:W125)))</f>
        <v>0</v>
      </c>
      <c r="AC125" s="27" t="n">
        <f aca="false">MIN(G124*(1+G$8),MAX(S125,$B$11-SUM(X125:AB125)-SUM(T125:W125)))</f>
        <v>0</v>
      </c>
      <c r="AD125" s="27" t="n">
        <f aca="false">MIN(H124*(1+H$8),MAX(T125,$B$11-SUM(X125:AC125)-SUM(U125:W125)))</f>
        <v>0</v>
      </c>
      <c r="AE125" s="27" t="n">
        <f aca="false">MIN(I124*(1+I$8),MAX(U125,$B$11-SUM(X125:AD125)-SUM(V125:W125)))</f>
        <v>0</v>
      </c>
      <c r="AF125" s="27" t="n">
        <f aca="false">MIN(J124*(1+J$8),MAX(V125,$B$11-SUM(X125:AE125)-SUM(W125:W125)))</f>
        <v>0</v>
      </c>
      <c r="AG125" s="27" t="n">
        <f aca="false">MIN(K124*(1+K$8),MAX(W125,$B$11-SUM(X125:AF125)))</f>
        <v>0</v>
      </c>
      <c r="AI125" s="27" t="n">
        <f aca="false">ROUND(MAX(0,AI124*(1+B$8)-BE125),2)</f>
        <v>0</v>
      </c>
      <c r="AJ125" s="27" t="n">
        <f aca="false">ROUND(MAX(0,AJ124*(1+C$8)-BF125),2)</f>
        <v>0</v>
      </c>
      <c r="AK125" s="27" t="n">
        <f aca="false">ROUND(MAX(0,AK124*(1+D$8)-BG125),2)</f>
        <v>0</v>
      </c>
      <c r="AL125" s="27" t="n">
        <f aca="false">ROUND(MAX(0,AL124*(1+E$8)-BH125),2)</f>
        <v>0</v>
      </c>
      <c r="AM125" s="27" t="n">
        <f aca="false">ROUND(MAX(0,AM124*(1+F$8)-BI125),2)</f>
        <v>0</v>
      </c>
      <c r="AN125" s="27" t="n">
        <f aca="false">ROUND(MAX(0,AN124*(1+G$8)-BJ125),2)</f>
        <v>0</v>
      </c>
      <c r="AO125" s="27" t="n">
        <f aca="false">ROUND(MAX(0,AO124*(1+H$8)-BK125),2)</f>
        <v>0</v>
      </c>
      <c r="AP125" s="27" t="n">
        <f aca="false">ROUND(MAX(0,AP124*(1+I$8)-BL125),2)</f>
        <v>0</v>
      </c>
      <c r="AQ125" s="27" t="n">
        <f aca="false">ROUND(MAX(0,AQ124*(1+J$8)-BM125),2)</f>
        <v>0</v>
      </c>
      <c r="AR125" s="27" t="n">
        <f aca="false">ROUND(MAX(0,AR124*(1+K$8)-BN125),2)</f>
        <v>0</v>
      </c>
      <c r="AS125" s="27" t="n">
        <f aca="false">SUM(AI125:AR125)</f>
        <v>0</v>
      </c>
      <c r="AT125" s="27" t="n">
        <f aca="false">SUMPRODUCT(AI124:AR124,$B$8:$K$8)</f>
        <v>0</v>
      </c>
      <c r="AU125" s="27" t="n">
        <f aca="false">MIN(AI124*(1+B$8),B$9)</f>
        <v>0</v>
      </c>
      <c r="AV125" s="27" t="n">
        <f aca="false">MIN(AJ124*(1+C$8),C$9)</f>
        <v>0</v>
      </c>
      <c r="AW125" s="27" t="n">
        <f aca="false">MIN(AK124*(1+D$8),D$9)</f>
        <v>0</v>
      </c>
      <c r="AX125" s="27" t="n">
        <f aca="false">MIN(AL124*(1+E$8),E$9)</f>
        <v>0</v>
      </c>
      <c r="AY125" s="27" t="n">
        <f aca="false">MIN(AM124*(1+F$8),F$9)</f>
        <v>0</v>
      </c>
      <c r="AZ125" s="27" t="n">
        <f aca="false">MIN(AN124*(1+G$8),G$9)</f>
        <v>0</v>
      </c>
      <c r="BA125" s="27" t="n">
        <f aca="false">MIN(AO124*(1+H$8),H$9)</f>
        <v>0</v>
      </c>
      <c r="BB125" s="27" t="n">
        <f aca="false">MIN(AP124*(1+I$8),I$9)</f>
        <v>0</v>
      </c>
      <c r="BC125" s="27" t="n">
        <f aca="false">MIN(AQ124*(1+J$8),J$9)</f>
        <v>0</v>
      </c>
      <c r="BD125" s="27" t="n">
        <f aca="false">MIN(AR124*(1+K$8),K$9)</f>
        <v>0</v>
      </c>
      <c r="BE125" s="27" t="n">
        <f aca="false">MIN(AI124*(1+B$8),MAX(AU125,$B$12-SUM(AV125:BD125)))</f>
        <v>0</v>
      </c>
      <c r="BF125" s="27" t="n">
        <f aca="false">MIN(AJ124*(1+C$8),MAX(AV125,$B$12-SUM(BE125:BE125)-SUM(AW125:BD125)))</f>
        <v>0</v>
      </c>
      <c r="BG125" s="27" t="n">
        <f aca="false">MIN(AK124*(1+D$8),MAX(AW125,$B$12-SUM(BE125:BF125)-SUM(AX125:BD125)))</f>
        <v>0</v>
      </c>
      <c r="BH125" s="27" t="n">
        <f aca="false">MIN(AL124*(1+E$8),MAX(AX125,$B$12-SUM(BE125:BG125)-SUM(AY125:BD125)))</f>
        <v>0</v>
      </c>
      <c r="BI125" s="27" t="n">
        <f aca="false">MIN(AM124*(1+F$8),MAX(AY125,$B$12-SUM(BE125:BH125)-SUM(AZ125:BD125)))</f>
        <v>0</v>
      </c>
      <c r="BJ125" s="27" t="n">
        <f aca="false">MIN(AN124*(1+G$8),MAX(AZ125,$B$12-SUM(BE125:BI125)-SUM(BA125:BD125)))</f>
        <v>0</v>
      </c>
      <c r="BK125" s="27" t="n">
        <f aca="false">MIN(AO124*(1+H$8),MAX(BA125,$B$12-SUM(BE125:BJ125)-SUM(BB125:BD125)))</f>
        <v>0</v>
      </c>
      <c r="BL125" s="27" t="n">
        <f aca="false">MIN(AP124*(1+I$8),MAX(BB125,$B$12-SUM(BE125:BK125)-SUM(BC125:BD125)))</f>
        <v>0</v>
      </c>
      <c r="BM125" s="27" t="n">
        <f aca="false">MIN(AQ124*(1+J$8),MAX(BC125,$B$12-SUM(BE125:BL125)-SUM(BD125:BD125)))</f>
        <v>0</v>
      </c>
      <c r="BN125" s="27" t="n">
        <f aca="false">MIN(AR124*(1+K$8),MAX(BD125,$B$12-SUM(BE125:BM125)))</f>
        <v>0</v>
      </c>
    </row>
    <row r="126" customFormat="false" ht="15" hidden="false" customHeight="false" outlineLevel="0" collapsed="false">
      <c r="A126" s="0" t="n">
        <v>112</v>
      </c>
      <c r="B126" s="27" t="n">
        <f aca="false">ROUND(MAX(0,B125*(1+B$8)-X126),2)</f>
        <v>0</v>
      </c>
      <c r="C126" s="27" t="n">
        <f aca="false">ROUND(MAX(0,C125*(1+C$8)-Y126),2)</f>
        <v>0</v>
      </c>
      <c r="D126" s="27" t="n">
        <f aca="false">ROUND(MAX(0,D125*(1+D$8)-Z126),2)</f>
        <v>0</v>
      </c>
      <c r="E126" s="27" t="n">
        <f aca="false">ROUND(MAX(0,E125*(1+E$8)-AA126),2)</f>
        <v>0</v>
      </c>
      <c r="F126" s="27" t="n">
        <f aca="false">ROUND(MAX(0,F125*(1+F$8)-AB126),2)</f>
        <v>0</v>
      </c>
      <c r="G126" s="27" t="n">
        <f aca="false">ROUND(MAX(0,G125*(1+G$8)-AC126),2)</f>
        <v>0</v>
      </c>
      <c r="H126" s="27" t="n">
        <f aca="false">ROUND(MAX(0,H125*(1+H$8)-AD126),2)</f>
        <v>0</v>
      </c>
      <c r="I126" s="27" t="n">
        <f aca="false">ROUND(MAX(0,I125*(1+I$8)-AE126),2)</f>
        <v>0</v>
      </c>
      <c r="J126" s="27" t="n">
        <f aca="false">ROUND(MAX(0,J125*(1+J$8)-AF126),2)</f>
        <v>0</v>
      </c>
      <c r="K126" s="27" t="n">
        <f aca="false">ROUND(MAX(0,K125*(1+K$8)-AG126),2)</f>
        <v>0</v>
      </c>
      <c r="L126" s="30" t="n">
        <f aca="false">SUM(B126:K126)</f>
        <v>0</v>
      </c>
      <c r="M126" s="27" t="n">
        <f aca="false">SUMPRODUCT(B125:K125,$B$8:$K$8)</f>
        <v>0</v>
      </c>
      <c r="N126" s="27" t="n">
        <f aca="false">MIN(B125*(1+B$8),B$9)</f>
        <v>0</v>
      </c>
      <c r="O126" s="27" t="n">
        <f aca="false">MIN(C125*(1+C$8),C$9)</f>
        <v>0</v>
      </c>
      <c r="P126" s="27" t="n">
        <f aca="false">MIN(D125*(1+D$8),D$9)</f>
        <v>0</v>
      </c>
      <c r="Q126" s="27" t="n">
        <f aca="false">MIN(E125*(1+E$8),E$9)</f>
        <v>0</v>
      </c>
      <c r="R126" s="27" t="n">
        <f aca="false">MIN(F125*(1+F$8),F$9)</f>
        <v>0</v>
      </c>
      <c r="S126" s="27" t="n">
        <f aca="false">MIN(G125*(1+G$8),G$9)</f>
        <v>0</v>
      </c>
      <c r="T126" s="27" t="n">
        <f aca="false">MIN(H125*(1+H$8),H$9)</f>
        <v>0</v>
      </c>
      <c r="U126" s="27" t="n">
        <f aca="false">MIN(I125*(1+I$8),I$9)</f>
        <v>0</v>
      </c>
      <c r="V126" s="27" t="n">
        <f aca="false">MIN(J125*(1+J$8),J$9)</f>
        <v>0</v>
      </c>
      <c r="W126" s="27" t="n">
        <f aca="false">MIN(K125*(1+K$8),K$9)</f>
        <v>0</v>
      </c>
      <c r="X126" s="27" t="n">
        <f aca="false">MIN(B125*(1+B$8),MAX(N126,$B$11-SUM(O126:W126)))</f>
        <v>0</v>
      </c>
      <c r="Y126" s="27" t="n">
        <f aca="false">MIN(C125*(1+C$8),MAX(O126,$B$11-SUM(X126:X126)-SUM(P126:W126)))</f>
        <v>0</v>
      </c>
      <c r="Z126" s="27" t="n">
        <f aca="false">MIN(D125*(1+D$8),MAX(P126,$B$11-SUM(X126:Y126)-SUM(Q126:W126)))</f>
        <v>0</v>
      </c>
      <c r="AA126" s="27" t="n">
        <f aca="false">MIN(E125*(1+E$8),MAX(Q126,$B$11-SUM(X126:Z126)-SUM(R126:W126)))</f>
        <v>0</v>
      </c>
      <c r="AB126" s="27" t="n">
        <f aca="false">MIN(F125*(1+F$8),MAX(R126,$B$11-SUM(X126:AA126)-SUM(S126:W126)))</f>
        <v>0</v>
      </c>
      <c r="AC126" s="27" t="n">
        <f aca="false">MIN(G125*(1+G$8),MAX(S126,$B$11-SUM(X126:AB126)-SUM(T126:W126)))</f>
        <v>0</v>
      </c>
      <c r="AD126" s="27" t="n">
        <f aca="false">MIN(H125*(1+H$8),MAX(T126,$B$11-SUM(X126:AC126)-SUM(U126:W126)))</f>
        <v>0</v>
      </c>
      <c r="AE126" s="27" t="n">
        <f aca="false">MIN(I125*(1+I$8),MAX(U126,$B$11-SUM(X126:AD126)-SUM(V126:W126)))</f>
        <v>0</v>
      </c>
      <c r="AF126" s="27" t="n">
        <f aca="false">MIN(J125*(1+J$8),MAX(V126,$B$11-SUM(X126:AE126)-SUM(W126:W126)))</f>
        <v>0</v>
      </c>
      <c r="AG126" s="27" t="n">
        <f aca="false">MIN(K125*(1+K$8),MAX(W126,$B$11-SUM(X126:AF126)))</f>
        <v>0</v>
      </c>
      <c r="AI126" s="27" t="n">
        <f aca="false">ROUND(MAX(0,AI125*(1+B$8)-BE126),2)</f>
        <v>0</v>
      </c>
      <c r="AJ126" s="27" t="n">
        <f aca="false">ROUND(MAX(0,AJ125*(1+C$8)-BF126),2)</f>
        <v>0</v>
      </c>
      <c r="AK126" s="27" t="n">
        <f aca="false">ROUND(MAX(0,AK125*(1+D$8)-BG126),2)</f>
        <v>0</v>
      </c>
      <c r="AL126" s="27" t="n">
        <f aca="false">ROUND(MAX(0,AL125*(1+E$8)-BH126),2)</f>
        <v>0</v>
      </c>
      <c r="AM126" s="27" t="n">
        <f aca="false">ROUND(MAX(0,AM125*(1+F$8)-BI126),2)</f>
        <v>0</v>
      </c>
      <c r="AN126" s="27" t="n">
        <f aca="false">ROUND(MAX(0,AN125*(1+G$8)-BJ126),2)</f>
        <v>0</v>
      </c>
      <c r="AO126" s="27" t="n">
        <f aca="false">ROUND(MAX(0,AO125*(1+H$8)-BK126),2)</f>
        <v>0</v>
      </c>
      <c r="AP126" s="27" t="n">
        <f aca="false">ROUND(MAX(0,AP125*(1+I$8)-BL126),2)</f>
        <v>0</v>
      </c>
      <c r="AQ126" s="27" t="n">
        <f aca="false">ROUND(MAX(0,AQ125*(1+J$8)-BM126),2)</f>
        <v>0</v>
      </c>
      <c r="AR126" s="27" t="n">
        <f aca="false">ROUND(MAX(0,AR125*(1+K$8)-BN126),2)</f>
        <v>0</v>
      </c>
      <c r="AS126" s="27" t="n">
        <f aca="false">SUM(AI126:AR126)</f>
        <v>0</v>
      </c>
      <c r="AT126" s="27" t="n">
        <f aca="false">SUMPRODUCT(AI125:AR125,$B$8:$K$8)</f>
        <v>0</v>
      </c>
      <c r="AU126" s="27" t="n">
        <f aca="false">MIN(AI125*(1+B$8),B$9)</f>
        <v>0</v>
      </c>
      <c r="AV126" s="27" t="n">
        <f aca="false">MIN(AJ125*(1+C$8),C$9)</f>
        <v>0</v>
      </c>
      <c r="AW126" s="27" t="n">
        <f aca="false">MIN(AK125*(1+D$8),D$9)</f>
        <v>0</v>
      </c>
      <c r="AX126" s="27" t="n">
        <f aca="false">MIN(AL125*(1+E$8),E$9)</f>
        <v>0</v>
      </c>
      <c r="AY126" s="27" t="n">
        <f aca="false">MIN(AM125*(1+F$8),F$9)</f>
        <v>0</v>
      </c>
      <c r="AZ126" s="27" t="n">
        <f aca="false">MIN(AN125*(1+G$8),G$9)</f>
        <v>0</v>
      </c>
      <c r="BA126" s="27" t="n">
        <f aca="false">MIN(AO125*(1+H$8),H$9)</f>
        <v>0</v>
      </c>
      <c r="BB126" s="27" t="n">
        <f aca="false">MIN(AP125*(1+I$8),I$9)</f>
        <v>0</v>
      </c>
      <c r="BC126" s="27" t="n">
        <f aca="false">MIN(AQ125*(1+J$8),J$9)</f>
        <v>0</v>
      </c>
      <c r="BD126" s="27" t="n">
        <f aca="false">MIN(AR125*(1+K$8),K$9)</f>
        <v>0</v>
      </c>
      <c r="BE126" s="27" t="n">
        <f aca="false">MIN(AI125*(1+B$8),MAX(AU126,$B$12-SUM(AV126:BD126)))</f>
        <v>0</v>
      </c>
      <c r="BF126" s="27" t="n">
        <f aca="false">MIN(AJ125*(1+C$8),MAX(AV126,$B$12-SUM(BE126:BE126)-SUM(AW126:BD126)))</f>
        <v>0</v>
      </c>
      <c r="BG126" s="27" t="n">
        <f aca="false">MIN(AK125*(1+D$8),MAX(AW126,$B$12-SUM(BE126:BF126)-SUM(AX126:BD126)))</f>
        <v>0</v>
      </c>
      <c r="BH126" s="27" t="n">
        <f aca="false">MIN(AL125*(1+E$8),MAX(AX126,$B$12-SUM(BE126:BG126)-SUM(AY126:BD126)))</f>
        <v>0</v>
      </c>
      <c r="BI126" s="27" t="n">
        <f aca="false">MIN(AM125*(1+F$8),MAX(AY126,$B$12-SUM(BE126:BH126)-SUM(AZ126:BD126)))</f>
        <v>0</v>
      </c>
      <c r="BJ126" s="27" t="n">
        <f aca="false">MIN(AN125*(1+G$8),MAX(AZ126,$B$12-SUM(BE126:BI126)-SUM(BA126:BD126)))</f>
        <v>0</v>
      </c>
      <c r="BK126" s="27" t="n">
        <f aca="false">MIN(AO125*(1+H$8),MAX(BA126,$B$12-SUM(BE126:BJ126)-SUM(BB126:BD126)))</f>
        <v>0</v>
      </c>
      <c r="BL126" s="27" t="n">
        <f aca="false">MIN(AP125*(1+I$8),MAX(BB126,$B$12-SUM(BE126:BK126)-SUM(BC126:BD126)))</f>
        <v>0</v>
      </c>
      <c r="BM126" s="27" t="n">
        <f aca="false">MIN(AQ125*(1+J$8),MAX(BC126,$B$12-SUM(BE126:BL126)-SUM(BD126:BD126)))</f>
        <v>0</v>
      </c>
      <c r="BN126" s="27" t="n">
        <f aca="false">MIN(AR125*(1+K$8),MAX(BD126,$B$12-SUM(BE126:BM126)))</f>
        <v>0</v>
      </c>
    </row>
    <row r="127" customFormat="false" ht="15" hidden="false" customHeight="false" outlineLevel="0" collapsed="false">
      <c r="A127" s="0" t="n">
        <v>113</v>
      </c>
      <c r="B127" s="27" t="n">
        <f aca="false">ROUND(MAX(0,B126*(1+B$8)-X127),2)</f>
        <v>0</v>
      </c>
      <c r="C127" s="27" t="n">
        <f aca="false">ROUND(MAX(0,C126*(1+C$8)-Y127),2)</f>
        <v>0</v>
      </c>
      <c r="D127" s="27" t="n">
        <f aca="false">ROUND(MAX(0,D126*(1+D$8)-Z127),2)</f>
        <v>0</v>
      </c>
      <c r="E127" s="27" t="n">
        <f aca="false">ROUND(MAX(0,E126*(1+E$8)-AA127),2)</f>
        <v>0</v>
      </c>
      <c r="F127" s="27" t="n">
        <f aca="false">ROUND(MAX(0,F126*(1+F$8)-AB127),2)</f>
        <v>0</v>
      </c>
      <c r="G127" s="27" t="n">
        <f aca="false">ROUND(MAX(0,G126*(1+G$8)-AC127),2)</f>
        <v>0</v>
      </c>
      <c r="H127" s="27" t="n">
        <f aca="false">ROUND(MAX(0,H126*(1+H$8)-AD127),2)</f>
        <v>0</v>
      </c>
      <c r="I127" s="27" t="n">
        <f aca="false">ROUND(MAX(0,I126*(1+I$8)-AE127),2)</f>
        <v>0</v>
      </c>
      <c r="J127" s="27" t="n">
        <f aca="false">ROUND(MAX(0,J126*(1+J$8)-AF127),2)</f>
        <v>0</v>
      </c>
      <c r="K127" s="27" t="n">
        <f aca="false">ROUND(MAX(0,K126*(1+K$8)-AG127),2)</f>
        <v>0</v>
      </c>
      <c r="L127" s="30" t="n">
        <f aca="false">SUM(B127:K127)</f>
        <v>0</v>
      </c>
      <c r="M127" s="27" t="n">
        <f aca="false">SUMPRODUCT(B126:K126,$B$8:$K$8)</f>
        <v>0</v>
      </c>
      <c r="N127" s="27" t="n">
        <f aca="false">MIN(B126*(1+B$8),B$9)</f>
        <v>0</v>
      </c>
      <c r="O127" s="27" t="n">
        <f aca="false">MIN(C126*(1+C$8),C$9)</f>
        <v>0</v>
      </c>
      <c r="P127" s="27" t="n">
        <f aca="false">MIN(D126*(1+D$8),D$9)</f>
        <v>0</v>
      </c>
      <c r="Q127" s="27" t="n">
        <f aca="false">MIN(E126*(1+E$8),E$9)</f>
        <v>0</v>
      </c>
      <c r="R127" s="27" t="n">
        <f aca="false">MIN(F126*(1+F$8),F$9)</f>
        <v>0</v>
      </c>
      <c r="S127" s="27" t="n">
        <f aca="false">MIN(G126*(1+G$8),G$9)</f>
        <v>0</v>
      </c>
      <c r="T127" s="27" t="n">
        <f aca="false">MIN(H126*(1+H$8),H$9)</f>
        <v>0</v>
      </c>
      <c r="U127" s="27" t="n">
        <f aca="false">MIN(I126*(1+I$8),I$9)</f>
        <v>0</v>
      </c>
      <c r="V127" s="27" t="n">
        <f aca="false">MIN(J126*(1+J$8),J$9)</f>
        <v>0</v>
      </c>
      <c r="W127" s="27" t="n">
        <f aca="false">MIN(K126*(1+K$8),K$9)</f>
        <v>0</v>
      </c>
      <c r="X127" s="27" t="n">
        <f aca="false">MIN(B126*(1+B$8),MAX(N127,$B$11-SUM(O127:W127)))</f>
        <v>0</v>
      </c>
      <c r="Y127" s="27" t="n">
        <f aca="false">MIN(C126*(1+C$8),MAX(O127,$B$11-SUM(X127:X127)-SUM(P127:W127)))</f>
        <v>0</v>
      </c>
      <c r="Z127" s="27" t="n">
        <f aca="false">MIN(D126*(1+D$8),MAX(P127,$B$11-SUM(X127:Y127)-SUM(Q127:W127)))</f>
        <v>0</v>
      </c>
      <c r="AA127" s="27" t="n">
        <f aca="false">MIN(E126*(1+E$8),MAX(Q127,$B$11-SUM(X127:Z127)-SUM(R127:W127)))</f>
        <v>0</v>
      </c>
      <c r="AB127" s="27" t="n">
        <f aca="false">MIN(F126*(1+F$8),MAX(R127,$B$11-SUM(X127:AA127)-SUM(S127:W127)))</f>
        <v>0</v>
      </c>
      <c r="AC127" s="27" t="n">
        <f aca="false">MIN(G126*(1+G$8),MAX(S127,$B$11-SUM(X127:AB127)-SUM(T127:W127)))</f>
        <v>0</v>
      </c>
      <c r="AD127" s="27" t="n">
        <f aca="false">MIN(H126*(1+H$8),MAX(T127,$B$11-SUM(X127:AC127)-SUM(U127:W127)))</f>
        <v>0</v>
      </c>
      <c r="AE127" s="27" t="n">
        <f aca="false">MIN(I126*(1+I$8),MAX(U127,$B$11-SUM(X127:AD127)-SUM(V127:W127)))</f>
        <v>0</v>
      </c>
      <c r="AF127" s="27" t="n">
        <f aca="false">MIN(J126*(1+J$8),MAX(V127,$B$11-SUM(X127:AE127)-SUM(W127:W127)))</f>
        <v>0</v>
      </c>
      <c r="AG127" s="27" t="n">
        <f aca="false">MIN(K126*(1+K$8),MAX(W127,$B$11-SUM(X127:AF127)))</f>
        <v>0</v>
      </c>
      <c r="AI127" s="27" t="n">
        <f aca="false">ROUND(MAX(0,AI126*(1+B$8)-BE127),2)</f>
        <v>0</v>
      </c>
      <c r="AJ127" s="27" t="n">
        <f aca="false">ROUND(MAX(0,AJ126*(1+C$8)-BF127),2)</f>
        <v>0</v>
      </c>
      <c r="AK127" s="27" t="n">
        <f aca="false">ROUND(MAX(0,AK126*(1+D$8)-BG127),2)</f>
        <v>0</v>
      </c>
      <c r="AL127" s="27" t="n">
        <f aca="false">ROUND(MAX(0,AL126*(1+E$8)-BH127),2)</f>
        <v>0</v>
      </c>
      <c r="AM127" s="27" t="n">
        <f aca="false">ROUND(MAX(0,AM126*(1+F$8)-BI127),2)</f>
        <v>0</v>
      </c>
      <c r="AN127" s="27" t="n">
        <f aca="false">ROUND(MAX(0,AN126*(1+G$8)-BJ127),2)</f>
        <v>0</v>
      </c>
      <c r="AO127" s="27" t="n">
        <f aca="false">ROUND(MAX(0,AO126*(1+H$8)-BK127),2)</f>
        <v>0</v>
      </c>
      <c r="AP127" s="27" t="n">
        <f aca="false">ROUND(MAX(0,AP126*(1+I$8)-BL127),2)</f>
        <v>0</v>
      </c>
      <c r="AQ127" s="27" t="n">
        <f aca="false">ROUND(MAX(0,AQ126*(1+J$8)-BM127),2)</f>
        <v>0</v>
      </c>
      <c r="AR127" s="27" t="n">
        <f aca="false">ROUND(MAX(0,AR126*(1+K$8)-BN127),2)</f>
        <v>0</v>
      </c>
      <c r="AS127" s="27" t="n">
        <f aca="false">SUM(AI127:AR127)</f>
        <v>0</v>
      </c>
      <c r="AT127" s="27" t="n">
        <f aca="false">SUMPRODUCT(AI126:AR126,$B$8:$K$8)</f>
        <v>0</v>
      </c>
      <c r="AU127" s="27" t="n">
        <f aca="false">MIN(AI126*(1+B$8),B$9)</f>
        <v>0</v>
      </c>
      <c r="AV127" s="27" t="n">
        <f aca="false">MIN(AJ126*(1+C$8),C$9)</f>
        <v>0</v>
      </c>
      <c r="AW127" s="27" t="n">
        <f aca="false">MIN(AK126*(1+D$8),D$9)</f>
        <v>0</v>
      </c>
      <c r="AX127" s="27" t="n">
        <f aca="false">MIN(AL126*(1+E$8),E$9)</f>
        <v>0</v>
      </c>
      <c r="AY127" s="27" t="n">
        <f aca="false">MIN(AM126*(1+F$8),F$9)</f>
        <v>0</v>
      </c>
      <c r="AZ127" s="27" t="n">
        <f aca="false">MIN(AN126*(1+G$8),G$9)</f>
        <v>0</v>
      </c>
      <c r="BA127" s="27" t="n">
        <f aca="false">MIN(AO126*(1+H$8),H$9)</f>
        <v>0</v>
      </c>
      <c r="BB127" s="27" t="n">
        <f aca="false">MIN(AP126*(1+I$8),I$9)</f>
        <v>0</v>
      </c>
      <c r="BC127" s="27" t="n">
        <f aca="false">MIN(AQ126*(1+J$8),J$9)</f>
        <v>0</v>
      </c>
      <c r="BD127" s="27" t="n">
        <f aca="false">MIN(AR126*(1+K$8),K$9)</f>
        <v>0</v>
      </c>
      <c r="BE127" s="27" t="n">
        <f aca="false">MIN(AI126*(1+B$8),MAX(AU127,$B$12-SUM(AV127:BD127)))</f>
        <v>0</v>
      </c>
      <c r="BF127" s="27" t="n">
        <f aca="false">MIN(AJ126*(1+C$8),MAX(AV127,$B$12-SUM(BE127:BE127)-SUM(AW127:BD127)))</f>
        <v>0</v>
      </c>
      <c r="BG127" s="27" t="n">
        <f aca="false">MIN(AK126*(1+D$8),MAX(AW127,$B$12-SUM(BE127:BF127)-SUM(AX127:BD127)))</f>
        <v>0</v>
      </c>
      <c r="BH127" s="27" t="n">
        <f aca="false">MIN(AL126*(1+E$8),MAX(AX127,$B$12-SUM(BE127:BG127)-SUM(AY127:BD127)))</f>
        <v>0</v>
      </c>
      <c r="BI127" s="27" t="n">
        <f aca="false">MIN(AM126*(1+F$8),MAX(AY127,$B$12-SUM(BE127:BH127)-SUM(AZ127:BD127)))</f>
        <v>0</v>
      </c>
      <c r="BJ127" s="27" t="n">
        <f aca="false">MIN(AN126*(1+G$8),MAX(AZ127,$B$12-SUM(BE127:BI127)-SUM(BA127:BD127)))</f>
        <v>0</v>
      </c>
      <c r="BK127" s="27" t="n">
        <f aca="false">MIN(AO126*(1+H$8),MAX(BA127,$B$12-SUM(BE127:BJ127)-SUM(BB127:BD127)))</f>
        <v>0</v>
      </c>
      <c r="BL127" s="27" t="n">
        <f aca="false">MIN(AP126*(1+I$8),MAX(BB127,$B$12-SUM(BE127:BK127)-SUM(BC127:BD127)))</f>
        <v>0</v>
      </c>
      <c r="BM127" s="27" t="n">
        <f aca="false">MIN(AQ126*(1+J$8),MAX(BC127,$B$12-SUM(BE127:BL127)-SUM(BD127:BD127)))</f>
        <v>0</v>
      </c>
      <c r="BN127" s="27" t="n">
        <f aca="false">MIN(AR126*(1+K$8),MAX(BD127,$B$12-SUM(BE127:BM127)))</f>
        <v>0</v>
      </c>
    </row>
    <row r="128" customFormat="false" ht="15" hidden="false" customHeight="false" outlineLevel="0" collapsed="false">
      <c r="A128" s="0" t="n">
        <v>114</v>
      </c>
      <c r="B128" s="27" t="n">
        <f aca="false">ROUND(MAX(0,B127*(1+B$8)-X128),2)</f>
        <v>0</v>
      </c>
      <c r="C128" s="27" t="n">
        <f aca="false">ROUND(MAX(0,C127*(1+C$8)-Y128),2)</f>
        <v>0</v>
      </c>
      <c r="D128" s="27" t="n">
        <f aca="false">ROUND(MAX(0,D127*(1+D$8)-Z128),2)</f>
        <v>0</v>
      </c>
      <c r="E128" s="27" t="n">
        <f aca="false">ROUND(MAX(0,E127*(1+E$8)-AA128),2)</f>
        <v>0</v>
      </c>
      <c r="F128" s="27" t="n">
        <f aca="false">ROUND(MAX(0,F127*(1+F$8)-AB128),2)</f>
        <v>0</v>
      </c>
      <c r="G128" s="27" t="n">
        <f aca="false">ROUND(MAX(0,G127*(1+G$8)-AC128),2)</f>
        <v>0</v>
      </c>
      <c r="H128" s="27" t="n">
        <f aca="false">ROUND(MAX(0,H127*(1+H$8)-AD128),2)</f>
        <v>0</v>
      </c>
      <c r="I128" s="27" t="n">
        <f aca="false">ROUND(MAX(0,I127*(1+I$8)-AE128),2)</f>
        <v>0</v>
      </c>
      <c r="J128" s="27" t="n">
        <f aca="false">ROUND(MAX(0,J127*(1+J$8)-AF128),2)</f>
        <v>0</v>
      </c>
      <c r="K128" s="27" t="n">
        <f aca="false">ROUND(MAX(0,K127*(1+K$8)-AG128),2)</f>
        <v>0</v>
      </c>
      <c r="L128" s="30" t="n">
        <f aca="false">SUM(B128:K128)</f>
        <v>0</v>
      </c>
      <c r="M128" s="27" t="n">
        <f aca="false">SUMPRODUCT(B127:K127,$B$8:$K$8)</f>
        <v>0</v>
      </c>
      <c r="N128" s="27" t="n">
        <f aca="false">MIN(B127*(1+B$8),B$9)</f>
        <v>0</v>
      </c>
      <c r="O128" s="27" t="n">
        <f aca="false">MIN(C127*(1+C$8),C$9)</f>
        <v>0</v>
      </c>
      <c r="P128" s="27" t="n">
        <f aca="false">MIN(D127*(1+D$8),D$9)</f>
        <v>0</v>
      </c>
      <c r="Q128" s="27" t="n">
        <f aca="false">MIN(E127*(1+E$8),E$9)</f>
        <v>0</v>
      </c>
      <c r="R128" s="27" t="n">
        <f aca="false">MIN(F127*(1+F$8),F$9)</f>
        <v>0</v>
      </c>
      <c r="S128" s="27" t="n">
        <f aca="false">MIN(G127*(1+G$8),G$9)</f>
        <v>0</v>
      </c>
      <c r="T128" s="27" t="n">
        <f aca="false">MIN(H127*(1+H$8),H$9)</f>
        <v>0</v>
      </c>
      <c r="U128" s="27" t="n">
        <f aca="false">MIN(I127*(1+I$8),I$9)</f>
        <v>0</v>
      </c>
      <c r="V128" s="27" t="n">
        <f aca="false">MIN(J127*(1+J$8),J$9)</f>
        <v>0</v>
      </c>
      <c r="W128" s="27" t="n">
        <f aca="false">MIN(K127*(1+K$8),K$9)</f>
        <v>0</v>
      </c>
      <c r="X128" s="27" t="n">
        <f aca="false">MIN(B127*(1+B$8),MAX(N128,$B$11-SUM(O128:W128)))</f>
        <v>0</v>
      </c>
      <c r="Y128" s="27" t="n">
        <f aca="false">MIN(C127*(1+C$8),MAX(O128,$B$11-SUM(X128:X128)-SUM(P128:W128)))</f>
        <v>0</v>
      </c>
      <c r="Z128" s="27" t="n">
        <f aca="false">MIN(D127*(1+D$8),MAX(P128,$B$11-SUM(X128:Y128)-SUM(Q128:W128)))</f>
        <v>0</v>
      </c>
      <c r="AA128" s="27" t="n">
        <f aca="false">MIN(E127*(1+E$8),MAX(Q128,$B$11-SUM(X128:Z128)-SUM(R128:W128)))</f>
        <v>0</v>
      </c>
      <c r="AB128" s="27" t="n">
        <f aca="false">MIN(F127*(1+F$8),MAX(R128,$B$11-SUM(X128:AA128)-SUM(S128:W128)))</f>
        <v>0</v>
      </c>
      <c r="AC128" s="27" t="n">
        <f aca="false">MIN(G127*(1+G$8),MAX(S128,$B$11-SUM(X128:AB128)-SUM(T128:W128)))</f>
        <v>0</v>
      </c>
      <c r="AD128" s="27" t="n">
        <f aca="false">MIN(H127*(1+H$8),MAX(T128,$B$11-SUM(X128:AC128)-SUM(U128:W128)))</f>
        <v>0</v>
      </c>
      <c r="AE128" s="27" t="n">
        <f aca="false">MIN(I127*(1+I$8),MAX(U128,$B$11-SUM(X128:AD128)-SUM(V128:W128)))</f>
        <v>0</v>
      </c>
      <c r="AF128" s="27" t="n">
        <f aca="false">MIN(J127*(1+J$8),MAX(V128,$B$11-SUM(X128:AE128)-SUM(W128:W128)))</f>
        <v>0</v>
      </c>
      <c r="AG128" s="27" t="n">
        <f aca="false">MIN(K127*(1+K$8),MAX(W128,$B$11-SUM(X128:AF128)))</f>
        <v>0</v>
      </c>
      <c r="AI128" s="27" t="n">
        <f aca="false">ROUND(MAX(0,AI127*(1+B$8)-BE128),2)</f>
        <v>0</v>
      </c>
      <c r="AJ128" s="27" t="n">
        <f aca="false">ROUND(MAX(0,AJ127*(1+C$8)-BF128),2)</f>
        <v>0</v>
      </c>
      <c r="AK128" s="27" t="n">
        <f aca="false">ROUND(MAX(0,AK127*(1+D$8)-BG128),2)</f>
        <v>0</v>
      </c>
      <c r="AL128" s="27" t="n">
        <f aca="false">ROUND(MAX(0,AL127*(1+E$8)-BH128),2)</f>
        <v>0</v>
      </c>
      <c r="AM128" s="27" t="n">
        <f aca="false">ROUND(MAX(0,AM127*(1+F$8)-BI128),2)</f>
        <v>0</v>
      </c>
      <c r="AN128" s="27" t="n">
        <f aca="false">ROUND(MAX(0,AN127*(1+G$8)-BJ128),2)</f>
        <v>0</v>
      </c>
      <c r="AO128" s="27" t="n">
        <f aca="false">ROUND(MAX(0,AO127*(1+H$8)-BK128),2)</f>
        <v>0</v>
      </c>
      <c r="AP128" s="27" t="n">
        <f aca="false">ROUND(MAX(0,AP127*(1+I$8)-BL128),2)</f>
        <v>0</v>
      </c>
      <c r="AQ128" s="27" t="n">
        <f aca="false">ROUND(MAX(0,AQ127*(1+J$8)-BM128),2)</f>
        <v>0</v>
      </c>
      <c r="AR128" s="27" t="n">
        <f aca="false">ROUND(MAX(0,AR127*(1+K$8)-BN128),2)</f>
        <v>0</v>
      </c>
      <c r="AS128" s="27" t="n">
        <f aca="false">SUM(AI128:AR128)</f>
        <v>0</v>
      </c>
      <c r="AT128" s="27" t="n">
        <f aca="false">SUMPRODUCT(AI127:AR127,$B$8:$K$8)</f>
        <v>0</v>
      </c>
      <c r="AU128" s="27" t="n">
        <f aca="false">MIN(AI127*(1+B$8),B$9)</f>
        <v>0</v>
      </c>
      <c r="AV128" s="27" t="n">
        <f aca="false">MIN(AJ127*(1+C$8),C$9)</f>
        <v>0</v>
      </c>
      <c r="AW128" s="27" t="n">
        <f aca="false">MIN(AK127*(1+D$8),D$9)</f>
        <v>0</v>
      </c>
      <c r="AX128" s="27" t="n">
        <f aca="false">MIN(AL127*(1+E$8),E$9)</f>
        <v>0</v>
      </c>
      <c r="AY128" s="27" t="n">
        <f aca="false">MIN(AM127*(1+F$8),F$9)</f>
        <v>0</v>
      </c>
      <c r="AZ128" s="27" t="n">
        <f aca="false">MIN(AN127*(1+G$8),G$9)</f>
        <v>0</v>
      </c>
      <c r="BA128" s="27" t="n">
        <f aca="false">MIN(AO127*(1+H$8),H$9)</f>
        <v>0</v>
      </c>
      <c r="BB128" s="27" t="n">
        <f aca="false">MIN(AP127*(1+I$8),I$9)</f>
        <v>0</v>
      </c>
      <c r="BC128" s="27" t="n">
        <f aca="false">MIN(AQ127*(1+J$8),J$9)</f>
        <v>0</v>
      </c>
      <c r="BD128" s="27" t="n">
        <f aca="false">MIN(AR127*(1+K$8),K$9)</f>
        <v>0</v>
      </c>
      <c r="BE128" s="27" t="n">
        <f aca="false">MIN(AI127*(1+B$8),MAX(AU128,$B$12-SUM(AV128:BD128)))</f>
        <v>0</v>
      </c>
      <c r="BF128" s="27" t="n">
        <f aca="false">MIN(AJ127*(1+C$8),MAX(AV128,$B$12-SUM(BE128:BE128)-SUM(AW128:BD128)))</f>
        <v>0</v>
      </c>
      <c r="BG128" s="27" t="n">
        <f aca="false">MIN(AK127*(1+D$8),MAX(AW128,$B$12-SUM(BE128:BF128)-SUM(AX128:BD128)))</f>
        <v>0</v>
      </c>
      <c r="BH128" s="27" t="n">
        <f aca="false">MIN(AL127*(1+E$8),MAX(AX128,$B$12-SUM(BE128:BG128)-SUM(AY128:BD128)))</f>
        <v>0</v>
      </c>
      <c r="BI128" s="27" t="n">
        <f aca="false">MIN(AM127*(1+F$8),MAX(AY128,$B$12-SUM(BE128:BH128)-SUM(AZ128:BD128)))</f>
        <v>0</v>
      </c>
      <c r="BJ128" s="27" t="n">
        <f aca="false">MIN(AN127*(1+G$8),MAX(AZ128,$B$12-SUM(BE128:BI128)-SUM(BA128:BD128)))</f>
        <v>0</v>
      </c>
      <c r="BK128" s="27" t="n">
        <f aca="false">MIN(AO127*(1+H$8),MAX(BA128,$B$12-SUM(BE128:BJ128)-SUM(BB128:BD128)))</f>
        <v>0</v>
      </c>
      <c r="BL128" s="27" t="n">
        <f aca="false">MIN(AP127*(1+I$8),MAX(BB128,$B$12-SUM(BE128:BK128)-SUM(BC128:BD128)))</f>
        <v>0</v>
      </c>
      <c r="BM128" s="27" t="n">
        <f aca="false">MIN(AQ127*(1+J$8),MAX(BC128,$B$12-SUM(BE128:BL128)-SUM(BD128:BD128)))</f>
        <v>0</v>
      </c>
      <c r="BN128" s="27" t="n">
        <f aca="false">MIN(AR127*(1+K$8),MAX(BD128,$B$12-SUM(BE128:BM128)))</f>
        <v>0</v>
      </c>
    </row>
    <row r="129" customFormat="false" ht="15" hidden="false" customHeight="false" outlineLevel="0" collapsed="false">
      <c r="A129" s="0" t="n">
        <v>115</v>
      </c>
      <c r="B129" s="27" t="n">
        <f aca="false">ROUND(MAX(0,B128*(1+B$8)-X129),2)</f>
        <v>0</v>
      </c>
      <c r="C129" s="27" t="n">
        <f aca="false">ROUND(MAX(0,C128*(1+C$8)-Y129),2)</f>
        <v>0</v>
      </c>
      <c r="D129" s="27" t="n">
        <f aca="false">ROUND(MAX(0,D128*(1+D$8)-Z129),2)</f>
        <v>0</v>
      </c>
      <c r="E129" s="27" t="n">
        <f aca="false">ROUND(MAX(0,E128*(1+E$8)-AA129),2)</f>
        <v>0</v>
      </c>
      <c r="F129" s="27" t="n">
        <f aca="false">ROUND(MAX(0,F128*(1+F$8)-AB129),2)</f>
        <v>0</v>
      </c>
      <c r="G129" s="27" t="n">
        <f aca="false">ROUND(MAX(0,G128*(1+G$8)-AC129),2)</f>
        <v>0</v>
      </c>
      <c r="H129" s="27" t="n">
        <f aca="false">ROUND(MAX(0,H128*(1+H$8)-AD129),2)</f>
        <v>0</v>
      </c>
      <c r="I129" s="27" t="n">
        <f aca="false">ROUND(MAX(0,I128*(1+I$8)-AE129),2)</f>
        <v>0</v>
      </c>
      <c r="J129" s="27" t="n">
        <f aca="false">ROUND(MAX(0,J128*(1+J$8)-AF129),2)</f>
        <v>0</v>
      </c>
      <c r="K129" s="27" t="n">
        <f aca="false">ROUND(MAX(0,K128*(1+K$8)-AG129),2)</f>
        <v>0</v>
      </c>
      <c r="L129" s="30" t="n">
        <f aca="false">SUM(B129:K129)</f>
        <v>0</v>
      </c>
      <c r="M129" s="27" t="n">
        <f aca="false">SUMPRODUCT(B128:K128,$B$8:$K$8)</f>
        <v>0</v>
      </c>
      <c r="N129" s="27" t="n">
        <f aca="false">MIN(B128*(1+B$8),B$9)</f>
        <v>0</v>
      </c>
      <c r="O129" s="27" t="n">
        <f aca="false">MIN(C128*(1+C$8),C$9)</f>
        <v>0</v>
      </c>
      <c r="P129" s="27" t="n">
        <f aca="false">MIN(D128*(1+D$8),D$9)</f>
        <v>0</v>
      </c>
      <c r="Q129" s="27" t="n">
        <f aca="false">MIN(E128*(1+E$8),E$9)</f>
        <v>0</v>
      </c>
      <c r="R129" s="27" t="n">
        <f aca="false">MIN(F128*(1+F$8),F$9)</f>
        <v>0</v>
      </c>
      <c r="S129" s="27" t="n">
        <f aca="false">MIN(G128*(1+G$8),G$9)</f>
        <v>0</v>
      </c>
      <c r="T129" s="27" t="n">
        <f aca="false">MIN(H128*(1+H$8),H$9)</f>
        <v>0</v>
      </c>
      <c r="U129" s="27" t="n">
        <f aca="false">MIN(I128*(1+I$8),I$9)</f>
        <v>0</v>
      </c>
      <c r="V129" s="27" t="n">
        <f aca="false">MIN(J128*(1+J$8),J$9)</f>
        <v>0</v>
      </c>
      <c r="W129" s="27" t="n">
        <f aca="false">MIN(K128*(1+K$8),K$9)</f>
        <v>0</v>
      </c>
      <c r="X129" s="27" t="n">
        <f aca="false">MIN(B128*(1+B$8),MAX(N129,$B$11-SUM(O129:W129)))</f>
        <v>0</v>
      </c>
      <c r="Y129" s="27" t="n">
        <f aca="false">MIN(C128*(1+C$8),MAX(O129,$B$11-SUM(X129:X129)-SUM(P129:W129)))</f>
        <v>0</v>
      </c>
      <c r="Z129" s="27" t="n">
        <f aca="false">MIN(D128*(1+D$8),MAX(P129,$B$11-SUM(X129:Y129)-SUM(Q129:W129)))</f>
        <v>0</v>
      </c>
      <c r="AA129" s="27" t="n">
        <f aca="false">MIN(E128*(1+E$8),MAX(Q129,$B$11-SUM(X129:Z129)-SUM(R129:W129)))</f>
        <v>0</v>
      </c>
      <c r="AB129" s="27" t="n">
        <f aca="false">MIN(F128*(1+F$8),MAX(R129,$B$11-SUM(X129:AA129)-SUM(S129:W129)))</f>
        <v>0</v>
      </c>
      <c r="AC129" s="27" t="n">
        <f aca="false">MIN(G128*(1+G$8),MAX(S129,$B$11-SUM(X129:AB129)-SUM(T129:W129)))</f>
        <v>0</v>
      </c>
      <c r="AD129" s="27" t="n">
        <f aca="false">MIN(H128*(1+H$8),MAX(T129,$B$11-SUM(X129:AC129)-SUM(U129:W129)))</f>
        <v>0</v>
      </c>
      <c r="AE129" s="27" t="n">
        <f aca="false">MIN(I128*(1+I$8),MAX(U129,$B$11-SUM(X129:AD129)-SUM(V129:W129)))</f>
        <v>0</v>
      </c>
      <c r="AF129" s="27" t="n">
        <f aca="false">MIN(J128*(1+J$8),MAX(V129,$B$11-SUM(X129:AE129)-SUM(W129:W129)))</f>
        <v>0</v>
      </c>
      <c r="AG129" s="27" t="n">
        <f aca="false">MIN(K128*(1+K$8),MAX(W129,$B$11-SUM(X129:AF129)))</f>
        <v>0</v>
      </c>
      <c r="AI129" s="27" t="n">
        <f aca="false">ROUND(MAX(0,AI128*(1+B$8)-BE129),2)</f>
        <v>0</v>
      </c>
      <c r="AJ129" s="27" t="n">
        <f aca="false">ROUND(MAX(0,AJ128*(1+C$8)-BF129),2)</f>
        <v>0</v>
      </c>
      <c r="AK129" s="27" t="n">
        <f aca="false">ROUND(MAX(0,AK128*(1+D$8)-BG129),2)</f>
        <v>0</v>
      </c>
      <c r="AL129" s="27" t="n">
        <f aca="false">ROUND(MAX(0,AL128*(1+E$8)-BH129),2)</f>
        <v>0</v>
      </c>
      <c r="AM129" s="27" t="n">
        <f aca="false">ROUND(MAX(0,AM128*(1+F$8)-BI129),2)</f>
        <v>0</v>
      </c>
      <c r="AN129" s="27" t="n">
        <f aca="false">ROUND(MAX(0,AN128*(1+G$8)-BJ129),2)</f>
        <v>0</v>
      </c>
      <c r="AO129" s="27" t="n">
        <f aca="false">ROUND(MAX(0,AO128*(1+H$8)-BK129),2)</f>
        <v>0</v>
      </c>
      <c r="AP129" s="27" t="n">
        <f aca="false">ROUND(MAX(0,AP128*(1+I$8)-BL129),2)</f>
        <v>0</v>
      </c>
      <c r="AQ129" s="27" t="n">
        <f aca="false">ROUND(MAX(0,AQ128*(1+J$8)-BM129),2)</f>
        <v>0</v>
      </c>
      <c r="AR129" s="27" t="n">
        <f aca="false">ROUND(MAX(0,AR128*(1+K$8)-BN129),2)</f>
        <v>0</v>
      </c>
      <c r="AS129" s="27" t="n">
        <f aca="false">SUM(AI129:AR129)</f>
        <v>0</v>
      </c>
      <c r="AT129" s="27" t="n">
        <f aca="false">SUMPRODUCT(AI128:AR128,$B$8:$K$8)</f>
        <v>0</v>
      </c>
      <c r="AU129" s="27" t="n">
        <f aca="false">MIN(AI128*(1+B$8),B$9)</f>
        <v>0</v>
      </c>
      <c r="AV129" s="27" t="n">
        <f aca="false">MIN(AJ128*(1+C$8),C$9)</f>
        <v>0</v>
      </c>
      <c r="AW129" s="27" t="n">
        <f aca="false">MIN(AK128*(1+D$8),D$9)</f>
        <v>0</v>
      </c>
      <c r="AX129" s="27" t="n">
        <f aca="false">MIN(AL128*(1+E$8),E$9)</f>
        <v>0</v>
      </c>
      <c r="AY129" s="27" t="n">
        <f aca="false">MIN(AM128*(1+F$8),F$9)</f>
        <v>0</v>
      </c>
      <c r="AZ129" s="27" t="n">
        <f aca="false">MIN(AN128*(1+G$8),G$9)</f>
        <v>0</v>
      </c>
      <c r="BA129" s="27" t="n">
        <f aca="false">MIN(AO128*(1+H$8),H$9)</f>
        <v>0</v>
      </c>
      <c r="BB129" s="27" t="n">
        <f aca="false">MIN(AP128*(1+I$8),I$9)</f>
        <v>0</v>
      </c>
      <c r="BC129" s="27" t="n">
        <f aca="false">MIN(AQ128*(1+J$8),J$9)</f>
        <v>0</v>
      </c>
      <c r="BD129" s="27" t="n">
        <f aca="false">MIN(AR128*(1+K$8),K$9)</f>
        <v>0</v>
      </c>
      <c r="BE129" s="27" t="n">
        <f aca="false">MIN(AI128*(1+B$8),MAX(AU129,$B$12-SUM(AV129:BD129)))</f>
        <v>0</v>
      </c>
      <c r="BF129" s="27" t="n">
        <f aca="false">MIN(AJ128*(1+C$8),MAX(AV129,$B$12-SUM(BE129:BE129)-SUM(AW129:BD129)))</f>
        <v>0</v>
      </c>
      <c r="BG129" s="27" t="n">
        <f aca="false">MIN(AK128*(1+D$8),MAX(AW129,$B$12-SUM(BE129:BF129)-SUM(AX129:BD129)))</f>
        <v>0</v>
      </c>
      <c r="BH129" s="27" t="n">
        <f aca="false">MIN(AL128*(1+E$8),MAX(AX129,$B$12-SUM(BE129:BG129)-SUM(AY129:BD129)))</f>
        <v>0</v>
      </c>
      <c r="BI129" s="27" t="n">
        <f aca="false">MIN(AM128*(1+F$8),MAX(AY129,$B$12-SUM(BE129:BH129)-SUM(AZ129:BD129)))</f>
        <v>0</v>
      </c>
      <c r="BJ129" s="27" t="n">
        <f aca="false">MIN(AN128*(1+G$8),MAX(AZ129,$B$12-SUM(BE129:BI129)-SUM(BA129:BD129)))</f>
        <v>0</v>
      </c>
      <c r="BK129" s="27" t="n">
        <f aca="false">MIN(AO128*(1+H$8),MAX(BA129,$B$12-SUM(BE129:BJ129)-SUM(BB129:BD129)))</f>
        <v>0</v>
      </c>
      <c r="BL129" s="27" t="n">
        <f aca="false">MIN(AP128*(1+I$8),MAX(BB129,$B$12-SUM(BE129:BK129)-SUM(BC129:BD129)))</f>
        <v>0</v>
      </c>
      <c r="BM129" s="27" t="n">
        <f aca="false">MIN(AQ128*(1+J$8),MAX(BC129,$B$12-SUM(BE129:BL129)-SUM(BD129:BD129)))</f>
        <v>0</v>
      </c>
      <c r="BN129" s="27" t="n">
        <f aca="false">MIN(AR128*(1+K$8),MAX(BD129,$B$12-SUM(BE129:BM129)))</f>
        <v>0</v>
      </c>
    </row>
    <row r="130" customFormat="false" ht="15" hidden="false" customHeight="false" outlineLevel="0" collapsed="false">
      <c r="A130" s="0" t="n">
        <v>116</v>
      </c>
      <c r="B130" s="27" t="n">
        <f aca="false">ROUND(MAX(0,B129*(1+B$8)-X130),2)</f>
        <v>0</v>
      </c>
      <c r="C130" s="27" t="n">
        <f aca="false">ROUND(MAX(0,C129*(1+C$8)-Y130),2)</f>
        <v>0</v>
      </c>
      <c r="D130" s="27" t="n">
        <f aca="false">ROUND(MAX(0,D129*(1+D$8)-Z130),2)</f>
        <v>0</v>
      </c>
      <c r="E130" s="27" t="n">
        <f aca="false">ROUND(MAX(0,E129*(1+E$8)-AA130),2)</f>
        <v>0</v>
      </c>
      <c r="F130" s="27" t="n">
        <f aca="false">ROUND(MAX(0,F129*(1+F$8)-AB130),2)</f>
        <v>0</v>
      </c>
      <c r="G130" s="27" t="n">
        <f aca="false">ROUND(MAX(0,G129*(1+G$8)-AC130),2)</f>
        <v>0</v>
      </c>
      <c r="H130" s="27" t="n">
        <f aca="false">ROUND(MAX(0,H129*(1+H$8)-AD130),2)</f>
        <v>0</v>
      </c>
      <c r="I130" s="27" t="n">
        <f aca="false">ROUND(MAX(0,I129*(1+I$8)-AE130),2)</f>
        <v>0</v>
      </c>
      <c r="J130" s="27" t="n">
        <f aca="false">ROUND(MAX(0,J129*(1+J$8)-AF130),2)</f>
        <v>0</v>
      </c>
      <c r="K130" s="27" t="n">
        <f aca="false">ROUND(MAX(0,K129*(1+K$8)-AG130),2)</f>
        <v>0</v>
      </c>
      <c r="L130" s="30" t="n">
        <f aca="false">SUM(B130:K130)</f>
        <v>0</v>
      </c>
      <c r="M130" s="27" t="n">
        <f aca="false">SUMPRODUCT(B129:K129,$B$8:$K$8)</f>
        <v>0</v>
      </c>
      <c r="N130" s="27" t="n">
        <f aca="false">MIN(B129*(1+B$8),B$9)</f>
        <v>0</v>
      </c>
      <c r="O130" s="27" t="n">
        <f aca="false">MIN(C129*(1+C$8),C$9)</f>
        <v>0</v>
      </c>
      <c r="P130" s="27" t="n">
        <f aca="false">MIN(D129*(1+D$8),D$9)</f>
        <v>0</v>
      </c>
      <c r="Q130" s="27" t="n">
        <f aca="false">MIN(E129*(1+E$8),E$9)</f>
        <v>0</v>
      </c>
      <c r="R130" s="27" t="n">
        <f aca="false">MIN(F129*(1+F$8),F$9)</f>
        <v>0</v>
      </c>
      <c r="S130" s="27" t="n">
        <f aca="false">MIN(G129*(1+G$8),G$9)</f>
        <v>0</v>
      </c>
      <c r="T130" s="27" t="n">
        <f aca="false">MIN(H129*(1+H$8),H$9)</f>
        <v>0</v>
      </c>
      <c r="U130" s="27" t="n">
        <f aca="false">MIN(I129*(1+I$8),I$9)</f>
        <v>0</v>
      </c>
      <c r="V130" s="27" t="n">
        <f aca="false">MIN(J129*(1+J$8),J$9)</f>
        <v>0</v>
      </c>
      <c r="W130" s="27" t="n">
        <f aca="false">MIN(K129*(1+K$8),K$9)</f>
        <v>0</v>
      </c>
      <c r="X130" s="27" t="n">
        <f aca="false">MIN(B129*(1+B$8),MAX(N130,$B$11-SUM(O130:W130)))</f>
        <v>0</v>
      </c>
      <c r="Y130" s="27" t="n">
        <f aca="false">MIN(C129*(1+C$8),MAX(O130,$B$11-SUM(X130:X130)-SUM(P130:W130)))</f>
        <v>0</v>
      </c>
      <c r="Z130" s="27" t="n">
        <f aca="false">MIN(D129*(1+D$8),MAX(P130,$B$11-SUM(X130:Y130)-SUM(Q130:W130)))</f>
        <v>0</v>
      </c>
      <c r="AA130" s="27" t="n">
        <f aca="false">MIN(E129*(1+E$8),MAX(Q130,$B$11-SUM(X130:Z130)-SUM(R130:W130)))</f>
        <v>0</v>
      </c>
      <c r="AB130" s="27" t="n">
        <f aca="false">MIN(F129*(1+F$8),MAX(R130,$B$11-SUM(X130:AA130)-SUM(S130:W130)))</f>
        <v>0</v>
      </c>
      <c r="AC130" s="27" t="n">
        <f aca="false">MIN(G129*(1+G$8),MAX(S130,$B$11-SUM(X130:AB130)-SUM(T130:W130)))</f>
        <v>0</v>
      </c>
      <c r="AD130" s="27" t="n">
        <f aca="false">MIN(H129*(1+H$8),MAX(T130,$B$11-SUM(X130:AC130)-SUM(U130:W130)))</f>
        <v>0</v>
      </c>
      <c r="AE130" s="27" t="n">
        <f aca="false">MIN(I129*(1+I$8),MAX(U130,$B$11-SUM(X130:AD130)-SUM(V130:W130)))</f>
        <v>0</v>
      </c>
      <c r="AF130" s="27" t="n">
        <f aca="false">MIN(J129*(1+J$8),MAX(V130,$B$11-SUM(X130:AE130)-SUM(W130:W130)))</f>
        <v>0</v>
      </c>
      <c r="AG130" s="27" t="n">
        <f aca="false">MIN(K129*(1+K$8),MAX(W130,$B$11-SUM(X130:AF130)))</f>
        <v>0</v>
      </c>
      <c r="AI130" s="27" t="n">
        <f aca="false">ROUND(MAX(0,AI129*(1+B$8)-BE130),2)</f>
        <v>0</v>
      </c>
      <c r="AJ130" s="27" t="n">
        <f aca="false">ROUND(MAX(0,AJ129*(1+C$8)-BF130),2)</f>
        <v>0</v>
      </c>
      <c r="AK130" s="27" t="n">
        <f aca="false">ROUND(MAX(0,AK129*(1+D$8)-BG130),2)</f>
        <v>0</v>
      </c>
      <c r="AL130" s="27" t="n">
        <f aca="false">ROUND(MAX(0,AL129*(1+E$8)-BH130),2)</f>
        <v>0</v>
      </c>
      <c r="AM130" s="27" t="n">
        <f aca="false">ROUND(MAX(0,AM129*(1+F$8)-BI130),2)</f>
        <v>0</v>
      </c>
      <c r="AN130" s="27" t="n">
        <f aca="false">ROUND(MAX(0,AN129*(1+G$8)-BJ130),2)</f>
        <v>0</v>
      </c>
      <c r="AO130" s="27" t="n">
        <f aca="false">ROUND(MAX(0,AO129*(1+H$8)-BK130),2)</f>
        <v>0</v>
      </c>
      <c r="AP130" s="27" t="n">
        <f aca="false">ROUND(MAX(0,AP129*(1+I$8)-BL130),2)</f>
        <v>0</v>
      </c>
      <c r="AQ130" s="27" t="n">
        <f aca="false">ROUND(MAX(0,AQ129*(1+J$8)-BM130),2)</f>
        <v>0</v>
      </c>
      <c r="AR130" s="27" t="n">
        <f aca="false">ROUND(MAX(0,AR129*(1+K$8)-BN130),2)</f>
        <v>0</v>
      </c>
      <c r="AS130" s="27" t="n">
        <f aca="false">SUM(AI130:AR130)</f>
        <v>0</v>
      </c>
      <c r="AT130" s="27" t="n">
        <f aca="false">SUMPRODUCT(AI129:AR129,$B$8:$K$8)</f>
        <v>0</v>
      </c>
      <c r="AU130" s="27" t="n">
        <f aca="false">MIN(AI129*(1+B$8),B$9)</f>
        <v>0</v>
      </c>
      <c r="AV130" s="27" t="n">
        <f aca="false">MIN(AJ129*(1+C$8),C$9)</f>
        <v>0</v>
      </c>
      <c r="AW130" s="27" t="n">
        <f aca="false">MIN(AK129*(1+D$8),D$9)</f>
        <v>0</v>
      </c>
      <c r="AX130" s="27" t="n">
        <f aca="false">MIN(AL129*(1+E$8),E$9)</f>
        <v>0</v>
      </c>
      <c r="AY130" s="27" t="n">
        <f aca="false">MIN(AM129*(1+F$8),F$9)</f>
        <v>0</v>
      </c>
      <c r="AZ130" s="27" t="n">
        <f aca="false">MIN(AN129*(1+G$8),G$9)</f>
        <v>0</v>
      </c>
      <c r="BA130" s="27" t="n">
        <f aca="false">MIN(AO129*(1+H$8),H$9)</f>
        <v>0</v>
      </c>
      <c r="BB130" s="27" t="n">
        <f aca="false">MIN(AP129*(1+I$8),I$9)</f>
        <v>0</v>
      </c>
      <c r="BC130" s="27" t="n">
        <f aca="false">MIN(AQ129*(1+J$8),J$9)</f>
        <v>0</v>
      </c>
      <c r="BD130" s="27" t="n">
        <f aca="false">MIN(AR129*(1+K$8),K$9)</f>
        <v>0</v>
      </c>
      <c r="BE130" s="27" t="n">
        <f aca="false">MIN(AI129*(1+B$8),MAX(AU130,$B$12-SUM(AV130:BD130)))</f>
        <v>0</v>
      </c>
      <c r="BF130" s="27" t="n">
        <f aca="false">MIN(AJ129*(1+C$8),MAX(AV130,$B$12-SUM(BE130:BE130)-SUM(AW130:BD130)))</f>
        <v>0</v>
      </c>
      <c r="BG130" s="27" t="n">
        <f aca="false">MIN(AK129*(1+D$8),MAX(AW130,$B$12-SUM(BE130:BF130)-SUM(AX130:BD130)))</f>
        <v>0</v>
      </c>
      <c r="BH130" s="27" t="n">
        <f aca="false">MIN(AL129*(1+E$8),MAX(AX130,$B$12-SUM(BE130:BG130)-SUM(AY130:BD130)))</f>
        <v>0</v>
      </c>
      <c r="BI130" s="27" t="n">
        <f aca="false">MIN(AM129*(1+F$8),MAX(AY130,$B$12-SUM(BE130:BH130)-SUM(AZ130:BD130)))</f>
        <v>0</v>
      </c>
      <c r="BJ130" s="27" t="n">
        <f aca="false">MIN(AN129*(1+G$8),MAX(AZ130,$B$12-SUM(BE130:BI130)-SUM(BA130:BD130)))</f>
        <v>0</v>
      </c>
      <c r="BK130" s="27" t="n">
        <f aca="false">MIN(AO129*(1+H$8),MAX(BA130,$B$12-SUM(BE130:BJ130)-SUM(BB130:BD130)))</f>
        <v>0</v>
      </c>
      <c r="BL130" s="27" t="n">
        <f aca="false">MIN(AP129*(1+I$8),MAX(BB130,$B$12-SUM(BE130:BK130)-SUM(BC130:BD130)))</f>
        <v>0</v>
      </c>
      <c r="BM130" s="27" t="n">
        <f aca="false">MIN(AQ129*(1+J$8),MAX(BC130,$B$12-SUM(BE130:BL130)-SUM(BD130:BD130)))</f>
        <v>0</v>
      </c>
      <c r="BN130" s="27" t="n">
        <f aca="false">MIN(AR129*(1+K$8),MAX(BD130,$B$12-SUM(BE130:BM130)))</f>
        <v>0</v>
      </c>
    </row>
    <row r="131" customFormat="false" ht="15" hidden="false" customHeight="false" outlineLevel="0" collapsed="false">
      <c r="A131" s="0" t="n">
        <v>117</v>
      </c>
      <c r="B131" s="27" t="n">
        <f aca="false">ROUND(MAX(0,B130*(1+B$8)-X131),2)</f>
        <v>0</v>
      </c>
      <c r="C131" s="27" t="n">
        <f aca="false">ROUND(MAX(0,C130*(1+C$8)-Y131),2)</f>
        <v>0</v>
      </c>
      <c r="D131" s="27" t="n">
        <f aca="false">ROUND(MAX(0,D130*(1+D$8)-Z131),2)</f>
        <v>0</v>
      </c>
      <c r="E131" s="27" t="n">
        <f aca="false">ROUND(MAX(0,E130*(1+E$8)-AA131),2)</f>
        <v>0</v>
      </c>
      <c r="F131" s="27" t="n">
        <f aca="false">ROUND(MAX(0,F130*(1+F$8)-AB131),2)</f>
        <v>0</v>
      </c>
      <c r="G131" s="27" t="n">
        <f aca="false">ROUND(MAX(0,G130*(1+G$8)-AC131),2)</f>
        <v>0</v>
      </c>
      <c r="H131" s="27" t="n">
        <f aca="false">ROUND(MAX(0,H130*(1+H$8)-AD131),2)</f>
        <v>0</v>
      </c>
      <c r="I131" s="27" t="n">
        <f aca="false">ROUND(MAX(0,I130*(1+I$8)-AE131),2)</f>
        <v>0</v>
      </c>
      <c r="J131" s="27" t="n">
        <f aca="false">ROUND(MAX(0,J130*(1+J$8)-AF131),2)</f>
        <v>0</v>
      </c>
      <c r="K131" s="27" t="n">
        <f aca="false">ROUND(MAX(0,K130*(1+K$8)-AG131),2)</f>
        <v>0</v>
      </c>
      <c r="L131" s="30" t="n">
        <f aca="false">SUM(B131:K131)</f>
        <v>0</v>
      </c>
      <c r="M131" s="27" t="n">
        <f aca="false">SUMPRODUCT(B130:K130,$B$8:$K$8)</f>
        <v>0</v>
      </c>
      <c r="N131" s="27" t="n">
        <f aca="false">MIN(B130*(1+B$8),B$9)</f>
        <v>0</v>
      </c>
      <c r="O131" s="27" t="n">
        <f aca="false">MIN(C130*(1+C$8),C$9)</f>
        <v>0</v>
      </c>
      <c r="P131" s="27" t="n">
        <f aca="false">MIN(D130*(1+D$8),D$9)</f>
        <v>0</v>
      </c>
      <c r="Q131" s="27" t="n">
        <f aca="false">MIN(E130*(1+E$8),E$9)</f>
        <v>0</v>
      </c>
      <c r="R131" s="27" t="n">
        <f aca="false">MIN(F130*(1+F$8),F$9)</f>
        <v>0</v>
      </c>
      <c r="S131" s="27" t="n">
        <f aca="false">MIN(G130*(1+G$8),G$9)</f>
        <v>0</v>
      </c>
      <c r="T131" s="27" t="n">
        <f aca="false">MIN(H130*(1+H$8),H$9)</f>
        <v>0</v>
      </c>
      <c r="U131" s="27" t="n">
        <f aca="false">MIN(I130*(1+I$8),I$9)</f>
        <v>0</v>
      </c>
      <c r="V131" s="27" t="n">
        <f aca="false">MIN(J130*(1+J$8),J$9)</f>
        <v>0</v>
      </c>
      <c r="W131" s="27" t="n">
        <f aca="false">MIN(K130*(1+K$8),K$9)</f>
        <v>0</v>
      </c>
      <c r="X131" s="27" t="n">
        <f aca="false">MIN(B130*(1+B$8),MAX(N131,$B$11-SUM(O131:W131)))</f>
        <v>0</v>
      </c>
      <c r="Y131" s="27" t="n">
        <f aca="false">MIN(C130*(1+C$8),MAX(O131,$B$11-SUM(X131:X131)-SUM(P131:W131)))</f>
        <v>0</v>
      </c>
      <c r="Z131" s="27" t="n">
        <f aca="false">MIN(D130*(1+D$8),MAX(P131,$B$11-SUM(X131:Y131)-SUM(Q131:W131)))</f>
        <v>0</v>
      </c>
      <c r="AA131" s="27" t="n">
        <f aca="false">MIN(E130*(1+E$8),MAX(Q131,$B$11-SUM(X131:Z131)-SUM(R131:W131)))</f>
        <v>0</v>
      </c>
      <c r="AB131" s="27" t="n">
        <f aca="false">MIN(F130*(1+F$8),MAX(R131,$B$11-SUM(X131:AA131)-SUM(S131:W131)))</f>
        <v>0</v>
      </c>
      <c r="AC131" s="27" t="n">
        <f aca="false">MIN(G130*(1+G$8),MAX(S131,$B$11-SUM(X131:AB131)-SUM(T131:W131)))</f>
        <v>0</v>
      </c>
      <c r="AD131" s="27" t="n">
        <f aca="false">MIN(H130*(1+H$8),MAX(T131,$B$11-SUM(X131:AC131)-SUM(U131:W131)))</f>
        <v>0</v>
      </c>
      <c r="AE131" s="27" t="n">
        <f aca="false">MIN(I130*(1+I$8),MAX(U131,$B$11-SUM(X131:AD131)-SUM(V131:W131)))</f>
        <v>0</v>
      </c>
      <c r="AF131" s="27" t="n">
        <f aca="false">MIN(J130*(1+J$8),MAX(V131,$B$11-SUM(X131:AE131)-SUM(W131:W131)))</f>
        <v>0</v>
      </c>
      <c r="AG131" s="27" t="n">
        <f aca="false">MIN(K130*(1+K$8),MAX(W131,$B$11-SUM(X131:AF131)))</f>
        <v>0</v>
      </c>
      <c r="AI131" s="27" t="n">
        <f aca="false">ROUND(MAX(0,AI130*(1+B$8)-BE131),2)</f>
        <v>0</v>
      </c>
      <c r="AJ131" s="27" t="n">
        <f aca="false">ROUND(MAX(0,AJ130*(1+C$8)-BF131),2)</f>
        <v>0</v>
      </c>
      <c r="AK131" s="27" t="n">
        <f aca="false">ROUND(MAX(0,AK130*(1+D$8)-BG131),2)</f>
        <v>0</v>
      </c>
      <c r="AL131" s="27" t="n">
        <f aca="false">ROUND(MAX(0,AL130*(1+E$8)-BH131),2)</f>
        <v>0</v>
      </c>
      <c r="AM131" s="27" t="n">
        <f aca="false">ROUND(MAX(0,AM130*(1+F$8)-BI131),2)</f>
        <v>0</v>
      </c>
      <c r="AN131" s="27" t="n">
        <f aca="false">ROUND(MAX(0,AN130*(1+G$8)-BJ131),2)</f>
        <v>0</v>
      </c>
      <c r="AO131" s="27" t="n">
        <f aca="false">ROUND(MAX(0,AO130*(1+H$8)-BK131),2)</f>
        <v>0</v>
      </c>
      <c r="AP131" s="27" t="n">
        <f aca="false">ROUND(MAX(0,AP130*(1+I$8)-BL131),2)</f>
        <v>0</v>
      </c>
      <c r="AQ131" s="27" t="n">
        <f aca="false">ROUND(MAX(0,AQ130*(1+J$8)-BM131),2)</f>
        <v>0</v>
      </c>
      <c r="AR131" s="27" t="n">
        <f aca="false">ROUND(MAX(0,AR130*(1+K$8)-BN131),2)</f>
        <v>0</v>
      </c>
      <c r="AS131" s="27" t="n">
        <f aca="false">SUM(AI131:AR131)</f>
        <v>0</v>
      </c>
      <c r="AT131" s="27" t="n">
        <f aca="false">SUMPRODUCT(AI130:AR130,$B$8:$K$8)</f>
        <v>0</v>
      </c>
      <c r="AU131" s="27" t="n">
        <f aca="false">MIN(AI130*(1+B$8),B$9)</f>
        <v>0</v>
      </c>
      <c r="AV131" s="27" t="n">
        <f aca="false">MIN(AJ130*(1+C$8),C$9)</f>
        <v>0</v>
      </c>
      <c r="AW131" s="27" t="n">
        <f aca="false">MIN(AK130*(1+D$8),D$9)</f>
        <v>0</v>
      </c>
      <c r="AX131" s="27" t="n">
        <f aca="false">MIN(AL130*(1+E$8),E$9)</f>
        <v>0</v>
      </c>
      <c r="AY131" s="27" t="n">
        <f aca="false">MIN(AM130*(1+F$8),F$9)</f>
        <v>0</v>
      </c>
      <c r="AZ131" s="27" t="n">
        <f aca="false">MIN(AN130*(1+G$8),G$9)</f>
        <v>0</v>
      </c>
      <c r="BA131" s="27" t="n">
        <f aca="false">MIN(AO130*(1+H$8),H$9)</f>
        <v>0</v>
      </c>
      <c r="BB131" s="27" t="n">
        <f aca="false">MIN(AP130*(1+I$8),I$9)</f>
        <v>0</v>
      </c>
      <c r="BC131" s="27" t="n">
        <f aca="false">MIN(AQ130*(1+J$8),J$9)</f>
        <v>0</v>
      </c>
      <c r="BD131" s="27" t="n">
        <f aca="false">MIN(AR130*(1+K$8),K$9)</f>
        <v>0</v>
      </c>
      <c r="BE131" s="27" t="n">
        <f aca="false">MIN(AI130*(1+B$8),MAX(AU131,$B$12-SUM(AV131:BD131)))</f>
        <v>0</v>
      </c>
      <c r="BF131" s="27" t="n">
        <f aca="false">MIN(AJ130*(1+C$8),MAX(AV131,$B$12-SUM(BE131:BE131)-SUM(AW131:BD131)))</f>
        <v>0</v>
      </c>
      <c r="BG131" s="27" t="n">
        <f aca="false">MIN(AK130*(1+D$8),MAX(AW131,$B$12-SUM(BE131:BF131)-SUM(AX131:BD131)))</f>
        <v>0</v>
      </c>
      <c r="BH131" s="27" t="n">
        <f aca="false">MIN(AL130*(1+E$8),MAX(AX131,$B$12-SUM(BE131:BG131)-SUM(AY131:BD131)))</f>
        <v>0</v>
      </c>
      <c r="BI131" s="27" t="n">
        <f aca="false">MIN(AM130*(1+F$8),MAX(AY131,$B$12-SUM(BE131:BH131)-SUM(AZ131:BD131)))</f>
        <v>0</v>
      </c>
      <c r="BJ131" s="27" t="n">
        <f aca="false">MIN(AN130*(1+G$8),MAX(AZ131,$B$12-SUM(BE131:BI131)-SUM(BA131:BD131)))</f>
        <v>0</v>
      </c>
      <c r="BK131" s="27" t="n">
        <f aca="false">MIN(AO130*(1+H$8),MAX(BA131,$B$12-SUM(BE131:BJ131)-SUM(BB131:BD131)))</f>
        <v>0</v>
      </c>
      <c r="BL131" s="27" t="n">
        <f aca="false">MIN(AP130*(1+I$8),MAX(BB131,$B$12-SUM(BE131:BK131)-SUM(BC131:BD131)))</f>
        <v>0</v>
      </c>
      <c r="BM131" s="27" t="n">
        <f aca="false">MIN(AQ130*(1+J$8),MAX(BC131,$B$12-SUM(BE131:BL131)-SUM(BD131:BD131)))</f>
        <v>0</v>
      </c>
      <c r="BN131" s="27" t="n">
        <f aca="false">MIN(AR130*(1+K$8),MAX(BD131,$B$12-SUM(BE131:BM131)))</f>
        <v>0</v>
      </c>
    </row>
    <row r="132" customFormat="false" ht="15" hidden="false" customHeight="false" outlineLevel="0" collapsed="false">
      <c r="A132" s="0" t="n">
        <v>118</v>
      </c>
      <c r="B132" s="27" t="n">
        <f aca="false">ROUND(MAX(0,B131*(1+B$8)-X132),2)</f>
        <v>0</v>
      </c>
      <c r="C132" s="27" t="n">
        <f aca="false">ROUND(MAX(0,C131*(1+C$8)-Y132),2)</f>
        <v>0</v>
      </c>
      <c r="D132" s="27" t="n">
        <f aca="false">ROUND(MAX(0,D131*(1+D$8)-Z132),2)</f>
        <v>0</v>
      </c>
      <c r="E132" s="27" t="n">
        <f aca="false">ROUND(MAX(0,E131*(1+E$8)-AA132),2)</f>
        <v>0</v>
      </c>
      <c r="F132" s="27" t="n">
        <f aca="false">ROUND(MAX(0,F131*(1+F$8)-AB132),2)</f>
        <v>0</v>
      </c>
      <c r="G132" s="27" t="n">
        <f aca="false">ROUND(MAX(0,G131*(1+G$8)-AC132),2)</f>
        <v>0</v>
      </c>
      <c r="H132" s="27" t="n">
        <f aca="false">ROUND(MAX(0,H131*(1+H$8)-AD132),2)</f>
        <v>0</v>
      </c>
      <c r="I132" s="27" t="n">
        <f aca="false">ROUND(MAX(0,I131*(1+I$8)-AE132),2)</f>
        <v>0</v>
      </c>
      <c r="J132" s="27" t="n">
        <f aca="false">ROUND(MAX(0,J131*(1+J$8)-AF132),2)</f>
        <v>0</v>
      </c>
      <c r="K132" s="27" t="n">
        <f aca="false">ROUND(MAX(0,K131*(1+K$8)-AG132),2)</f>
        <v>0</v>
      </c>
      <c r="L132" s="30" t="n">
        <f aca="false">SUM(B132:K132)</f>
        <v>0</v>
      </c>
      <c r="M132" s="27" t="n">
        <f aca="false">SUMPRODUCT(B131:K131,$B$8:$K$8)</f>
        <v>0</v>
      </c>
      <c r="N132" s="27" t="n">
        <f aca="false">MIN(B131*(1+B$8),B$9)</f>
        <v>0</v>
      </c>
      <c r="O132" s="27" t="n">
        <f aca="false">MIN(C131*(1+C$8),C$9)</f>
        <v>0</v>
      </c>
      <c r="P132" s="27" t="n">
        <f aca="false">MIN(D131*(1+D$8),D$9)</f>
        <v>0</v>
      </c>
      <c r="Q132" s="27" t="n">
        <f aca="false">MIN(E131*(1+E$8),E$9)</f>
        <v>0</v>
      </c>
      <c r="R132" s="27" t="n">
        <f aca="false">MIN(F131*(1+F$8),F$9)</f>
        <v>0</v>
      </c>
      <c r="S132" s="27" t="n">
        <f aca="false">MIN(G131*(1+G$8),G$9)</f>
        <v>0</v>
      </c>
      <c r="T132" s="27" t="n">
        <f aca="false">MIN(H131*(1+H$8),H$9)</f>
        <v>0</v>
      </c>
      <c r="U132" s="27" t="n">
        <f aca="false">MIN(I131*(1+I$8),I$9)</f>
        <v>0</v>
      </c>
      <c r="V132" s="27" t="n">
        <f aca="false">MIN(J131*(1+J$8),J$9)</f>
        <v>0</v>
      </c>
      <c r="W132" s="27" t="n">
        <f aca="false">MIN(K131*(1+K$8),K$9)</f>
        <v>0</v>
      </c>
      <c r="X132" s="27" t="n">
        <f aca="false">MIN(B131*(1+B$8),MAX(N132,$B$11-SUM(O132:W132)))</f>
        <v>0</v>
      </c>
      <c r="Y132" s="27" t="n">
        <f aca="false">MIN(C131*(1+C$8),MAX(O132,$B$11-SUM(X132:X132)-SUM(P132:W132)))</f>
        <v>0</v>
      </c>
      <c r="Z132" s="27" t="n">
        <f aca="false">MIN(D131*(1+D$8),MAX(P132,$B$11-SUM(X132:Y132)-SUM(Q132:W132)))</f>
        <v>0</v>
      </c>
      <c r="AA132" s="27" t="n">
        <f aca="false">MIN(E131*(1+E$8),MAX(Q132,$B$11-SUM(X132:Z132)-SUM(R132:W132)))</f>
        <v>0</v>
      </c>
      <c r="AB132" s="27" t="n">
        <f aca="false">MIN(F131*(1+F$8),MAX(R132,$B$11-SUM(X132:AA132)-SUM(S132:W132)))</f>
        <v>0</v>
      </c>
      <c r="AC132" s="27" t="n">
        <f aca="false">MIN(G131*(1+G$8),MAX(S132,$B$11-SUM(X132:AB132)-SUM(T132:W132)))</f>
        <v>0</v>
      </c>
      <c r="AD132" s="27" t="n">
        <f aca="false">MIN(H131*(1+H$8),MAX(T132,$B$11-SUM(X132:AC132)-SUM(U132:W132)))</f>
        <v>0</v>
      </c>
      <c r="AE132" s="27" t="n">
        <f aca="false">MIN(I131*(1+I$8),MAX(U132,$B$11-SUM(X132:AD132)-SUM(V132:W132)))</f>
        <v>0</v>
      </c>
      <c r="AF132" s="27" t="n">
        <f aca="false">MIN(J131*(1+J$8),MAX(V132,$B$11-SUM(X132:AE132)-SUM(W132:W132)))</f>
        <v>0</v>
      </c>
      <c r="AG132" s="27" t="n">
        <f aca="false">MIN(K131*(1+K$8),MAX(W132,$B$11-SUM(X132:AF132)))</f>
        <v>0</v>
      </c>
      <c r="AI132" s="27" t="n">
        <f aca="false">ROUND(MAX(0,AI131*(1+B$8)-BE132),2)</f>
        <v>0</v>
      </c>
      <c r="AJ132" s="27" t="n">
        <f aca="false">ROUND(MAX(0,AJ131*(1+C$8)-BF132),2)</f>
        <v>0</v>
      </c>
      <c r="AK132" s="27" t="n">
        <f aca="false">ROUND(MAX(0,AK131*(1+D$8)-BG132),2)</f>
        <v>0</v>
      </c>
      <c r="AL132" s="27" t="n">
        <f aca="false">ROUND(MAX(0,AL131*(1+E$8)-BH132),2)</f>
        <v>0</v>
      </c>
      <c r="AM132" s="27" t="n">
        <f aca="false">ROUND(MAX(0,AM131*(1+F$8)-BI132),2)</f>
        <v>0</v>
      </c>
      <c r="AN132" s="27" t="n">
        <f aca="false">ROUND(MAX(0,AN131*(1+G$8)-BJ132),2)</f>
        <v>0</v>
      </c>
      <c r="AO132" s="27" t="n">
        <f aca="false">ROUND(MAX(0,AO131*(1+H$8)-BK132),2)</f>
        <v>0</v>
      </c>
      <c r="AP132" s="27" t="n">
        <f aca="false">ROUND(MAX(0,AP131*(1+I$8)-BL132),2)</f>
        <v>0</v>
      </c>
      <c r="AQ132" s="27" t="n">
        <f aca="false">ROUND(MAX(0,AQ131*(1+J$8)-BM132),2)</f>
        <v>0</v>
      </c>
      <c r="AR132" s="27" t="n">
        <f aca="false">ROUND(MAX(0,AR131*(1+K$8)-BN132),2)</f>
        <v>0</v>
      </c>
      <c r="AS132" s="27" t="n">
        <f aca="false">SUM(AI132:AR132)</f>
        <v>0</v>
      </c>
      <c r="AT132" s="27" t="n">
        <f aca="false">SUMPRODUCT(AI131:AR131,$B$8:$K$8)</f>
        <v>0</v>
      </c>
      <c r="AU132" s="27" t="n">
        <f aca="false">MIN(AI131*(1+B$8),B$9)</f>
        <v>0</v>
      </c>
      <c r="AV132" s="27" t="n">
        <f aca="false">MIN(AJ131*(1+C$8),C$9)</f>
        <v>0</v>
      </c>
      <c r="AW132" s="27" t="n">
        <f aca="false">MIN(AK131*(1+D$8),D$9)</f>
        <v>0</v>
      </c>
      <c r="AX132" s="27" t="n">
        <f aca="false">MIN(AL131*(1+E$8),E$9)</f>
        <v>0</v>
      </c>
      <c r="AY132" s="27" t="n">
        <f aca="false">MIN(AM131*(1+F$8),F$9)</f>
        <v>0</v>
      </c>
      <c r="AZ132" s="27" t="n">
        <f aca="false">MIN(AN131*(1+G$8),G$9)</f>
        <v>0</v>
      </c>
      <c r="BA132" s="27" t="n">
        <f aca="false">MIN(AO131*(1+H$8),H$9)</f>
        <v>0</v>
      </c>
      <c r="BB132" s="27" t="n">
        <f aca="false">MIN(AP131*(1+I$8),I$9)</f>
        <v>0</v>
      </c>
      <c r="BC132" s="27" t="n">
        <f aca="false">MIN(AQ131*(1+J$8),J$9)</f>
        <v>0</v>
      </c>
      <c r="BD132" s="27" t="n">
        <f aca="false">MIN(AR131*(1+K$8),K$9)</f>
        <v>0</v>
      </c>
      <c r="BE132" s="27" t="n">
        <f aca="false">MIN(AI131*(1+B$8),MAX(AU132,$B$12-SUM(AV132:BD132)))</f>
        <v>0</v>
      </c>
      <c r="BF132" s="27" t="n">
        <f aca="false">MIN(AJ131*(1+C$8),MAX(AV132,$B$12-SUM(BE132:BE132)-SUM(AW132:BD132)))</f>
        <v>0</v>
      </c>
      <c r="BG132" s="27" t="n">
        <f aca="false">MIN(AK131*(1+D$8),MAX(AW132,$B$12-SUM(BE132:BF132)-SUM(AX132:BD132)))</f>
        <v>0</v>
      </c>
      <c r="BH132" s="27" t="n">
        <f aca="false">MIN(AL131*(1+E$8),MAX(AX132,$B$12-SUM(BE132:BG132)-SUM(AY132:BD132)))</f>
        <v>0</v>
      </c>
      <c r="BI132" s="27" t="n">
        <f aca="false">MIN(AM131*(1+F$8),MAX(AY132,$B$12-SUM(BE132:BH132)-SUM(AZ132:BD132)))</f>
        <v>0</v>
      </c>
      <c r="BJ132" s="27" t="n">
        <f aca="false">MIN(AN131*(1+G$8),MAX(AZ132,$B$12-SUM(BE132:BI132)-SUM(BA132:BD132)))</f>
        <v>0</v>
      </c>
      <c r="BK132" s="27" t="n">
        <f aca="false">MIN(AO131*(1+H$8),MAX(BA132,$B$12-SUM(BE132:BJ132)-SUM(BB132:BD132)))</f>
        <v>0</v>
      </c>
      <c r="BL132" s="27" t="n">
        <f aca="false">MIN(AP131*(1+I$8),MAX(BB132,$B$12-SUM(BE132:BK132)-SUM(BC132:BD132)))</f>
        <v>0</v>
      </c>
      <c r="BM132" s="27" t="n">
        <f aca="false">MIN(AQ131*(1+J$8),MAX(BC132,$B$12-SUM(BE132:BL132)-SUM(BD132:BD132)))</f>
        <v>0</v>
      </c>
      <c r="BN132" s="27" t="n">
        <f aca="false">MIN(AR131*(1+K$8),MAX(BD132,$B$12-SUM(BE132:BM132)))</f>
        <v>0</v>
      </c>
    </row>
    <row r="133" customFormat="false" ht="15" hidden="false" customHeight="false" outlineLevel="0" collapsed="false">
      <c r="A133" s="0" t="n">
        <v>119</v>
      </c>
      <c r="B133" s="27" t="n">
        <f aca="false">ROUND(MAX(0,B132*(1+B$8)-X133),2)</f>
        <v>0</v>
      </c>
      <c r="C133" s="27" t="n">
        <f aca="false">ROUND(MAX(0,C132*(1+C$8)-Y133),2)</f>
        <v>0</v>
      </c>
      <c r="D133" s="27" t="n">
        <f aca="false">ROUND(MAX(0,D132*(1+D$8)-Z133),2)</f>
        <v>0</v>
      </c>
      <c r="E133" s="27" t="n">
        <f aca="false">ROUND(MAX(0,E132*(1+E$8)-AA133),2)</f>
        <v>0</v>
      </c>
      <c r="F133" s="27" t="n">
        <f aca="false">ROUND(MAX(0,F132*(1+F$8)-AB133),2)</f>
        <v>0</v>
      </c>
      <c r="G133" s="27" t="n">
        <f aca="false">ROUND(MAX(0,G132*(1+G$8)-AC133),2)</f>
        <v>0</v>
      </c>
      <c r="H133" s="27" t="n">
        <f aca="false">ROUND(MAX(0,H132*(1+H$8)-AD133),2)</f>
        <v>0</v>
      </c>
      <c r="I133" s="27" t="n">
        <f aca="false">ROUND(MAX(0,I132*(1+I$8)-AE133),2)</f>
        <v>0</v>
      </c>
      <c r="J133" s="27" t="n">
        <f aca="false">ROUND(MAX(0,J132*(1+J$8)-AF133),2)</f>
        <v>0</v>
      </c>
      <c r="K133" s="27" t="n">
        <f aca="false">ROUND(MAX(0,K132*(1+K$8)-AG133),2)</f>
        <v>0</v>
      </c>
      <c r="L133" s="30" t="n">
        <f aca="false">SUM(B133:K133)</f>
        <v>0</v>
      </c>
      <c r="M133" s="27" t="n">
        <f aca="false">SUMPRODUCT(B132:K132,$B$8:$K$8)</f>
        <v>0</v>
      </c>
      <c r="N133" s="27" t="n">
        <f aca="false">MIN(B132*(1+B$8),B$9)</f>
        <v>0</v>
      </c>
      <c r="O133" s="27" t="n">
        <f aca="false">MIN(C132*(1+C$8),C$9)</f>
        <v>0</v>
      </c>
      <c r="P133" s="27" t="n">
        <f aca="false">MIN(D132*(1+D$8),D$9)</f>
        <v>0</v>
      </c>
      <c r="Q133" s="27" t="n">
        <f aca="false">MIN(E132*(1+E$8),E$9)</f>
        <v>0</v>
      </c>
      <c r="R133" s="27" t="n">
        <f aca="false">MIN(F132*(1+F$8),F$9)</f>
        <v>0</v>
      </c>
      <c r="S133" s="27" t="n">
        <f aca="false">MIN(G132*(1+G$8),G$9)</f>
        <v>0</v>
      </c>
      <c r="T133" s="27" t="n">
        <f aca="false">MIN(H132*(1+H$8),H$9)</f>
        <v>0</v>
      </c>
      <c r="U133" s="27" t="n">
        <f aca="false">MIN(I132*(1+I$8),I$9)</f>
        <v>0</v>
      </c>
      <c r="V133" s="27" t="n">
        <f aca="false">MIN(J132*(1+J$8),J$9)</f>
        <v>0</v>
      </c>
      <c r="W133" s="27" t="n">
        <f aca="false">MIN(K132*(1+K$8),K$9)</f>
        <v>0</v>
      </c>
      <c r="X133" s="27" t="n">
        <f aca="false">MIN(B132*(1+B$8),MAX(N133,$B$11-SUM(O133:W133)))</f>
        <v>0</v>
      </c>
      <c r="Y133" s="27" t="n">
        <f aca="false">MIN(C132*(1+C$8),MAX(O133,$B$11-SUM(X133:X133)-SUM(P133:W133)))</f>
        <v>0</v>
      </c>
      <c r="Z133" s="27" t="n">
        <f aca="false">MIN(D132*(1+D$8),MAX(P133,$B$11-SUM(X133:Y133)-SUM(Q133:W133)))</f>
        <v>0</v>
      </c>
      <c r="AA133" s="27" t="n">
        <f aca="false">MIN(E132*(1+E$8),MAX(Q133,$B$11-SUM(X133:Z133)-SUM(R133:W133)))</f>
        <v>0</v>
      </c>
      <c r="AB133" s="27" t="n">
        <f aca="false">MIN(F132*(1+F$8),MAX(R133,$B$11-SUM(X133:AA133)-SUM(S133:W133)))</f>
        <v>0</v>
      </c>
      <c r="AC133" s="27" t="n">
        <f aca="false">MIN(G132*(1+G$8),MAX(S133,$B$11-SUM(X133:AB133)-SUM(T133:W133)))</f>
        <v>0</v>
      </c>
      <c r="AD133" s="27" t="n">
        <f aca="false">MIN(H132*(1+H$8),MAX(T133,$B$11-SUM(X133:AC133)-SUM(U133:W133)))</f>
        <v>0</v>
      </c>
      <c r="AE133" s="27" t="n">
        <f aca="false">MIN(I132*(1+I$8),MAX(U133,$B$11-SUM(X133:AD133)-SUM(V133:W133)))</f>
        <v>0</v>
      </c>
      <c r="AF133" s="27" t="n">
        <f aca="false">MIN(J132*(1+J$8),MAX(V133,$B$11-SUM(X133:AE133)-SUM(W133:W133)))</f>
        <v>0</v>
      </c>
      <c r="AG133" s="27" t="n">
        <f aca="false">MIN(K132*(1+K$8),MAX(W133,$B$11-SUM(X133:AF133)))</f>
        <v>0</v>
      </c>
      <c r="AI133" s="27" t="n">
        <f aca="false">ROUND(MAX(0,AI132*(1+B$8)-BE133),2)</f>
        <v>0</v>
      </c>
      <c r="AJ133" s="27" t="n">
        <f aca="false">ROUND(MAX(0,AJ132*(1+C$8)-BF133),2)</f>
        <v>0</v>
      </c>
      <c r="AK133" s="27" t="n">
        <f aca="false">ROUND(MAX(0,AK132*(1+D$8)-BG133),2)</f>
        <v>0</v>
      </c>
      <c r="AL133" s="27" t="n">
        <f aca="false">ROUND(MAX(0,AL132*(1+E$8)-BH133),2)</f>
        <v>0</v>
      </c>
      <c r="AM133" s="27" t="n">
        <f aca="false">ROUND(MAX(0,AM132*(1+F$8)-BI133),2)</f>
        <v>0</v>
      </c>
      <c r="AN133" s="27" t="n">
        <f aca="false">ROUND(MAX(0,AN132*(1+G$8)-BJ133),2)</f>
        <v>0</v>
      </c>
      <c r="AO133" s="27" t="n">
        <f aca="false">ROUND(MAX(0,AO132*(1+H$8)-BK133),2)</f>
        <v>0</v>
      </c>
      <c r="AP133" s="27" t="n">
        <f aca="false">ROUND(MAX(0,AP132*(1+I$8)-BL133),2)</f>
        <v>0</v>
      </c>
      <c r="AQ133" s="27" t="n">
        <f aca="false">ROUND(MAX(0,AQ132*(1+J$8)-BM133),2)</f>
        <v>0</v>
      </c>
      <c r="AR133" s="27" t="n">
        <f aca="false">ROUND(MAX(0,AR132*(1+K$8)-BN133),2)</f>
        <v>0</v>
      </c>
      <c r="AS133" s="27" t="n">
        <f aca="false">SUM(AI133:AR133)</f>
        <v>0</v>
      </c>
      <c r="AT133" s="27" t="n">
        <f aca="false">SUMPRODUCT(AI132:AR132,$B$8:$K$8)</f>
        <v>0</v>
      </c>
      <c r="AU133" s="27" t="n">
        <f aca="false">MIN(AI132*(1+B$8),B$9)</f>
        <v>0</v>
      </c>
      <c r="AV133" s="27" t="n">
        <f aca="false">MIN(AJ132*(1+C$8),C$9)</f>
        <v>0</v>
      </c>
      <c r="AW133" s="27" t="n">
        <f aca="false">MIN(AK132*(1+D$8),D$9)</f>
        <v>0</v>
      </c>
      <c r="AX133" s="27" t="n">
        <f aca="false">MIN(AL132*(1+E$8),E$9)</f>
        <v>0</v>
      </c>
      <c r="AY133" s="27" t="n">
        <f aca="false">MIN(AM132*(1+F$8),F$9)</f>
        <v>0</v>
      </c>
      <c r="AZ133" s="27" t="n">
        <f aca="false">MIN(AN132*(1+G$8),G$9)</f>
        <v>0</v>
      </c>
      <c r="BA133" s="27" t="n">
        <f aca="false">MIN(AO132*(1+H$8),H$9)</f>
        <v>0</v>
      </c>
      <c r="BB133" s="27" t="n">
        <f aca="false">MIN(AP132*(1+I$8),I$9)</f>
        <v>0</v>
      </c>
      <c r="BC133" s="27" t="n">
        <f aca="false">MIN(AQ132*(1+J$8),J$9)</f>
        <v>0</v>
      </c>
      <c r="BD133" s="27" t="n">
        <f aca="false">MIN(AR132*(1+K$8),K$9)</f>
        <v>0</v>
      </c>
      <c r="BE133" s="27" t="n">
        <f aca="false">MIN(AI132*(1+B$8),MAX(AU133,$B$12-SUM(AV133:BD133)))</f>
        <v>0</v>
      </c>
      <c r="BF133" s="27" t="n">
        <f aca="false">MIN(AJ132*(1+C$8),MAX(AV133,$B$12-SUM(BE133:BE133)-SUM(AW133:BD133)))</f>
        <v>0</v>
      </c>
      <c r="BG133" s="27" t="n">
        <f aca="false">MIN(AK132*(1+D$8),MAX(AW133,$B$12-SUM(BE133:BF133)-SUM(AX133:BD133)))</f>
        <v>0</v>
      </c>
      <c r="BH133" s="27" t="n">
        <f aca="false">MIN(AL132*(1+E$8),MAX(AX133,$B$12-SUM(BE133:BG133)-SUM(AY133:BD133)))</f>
        <v>0</v>
      </c>
      <c r="BI133" s="27" t="n">
        <f aca="false">MIN(AM132*(1+F$8),MAX(AY133,$B$12-SUM(BE133:BH133)-SUM(AZ133:BD133)))</f>
        <v>0</v>
      </c>
      <c r="BJ133" s="27" t="n">
        <f aca="false">MIN(AN132*(1+G$8),MAX(AZ133,$B$12-SUM(BE133:BI133)-SUM(BA133:BD133)))</f>
        <v>0</v>
      </c>
      <c r="BK133" s="27" t="n">
        <f aca="false">MIN(AO132*(1+H$8),MAX(BA133,$B$12-SUM(BE133:BJ133)-SUM(BB133:BD133)))</f>
        <v>0</v>
      </c>
      <c r="BL133" s="27" t="n">
        <f aca="false">MIN(AP132*(1+I$8),MAX(BB133,$B$12-SUM(BE133:BK133)-SUM(BC133:BD133)))</f>
        <v>0</v>
      </c>
      <c r="BM133" s="27" t="n">
        <f aca="false">MIN(AQ132*(1+J$8),MAX(BC133,$B$12-SUM(BE133:BL133)-SUM(BD133:BD133)))</f>
        <v>0</v>
      </c>
      <c r="BN133" s="27" t="n">
        <f aca="false">MIN(AR132*(1+K$8),MAX(BD133,$B$12-SUM(BE133:BM133)))</f>
        <v>0</v>
      </c>
    </row>
    <row r="134" customFormat="false" ht="15" hidden="false" customHeight="false" outlineLevel="0" collapsed="false">
      <c r="A134" s="0" t="n">
        <v>120</v>
      </c>
      <c r="B134" s="27" t="n">
        <f aca="false">ROUND(MAX(0,B133*(1+B$8)-X134),2)</f>
        <v>0</v>
      </c>
      <c r="C134" s="27" t="n">
        <f aca="false">ROUND(MAX(0,C133*(1+C$8)-Y134),2)</f>
        <v>0</v>
      </c>
      <c r="D134" s="27" t="n">
        <f aca="false">ROUND(MAX(0,D133*(1+D$8)-Z134),2)</f>
        <v>0</v>
      </c>
      <c r="E134" s="27" t="n">
        <f aca="false">ROUND(MAX(0,E133*(1+E$8)-AA134),2)</f>
        <v>0</v>
      </c>
      <c r="F134" s="27" t="n">
        <f aca="false">ROUND(MAX(0,F133*(1+F$8)-AB134),2)</f>
        <v>0</v>
      </c>
      <c r="G134" s="27" t="n">
        <f aca="false">ROUND(MAX(0,G133*(1+G$8)-AC134),2)</f>
        <v>0</v>
      </c>
      <c r="H134" s="27" t="n">
        <f aca="false">ROUND(MAX(0,H133*(1+H$8)-AD134),2)</f>
        <v>0</v>
      </c>
      <c r="I134" s="27" t="n">
        <f aca="false">ROUND(MAX(0,I133*(1+I$8)-AE134),2)</f>
        <v>0</v>
      </c>
      <c r="J134" s="27" t="n">
        <f aca="false">ROUND(MAX(0,J133*(1+J$8)-AF134),2)</f>
        <v>0</v>
      </c>
      <c r="K134" s="27" t="n">
        <f aca="false">ROUND(MAX(0,K133*(1+K$8)-AG134),2)</f>
        <v>0</v>
      </c>
      <c r="L134" s="30" t="n">
        <f aca="false">SUM(B134:K134)</f>
        <v>0</v>
      </c>
      <c r="M134" s="27" t="n">
        <f aca="false">SUMPRODUCT(B133:K133,$B$8:$K$8)</f>
        <v>0</v>
      </c>
      <c r="N134" s="27" t="n">
        <f aca="false">MIN(B133*(1+B$8),B$9)</f>
        <v>0</v>
      </c>
      <c r="O134" s="27" t="n">
        <f aca="false">MIN(C133*(1+C$8),C$9)</f>
        <v>0</v>
      </c>
      <c r="P134" s="27" t="n">
        <f aca="false">MIN(D133*(1+D$8),D$9)</f>
        <v>0</v>
      </c>
      <c r="Q134" s="27" t="n">
        <f aca="false">MIN(E133*(1+E$8),E$9)</f>
        <v>0</v>
      </c>
      <c r="R134" s="27" t="n">
        <f aca="false">MIN(F133*(1+F$8),F$9)</f>
        <v>0</v>
      </c>
      <c r="S134" s="27" t="n">
        <f aca="false">MIN(G133*(1+G$8),G$9)</f>
        <v>0</v>
      </c>
      <c r="T134" s="27" t="n">
        <f aca="false">MIN(H133*(1+H$8),H$9)</f>
        <v>0</v>
      </c>
      <c r="U134" s="27" t="n">
        <f aca="false">MIN(I133*(1+I$8),I$9)</f>
        <v>0</v>
      </c>
      <c r="V134" s="27" t="n">
        <f aca="false">MIN(J133*(1+J$8),J$9)</f>
        <v>0</v>
      </c>
      <c r="W134" s="27" t="n">
        <f aca="false">MIN(K133*(1+K$8),K$9)</f>
        <v>0</v>
      </c>
      <c r="X134" s="27" t="n">
        <f aca="false">MIN(B133*(1+B$8),MAX(N134,$B$11-SUM(O134:W134)))</f>
        <v>0</v>
      </c>
      <c r="Y134" s="27" t="n">
        <f aca="false">MIN(C133*(1+C$8),MAX(O134,$B$11-SUM(X134:X134)-SUM(P134:W134)))</f>
        <v>0</v>
      </c>
      <c r="Z134" s="27" t="n">
        <f aca="false">MIN(D133*(1+D$8),MAX(P134,$B$11-SUM(X134:Y134)-SUM(Q134:W134)))</f>
        <v>0</v>
      </c>
      <c r="AA134" s="27" t="n">
        <f aca="false">MIN(E133*(1+E$8),MAX(Q134,$B$11-SUM(X134:Z134)-SUM(R134:W134)))</f>
        <v>0</v>
      </c>
      <c r="AB134" s="27" t="n">
        <f aca="false">MIN(F133*(1+F$8),MAX(R134,$B$11-SUM(X134:AA134)-SUM(S134:W134)))</f>
        <v>0</v>
      </c>
      <c r="AC134" s="27" t="n">
        <f aca="false">MIN(G133*(1+G$8),MAX(S134,$B$11-SUM(X134:AB134)-SUM(T134:W134)))</f>
        <v>0</v>
      </c>
      <c r="AD134" s="27" t="n">
        <f aca="false">MIN(H133*(1+H$8),MAX(T134,$B$11-SUM(X134:AC134)-SUM(U134:W134)))</f>
        <v>0</v>
      </c>
      <c r="AE134" s="27" t="n">
        <f aca="false">MIN(I133*(1+I$8),MAX(U134,$B$11-SUM(X134:AD134)-SUM(V134:W134)))</f>
        <v>0</v>
      </c>
      <c r="AF134" s="27" t="n">
        <f aca="false">MIN(J133*(1+J$8),MAX(V134,$B$11-SUM(X134:AE134)-SUM(W134:W134)))</f>
        <v>0</v>
      </c>
      <c r="AG134" s="27" t="n">
        <f aca="false">MIN(K133*(1+K$8),MAX(W134,$B$11-SUM(X134:AF134)))</f>
        <v>0</v>
      </c>
      <c r="AI134" s="27" t="n">
        <f aca="false">ROUND(MAX(0,AI133*(1+B$8)-BE134),2)</f>
        <v>0</v>
      </c>
      <c r="AJ134" s="27" t="n">
        <f aca="false">ROUND(MAX(0,AJ133*(1+C$8)-BF134),2)</f>
        <v>0</v>
      </c>
      <c r="AK134" s="27" t="n">
        <f aca="false">ROUND(MAX(0,AK133*(1+D$8)-BG134),2)</f>
        <v>0</v>
      </c>
      <c r="AL134" s="27" t="n">
        <f aca="false">ROUND(MAX(0,AL133*(1+E$8)-BH134),2)</f>
        <v>0</v>
      </c>
      <c r="AM134" s="27" t="n">
        <f aca="false">ROUND(MAX(0,AM133*(1+F$8)-BI134),2)</f>
        <v>0</v>
      </c>
      <c r="AN134" s="27" t="n">
        <f aca="false">ROUND(MAX(0,AN133*(1+G$8)-BJ134),2)</f>
        <v>0</v>
      </c>
      <c r="AO134" s="27" t="n">
        <f aca="false">ROUND(MAX(0,AO133*(1+H$8)-BK134),2)</f>
        <v>0</v>
      </c>
      <c r="AP134" s="27" t="n">
        <f aca="false">ROUND(MAX(0,AP133*(1+I$8)-BL134),2)</f>
        <v>0</v>
      </c>
      <c r="AQ134" s="27" t="n">
        <f aca="false">ROUND(MAX(0,AQ133*(1+J$8)-BM134),2)</f>
        <v>0</v>
      </c>
      <c r="AR134" s="27" t="n">
        <f aca="false">ROUND(MAX(0,AR133*(1+K$8)-BN134),2)</f>
        <v>0</v>
      </c>
      <c r="AS134" s="27" t="n">
        <f aca="false">SUM(AI134:AR134)</f>
        <v>0</v>
      </c>
      <c r="AT134" s="27" t="n">
        <f aca="false">SUMPRODUCT(AI133:AR133,$B$8:$K$8)</f>
        <v>0</v>
      </c>
      <c r="AU134" s="27" t="n">
        <f aca="false">MIN(AI133*(1+B$8),B$9)</f>
        <v>0</v>
      </c>
      <c r="AV134" s="27" t="n">
        <f aca="false">MIN(AJ133*(1+C$8),C$9)</f>
        <v>0</v>
      </c>
      <c r="AW134" s="27" t="n">
        <f aca="false">MIN(AK133*(1+D$8),D$9)</f>
        <v>0</v>
      </c>
      <c r="AX134" s="27" t="n">
        <f aca="false">MIN(AL133*(1+E$8),E$9)</f>
        <v>0</v>
      </c>
      <c r="AY134" s="27" t="n">
        <f aca="false">MIN(AM133*(1+F$8),F$9)</f>
        <v>0</v>
      </c>
      <c r="AZ134" s="27" t="n">
        <f aca="false">MIN(AN133*(1+G$8),G$9)</f>
        <v>0</v>
      </c>
      <c r="BA134" s="27" t="n">
        <f aca="false">MIN(AO133*(1+H$8),H$9)</f>
        <v>0</v>
      </c>
      <c r="BB134" s="27" t="n">
        <f aca="false">MIN(AP133*(1+I$8),I$9)</f>
        <v>0</v>
      </c>
      <c r="BC134" s="27" t="n">
        <f aca="false">MIN(AQ133*(1+J$8),J$9)</f>
        <v>0</v>
      </c>
      <c r="BD134" s="27" t="n">
        <f aca="false">MIN(AR133*(1+K$8),K$9)</f>
        <v>0</v>
      </c>
      <c r="BE134" s="27" t="n">
        <f aca="false">MIN(AI133*(1+B$8),MAX(AU134,$B$12-SUM(AV134:BD134)))</f>
        <v>0</v>
      </c>
      <c r="BF134" s="27" t="n">
        <f aca="false">MIN(AJ133*(1+C$8),MAX(AV134,$B$12-SUM(BE134:BE134)-SUM(AW134:BD134)))</f>
        <v>0</v>
      </c>
      <c r="BG134" s="27" t="n">
        <f aca="false">MIN(AK133*(1+D$8),MAX(AW134,$B$12-SUM(BE134:BF134)-SUM(AX134:BD134)))</f>
        <v>0</v>
      </c>
      <c r="BH134" s="27" t="n">
        <f aca="false">MIN(AL133*(1+E$8),MAX(AX134,$B$12-SUM(BE134:BG134)-SUM(AY134:BD134)))</f>
        <v>0</v>
      </c>
      <c r="BI134" s="27" t="n">
        <f aca="false">MIN(AM133*(1+F$8),MAX(AY134,$B$12-SUM(BE134:BH134)-SUM(AZ134:BD134)))</f>
        <v>0</v>
      </c>
      <c r="BJ134" s="27" t="n">
        <f aca="false">MIN(AN133*(1+G$8),MAX(AZ134,$B$12-SUM(BE134:BI134)-SUM(BA134:BD134)))</f>
        <v>0</v>
      </c>
      <c r="BK134" s="27" t="n">
        <f aca="false">MIN(AO133*(1+H$8),MAX(BA134,$B$12-SUM(BE134:BJ134)-SUM(BB134:BD134)))</f>
        <v>0</v>
      </c>
      <c r="BL134" s="27" t="n">
        <f aca="false">MIN(AP133*(1+I$8),MAX(BB134,$B$12-SUM(BE134:BK134)-SUM(BC134:BD134)))</f>
        <v>0</v>
      </c>
      <c r="BM134" s="27" t="n">
        <f aca="false">MIN(AQ133*(1+J$8),MAX(BC134,$B$12-SUM(BE134:BL134)-SUM(BD134:BD134)))</f>
        <v>0</v>
      </c>
      <c r="BN134" s="27" t="n">
        <f aca="false">MIN(AR133*(1+K$8),MAX(BD134,$B$12-SUM(BE134:BM134)))</f>
        <v>0</v>
      </c>
    </row>
    <row r="135" customFormat="false" ht="15" hidden="false" customHeight="false" outlineLevel="0" collapsed="false">
      <c r="A135" s="0" t="n">
        <v>121</v>
      </c>
      <c r="B135" s="27" t="n">
        <f aca="false">ROUND(MAX(0,B134*(1+B$8)-X135),2)</f>
        <v>0</v>
      </c>
      <c r="C135" s="27" t="n">
        <f aca="false">ROUND(MAX(0,C134*(1+C$8)-Y135),2)</f>
        <v>0</v>
      </c>
      <c r="D135" s="27" t="n">
        <f aca="false">ROUND(MAX(0,D134*(1+D$8)-Z135),2)</f>
        <v>0</v>
      </c>
      <c r="E135" s="27" t="n">
        <f aca="false">ROUND(MAX(0,E134*(1+E$8)-AA135),2)</f>
        <v>0</v>
      </c>
      <c r="F135" s="27" t="n">
        <f aca="false">ROUND(MAX(0,F134*(1+F$8)-AB135),2)</f>
        <v>0</v>
      </c>
      <c r="G135" s="27" t="n">
        <f aca="false">ROUND(MAX(0,G134*(1+G$8)-AC135),2)</f>
        <v>0</v>
      </c>
      <c r="H135" s="27" t="n">
        <f aca="false">ROUND(MAX(0,H134*(1+H$8)-AD135),2)</f>
        <v>0</v>
      </c>
      <c r="I135" s="27" t="n">
        <f aca="false">ROUND(MAX(0,I134*(1+I$8)-AE135),2)</f>
        <v>0</v>
      </c>
      <c r="J135" s="27" t="n">
        <f aca="false">ROUND(MAX(0,J134*(1+J$8)-AF135),2)</f>
        <v>0</v>
      </c>
      <c r="K135" s="27" t="n">
        <f aca="false">ROUND(MAX(0,K134*(1+K$8)-AG135),2)</f>
        <v>0</v>
      </c>
      <c r="L135" s="30" t="n">
        <f aca="false">SUM(B135:K135)</f>
        <v>0</v>
      </c>
      <c r="M135" s="27" t="n">
        <f aca="false">SUMPRODUCT(B134:K134,$B$8:$K$8)</f>
        <v>0</v>
      </c>
      <c r="N135" s="27" t="n">
        <f aca="false">MIN(B134*(1+B$8),B$9)</f>
        <v>0</v>
      </c>
      <c r="O135" s="27" t="n">
        <f aca="false">MIN(C134*(1+C$8),C$9)</f>
        <v>0</v>
      </c>
      <c r="P135" s="27" t="n">
        <f aca="false">MIN(D134*(1+D$8),D$9)</f>
        <v>0</v>
      </c>
      <c r="Q135" s="27" t="n">
        <f aca="false">MIN(E134*(1+E$8),E$9)</f>
        <v>0</v>
      </c>
      <c r="R135" s="27" t="n">
        <f aca="false">MIN(F134*(1+F$8),F$9)</f>
        <v>0</v>
      </c>
      <c r="S135" s="27" t="n">
        <f aca="false">MIN(G134*(1+G$8),G$9)</f>
        <v>0</v>
      </c>
      <c r="T135" s="27" t="n">
        <f aca="false">MIN(H134*(1+H$8),H$9)</f>
        <v>0</v>
      </c>
      <c r="U135" s="27" t="n">
        <f aca="false">MIN(I134*(1+I$8),I$9)</f>
        <v>0</v>
      </c>
      <c r="V135" s="27" t="n">
        <f aca="false">MIN(J134*(1+J$8),J$9)</f>
        <v>0</v>
      </c>
      <c r="W135" s="27" t="n">
        <f aca="false">MIN(K134*(1+K$8),K$9)</f>
        <v>0</v>
      </c>
      <c r="X135" s="27" t="n">
        <f aca="false">MIN(B134*(1+B$8),MAX(N135,$B$11-SUM(O135:W135)))</f>
        <v>0</v>
      </c>
      <c r="Y135" s="27" t="n">
        <f aca="false">MIN(C134*(1+C$8),MAX(O135,$B$11-SUM(X135:X135)-SUM(P135:W135)))</f>
        <v>0</v>
      </c>
      <c r="Z135" s="27" t="n">
        <f aca="false">MIN(D134*(1+D$8),MAX(P135,$B$11-SUM(X135:Y135)-SUM(Q135:W135)))</f>
        <v>0</v>
      </c>
      <c r="AA135" s="27" t="n">
        <f aca="false">MIN(E134*(1+E$8),MAX(Q135,$B$11-SUM(X135:Z135)-SUM(R135:W135)))</f>
        <v>0</v>
      </c>
      <c r="AB135" s="27" t="n">
        <f aca="false">MIN(F134*(1+F$8),MAX(R135,$B$11-SUM(X135:AA135)-SUM(S135:W135)))</f>
        <v>0</v>
      </c>
      <c r="AC135" s="27" t="n">
        <f aca="false">MIN(G134*(1+G$8),MAX(S135,$B$11-SUM(X135:AB135)-SUM(T135:W135)))</f>
        <v>0</v>
      </c>
      <c r="AD135" s="27" t="n">
        <f aca="false">MIN(H134*(1+H$8),MAX(T135,$B$11-SUM(X135:AC135)-SUM(U135:W135)))</f>
        <v>0</v>
      </c>
      <c r="AE135" s="27" t="n">
        <f aca="false">MIN(I134*(1+I$8),MAX(U135,$B$11-SUM(X135:AD135)-SUM(V135:W135)))</f>
        <v>0</v>
      </c>
      <c r="AF135" s="27" t="n">
        <f aca="false">MIN(J134*(1+J$8),MAX(V135,$B$11-SUM(X135:AE135)-SUM(W135:W135)))</f>
        <v>0</v>
      </c>
      <c r="AG135" s="27" t="n">
        <f aca="false">MIN(K134*(1+K$8),MAX(W135,$B$11-SUM(X135:AF135)))</f>
        <v>0</v>
      </c>
      <c r="AI135" s="27" t="n">
        <f aca="false">ROUND(MAX(0,AI134*(1+B$8)-BE135),2)</f>
        <v>0</v>
      </c>
      <c r="AJ135" s="27" t="n">
        <f aca="false">ROUND(MAX(0,AJ134*(1+C$8)-BF135),2)</f>
        <v>0</v>
      </c>
      <c r="AK135" s="27" t="n">
        <f aca="false">ROUND(MAX(0,AK134*(1+D$8)-BG135),2)</f>
        <v>0</v>
      </c>
      <c r="AL135" s="27" t="n">
        <f aca="false">ROUND(MAX(0,AL134*(1+E$8)-BH135),2)</f>
        <v>0</v>
      </c>
      <c r="AM135" s="27" t="n">
        <f aca="false">ROUND(MAX(0,AM134*(1+F$8)-BI135),2)</f>
        <v>0</v>
      </c>
      <c r="AN135" s="27" t="n">
        <f aca="false">ROUND(MAX(0,AN134*(1+G$8)-BJ135),2)</f>
        <v>0</v>
      </c>
      <c r="AO135" s="27" t="n">
        <f aca="false">ROUND(MAX(0,AO134*(1+H$8)-BK135),2)</f>
        <v>0</v>
      </c>
      <c r="AP135" s="27" t="n">
        <f aca="false">ROUND(MAX(0,AP134*(1+I$8)-BL135),2)</f>
        <v>0</v>
      </c>
      <c r="AQ135" s="27" t="n">
        <f aca="false">ROUND(MAX(0,AQ134*(1+J$8)-BM135),2)</f>
        <v>0</v>
      </c>
      <c r="AR135" s="27" t="n">
        <f aca="false">ROUND(MAX(0,AR134*(1+K$8)-BN135),2)</f>
        <v>0</v>
      </c>
      <c r="AS135" s="27" t="n">
        <f aca="false">SUM(AI135:AR135)</f>
        <v>0</v>
      </c>
      <c r="AT135" s="27" t="n">
        <f aca="false">SUMPRODUCT(AI134:AR134,$B$8:$K$8)</f>
        <v>0</v>
      </c>
      <c r="AU135" s="27" t="n">
        <f aca="false">MIN(AI134*(1+B$8),B$9)</f>
        <v>0</v>
      </c>
      <c r="AV135" s="27" t="n">
        <f aca="false">MIN(AJ134*(1+C$8),C$9)</f>
        <v>0</v>
      </c>
      <c r="AW135" s="27" t="n">
        <f aca="false">MIN(AK134*(1+D$8),D$9)</f>
        <v>0</v>
      </c>
      <c r="AX135" s="27" t="n">
        <f aca="false">MIN(AL134*(1+E$8),E$9)</f>
        <v>0</v>
      </c>
      <c r="AY135" s="27" t="n">
        <f aca="false">MIN(AM134*(1+F$8),F$9)</f>
        <v>0</v>
      </c>
      <c r="AZ135" s="27" t="n">
        <f aca="false">MIN(AN134*(1+G$8),G$9)</f>
        <v>0</v>
      </c>
      <c r="BA135" s="27" t="n">
        <f aca="false">MIN(AO134*(1+H$8),H$9)</f>
        <v>0</v>
      </c>
      <c r="BB135" s="27" t="n">
        <f aca="false">MIN(AP134*(1+I$8),I$9)</f>
        <v>0</v>
      </c>
      <c r="BC135" s="27" t="n">
        <f aca="false">MIN(AQ134*(1+J$8),J$9)</f>
        <v>0</v>
      </c>
      <c r="BD135" s="27" t="n">
        <f aca="false">MIN(AR134*(1+K$8),K$9)</f>
        <v>0</v>
      </c>
      <c r="BE135" s="27" t="n">
        <f aca="false">MIN(AI134*(1+B$8),MAX(AU135,$B$12-SUM(AV135:BD135)))</f>
        <v>0</v>
      </c>
      <c r="BF135" s="27" t="n">
        <f aca="false">MIN(AJ134*(1+C$8),MAX(AV135,$B$12-SUM(BE135:BE135)-SUM(AW135:BD135)))</f>
        <v>0</v>
      </c>
      <c r="BG135" s="27" t="n">
        <f aca="false">MIN(AK134*(1+D$8),MAX(AW135,$B$12-SUM(BE135:BF135)-SUM(AX135:BD135)))</f>
        <v>0</v>
      </c>
      <c r="BH135" s="27" t="n">
        <f aca="false">MIN(AL134*(1+E$8),MAX(AX135,$B$12-SUM(BE135:BG135)-SUM(AY135:BD135)))</f>
        <v>0</v>
      </c>
      <c r="BI135" s="27" t="n">
        <f aca="false">MIN(AM134*(1+F$8),MAX(AY135,$B$12-SUM(BE135:BH135)-SUM(AZ135:BD135)))</f>
        <v>0</v>
      </c>
      <c r="BJ135" s="27" t="n">
        <f aca="false">MIN(AN134*(1+G$8),MAX(AZ135,$B$12-SUM(BE135:BI135)-SUM(BA135:BD135)))</f>
        <v>0</v>
      </c>
      <c r="BK135" s="27" t="n">
        <f aca="false">MIN(AO134*(1+H$8),MAX(BA135,$B$12-SUM(BE135:BJ135)-SUM(BB135:BD135)))</f>
        <v>0</v>
      </c>
      <c r="BL135" s="27" t="n">
        <f aca="false">MIN(AP134*(1+I$8),MAX(BB135,$B$12-SUM(BE135:BK135)-SUM(BC135:BD135)))</f>
        <v>0</v>
      </c>
      <c r="BM135" s="27" t="n">
        <f aca="false">MIN(AQ134*(1+J$8),MAX(BC135,$B$12-SUM(BE135:BL135)-SUM(BD135:BD135)))</f>
        <v>0</v>
      </c>
      <c r="BN135" s="27" t="n">
        <f aca="false">MIN(AR134*(1+K$8),MAX(BD135,$B$12-SUM(BE135:BM135)))</f>
        <v>0</v>
      </c>
    </row>
    <row r="136" customFormat="false" ht="15" hidden="false" customHeight="false" outlineLevel="0" collapsed="false">
      <c r="A136" s="0" t="n">
        <v>122</v>
      </c>
      <c r="B136" s="27" t="n">
        <f aca="false">ROUND(MAX(0,B135*(1+B$8)-X136),2)</f>
        <v>0</v>
      </c>
      <c r="C136" s="27" t="n">
        <f aca="false">ROUND(MAX(0,C135*(1+C$8)-Y136),2)</f>
        <v>0</v>
      </c>
      <c r="D136" s="27" t="n">
        <f aca="false">ROUND(MAX(0,D135*(1+D$8)-Z136),2)</f>
        <v>0</v>
      </c>
      <c r="E136" s="27" t="n">
        <f aca="false">ROUND(MAX(0,E135*(1+E$8)-AA136),2)</f>
        <v>0</v>
      </c>
      <c r="F136" s="27" t="n">
        <f aca="false">ROUND(MAX(0,F135*(1+F$8)-AB136),2)</f>
        <v>0</v>
      </c>
      <c r="G136" s="27" t="n">
        <f aca="false">ROUND(MAX(0,G135*(1+G$8)-AC136),2)</f>
        <v>0</v>
      </c>
      <c r="H136" s="27" t="n">
        <f aca="false">ROUND(MAX(0,H135*(1+H$8)-AD136),2)</f>
        <v>0</v>
      </c>
      <c r="I136" s="27" t="n">
        <f aca="false">ROUND(MAX(0,I135*(1+I$8)-AE136),2)</f>
        <v>0</v>
      </c>
      <c r="J136" s="27" t="n">
        <f aca="false">ROUND(MAX(0,J135*(1+J$8)-AF136),2)</f>
        <v>0</v>
      </c>
      <c r="K136" s="27" t="n">
        <f aca="false">ROUND(MAX(0,K135*(1+K$8)-AG136),2)</f>
        <v>0</v>
      </c>
      <c r="L136" s="30" t="n">
        <f aca="false">SUM(B136:K136)</f>
        <v>0</v>
      </c>
      <c r="M136" s="27" t="n">
        <f aca="false">SUMPRODUCT(B135:K135,$B$8:$K$8)</f>
        <v>0</v>
      </c>
      <c r="N136" s="27" t="n">
        <f aca="false">MIN(B135*(1+B$8),B$9)</f>
        <v>0</v>
      </c>
      <c r="O136" s="27" t="n">
        <f aca="false">MIN(C135*(1+C$8),C$9)</f>
        <v>0</v>
      </c>
      <c r="P136" s="27" t="n">
        <f aca="false">MIN(D135*(1+D$8),D$9)</f>
        <v>0</v>
      </c>
      <c r="Q136" s="27" t="n">
        <f aca="false">MIN(E135*(1+E$8),E$9)</f>
        <v>0</v>
      </c>
      <c r="R136" s="27" t="n">
        <f aca="false">MIN(F135*(1+F$8),F$9)</f>
        <v>0</v>
      </c>
      <c r="S136" s="27" t="n">
        <f aca="false">MIN(G135*(1+G$8),G$9)</f>
        <v>0</v>
      </c>
      <c r="T136" s="27" t="n">
        <f aca="false">MIN(H135*(1+H$8),H$9)</f>
        <v>0</v>
      </c>
      <c r="U136" s="27" t="n">
        <f aca="false">MIN(I135*(1+I$8),I$9)</f>
        <v>0</v>
      </c>
      <c r="V136" s="27" t="n">
        <f aca="false">MIN(J135*(1+J$8),J$9)</f>
        <v>0</v>
      </c>
      <c r="W136" s="27" t="n">
        <f aca="false">MIN(K135*(1+K$8),K$9)</f>
        <v>0</v>
      </c>
      <c r="X136" s="27" t="n">
        <f aca="false">MIN(B135*(1+B$8),MAX(N136,$B$11-SUM(O136:W136)))</f>
        <v>0</v>
      </c>
      <c r="Y136" s="27" t="n">
        <f aca="false">MIN(C135*(1+C$8),MAX(O136,$B$11-SUM(X136:X136)-SUM(P136:W136)))</f>
        <v>0</v>
      </c>
      <c r="Z136" s="27" t="n">
        <f aca="false">MIN(D135*(1+D$8),MAX(P136,$B$11-SUM(X136:Y136)-SUM(Q136:W136)))</f>
        <v>0</v>
      </c>
      <c r="AA136" s="27" t="n">
        <f aca="false">MIN(E135*(1+E$8),MAX(Q136,$B$11-SUM(X136:Z136)-SUM(R136:W136)))</f>
        <v>0</v>
      </c>
      <c r="AB136" s="27" t="n">
        <f aca="false">MIN(F135*(1+F$8),MAX(R136,$B$11-SUM(X136:AA136)-SUM(S136:W136)))</f>
        <v>0</v>
      </c>
      <c r="AC136" s="27" t="n">
        <f aca="false">MIN(G135*(1+G$8),MAX(S136,$B$11-SUM(X136:AB136)-SUM(T136:W136)))</f>
        <v>0</v>
      </c>
      <c r="AD136" s="27" t="n">
        <f aca="false">MIN(H135*(1+H$8),MAX(T136,$B$11-SUM(X136:AC136)-SUM(U136:W136)))</f>
        <v>0</v>
      </c>
      <c r="AE136" s="27" t="n">
        <f aca="false">MIN(I135*(1+I$8),MAX(U136,$B$11-SUM(X136:AD136)-SUM(V136:W136)))</f>
        <v>0</v>
      </c>
      <c r="AF136" s="27" t="n">
        <f aca="false">MIN(J135*(1+J$8),MAX(V136,$B$11-SUM(X136:AE136)-SUM(W136:W136)))</f>
        <v>0</v>
      </c>
      <c r="AG136" s="27" t="n">
        <f aca="false">MIN(K135*(1+K$8),MAX(W136,$B$11-SUM(X136:AF136)))</f>
        <v>0</v>
      </c>
      <c r="AI136" s="27" t="n">
        <f aca="false">ROUND(MAX(0,AI135*(1+B$8)-BE136),2)</f>
        <v>0</v>
      </c>
      <c r="AJ136" s="27" t="n">
        <f aca="false">ROUND(MAX(0,AJ135*(1+C$8)-BF136),2)</f>
        <v>0</v>
      </c>
      <c r="AK136" s="27" t="n">
        <f aca="false">ROUND(MAX(0,AK135*(1+D$8)-BG136),2)</f>
        <v>0</v>
      </c>
      <c r="AL136" s="27" t="n">
        <f aca="false">ROUND(MAX(0,AL135*(1+E$8)-BH136),2)</f>
        <v>0</v>
      </c>
      <c r="AM136" s="27" t="n">
        <f aca="false">ROUND(MAX(0,AM135*(1+F$8)-BI136),2)</f>
        <v>0</v>
      </c>
      <c r="AN136" s="27" t="n">
        <f aca="false">ROUND(MAX(0,AN135*(1+G$8)-BJ136),2)</f>
        <v>0</v>
      </c>
      <c r="AO136" s="27" t="n">
        <f aca="false">ROUND(MAX(0,AO135*(1+H$8)-BK136),2)</f>
        <v>0</v>
      </c>
      <c r="AP136" s="27" t="n">
        <f aca="false">ROUND(MAX(0,AP135*(1+I$8)-BL136),2)</f>
        <v>0</v>
      </c>
      <c r="AQ136" s="27" t="n">
        <f aca="false">ROUND(MAX(0,AQ135*(1+J$8)-BM136),2)</f>
        <v>0</v>
      </c>
      <c r="AR136" s="27" t="n">
        <f aca="false">ROUND(MAX(0,AR135*(1+K$8)-BN136),2)</f>
        <v>0</v>
      </c>
      <c r="AS136" s="27" t="n">
        <f aca="false">SUM(AI136:AR136)</f>
        <v>0</v>
      </c>
      <c r="AT136" s="27" t="n">
        <f aca="false">SUMPRODUCT(AI135:AR135,$B$8:$K$8)</f>
        <v>0</v>
      </c>
      <c r="AU136" s="27" t="n">
        <f aca="false">MIN(AI135*(1+B$8),B$9)</f>
        <v>0</v>
      </c>
      <c r="AV136" s="27" t="n">
        <f aca="false">MIN(AJ135*(1+C$8),C$9)</f>
        <v>0</v>
      </c>
      <c r="AW136" s="27" t="n">
        <f aca="false">MIN(AK135*(1+D$8),D$9)</f>
        <v>0</v>
      </c>
      <c r="AX136" s="27" t="n">
        <f aca="false">MIN(AL135*(1+E$8),E$9)</f>
        <v>0</v>
      </c>
      <c r="AY136" s="27" t="n">
        <f aca="false">MIN(AM135*(1+F$8),F$9)</f>
        <v>0</v>
      </c>
      <c r="AZ136" s="27" t="n">
        <f aca="false">MIN(AN135*(1+G$8),G$9)</f>
        <v>0</v>
      </c>
      <c r="BA136" s="27" t="n">
        <f aca="false">MIN(AO135*(1+H$8),H$9)</f>
        <v>0</v>
      </c>
      <c r="BB136" s="27" t="n">
        <f aca="false">MIN(AP135*(1+I$8),I$9)</f>
        <v>0</v>
      </c>
      <c r="BC136" s="27" t="n">
        <f aca="false">MIN(AQ135*(1+J$8),J$9)</f>
        <v>0</v>
      </c>
      <c r="BD136" s="27" t="n">
        <f aca="false">MIN(AR135*(1+K$8),K$9)</f>
        <v>0</v>
      </c>
      <c r="BE136" s="27" t="n">
        <f aca="false">MIN(AI135*(1+B$8),MAX(AU136,$B$12-SUM(AV136:BD136)))</f>
        <v>0</v>
      </c>
      <c r="BF136" s="27" t="n">
        <f aca="false">MIN(AJ135*(1+C$8),MAX(AV136,$B$12-SUM(BE136:BE136)-SUM(AW136:BD136)))</f>
        <v>0</v>
      </c>
      <c r="BG136" s="27" t="n">
        <f aca="false">MIN(AK135*(1+D$8),MAX(AW136,$B$12-SUM(BE136:BF136)-SUM(AX136:BD136)))</f>
        <v>0</v>
      </c>
      <c r="BH136" s="27" t="n">
        <f aca="false">MIN(AL135*(1+E$8),MAX(AX136,$B$12-SUM(BE136:BG136)-SUM(AY136:BD136)))</f>
        <v>0</v>
      </c>
      <c r="BI136" s="27" t="n">
        <f aca="false">MIN(AM135*(1+F$8),MAX(AY136,$B$12-SUM(BE136:BH136)-SUM(AZ136:BD136)))</f>
        <v>0</v>
      </c>
      <c r="BJ136" s="27" t="n">
        <f aca="false">MIN(AN135*(1+G$8),MAX(AZ136,$B$12-SUM(BE136:BI136)-SUM(BA136:BD136)))</f>
        <v>0</v>
      </c>
      <c r="BK136" s="27" t="n">
        <f aca="false">MIN(AO135*(1+H$8),MAX(BA136,$B$12-SUM(BE136:BJ136)-SUM(BB136:BD136)))</f>
        <v>0</v>
      </c>
      <c r="BL136" s="27" t="n">
        <f aca="false">MIN(AP135*(1+I$8),MAX(BB136,$B$12-SUM(BE136:BK136)-SUM(BC136:BD136)))</f>
        <v>0</v>
      </c>
      <c r="BM136" s="27" t="n">
        <f aca="false">MIN(AQ135*(1+J$8),MAX(BC136,$B$12-SUM(BE136:BL136)-SUM(BD136:BD136)))</f>
        <v>0</v>
      </c>
      <c r="BN136" s="27" t="n">
        <f aca="false">MIN(AR135*(1+K$8),MAX(BD136,$B$12-SUM(BE136:BM136)))</f>
        <v>0</v>
      </c>
    </row>
    <row r="137" customFormat="false" ht="15" hidden="false" customHeight="false" outlineLevel="0" collapsed="false">
      <c r="A137" s="0" t="n">
        <v>123</v>
      </c>
      <c r="B137" s="27" t="n">
        <f aca="false">ROUND(MAX(0,B136*(1+B$8)-X137),2)</f>
        <v>0</v>
      </c>
      <c r="C137" s="27" t="n">
        <f aca="false">ROUND(MAX(0,C136*(1+C$8)-Y137),2)</f>
        <v>0</v>
      </c>
      <c r="D137" s="27" t="n">
        <f aca="false">ROUND(MAX(0,D136*(1+D$8)-Z137),2)</f>
        <v>0</v>
      </c>
      <c r="E137" s="27" t="n">
        <f aca="false">ROUND(MAX(0,E136*(1+E$8)-AA137),2)</f>
        <v>0</v>
      </c>
      <c r="F137" s="27" t="n">
        <f aca="false">ROUND(MAX(0,F136*(1+F$8)-AB137),2)</f>
        <v>0</v>
      </c>
      <c r="G137" s="27" t="n">
        <f aca="false">ROUND(MAX(0,G136*(1+G$8)-AC137),2)</f>
        <v>0</v>
      </c>
      <c r="H137" s="27" t="n">
        <f aca="false">ROUND(MAX(0,H136*(1+H$8)-AD137),2)</f>
        <v>0</v>
      </c>
      <c r="I137" s="27" t="n">
        <f aca="false">ROUND(MAX(0,I136*(1+I$8)-AE137),2)</f>
        <v>0</v>
      </c>
      <c r="J137" s="27" t="n">
        <f aca="false">ROUND(MAX(0,J136*(1+J$8)-AF137),2)</f>
        <v>0</v>
      </c>
      <c r="K137" s="27" t="n">
        <f aca="false">ROUND(MAX(0,K136*(1+K$8)-AG137),2)</f>
        <v>0</v>
      </c>
      <c r="L137" s="30" t="n">
        <f aca="false">SUM(B137:K137)</f>
        <v>0</v>
      </c>
      <c r="M137" s="27" t="n">
        <f aca="false">SUMPRODUCT(B136:K136,$B$8:$K$8)</f>
        <v>0</v>
      </c>
      <c r="N137" s="27" t="n">
        <f aca="false">MIN(B136*(1+B$8),B$9)</f>
        <v>0</v>
      </c>
      <c r="O137" s="27" t="n">
        <f aca="false">MIN(C136*(1+C$8),C$9)</f>
        <v>0</v>
      </c>
      <c r="P137" s="27" t="n">
        <f aca="false">MIN(D136*(1+D$8),D$9)</f>
        <v>0</v>
      </c>
      <c r="Q137" s="27" t="n">
        <f aca="false">MIN(E136*(1+E$8),E$9)</f>
        <v>0</v>
      </c>
      <c r="R137" s="27" t="n">
        <f aca="false">MIN(F136*(1+F$8),F$9)</f>
        <v>0</v>
      </c>
      <c r="S137" s="27" t="n">
        <f aca="false">MIN(G136*(1+G$8),G$9)</f>
        <v>0</v>
      </c>
      <c r="T137" s="27" t="n">
        <f aca="false">MIN(H136*(1+H$8),H$9)</f>
        <v>0</v>
      </c>
      <c r="U137" s="27" t="n">
        <f aca="false">MIN(I136*(1+I$8),I$9)</f>
        <v>0</v>
      </c>
      <c r="V137" s="27" t="n">
        <f aca="false">MIN(J136*(1+J$8),J$9)</f>
        <v>0</v>
      </c>
      <c r="W137" s="27" t="n">
        <f aca="false">MIN(K136*(1+K$8),K$9)</f>
        <v>0</v>
      </c>
      <c r="X137" s="27" t="n">
        <f aca="false">MIN(B136*(1+B$8),MAX(N137,$B$11-SUM(O137:W137)))</f>
        <v>0</v>
      </c>
      <c r="Y137" s="27" t="n">
        <f aca="false">MIN(C136*(1+C$8),MAX(O137,$B$11-SUM(X137:X137)-SUM(P137:W137)))</f>
        <v>0</v>
      </c>
      <c r="Z137" s="27" t="n">
        <f aca="false">MIN(D136*(1+D$8),MAX(P137,$B$11-SUM(X137:Y137)-SUM(Q137:W137)))</f>
        <v>0</v>
      </c>
      <c r="AA137" s="27" t="n">
        <f aca="false">MIN(E136*(1+E$8),MAX(Q137,$B$11-SUM(X137:Z137)-SUM(R137:W137)))</f>
        <v>0</v>
      </c>
      <c r="AB137" s="27" t="n">
        <f aca="false">MIN(F136*(1+F$8),MAX(R137,$B$11-SUM(X137:AA137)-SUM(S137:W137)))</f>
        <v>0</v>
      </c>
      <c r="AC137" s="27" t="n">
        <f aca="false">MIN(G136*(1+G$8),MAX(S137,$B$11-SUM(X137:AB137)-SUM(T137:W137)))</f>
        <v>0</v>
      </c>
      <c r="AD137" s="27" t="n">
        <f aca="false">MIN(H136*(1+H$8),MAX(T137,$B$11-SUM(X137:AC137)-SUM(U137:W137)))</f>
        <v>0</v>
      </c>
      <c r="AE137" s="27" t="n">
        <f aca="false">MIN(I136*(1+I$8),MAX(U137,$B$11-SUM(X137:AD137)-SUM(V137:W137)))</f>
        <v>0</v>
      </c>
      <c r="AF137" s="27" t="n">
        <f aca="false">MIN(J136*(1+J$8),MAX(V137,$B$11-SUM(X137:AE137)-SUM(W137:W137)))</f>
        <v>0</v>
      </c>
      <c r="AG137" s="27" t="n">
        <f aca="false">MIN(K136*(1+K$8),MAX(W137,$B$11-SUM(X137:AF137)))</f>
        <v>0</v>
      </c>
      <c r="AI137" s="27" t="n">
        <f aca="false">ROUND(MAX(0,AI136*(1+B$8)-BE137),2)</f>
        <v>0</v>
      </c>
      <c r="AJ137" s="27" t="n">
        <f aca="false">ROUND(MAX(0,AJ136*(1+C$8)-BF137),2)</f>
        <v>0</v>
      </c>
      <c r="AK137" s="27" t="n">
        <f aca="false">ROUND(MAX(0,AK136*(1+D$8)-BG137),2)</f>
        <v>0</v>
      </c>
      <c r="AL137" s="27" t="n">
        <f aca="false">ROUND(MAX(0,AL136*(1+E$8)-BH137),2)</f>
        <v>0</v>
      </c>
      <c r="AM137" s="27" t="n">
        <f aca="false">ROUND(MAX(0,AM136*(1+F$8)-BI137),2)</f>
        <v>0</v>
      </c>
      <c r="AN137" s="27" t="n">
        <f aca="false">ROUND(MAX(0,AN136*(1+G$8)-BJ137),2)</f>
        <v>0</v>
      </c>
      <c r="AO137" s="27" t="n">
        <f aca="false">ROUND(MAX(0,AO136*(1+H$8)-BK137),2)</f>
        <v>0</v>
      </c>
      <c r="AP137" s="27" t="n">
        <f aca="false">ROUND(MAX(0,AP136*(1+I$8)-BL137),2)</f>
        <v>0</v>
      </c>
      <c r="AQ137" s="27" t="n">
        <f aca="false">ROUND(MAX(0,AQ136*(1+J$8)-BM137),2)</f>
        <v>0</v>
      </c>
      <c r="AR137" s="27" t="n">
        <f aca="false">ROUND(MAX(0,AR136*(1+K$8)-BN137),2)</f>
        <v>0</v>
      </c>
      <c r="AS137" s="27" t="n">
        <f aca="false">SUM(AI137:AR137)</f>
        <v>0</v>
      </c>
      <c r="AT137" s="27" t="n">
        <f aca="false">SUMPRODUCT(AI136:AR136,$B$8:$K$8)</f>
        <v>0</v>
      </c>
      <c r="AU137" s="27" t="n">
        <f aca="false">MIN(AI136*(1+B$8),B$9)</f>
        <v>0</v>
      </c>
      <c r="AV137" s="27" t="n">
        <f aca="false">MIN(AJ136*(1+C$8),C$9)</f>
        <v>0</v>
      </c>
      <c r="AW137" s="27" t="n">
        <f aca="false">MIN(AK136*(1+D$8),D$9)</f>
        <v>0</v>
      </c>
      <c r="AX137" s="27" t="n">
        <f aca="false">MIN(AL136*(1+E$8),E$9)</f>
        <v>0</v>
      </c>
      <c r="AY137" s="27" t="n">
        <f aca="false">MIN(AM136*(1+F$8),F$9)</f>
        <v>0</v>
      </c>
      <c r="AZ137" s="27" t="n">
        <f aca="false">MIN(AN136*(1+G$8),G$9)</f>
        <v>0</v>
      </c>
      <c r="BA137" s="27" t="n">
        <f aca="false">MIN(AO136*(1+H$8),H$9)</f>
        <v>0</v>
      </c>
      <c r="BB137" s="27" t="n">
        <f aca="false">MIN(AP136*(1+I$8),I$9)</f>
        <v>0</v>
      </c>
      <c r="BC137" s="27" t="n">
        <f aca="false">MIN(AQ136*(1+J$8),J$9)</f>
        <v>0</v>
      </c>
      <c r="BD137" s="27" t="n">
        <f aca="false">MIN(AR136*(1+K$8),K$9)</f>
        <v>0</v>
      </c>
      <c r="BE137" s="27" t="n">
        <f aca="false">MIN(AI136*(1+B$8),MAX(AU137,$B$12-SUM(AV137:BD137)))</f>
        <v>0</v>
      </c>
      <c r="BF137" s="27" t="n">
        <f aca="false">MIN(AJ136*(1+C$8),MAX(AV137,$B$12-SUM(BE137:BE137)-SUM(AW137:BD137)))</f>
        <v>0</v>
      </c>
      <c r="BG137" s="27" t="n">
        <f aca="false">MIN(AK136*(1+D$8),MAX(AW137,$B$12-SUM(BE137:BF137)-SUM(AX137:BD137)))</f>
        <v>0</v>
      </c>
      <c r="BH137" s="27" t="n">
        <f aca="false">MIN(AL136*(1+E$8),MAX(AX137,$B$12-SUM(BE137:BG137)-SUM(AY137:BD137)))</f>
        <v>0</v>
      </c>
      <c r="BI137" s="27" t="n">
        <f aca="false">MIN(AM136*(1+F$8),MAX(AY137,$B$12-SUM(BE137:BH137)-SUM(AZ137:BD137)))</f>
        <v>0</v>
      </c>
      <c r="BJ137" s="27" t="n">
        <f aca="false">MIN(AN136*(1+G$8),MAX(AZ137,$B$12-SUM(BE137:BI137)-SUM(BA137:BD137)))</f>
        <v>0</v>
      </c>
      <c r="BK137" s="27" t="n">
        <f aca="false">MIN(AO136*(1+H$8),MAX(BA137,$B$12-SUM(BE137:BJ137)-SUM(BB137:BD137)))</f>
        <v>0</v>
      </c>
      <c r="BL137" s="27" t="n">
        <f aca="false">MIN(AP136*(1+I$8),MAX(BB137,$B$12-SUM(BE137:BK137)-SUM(BC137:BD137)))</f>
        <v>0</v>
      </c>
      <c r="BM137" s="27" t="n">
        <f aca="false">MIN(AQ136*(1+J$8),MAX(BC137,$B$12-SUM(BE137:BL137)-SUM(BD137:BD137)))</f>
        <v>0</v>
      </c>
      <c r="BN137" s="27" t="n">
        <f aca="false">MIN(AR136*(1+K$8),MAX(BD137,$B$12-SUM(BE137:BM137)))</f>
        <v>0</v>
      </c>
    </row>
    <row r="138" customFormat="false" ht="15" hidden="false" customHeight="false" outlineLevel="0" collapsed="false">
      <c r="A138" s="0" t="n">
        <v>124</v>
      </c>
      <c r="B138" s="27" t="n">
        <f aca="false">ROUND(MAX(0,B137*(1+B$8)-X138),2)</f>
        <v>0</v>
      </c>
      <c r="C138" s="27" t="n">
        <f aca="false">ROUND(MAX(0,C137*(1+C$8)-Y138),2)</f>
        <v>0</v>
      </c>
      <c r="D138" s="27" t="n">
        <f aca="false">ROUND(MAX(0,D137*(1+D$8)-Z138),2)</f>
        <v>0</v>
      </c>
      <c r="E138" s="27" t="n">
        <f aca="false">ROUND(MAX(0,E137*(1+E$8)-AA138),2)</f>
        <v>0</v>
      </c>
      <c r="F138" s="27" t="n">
        <f aca="false">ROUND(MAX(0,F137*(1+F$8)-AB138),2)</f>
        <v>0</v>
      </c>
      <c r="G138" s="27" t="n">
        <f aca="false">ROUND(MAX(0,G137*(1+G$8)-AC138),2)</f>
        <v>0</v>
      </c>
      <c r="H138" s="27" t="n">
        <f aca="false">ROUND(MAX(0,H137*(1+H$8)-AD138),2)</f>
        <v>0</v>
      </c>
      <c r="I138" s="27" t="n">
        <f aca="false">ROUND(MAX(0,I137*(1+I$8)-AE138),2)</f>
        <v>0</v>
      </c>
      <c r="J138" s="27" t="n">
        <f aca="false">ROUND(MAX(0,J137*(1+J$8)-AF138),2)</f>
        <v>0</v>
      </c>
      <c r="K138" s="27" t="n">
        <f aca="false">ROUND(MAX(0,K137*(1+K$8)-AG138),2)</f>
        <v>0</v>
      </c>
      <c r="L138" s="30" t="n">
        <f aca="false">SUM(B138:K138)</f>
        <v>0</v>
      </c>
      <c r="M138" s="27" t="n">
        <f aca="false">SUMPRODUCT(B137:K137,$B$8:$K$8)</f>
        <v>0</v>
      </c>
      <c r="N138" s="27" t="n">
        <f aca="false">MIN(B137*(1+B$8),B$9)</f>
        <v>0</v>
      </c>
      <c r="O138" s="27" t="n">
        <f aca="false">MIN(C137*(1+C$8),C$9)</f>
        <v>0</v>
      </c>
      <c r="P138" s="27" t="n">
        <f aca="false">MIN(D137*(1+D$8),D$9)</f>
        <v>0</v>
      </c>
      <c r="Q138" s="27" t="n">
        <f aca="false">MIN(E137*(1+E$8),E$9)</f>
        <v>0</v>
      </c>
      <c r="R138" s="27" t="n">
        <f aca="false">MIN(F137*(1+F$8),F$9)</f>
        <v>0</v>
      </c>
      <c r="S138" s="27" t="n">
        <f aca="false">MIN(G137*(1+G$8),G$9)</f>
        <v>0</v>
      </c>
      <c r="T138" s="27" t="n">
        <f aca="false">MIN(H137*(1+H$8),H$9)</f>
        <v>0</v>
      </c>
      <c r="U138" s="27" t="n">
        <f aca="false">MIN(I137*(1+I$8),I$9)</f>
        <v>0</v>
      </c>
      <c r="V138" s="27" t="n">
        <f aca="false">MIN(J137*(1+J$8),J$9)</f>
        <v>0</v>
      </c>
      <c r="W138" s="27" t="n">
        <f aca="false">MIN(K137*(1+K$8),K$9)</f>
        <v>0</v>
      </c>
      <c r="X138" s="27" t="n">
        <f aca="false">MIN(B137*(1+B$8),MAX(N138,$B$11-SUM(O138:W138)))</f>
        <v>0</v>
      </c>
      <c r="Y138" s="27" t="n">
        <f aca="false">MIN(C137*(1+C$8),MAX(O138,$B$11-SUM(X138:X138)-SUM(P138:W138)))</f>
        <v>0</v>
      </c>
      <c r="Z138" s="27" t="n">
        <f aca="false">MIN(D137*(1+D$8),MAX(P138,$B$11-SUM(X138:Y138)-SUM(Q138:W138)))</f>
        <v>0</v>
      </c>
      <c r="AA138" s="27" t="n">
        <f aca="false">MIN(E137*(1+E$8),MAX(Q138,$B$11-SUM(X138:Z138)-SUM(R138:W138)))</f>
        <v>0</v>
      </c>
      <c r="AB138" s="27" t="n">
        <f aca="false">MIN(F137*(1+F$8),MAX(R138,$B$11-SUM(X138:AA138)-SUM(S138:W138)))</f>
        <v>0</v>
      </c>
      <c r="AC138" s="27" t="n">
        <f aca="false">MIN(G137*(1+G$8),MAX(S138,$B$11-SUM(X138:AB138)-SUM(T138:W138)))</f>
        <v>0</v>
      </c>
      <c r="AD138" s="27" t="n">
        <f aca="false">MIN(H137*(1+H$8),MAX(T138,$B$11-SUM(X138:AC138)-SUM(U138:W138)))</f>
        <v>0</v>
      </c>
      <c r="AE138" s="27" t="n">
        <f aca="false">MIN(I137*(1+I$8),MAX(U138,$B$11-SUM(X138:AD138)-SUM(V138:W138)))</f>
        <v>0</v>
      </c>
      <c r="AF138" s="27" t="n">
        <f aca="false">MIN(J137*(1+J$8),MAX(V138,$B$11-SUM(X138:AE138)-SUM(W138:W138)))</f>
        <v>0</v>
      </c>
      <c r="AG138" s="27" t="n">
        <f aca="false">MIN(K137*(1+K$8),MAX(W138,$B$11-SUM(X138:AF138)))</f>
        <v>0</v>
      </c>
      <c r="AI138" s="27" t="n">
        <f aca="false">ROUND(MAX(0,AI137*(1+B$8)-BE138),2)</f>
        <v>0</v>
      </c>
      <c r="AJ138" s="27" t="n">
        <f aca="false">ROUND(MAX(0,AJ137*(1+C$8)-BF138),2)</f>
        <v>0</v>
      </c>
      <c r="AK138" s="27" t="n">
        <f aca="false">ROUND(MAX(0,AK137*(1+D$8)-BG138),2)</f>
        <v>0</v>
      </c>
      <c r="AL138" s="27" t="n">
        <f aca="false">ROUND(MAX(0,AL137*(1+E$8)-BH138),2)</f>
        <v>0</v>
      </c>
      <c r="AM138" s="27" t="n">
        <f aca="false">ROUND(MAX(0,AM137*(1+F$8)-BI138),2)</f>
        <v>0</v>
      </c>
      <c r="AN138" s="27" t="n">
        <f aca="false">ROUND(MAX(0,AN137*(1+G$8)-BJ138),2)</f>
        <v>0</v>
      </c>
      <c r="AO138" s="27" t="n">
        <f aca="false">ROUND(MAX(0,AO137*(1+H$8)-BK138),2)</f>
        <v>0</v>
      </c>
      <c r="AP138" s="27" t="n">
        <f aca="false">ROUND(MAX(0,AP137*(1+I$8)-BL138),2)</f>
        <v>0</v>
      </c>
      <c r="AQ138" s="27" t="n">
        <f aca="false">ROUND(MAX(0,AQ137*(1+J$8)-BM138),2)</f>
        <v>0</v>
      </c>
      <c r="AR138" s="27" t="n">
        <f aca="false">ROUND(MAX(0,AR137*(1+K$8)-BN138),2)</f>
        <v>0</v>
      </c>
      <c r="AS138" s="27" t="n">
        <f aca="false">SUM(AI138:AR138)</f>
        <v>0</v>
      </c>
      <c r="AT138" s="27" t="n">
        <f aca="false">SUMPRODUCT(AI137:AR137,$B$8:$K$8)</f>
        <v>0</v>
      </c>
      <c r="AU138" s="27" t="n">
        <f aca="false">MIN(AI137*(1+B$8),B$9)</f>
        <v>0</v>
      </c>
      <c r="AV138" s="27" t="n">
        <f aca="false">MIN(AJ137*(1+C$8),C$9)</f>
        <v>0</v>
      </c>
      <c r="AW138" s="27" t="n">
        <f aca="false">MIN(AK137*(1+D$8),D$9)</f>
        <v>0</v>
      </c>
      <c r="AX138" s="27" t="n">
        <f aca="false">MIN(AL137*(1+E$8),E$9)</f>
        <v>0</v>
      </c>
      <c r="AY138" s="27" t="n">
        <f aca="false">MIN(AM137*(1+F$8),F$9)</f>
        <v>0</v>
      </c>
      <c r="AZ138" s="27" t="n">
        <f aca="false">MIN(AN137*(1+G$8),G$9)</f>
        <v>0</v>
      </c>
      <c r="BA138" s="27" t="n">
        <f aca="false">MIN(AO137*(1+H$8),H$9)</f>
        <v>0</v>
      </c>
      <c r="BB138" s="27" t="n">
        <f aca="false">MIN(AP137*(1+I$8),I$9)</f>
        <v>0</v>
      </c>
      <c r="BC138" s="27" t="n">
        <f aca="false">MIN(AQ137*(1+J$8),J$9)</f>
        <v>0</v>
      </c>
      <c r="BD138" s="27" t="n">
        <f aca="false">MIN(AR137*(1+K$8),K$9)</f>
        <v>0</v>
      </c>
      <c r="BE138" s="27" t="n">
        <f aca="false">MIN(AI137*(1+B$8),MAX(AU138,$B$12-SUM(AV138:BD138)))</f>
        <v>0</v>
      </c>
      <c r="BF138" s="27" t="n">
        <f aca="false">MIN(AJ137*(1+C$8),MAX(AV138,$B$12-SUM(BE138:BE138)-SUM(AW138:BD138)))</f>
        <v>0</v>
      </c>
      <c r="BG138" s="27" t="n">
        <f aca="false">MIN(AK137*(1+D$8),MAX(AW138,$B$12-SUM(BE138:BF138)-SUM(AX138:BD138)))</f>
        <v>0</v>
      </c>
      <c r="BH138" s="27" t="n">
        <f aca="false">MIN(AL137*(1+E$8),MAX(AX138,$B$12-SUM(BE138:BG138)-SUM(AY138:BD138)))</f>
        <v>0</v>
      </c>
      <c r="BI138" s="27" t="n">
        <f aca="false">MIN(AM137*(1+F$8),MAX(AY138,$B$12-SUM(BE138:BH138)-SUM(AZ138:BD138)))</f>
        <v>0</v>
      </c>
      <c r="BJ138" s="27" t="n">
        <f aca="false">MIN(AN137*(1+G$8),MAX(AZ138,$B$12-SUM(BE138:BI138)-SUM(BA138:BD138)))</f>
        <v>0</v>
      </c>
      <c r="BK138" s="27" t="n">
        <f aca="false">MIN(AO137*(1+H$8),MAX(BA138,$B$12-SUM(BE138:BJ138)-SUM(BB138:BD138)))</f>
        <v>0</v>
      </c>
      <c r="BL138" s="27" t="n">
        <f aca="false">MIN(AP137*(1+I$8),MAX(BB138,$B$12-SUM(BE138:BK138)-SUM(BC138:BD138)))</f>
        <v>0</v>
      </c>
      <c r="BM138" s="27" t="n">
        <f aca="false">MIN(AQ137*(1+J$8),MAX(BC138,$B$12-SUM(BE138:BL138)-SUM(BD138:BD138)))</f>
        <v>0</v>
      </c>
      <c r="BN138" s="27" t="n">
        <f aca="false">MIN(AR137*(1+K$8),MAX(BD138,$B$12-SUM(BE138:BM138)))</f>
        <v>0</v>
      </c>
    </row>
    <row r="139" customFormat="false" ht="15" hidden="false" customHeight="false" outlineLevel="0" collapsed="false">
      <c r="A139" s="0" t="n">
        <v>125</v>
      </c>
      <c r="B139" s="27" t="n">
        <f aca="false">ROUND(MAX(0,B138*(1+B$8)-X139),2)</f>
        <v>0</v>
      </c>
      <c r="C139" s="27" t="n">
        <f aca="false">ROUND(MAX(0,C138*(1+C$8)-Y139),2)</f>
        <v>0</v>
      </c>
      <c r="D139" s="27" t="n">
        <f aca="false">ROUND(MAX(0,D138*(1+D$8)-Z139),2)</f>
        <v>0</v>
      </c>
      <c r="E139" s="27" t="n">
        <f aca="false">ROUND(MAX(0,E138*(1+E$8)-AA139),2)</f>
        <v>0</v>
      </c>
      <c r="F139" s="27" t="n">
        <f aca="false">ROUND(MAX(0,F138*(1+F$8)-AB139),2)</f>
        <v>0</v>
      </c>
      <c r="G139" s="27" t="n">
        <f aca="false">ROUND(MAX(0,G138*(1+G$8)-AC139),2)</f>
        <v>0</v>
      </c>
      <c r="H139" s="27" t="n">
        <f aca="false">ROUND(MAX(0,H138*(1+H$8)-AD139),2)</f>
        <v>0</v>
      </c>
      <c r="I139" s="27" t="n">
        <f aca="false">ROUND(MAX(0,I138*(1+I$8)-AE139),2)</f>
        <v>0</v>
      </c>
      <c r="J139" s="27" t="n">
        <f aca="false">ROUND(MAX(0,J138*(1+J$8)-AF139),2)</f>
        <v>0</v>
      </c>
      <c r="K139" s="27" t="n">
        <f aca="false">ROUND(MAX(0,K138*(1+K$8)-AG139),2)</f>
        <v>0</v>
      </c>
      <c r="L139" s="30" t="n">
        <f aca="false">SUM(B139:K139)</f>
        <v>0</v>
      </c>
      <c r="M139" s="27" t="n">
        <f aca="false">SUMPRODUCT(B138:K138,$B$8:$K$8)</f>
        <v>0</v>
      </c>
      <c r="N139" s="27" t="n">
        <f aca="false">MIN(B138*(1+B$8),B$9)</f>
        <v>0</v>
      </c>
      <c r="O139" s="27" t="n">
        <f aca="false">MIN(C138*(1+C$8),C$9)</f>
        <v>0</v>
      </c>
      <c r="P139" s="27" t="n">
        <f aca="false">MIN(D138*(1+D$8),D$9)</f>
        <v>0</v>
      </c>
      <c r="Q139" s="27" t="n">
        <f aca="false">MIN(E138*(1+E$8),E$9)</f>
        <v>0</v>
      </c>
      <c r="R139" s="27" t="n">
        <f aca="false">MIN(F138*(1+F$8),F$9)</f>
        <v>0</v>
      </c>
      <c r="S139" s="27" t="n">
        <f aca="false">MIN(G138*(1+G$8),G$9)</f>
        <v>0</v>
      </c>
      <c r="T139" s="27" t="n">
        <f aca="false">MIN(H138*(1+H$8),H$9)</f>
        <v>0</v>
      </c>
      <c r="U139" s="27" t="n">
        <f aca="false">MIN(I138*(1+I$8),I$9)</f>
        <v>0</v>
      </c>
      <c r="V139" s="27" t="n">
        <f aca="false">MIN(J138*(1+J$8),J$9)</f>
        <v>0</v>
      </c>
      <c r="W139" s="27" t="n">
        <f aca="false">MIN(K138*(1+K$8),K$9)</f>
        <v>0</v>
      </c>
      <c r="X139" s="27" t="n">
        <f aca="false">MIN(B138*(1+B$8),MAX(N139,$B$11-SUM(O139:W139)))</f>
        <v>0</v>
      </c>
      <c r="Y139" s="27" t="n">
        <f aca="false">MIN(C138*(1+C$8),MAX(O139,$B$11-SUM(X139:X139)-SUM(P139:W139)))</f>
        <v>0</v>
      </c>
      <c r="Z139" s="27" t="n">
        <f aca="false">MIN(D138*(1+D$8),MAX(P139,$B$11-SUM(X139:Y139)-SUM(Q139:W139)))</f>
        <v>0</v>
      </c>
      <c r="AA139" s="27" t="n">
        <f aca="false">MIN(E138*(1+E$8),MAX(Q139,$B$11-SUM(X139:Z139)-SUM(R139:W139)))</f>
        <v>0</v>
      </c>
      <c r="AB139" s="27" t="n">
        <f aca="false">MIN(F138*(1+F$8),MAX(R139,$B$11-SUM(X139:AA139)-SUM(S139:W139)))</f>
        <v>0</v>
      </c>
      <c r="AC139" s="27" t="n">
        <f aca="false">MIN(G138*(1+G$8),MAX(S139,$B$11-SUM(X139:AB139)-SUM(T139:W139)))</f>
        <v>0</v>
      </c>
      <c r="AD139" s="27" t="n">
        <f aca="false">MIN(H138*(1+H$8),MAX(T139,$B$11-SUM(X139:AC139)-SUM(U139:W139)))</f>
        <v>0</v>
      </c>
      <c r="AE139" s="27" t="n">
        <f aca="false">MIN(I138*(1+I$8),MAX(U139,$B$11-SUM(X139:AD139)-SUM(V139:W139)))</f>
        <v>0</v>
      </c>
      <c r="AF139" s="27" t="n">
        <f aca="false">MIN(J138*(1+J$8),MAX(V139,$B$11-SUM(X139:AE139)-SUM(W139:W139)))</f>
        <v>0</v>
      </c>
      <c r="AG139" s="27" t="n">
        <f aca="false">MIN(K138*(1+K$8),MAX(W139,$B$11-SUM(X139:AF139)))</f>
        <v>0</v>
      </c>
      <c r="AI139" s="27" t="n">
        <f aca="false">ROUND(MAX(0,AI138*(1+B$8)-BE139),2)</f>
        <v>0</v>
      </c>
      <c r="AJ139" s="27" t="n">
        <f aca="false">ROUND(MAX(0,AJ138*(1+C$8)-BF139),2)</f>
        <v>0</v>
      </c>
      <c r="AK139" s="27" t="n">
        <f aca="false">ROUND(MAX(0,AK138*(1+D$8)-BG139),2)</f>
        <v>0</v>
      </c>
      <c r="AL139" s="27" t="n">
        <f aca="false">ROUND(MAX(0,AL138*(1+E$8)-BH139),2)</f>
        <v>0</v>
      </c>
      <c r="AM139" s="27" t="n">
        <f aca="false">ROUND(MAX(0,AM138*(1+F$8)-BI139),2)</f>
        <v>0</v>
      </c>
      <c r="AN139" s="27" t="n">
        <f aca="false">ROUND(MAX(0,AN138*(1+G$8)-BJ139),2)</f>
        <v>0</v>
      </c>
      <c r="AO139" s="27" t="n">
        <f aca="false">ROUND(MAX(0,AO138*(1+H$8)-BK139),2)</f>
        <v>0</v>
      </c>
      <c r="AP139" s="27" t="n">
        <f aca="false">ROUND(MAX(0,AP138*(1+I$8)-BL139),2)</f>
        <v>0</v>
      </c>
      <c r="AQ139" s="27" t="n">
        <f aca="false">ROUND(MAX(0,AQ138*(1+J$8)-BM139),2)</f>
        <v>0</v>
      </c>
      <c r="AR139" s="27" t="n">
        <f aca="false">ROUND(MAX(0,AR138*(1+K$8)-BN139),2)</f>
        <v>0</v>
      </c>
      <c r="AS139" s="27" t="n">
        <f aca="false">SUM(AI139:AR139)</f>
        <v>0</v>
      </c>
      <c r="AT139" s="27" t="n">
        <f aca="false">SUMPRODUCT(AI138:AR138,$B$8:$K$8)</f>
        <v>0</v>
      </c>
      <c r="AU139" s="27" t="n">
        <f aca="false">MIN(AI138*(1+B$8),B$9)</f>
        <v>0</v>
      </c>
      <c r="AV139" s="27" t="n">
        <f aca="false">MIN(AJ138*(1+C$8),C$9)</f>
        <v>0</v>
      </c>
      <c r="AW139" s="27" t="n">
        <f aca="false">MIN(AK138*(1+D$8),D$9)</f>
        <v>0</v>
      </c>
      <c r="AX139" s="27" t="n">
        <f aca="false">MIN(AL138*(1+E$8),E$9)</f>
        <v>0</v>
      </c>
      <c r="AY139" s="27" t="n">
        <f aca="false">MIN(AM138*(1+F$8),F$9)</f>
        <v>0</v>
      </c>
      <c r="AZ139" s="27" t="n">
        <f aca="false">MIN(AN138*(1+G$8),G$9)</f>
        <v>0</v>
      </c>
      <c r="BA139" s="27" t="n">
        <f aca="false">MIN(AO138*(1+H$8),H$9)</f>
        <v>0</v>
      </c>
      <c r="BB139" s="27" t="n">
        <f aca="false">MIN(AP138*(1+I$8),I$9)</f>
        <v>0</v>
      </c>
      <c r="BC139" s="27" t="n">
        <f aca="false">MIN(AQ138*(1+J$8),J$9)</f>
        <v>0</v>
      </c>
      <c r="BD139" s="27" t="n">
        <f aca="false">MIN(AR138*(1+K$8),K$9)</f>
        <v>0</v>
      </c>
      <c r="BE139" s="27" t="n">
        <f aca="false">MIN(AI138*(1+B$8),MAX(AU139,$B$12-SUM(AV139:BD139)))</f>
        <v>0</v>
      </c>
      <c r="BF139" s="27" t="n">
        <f aca="false">MIN(AJ138*(1+C$8),MAX(AV139,$B$12-SUM(BE139:BE139)-SUM(AW139:BD139)))</f>
        <v>0</v>
      </c>
      <c r="BG139" s="27" t="n">
        <f aca="false">MIN(AK138*(1+D$8),MAX(AW139,$B$12-SUM(BE139:BF139)-SUM(AX139:BD139)))</f>
        <v>0</v>
      </c>
      <c r="BH139" s="27" t="n">
        <f aca="false">MIN(AL138*(1+E$8),MAX(AX139,$B$12-SUM(BE139:BG139)-SUM(AY139:BD139)))</f>
        <v>0</v>
      </c>
      <c r="BI139" s="27" t="n">
        <f aca="false">MIN(AM138*(1+F$8),MAX(AY139,$B$12-SUM(BE139:BH139)-SUM(AZ139:BD139)))</f>
        <v>0</v>
      </c>
      <c r="BJ139" s="27" t="n">
        <f aca="false">MIN(AN138*(1+G$8),MAX(AZ139,$B$12-SUM(BE139:BI139)-SUM(BA139:BD139)))</f>
        <v>0</v>
      </c>
      <c r="BK139" s="27" t="n">
        <f aca="false">MIN(AO138*(1+H$8),MAX(BA139,$B$12-SUM(BE139:BJ139)-SUM(BB139:BD139)))</f>
        <v>0</v>
      </c>
      <c r="BL139" s="27" t="n">
        <f aca="false">MIN(AP138*(1+I$8),MAX(BB139,$B$12-SUM(BE139:BK139)-SUM(BC139:BD139)))</f>
        <v>0</v>
      </c>
      <c r="BM139" s="27" t="n">
        <f aca="false">MIN(AQ138*(1+J$8),MAX(BC139,$B$12-SUM(BE139:BL139)-SUM(BD139:BD139)))</f>
        <v>0</v>
      </c>
      <c r="BN139" s="27" t="n">
        <f aca="false">MIN(AR138*(1+K$8),MAX(BD139,$B$12-SUM(BE139:BM139)))</f>
        <v>0</v>
      </c>
    </row>
    <row r="140" customFormat="false" ht="15" hidden="false" customHeight="false" outlineLevel="0" collapsed="false">
      <c r="A140" s="0" t="n">
        <v>126</v>
      </c>
      <c r="B140" s="27" t="n">
        <f aca="false">ROUND(MAX(0,B139*(1+B$8)-X140),2)</f>
        <v>0</v>
      </c>
      <c r="C140" s="27" t="n">
        <f aca="false">ROUND(MAX(0,C139*(1+C$8)-Y140),2)</f>
        <v>0</v>
      </c>
      <c r="D140" s="27" t="n">
        <f aca="false">ROUND(MAX(0,D139*(1+D$8)-Z140),2)</f>
        <v>0</v>
      </c>
      <c r="E140" s="27" t="n">
        <f aca="false">ROUND(MAX(0,E139*(1+E$8)-AA140),2)</f>
        <v>0</v>
      </c>
      <c r="F140" s="27" t="n">
        <f aca="false">ROUND(MAX(0,F139*(1+F$8)-AB140),2)</f>
        <v>0</v>
      </c>
      <c r="G140" s="27" t="n">
        <f aca="false">ROUND(MAX(0,G139*(1+G$8)-AC140),2)</f>
        <v>0</v>
      </c>
      <c r="H140" s="27" t="n">
        <f aca="false">ROUND(MAX(0,H139*(1+H$8)-AD140),2)</f>
        <v>0</v>
      </c>
      <c r="I140" s="27" t="n">
        <f aca="false">ROUND(MAX(0,I139*(1+I$8)-AE140),2)</f>
        <v>0</v>
      </c>
      <c r="J140" s="27" t="n">
        <f aca="false">ROUND(MAX(0,J139*(1+J$8)-AF140),2)</f>
        <v>0</v>
      </c>
      <c r="K140" s="27" t="n">
        <f aca="false">ROUND(MAX(0,K139*(1+K$8)-AG140),2)</f>
        <v>0</v>
      </c>
      <c r="L140" s="30" t="n">
        <f aca="false">SUM(B140:K140)</f>
        <v>0</v>
      </c>
      <c r="M140" s="27" t="n">
        <f aca="false">SUMPRODUCT(B139:K139,$B$8:$K$8)</f>
        <v>0</v>
      </c>
      <c r="N140" s="27" t="n">
        <f aca="false">MIN(B139*(1+B$8),B$9)</f>
        <v>0</v>
      </c>
      <c r="O140" s="27" t="n">
        <f aca="false">MIN(C139*(1+C$8),C$9)</f>
        <v>0</v>
      </c>
      <c r="P140" s="27" t="n">
        <f aca="false">MIN(D139*(1+D$8),D$9)</f>
        <v>0</v>
      </c>
      <c r="Q140" s="27" t="n">
        <f aca="false">MIN(E139*(1+E$8),E$9)</f>
        <v>0</v>
      </c>
      <c r="R140" s="27" t="n">
        <f aca="false">MIN(F139*(1+F$8),F$9)</f>
        <v>0</v>
      </c>
      <c r="S140" s="27" t="n">
        <f aca="false">MIN(G139*(1+G$8),G$9)</f>
        <v>0</v>
      </c>
      <c r="T140" s="27" t="n">
        <f aca="false">MIN(H139*(1+H$8),H$9)</f>
        <v>0</v>
      </c>
      <c r="U140" s="27" t="n">
        <f aca="false">MIN(I139*(1+I$8),I$9)</f>
        <v>0</v>
      </c>
      <c r="V140" s="27" t="n">
        <f aca="false">MIN(J139*(1+J$8),J$9)</f>
        <v>0</v>
      </c>
      <c r="W140" s="27" t="n">
        <f aca="false">MIN(K139*(1+K$8),K$9)</f>
        <v>0</v>
      </c>
      <c r="X140" s="27" t="n">
        <f aca="false">MIN(B139*(1+B$8),MAX(N140,$B$11-SUM(O140:W140)))</f>
        <v>0</v>
      </c>
      <c r="Y140" s="27" t="n">
        <f aca="false">MIN(C139*(1+C$8),MAX(O140,$B$11-SUM(X140:X140)-SUM(P140:W140)))</f>
        <v>0</v>
      </c>
      <c r="Z140" s="27" t="n">
        <f aca="false">MIN(D139*(1+D$8),MAX(P140,$B$11-SUM(X140:Y140)-SUM(Q140:W140)))</f>
        <v>0</v>
      </c>
      <c r="AA140" s="27" t="n">
        <f aca="false">MIN(E139*(1+E$8),MAX(Q140,$B$11-SUM(X140:Z140)-SUM(R140:W140)))</f>
        <v>0</v>
      </c>
      <c r="AB140" s="27" t="n">
        <f aca="false">MIN(F139*(1+F$8),MAX(R140,$B$11-SUM(X140:AA140)-SUM(S140:W140)))</f>
        <v>0</v>
      </c>
      <c r="AC140" s="27" t="n">
        <f aca="false">MIN(G139*(1+G$8),MAX(S140,$B$11-SUM(X140:AB140)-SUM(T140:W140)))</f>
        <v>0</v>
      </c>
      <c r="AD140" s="27" t="n">
        <f aca="false">MIN(H139*(1+H$8),MAX(T140,$B$11-SUM(X140:AC140)-SUM(U140:W140)))</f>
        <v>0</v>
      </c>
      <c r="AE140" s="27" t="n">
        <f aca="false">MIN(I139*(1+I$8),MAX(U140,$B$11-SUM(X140:AD140)-SUM(V140:W140)))</f>
        <v>0</v>
      </c>
      <c r="AF140" s="27" t="n">
        <f aca="false">MIN(J139*(1+J$8),MAX(V140,$B$11-SUM(X140:AE140)-SUM(W140:W140)))</f>
        <v>0</v>
      </c>
      <c r="AG140" s="27" t="n">
        <f aca="false">MIN(K139*(1+K$8),MAX(W140,$B$11-SUM(X140:AF140)))</f>
        <v>0</v>
      </c>
      <c r="AI140" s="27" t="n">
        <f aca="false">ROUND(MAX(0,AI139*(1+B$8)-BE140),2)</f>
        <v>0</v>
      </c>
      <c r="AJ140" s="27" t="n">
        <f aca="false">ROUND(MAX(0,AJ139*(1+C$8)-BF140),2)</f>
        <v>0</v>
      </c>
      <c r="AK140" s="27" t="n">
        <f aca="false">ROUND(MAX(0,AK139*(1+D$8)-BG140),2)</f>
        <v>0</v>
      </c>
      <c r="AL140" s="27" t="n">
        <f aca="false">ROUND(MAX(0,AL139*(1+E$8)-BH140),2)</f>
        <v>0</v>
      </c>
      <c r="AM140" s="27" t="n">
        <f aca="false">ROUND(MAX(0,AM139*(1+F$8)-BI140),2)</f>
        <v>0</v>
      </c>
      <c r="AN140" s="27" t="n">
        <f aca="false">ROUND(MAX(0,AN139*(1+G$8)-BJ140),2)</f>
        <v>0</v>
      </c>
      <c r="AO140" s="27" t="n">
        <f aca="false">ROUND(MAX(0,AO139*(1+H$8)-BK140),2)</f>
        <v>0</v>
      </c>
      <c r="AP140" s="27" t="n">
        <f aca="false">ROUND(MAX(0,AP139*(1+I$8)-BL140),2)</f>
        <v>0</v>
      </c>
      <c r="AQ140" s="27" t="n">
        <f aca="false">ROUND(MAX(0,AQ139*(1+J$8)-BM140),2)</f>
        <v>0</v>
      </c>
      <c r="AR140" s="27" t="n">
        <f aca="false">ROUND(MAX(0,AR139*(1+K$8)-BN140),2)</f>
        <v>0</v>
      </c>
      <c r="AS140" s="27" t="n">
        <f aca="false">SUM(AI140:AR140)</f>
        <v>0</v>
      </c>
      <c r="AT140" s="27" t="n">
        <f aca="false">SUMPRODUCT(AI139:AR139,$B$8:$K$8)</f>
        <v>0</v>
      </c>
      <c r="AU140" s="27" t="n">
        <f aca="false">MIN(AI139*(1+B$8),B$9)</f>
        <v>0</v>
      </c>
      <c r="AV140" s="27" t="n">
        <f aca="false">MIN(AJ139*(1+C$8),C$9)</f>
        <v>0</v>
      </c>
      <c r="AW140" s="27" t="n">
        <f aca="false">MIN(AK139*(1+D$8),D$9)</f>
        <v>0</v>
      </c>
      <c r="AX140" s="27" t="n">
        <f aca="false">MIN(AL139*(1+E$8),E$9)</f>
        <v>0</v>
      </c>
      <c r="AY140" s="27" t="n">
        <f aca="false">MIN(AM139*(1+F$8),F$9)</f>
        <v>0</v>
      </c>
      <c r="AZ140" s="27" t="n">
        <f aca="false">MIN(AN139*(1+G$8),G$9)</f>
        <v>0</v>
      </c>
      <c r="BA140" s="27" t="n">
        <f aca="false">MIN(AO139*(1+H$8),H$9)</f>
        <v>0</v>
      </c>
      <c r="BB140" s="27" t="n">
        <f aca="false">MIN(AP139*(1+I$8),I$9)</f>
        <v>0</v>
      </c>
      <c r="BC140" s="27" t="n">
        <f aca="false">MIN(AQ139*(1+J$8),J$9)</f>
        <v>0</v>
      </c>
      <c r="BD140" s="27" t="n">
        <f aca="false">MIN(AR139*(1+K$8),K$9)</f>
        <v>0</v>
      </c>
      <c r="BE140" s="27" t="n">
        <f aca="false">MIN(AI139*(1+B$8),MAX(AU140,$B$12-SUM(AV140:BD140)))</f>
        <v>0</v>
      </c>
      <c r="BF140" s="27" t="n">
        <f aca="false">MIN(AJ139*(1+C$8),MAX(AV140,$B$12-SUM(BE140:BE140)-SUM(AW140:BD140)))</f>
        <v>0</v>
      </c>
      <c r="BG140" s="27" t="n">
        <f aca="false">MIN(AK139*(1+D$8),MAX(AW140,$B$12-SUM(BE140:BF140)-SUM(AX140:BD140)))</f>
        <v>0</v>
      </c>
      <c r="BH140" s="27" t="n">
        <f aca="false">MIN(AL139*(1+E$8),MAX(AX140,$B$12-SUM(BE140:BG140)-SUM(AY140:BD140)))</f>
        <v>0</v>
      </c>
      <c r="BI140" s="27" t="n">
        <f aca="false">MIN(AM139*(1+F$8),MAX(AY140,$B$12-SUM(BE140:BH140)-SUM(AZ140:BD140)))</f>
        <v>0</v>
      </c>
      <c r="BJ140" s="27" t="n">
        <f aca="false">MIN(AN139*(1+G$8),MAX(AZ140,$B$12-SUM(BE140:BI140)-SUM(BA140:BD140)))</f>
        <v>0</v>
      </c>
      <c r="BK140" s="27" t="n">
        <f aca="false">MIN(AO139*(1+H$8),MAX(BA140,$B$12-SUM(BE140:BJ140)-SUM(BB140:BD140)))</f>
        <v>0</v>
      </c>
      <c r="BL140" s="27" t="n">
        <f aca="false">MIN(AP139*(1+I$8),MAX(BB140,$B$12-SUM(BE140:BK140)-SUM(BC140:BD140)))</f>
        <v>0</v>
      </c>
      <c r="BM140" s="27" t="n">
        <f aca="false">MIN(AQ139*(1+J$8),MAX(BC140,$B$12-SUM(BE140:BL140)-SUM(BD140:BD140)))</f>
        <v>0</v>
      </c>
      <c r="BN140" s="27" t="n">
        <f aca="false">MIN(AR139*(1+K$8),MAX(BD140,$B$12-SUM(BE140:BM140)))</f>
        <v>0</v>
      </c>
    </row>
    <row r="141" customFormat="false" ht="15" hidden="false" customHeight="false" outlineLevel="0" collapsed="false">
      <c r="A141" s="0" t="n">
        <v>127</v>
      </c>
      <c r="B141" s="27" t="n">
        <f aca="false">ROUND(MAX(0,B140*(1+B$8)-X141),2)</f>
        <v>0</v>
      </c>
      <c r="C141" s="27" t="n">
        <f aca="false">ROUND(MAX(0,C140*(1+C$8)-Y141),2)</f>
        <v>0</v>
      </c>
      <c r="D141" s="27" t="n">
        <f aca="false">ROUND(MAX(0,D140*(1+D$8)-Z141),2)</f>
        <v>0</v>
      </c>
      <c r="E141" s="27" t="n">
        <f aca="false">ROUND(MAX(0,E140*(1+E$8)-AA141),2)</f>
        <v>0</v>
      </c>
      <c r="F141" s="27" t="n">
        <f aca="false">ROUND(MAX(0,F140*(1+F$8)-AB141),2)</f>
        <v>0</v>
      </c>
      <c r="G141" s="27" t="n">
        <f aca="false">ROUND(MAX(0,G140*(1+G$8)-AC141),2)</f>
        <v>0</v>
      </c>
      <c r="H141" s="27" t="n">
        <f aca="false">ROUND(MAX(0,H140*(1+H$8)-AD141),2)</f>
        <v>0</v>
      </c>
      <c r="I141" s="27" t="n">
        <f aca="false">ROUND(MAX(0,I140*(1+I$8)-AE141),2)</f>
        <v>0</v>
      </c>
      <c r="J141" s="27" t="n">
        <f aca="false">ROUND(MAX(0,J140*(1+J$8)-AF141),2)</f>
        <v>0</v>
      </c>
      <c r="K141" s="27" t="n">
        <f aca="false">ROUND(MAX(0,K140*(1+K$8)-AG141),2)</f>
        <v>0</v>
      </c>
      <c r="L141" s="30" t="n">
        <f aca="false">SUM(B141:K141)</f>
        <v>0</v>
      </c>
      <c r="M141" s="27" t="n">
        <f aca="false">SUMPRODUCT(B140:K140,$B$8:$K$8)</f>
        <v>0</v>
      </c>
      <c r="N141" s="27" t="n">
        <f aca="false">MIN(B140*(1+B$8),B$9)</f>
        <v>0</v>
      </c>
      <c r="O141" s="27" t="n">
        <f aca="false">MIN(C140*(1+C$8),C$9)</f>
        <v>0</v>
      </c>
      <c r="P141" s="27" t="n">
        <f aca="false">MIN(D140*(1+D$8),D$9)</f>
        <v>0</v>
      </c>
      <c r="Q141" s="27" t="n">
        <f aca="false">MIN(E140*(1+E$8),E$9)</f>
        <v>0</v>
      </c>
      <c r="R141" s="27" t="n">
        <f aca="false">MIN(F140*(1+F$8),F$9)</f>
        <v>0</v>
      </c>
      <c r="S141" s="27" t="n">
        <f aca="false">MIN(G140*(1+G$8),G$9)</f>
        <v>0</v>
      </c>
      <c r="T141" s="27" t="n">
        <f aca="false">MIN(H140*(1+H$8),H$9)</f>
        <v>0</v>
      </c>
      <c r="U141" s="27" t="n">
        <f aca="false">MIN(I140*(1+I$8),I$9)</f>
        <v>0</v>
      </c>
      <c r="V141" s="27" t="n">
        <f aca="false">MIN(J140*(1+J$8),J$9)</f>
        <v>0</v>
      </c>
      <c r="W141" s="27" t="n">
        <f aca="false">MIN(K140*(1+K$8),K$9)</f>
        <v>0</v>
      </c>
      <c r="X141" s="27" t="n">
        <f aca="false">MIN(B140*(1+B$8),MAX(N141,$B$11-SUM(O141:W141)))</f>
        <v>0</v>
      </c>
      <c r="Y141" s="27" t="n">
        <f aca="false">MIN(C140*(1+C$8),MAX(O141,$B$11-SUM(X141:X141)-SUM(P141:W141)))</f>
        <v>0</v>
      </c>
      <c r="Z141" s="27" t="n">
        <f aca="false">MIN(D140*(1+D$8),MAX(P141,$B$11-SUM(X141:Y141)-SUM(Q141:W141)))</f>
        <v>0</v>
      </c>
      <c r="AA141" s="27" t="n">
        <f aca="false">MIN(E140*(1+E$8),MAX(Q141,$B$11-SUM(X141:Z141)-SUM(R141:W141)))</f>
        <v>0</v>
      </c>
      <c r="AB141" s="27" t="n">
        <f aca="false">MIN(F140*(1+F$8),MAX(R141,$B$11-SUM(X141:AA141)-SUM(S141:W141)))</f>
        <v>0</v>
      </c>
      <c r="AC141" s="27" t="n">
        <f aca="false">MIN(G140*(1+G$8),MAX(S141,$B$11-SUM(X141:AB141)-SUM(T141:W141)))</f>
        <v>0</v>
      </c>
      <c r="AD141" s="27" t="n">
        <f aca="false">MIN(H140*(1+H$8),MAX(T141,$B$11-SUM(X141:AC141)-SUM(U141:W141)))</f>
        <v>0</v>
      </c>
      <c r="AE141" s="27" t="n">
        <f aca="false">MIN(I140*(1+I$8),MAX(U141,$B$11-SUM(X141:AD141)-SUM(V141:W141)))</f>
        <v>0</v>
      </c>
      <c r="AF141" s="27" t="n">
        <f aca="false">MIN(J140*(1+J$8),MAX(V141,$B$11-SUM(X141:AE141)-SUM(W141:W141)))</f>
        <v>0</v>
      </c>
      <c r="AG141" s="27" t="n">
        <f aca="false">MIN(K140*(1+K$8),MAX(W141,$B$11-SUM(X141:AF141)))</f>
        <v>0</v>
      </c>
      <c r="AI141" s="27" t="n">
        <f aca="false">ROUND(MAX(0,AI140*(1+B$8)-BE141),2)</f>
        <v>0</v>
      </c>
      <c r="AJ141" s="27" t="n">
        <f aca="false">ROUND(MAX(0,AJ140*(1+C$8)-BF141),2)</f>
        <v>0</v>
      </c>
      <c r="AK141" s="27" t="n">
        <f aca="false">ROUND(MAX(0,AK140*(1+D$8)-BG141),2)</f>
        <v>0</v>
      </c>
      <c r="AL141" s="27" t="n">
        <f aca="false">ROUND(MAX(0,AL140*(1+E$8)-BH141),2)</f>
        <v>0</v>
      </c>
      <c r="AM141" s="27" t="n">
        <f aca="false">ROUND(MAX(0,AM140*(1+F$8)-BI141),2)</f>
        <v>0</v>
      </c>
      <c r="AN141" s="27" t="n">
        <f aca="false">ROUND(MAX(0,AN140*(1+G$8)-BJ141),2)</f>
        <v>0</v>
      </c>
      <c r="AO141" s="27" t="n">
        <f aca="false">ROUND(MAX(0,AO140*(1+H$8)-BK141),2)</f>
        <v>0</v>
      </c>
      <c r="AP141" s="27" t="n">
        <f aca="false">ROUND(MAX(0,AP140*(1+I$8)-BL141),2)</f>
        <v>0</v>
      </c>
      <c r="AQ141" s="27" t="n">
        <f aca="false">ROUND(MAX(0,AQ140*(1+J$8)-BM141),2)</f>
        <v>0</v>
      </c>
      <c r="AR141" s="27" t="n">
        <f aca="false">ROUND(MAX(0,AR140*(1+K$8)-BN141),2)</f>
        <v>0</v>
      </c>
      <c r="AS141" s="27" t="n">
        <f aca="false">SUM(AI141:AR141)</f>
        <v>0</v>
      </c>
      <c r="AT141" s="27" t="n">
        <f aca="false">SUMPRODUCT(AI140:AR140,$B$8:$K$8)</f>
        <v>0</v>
      </c>
      <c r="AU141" s="27" t="n">
        <f aca="false">MIN(AI140*(1+B$8),B$9)</f>
        <v>0</v>
      </c>
      <c r="AV141" s="27" t="n">
        <f aca="false">MIN(AJ140*(1+C$8),C$9)</f>
        <v>0</v>
      </c>
      <c r="AW141" s="27" t="n">
        <f aca="false">MIN(AK140*(1+D$8),D$9)</f>
        <v>0</v>
      </c>
      <c r="AX141" s="27" t="n">
        <f aca="false">MIN(AL140*(1+E$8),E$9)</f>
        <v>0</v>
      </c>
      <c r="AY141" s="27" t="n">
        <f aca="false">MIN(AM140*(1+F$8),F$9)</f>
        <v>0</v>
      </c>
      <c r="AZ141" s="27" t="n">
        <f aca="false">MIN(AN140*(1+G$8),G$9)</f>
        <v>0</v>
      </c>
      <c r="BA141" s="27" t="n">
        <f aca="false">MIN(AO140*(1+H$8),H$9)</f>
        <v>0</v>
      </c>
      <c r="BB141" s="27" t="n">
        <f aca="false">MIN(AP140*(1+I$8),I$9)</f>
        <v>0</v>
      </c>
      <c r="BC141" s="27" t="n">
        <f aca="false">MIN(AQ140*(1+J$8),J$9)</f>
        <v>0</v>
      </c>
      <c r="BD141" s="27" t="n">
        <f aca="false">MIN(AR140*(1+K$8),K$9)</f>
        <v>0</v>
      </c>
      <c r="BE141" s="27" t="n">
        <f aca="false">MIN(AI140*(1+B$8),MAX(AU141,$B$12-SUM(AV141:BD141)))</f>
        <v>0</v>
      </c>
      <c r="BF141" s="27" t="n">
        <f aca="false">MIN(AJ140*(1+C$8),MAX(AV141,$B$12-SUM(BE141:BE141)-SUM(AW141:BD141)))</f>
        <v>0</v>
      </c>
      <c r="BG141" s="27" t="n">
        <f aca="false">MIN(AK140*(1+D$8),MAX(AW141,$B$12-SUM(BE141:BF141)-SUM(AX141:BD141)))</f>
        <v>0</v>
      </c>
      <c r="BH141" s="27" t="n">
        <f aca="false">MIN(AL140*(1+E$8),MAX(AX141,$B$12-SUM(BE141:BG141)-SUM(AY141:BD141)))</f>
        <v>0</v>
      </c>
      <c r="BI141" s="27" t="n">
        <f aca="false">MIN(AM140*(1+F$8),MAX(AY141,$B$12-SUM(BE141:BH141)-SUM(AZ141:BD141)))</f>
        <v>0</v>
      </c>
      <c r="BJ141" s="27" t="n">
        <f aca="false">MIN(AN140*(1+G$8),MAX(AZ141,$B$12-SUM(BE141:BI141)-SUM(BA141:BD141)))</f>
        <v>0</v>
      </c>
      <c r="BK141" s="27" t="n">
        <f aca="false">MIN(AO140*(1+H$8),MAX(BA141,$B$12-SUM(BE141:BJ141)-SUM(BB141:BD141)))</f>
        <v>0</v>
      </c>
      <c r="BL141" s="27" t="n">
        <f aca="false">MIN(AP140*(1+I$8),MAX(BB141,$B$12-SUM(BE141:BK141)-SUM(BC141:BD141)))</f>
        <v>0</v>
      </c>
      <c r="BM141" s="27" t="n">
        <f aca="false">MIN(AQ140*(1+J$8),MAX(BC141,$B$12-SUM(BE141:BL141)-SUM(BD141:BD141)))</f>
        <v>0</v>
      </c>
      <c r="BN141" s="27" t="n">
        <f aca="false">MIN(AR140*(1+K$8),MAX(BD141,$B$12-SUM(BE141:BM141)))</f>
        <v>0</v>
      </c>
    </row>
    <row r="142" customFormat="false" ht="15" hidden="false" customHeight="false" outlineLevel="0" collapsed="false">
      <c r="A142" s="0" t="n">
        <v>128</v>
      </c>
      <c r="B142" s="27" t="n">
        <f aca="false">ROUND(MAX(0,B141*(1+B$8)-X142),2)</f>
        <v>0</v>
      </c>
      <c r="C142" s="27" t="n">
        <f aca="false">ROUND(MAX(0,C141*(1+C$8)-Y142),2)</f>
        <v>0</v>
      </c>
      <c r="D142" s="27" t="n">
        <f aca="false">ROUND(MAX(0,D141*(1+D$8)-Z142),2)</f>
        <v>0</v>
      </c>
      <c r="E142" s="27" t="n">
        <f aca="false">ROUND(MAX(0,E141*(1+E$8)-AA142),2)</f>
        <v>0</v>
      </c>
      <c r="F142" s="27" t="n">
        <f aca="false">ROUND(MAX(0,F141*(1+F$8)-AB142),2)</f>
        <v>0</v>
      </c>
      <c r="G142" s="27" t="n">
        <f aca="false">ROUND(MAX(0,G141*(1+G$8)-AC142),2)</f>
        <v>0</v>
      </c>
      <c r="H142" s="27" t="n">
        <f aca="false">ROUND(MAX(0,H141*(1+H$8)-AD142),2)</f>
        <v>0</v>
      </c>
      <c r="I142" s="27" t="n">
        <f aca="false">ROUND(MAX(0,I141*(1+I$8)-AE142),2)</f>
        <v>0</v>
      </c>
      <c r="J142" s="27" t="n">
        <f aca="false">ROUND(MAX(0,J141*(1+J$8)-AF142),2)</f>
        <v>0</v>
      </c>
      <c r="K142" s="27" t="n">
        <f aca="false">ROUND(MAX(0,K141*(1+K$8)-AG142),2)</f>
        <v>0</v>
      </c>
      <c r="L142" s="30" t="n">
        <f aca="false">SUM(B142:K142)</f>
        <v>0</v>
      </c>
      <c r="M142" s="27" t="n">
        <f aca="false">SUMPRODUCT(B141:K141,$B$8:$K$8)</f>
        <v>0</v>
      </c>
      <c r="N142" s="27" t="n">
        <f aca="false">MIN(B141*(1+B$8),B$9)</f>
        <v>0</v>
      </c>
      <c r="O142" s="27" t="n">
        <f aca="false">MIN(C141*(1+C$8),C$9)</f>
        <v>0</v>
      </c>
      <c r="P142" s="27" t="n">
        <f aca="false">MIN(D141*(1+D$8),D$9)</f>
        <v>0</v>
      </c>
      <c r="Q142" s="27" t="n">
        <f aca="false">MIN(E141*(1+E$8),E$9)</f>
        <v>0</v>
      </c>
      <c r="R142" s="27" t="n">
        <f aca="false">MIN(F141*(1+F$8),F$9)</f>
        <v>0</v>
      </c>
      <c r="S142" s="27" t="n">
        <f aca="false">MIN(G141*(1+G$8),G$9)</f>
        <v>0</v>
      </c>
      <c r="T142" s="27" t="n">
        <f aca="false">MIN(H141*(1+H$8),H$9)</f>
        <v>0</v>
      </c>
      <c r="U142" s="27" t="n">
        <f aca="false">MIN(I141*(1+I$8),I$9)</f>
        <v>0</v>
      </c>
      <c r="V142" s="27" t="n">
        <f aca="false">MIN(J141*(1+J$8),J$9)</f>
        <v>0</v>
      </c>
      <c r="W142" s="27" t="n">
        <f aca="false">MIN(K141*(1+K$8),K$9)</f>
        <v>0</v>
      </c>
      <c r="X142" s="27" t="n">
        <f aca="false">MIN(B141*(1+B$8),MAX(N142,$B$11-SUM(O142:W142)))</f>
        <v>0</v>
      </c>
      <c r="Y142" s="27" t="n">
        <f aca="false">MIN(C141*(1+C$8),MAX(O142,$B$11-SUM(X142:X142)-SUM(P142:W142)))</f>
        <v>0</v>
      </c>
      <c r="Z142" s="27" t="n">
        <f aca="false">MIN(D141*(1+D$8),MAX(P142,$B$11-SUM(X142:Y142)-SUM(Q142:W142)))</f>
        <v>0</v>
      </c>
      <c r="AA142" s="27" t="n">
        <f aca="false">MIN(E141*(1+E$8),MAX(Q142,$B$11-SUM(X142:Z142)-SUM(R142:W142)))</f>
        <v>0</v>
      </c>
      <c r="AB142" s="27" t="n">
        <f aca="false">MIN(F141*(1+F$8),MAX(R142,$B$11-SUM(X142:AA142)-SUM(S142:W142)))</f>
        <v>0</v>
      </c>
      <c r="AC142" s="27" t="n">
        <f aca="false">MIN(G141*(1+G$8),MAX(S142,$B$11-SUM(X142:AB142)-SUM(T142:W142)))</f>
        <v>0</v>
      </c>
      <c r="AD142" s="27" t="n">
        <f aca="false">MIN(H141*(1+H$8),MAX(T142,$B$11-SUM(X142:AC142)-SUM(U142:W142)))</f>
        <v>0</v>
      </c>
      <c r="AE142" s="27" t="n">
        <f aca="false">MIN(I141*(1+I$8),MAX(U142,$B$11-SUM(X142:AD142)-SUM(V142:W142)))</f>
        <v>0</v>
      </c>
      <c r="AF142" s="27" t="n">
        <f aca="false">MIN(J141*(1+J$8),MAX(V142,$B$11-SUM(X142:AE142)-SUM(W142:W142)))</f>
        <v>0</v>
      </c>
      <c r="AG142" s="27" t="n">
        <f aca="false">MIN(K141*(1+K$8),MAX(W142,$B$11-SUM(X142:AF142)))</f>
        <v>0</v>
      </c>
      <c r="AI142" s="27" t="n">
        <f aca="false">ROUND(MAX(0,AI141*(1+B$8)-BE142),2)</f>
        <v>0</v>
      </c>
      <c r="AJ142" s="27" t="n">
        <f aca="false">ROUND(MAX(0,AJ141*(1+C$8)-BF142),2)</f>
        <v>0</v>
      </c>
      <c r="AK142" s="27" t="n">
        <f aca="false">ROUND(MAX(0,AK141*(1+D$8)-BG142),2)</f>
        <v>0</v>
      </c>
      <c r="AL142" s="27" t="n">
        <f aca="false">ROUND(MAX(0,AL141*(1+E$8)-BH142),2)</f>
        <v>0</v>
      </c>
      <c r="AM142" s="27" t="n">
        <f aca="false">ROUND(MAX(0,AM141*(1+F$8)-BI142),2)</f>
        <v>0</v>
      </c>
      <c r="AN142" s="27" t="n">
        <f aca="false">ROUND(MAX(0,AN141*(1+G$8)-BJ142),2)</f>
        <v>0</v>
      </c>
      <c r="AO142" s="27" t="n">
        <f aca="false">ROUND(MAX(0,AO141*(1+H$8)-BK142),2)</f>
        <v>0</v>
      </c>
      <c r="AP142" s="27" t="n">
        <f aca="false">ROUND(MAX(0,AP141*(1+I$8)-BL142),2)</f>
        <v>0</v>
      </c>
      <c r="AQ142" s="27" t="n">
        <f aca="false">ROUND(MAX(0,AQ141*(1+J$8)-BM142),2)</f>
        <v>0</v>
      </c>
      <c r="AR142" s="27" t="n">
        <f aca="false">ROUND(MAX(0,AR141*(1+K$8)-BN142),2)</f>
        <v>0</v>
      </c>
      <c r="AS142" s="27" t="n">
        <f aca="false">SUM(AI142:AR142)</f>
        <v>0</v>
      </c>
      <c r="AT142" s="27" t="n">
        <f aca="false">SUMPRODUCT(AI141:AR141,$B$8:$K$8)</f>
        <v>0</v>
      </c>
      <c r="AU142" s="27" t="n">
        <f aca="false">MIN(AI141*(1+B$8),B$9)</f>
        <v>0</v>
      </c>
      <c r="AV142" s="27" t="n">
        <f aca="false">MIN(AJ141*(1+C$8),C$9)</f>
        <v>0</v>
      </c>
      <c r="AW142" s="27" t="n">
        <f aca="false">MIN(AK141*(1+D$8),D$9)</f>
        <v>0</v>
      </c>
      <c r="AX142" s="27" t="n">
        <f aca="false">MIN(AL141*(1+E$8),E$9)</f>
        <v>0</v>
      </c>
      <c r="AY142" s="27" t="n">
        <f aca="false">MIN(AM141*(1+F$8),F$9)</f>
        <v>0</v>
      </c>
      <c r="AZ142" s="27" t="n">
        <f aca="false">MIN(AN141*(1+G$8),G$9)</f>
        <v>0</v>
      </c>
      <c r="BA142" s="27" t="n">
        <f aca="false">MIN(AO141*(1+H$8),H$9)</f>
        <v>0</v>
      </c>
      <c r="BB142" s="27" t="n">
        <f aca="false">MIN(AP141*(1+I$8),I$9)</f>
        <v>0</v>
      </c>
      <c r="BC142" s="27" t="n">
        <f aca="false">MIN(AQ141*(1+J$8),J$9)</f>
        <v>0</v>
      </c>
      <c r="BD142" s="27" t="n">
        <f aca="false">MIN(AR141*(1+K$8),K$9)</f>
        <v>0</v>
      </c>
      <c r="BE142" s="27" t="n">
        <f aca="false">MIN(AI141*(1+B$8),MAX(AU142,$B$12-SUM(AV142:BD142)))</f>
        <v>0</v>
      </c>
      <c r="BF142" s="27" t="n">
        <f aca="false">MIN(AJ141*(1+C$8),MAX(AV142,$B$12-SUM(BE142:BE142)-SUM(AW142:BD142)))</f>
        <v>0</v>
      </c>
      <c r="BG142" s="27" t="n">
        <f aca="false">MIN(AK141*(1+D$8),MAX(AW142,$B$12-SUM(BE142:BF142)-SUM(AX142:BD142)))</f>
        <v>0</v>
      </c>
      <c r="BH142" s="27" t="n">
        <f aca="false">MIN(AL141*(1+E$8),MAX(AX142,$B$12-SUM(BE142:BG142)-SUM(AY142:BD142)))</f>
        <v>0</v>
      </c>
      <c r="BI142" s="27" t="n">
        <f aca="false">MIN(AM141*(1+F$8),MAX(AY142,$B$12-SUM(BE142:BH142)-SUM(AZ142:BD142)))</f>
        <v>0</v>
      </c>
      <c r="BJ142" s="27" t="n">
        <f aca="false">MIN(AN141*(1+G$8),MAX(AZ142,$B$12-SUM(BE142:BI142)-SUM(BA142:BD142)))</f>
        <v>0</v>
      </c>
      <c r="BK142" s="27" t="n">
        <f aca="false">MIN(AO141*(1+H$8),MAX(BA142,$B$12-SUM(BE142:BJ142)-SUM(BB142:BD142)))</f>
        <v>0</v>
      </c>
      <c r="BL142" s="27" t="n">
        <f aca="false">MIN(AP141*(1+I$8),MAX(BB142,$B$12-SUM(BE142:BK142)-SUM(BC142:BD142)))</f>
        <v>0</v>
      </c>
      <c r="BM142" s="27" t="n">
        <f aca="false">MIN(AQ141*(1+J$8),MAX(BC142,$B$12-SUM(BE142:BL142)-SUM(BD142:BD142)))</f>
        <v>0</v>
      </c>
      <c r="BN142" s="27" t="n">
        <f aca="false">MIN(AR141*(1+K$8),MAX(BD142,$B$12-SUM(BE142:BM142)))</f>
        <v>0</v>
      </c>
    </row>
    <row r="143" customFormat="false" ht="15" hidden="false" customHeight="false" outlineLevel="0" collapsed="false">
      <c r="A143" s="0" t="n">
        <v>129</v>
      </c>
      <c r="B143" s="27" t="n">
        <f aca="false">ROUND(MAX(0,B142*(1+B$8)-X143),2)</f>
        <v>0</v>
      </c>
      <c r="C143" s="27" t="n">
        <f aca="false">ROUND(MAX(0,C142*(1+C$8)-Y143),2)</f>
        <v>0</v>
      </c>
      <c r="D143" s="27" t="n">
        <f aca="false">ROUND(MAX(0,D142*(1+D$8)-Z143),2)</f>
        <v>0</v>
      </c>
      <c r="E143" s="27" t="n">
        <f aca="false">ROUND(MAX(0,E142*(1+E$8)-AA143),2)</f>
        <v>0</v>
      </c>
      <c r="F143" s="27" t="n">
        <f aca="false">ROUND(MAX(0,F142*(1+F$8)-AB143),2)</f>
        <v>0</v>
      </c>
      <c r="G143" s="27" t="n">
        <f aca="false">ROUND(MAX(0,G142*(1+G$8)-AC143),2)</f>
        <v>0</v>
      </c>
      <c r="H143" s="27" t="n">
        <f aca="false">ROUND(MAX(0,H142*(1+H$8)-AD143),2)</f>
        <v>0</v>
      </c>
      <c r="I143" s="27" t="n">
        <f aca="false">ROUND(MAX(0,I142*(1+I$8)-AE143),2)</f>
        <v>0</v>
      </c>
      <c r="J143" s="27" t="n">
        <f aca="false">ROUND(MAX(0,J142*(1+J$8)-AF143),2)</f>
        <v>0</v>
      </c>
      <c r="K143" s="27" t="n">
        <f aca="false">ROUND(MAX(0,K142*(1+K$8)-AG143),2)</f>
        <v>0</v>
      </c>
      <c r="L143" s="30" t="n">
        <f aca="false">SUM(B143:K143)</f>
        <v>0</v>
      </c>
      <c r="M143" s="27" t="n">
        <f aca="false">SUMPRODUCT(B142:K142,$B$8:$K$8)</f>
        <v>0</v>
      </c>
      <c r="N143" s="27" t="n">
        <f aca="false">MIN(B142*(1+B$8),B$9)</f>
        <v>0</v>
      </c>
      <c r="O143" s="27" t="n">
        <f aca="false">MIN(C142*(1+C$8),C$9)</f>
        <v>0</v>
      </c>
      <c r="P143" s="27" t="n">
        <f aca="false">MIN(D142*(1+D$8),D$9)</f>
        <v>0</v>
      </c>
      <c r="Q143" s="27" t="n">
        <f aca="false">MIN(E142*(1+E$8),E$9)</f>
        <v>0</v>
      </c>
      <c r="R143" s="27" t="n">
        <f aca="false">MIN(F142*(1+F$8),F$9)</f>
        <v>0</v>
      </c>
      <c r="S143" s="27" t="n">
        <f aca="false">MIN(G142*(1+G$8),G$9)</f>
        <v>0</v>
      </c>
      <c r="T143" s="27" t="n">
        <f aca="false">MIN(H142*(1+H$8),H$9)</f>
        <v>0</v>
      </c>
      <c r="U143" s="27" t="n">
        <f aca="false">MIN(I142*(1+I$8),I$9)</f>
        <v>0</v>
      </c>
      <c r="V143" s="27" t="n">
        <f aca="false">MIN(J142*(1+J$8),J$9)</f>
        <v>0</v>
      </c>
      <c r="W143" s="27" t="n">
        <f aca="false">MIN(K142*(1+K$8),K$9)</f>
        <v>0</v>
      </c>
      <c r="X143" s="27" t="n">
        <f aca="false">MIN(B142*(1+B$8),MAX(N143,$B$11-SUM(O143:W143)))</f>
        <v>0</v>
      </c>
      <c r="Y143" s="27" t="n">
        <f aca="false">MIN(C142*(1+C$8),MAX(O143,$B$11-SUM(X143:X143)-SUM(P143:W143)))</f>
        <v>0</v>
      </c>
      <c r="Z143" s="27" t="n">
        <f aca="false">MIN(D142*(1+D$8),MAX(P143,$B$11-SUM(X143:Y143)-SUM(Q143:W143)))</f>
        <v>0</v>
      </c>
      <c r="AA143" s="27" t="n">
        <f aca="false">MIN(E142*(1+E$8),MAX(Q143,$B$11-SUM(X143:Z143)-SUM(R143:W143)))</f>
        <v>0</v>
      </c>
      <c r="AB143" s="27" t="n">
        <f aca="false">MIN(F142*(1+F$8),MAX(R143,$B$11-SUM(X143:AA143)-SUM(S143:W143)))</f>
        <v>0</v>
      </c>
      <c r="AC143" s="27" t="n">
        <f aca="false">MIN(G142*(1+G$8),MAX(S143,$B$11-SUM(X143:AB143)-SUM(T143:W143)))</f>
        <v>0</v>
      </c>
      <c r="AD143" s="27" t="n">
        <f aca="false">MIN(H142*(1+H$8),MAX(T143,$B$11-SUM(X143:AC143)-SUM(U143:W143)))</f>
        <v>0</v>
      </c>
      <c r="AE143" s="27" t="n">
        <f aca="false">MIN(I142*(1+I$8),MAX(U143,$B$11-SUM(X143:AD143)-SUM(V143:W143)))</f>
        <v>0</v>
      </c>
      <c r="AF143" s="27" t="n">
        <f aca="false">MIN(J142*(1+J$8),MAX(V143,$B$11-SUM(X143:AE143)-SUM(W143:W143)))</f>
        <v>0</v>
      </c>
      <c r="AG143" s="27" t="n">
        <f aca="false">MIN(K142*(1+K$8),MAX(W143,$B$11-SUM(X143:AF143)))</f>
        <v>0</v>
      </c>
      <c r="AI143" s="27" t="n">
        <f aca="false">ROUND(MAX(0,AI142*(1+B$8)-BE143),2)</f>
        <v>0</v>
      </c>
      <c r="AJ143" s="27" t="n">
        <f aca="false">ROUND(MAX(0,AJ142*(1+C$8)-BF143),2)</f>
        <v>0</v>
      </c>
      <c r="AK143" s="27" t="n">
        <f aca="false">ROUND(MAX(0,AK142*(1+D$8)-BG143),2)</f>
        <v>0</v>
      </c>
      <c r="AL143" s="27" t="n">
        <f aca="false">ROUND(MAX(0,AL142*(1+E$8)-BH143),2)</f>
        <v>0</v>
      </c>
      <c r="AM143" s="27" t="n">
        <f aca="false">ROUND(MAX(0,AM142*(1+F$8)-BI143),2)</f>
        <v>0</v>
      </c>
      <c r="AN143" s="27" t="n">
        <f aca="false">ROUND(MAX(0,AN142*(1+G$8)-BJ143),2)</f>
        <v>0</v>
      </c>
      <c r="AO143" s="27" t="n">
        <f aca="false">ROUND(MAX(0,AO142*(1+H$8)-BK143),2)</f>
        <v>0</v>
      </c>
      <c r="AP143" s="27" t="n">
        <f aca="false">ROUND(MAX(0,AP142*(1+I$8)-BL143),2)</f>
        <v>0</v>
      </c>
      <c r="AQ143" s="27" t="n">
        <f aca="false">ROUND(MAX(0,AQ142*(1+J$8)-BM143),2)</f>
        <v>0</v>
      </c>
      <c r="AR143" s="27" t="n">
        <f aca="false">ROUND(MAX(0,AR142*(1+K$8)-BN143),2)</f>
        <v>0</v>
      </c>
      <c r="AS143" s="27" t="n">
        <f aca="false">SUM(AI143:AR143)</f>
        <v>0</v>
      </c>
      <c r="AT143" s="27" t="n">
        <f aca="false">SUMPRODUCT(AI142:AR142,$B$8:$K$8)</f>
        <v>0</v>
      </c>
      <c r="AU143" s="27" t="n">
        <f aca="false">MIN(AI142*(1+B$8),B$9)</f>
        <v>0</v>
      </c>
      <c r="AV143" s="27" t="n">
        <f aca="false">MIN(AJ142*(1+C$8),C$9)</f>
        <v>0</v>
      </c>
      <c r="AW143" s="27" t="n">
        <f aca="false">MIN(AK142*(1+D$8),D$9)</f>
        <v>0</v>
      </c>
      <c r="AX143" s="27" t="n">
        <f aca="false">MIN(AL142*(1+E$8),E$9)</f>
        <v>0</v>
      </c>
      <c r="AY143" s="27" t="n">
        <f aca="false">MIN(AM142*(1+F$8),F$9)</f>
        <v>0</v>
      </c>
      <c r="AZ143" s="27" t="n">
        <f aca="false">MIN(AN142*(1+G$8),G$9)</f>
        <v>0</v>
      </c>
      <c r="BA143" s="27" t="n">
        <f aca="false">MIN(AO142*(1+H$8),H$9)</f>
        <v>0</v>
      </c>
      <c r="BB143" s="27" t="n">
        <f aca="false">MIN(AP142*(1+I$8),I$9)</f>
        <v>0</v>
      </c>
      <c r="BC143" s="27" t="n">
        <f aca="false">MIN(AQ142*(1+J$8),J$9)</f>
        <v>0</v>
      </c>
      <c r="BD143" s="27" t="n">
        <f aca="false">MIN(AR142*(1+K$8),K$9)</f>
        <v>0</v>
      </c>
      <c r="BE143" s="27" t="n">
        <f aca="false">MIN(AI142*(1+B$8),MAX(AU143,$B$12-SUM(AV143:BD143)))</f>
        <v>0</v>
      </c>
      <c r="BF143" s="27" t="n">
        <f aca="false">MIN(AJ142*(1+C$8),MAX(AV143,$B$12-SUM(BE143:BE143)-SUM(AW143:BD143)))</f>
        <v>0</v>
      </c>
      <c r="BG143" s="27" t="n">
        <f aca="false">MIN(AK142*(1+D$8),MAX(AW143,$B$12-SUM(BE143:BF143)-SUM(AX143:BD143)))</f>
        <v>0</v>
      </c>
      <c r="BH143" s="27" t="n">
        <f aca="false">MIN(AL142*(1+E$8),MAX(AX143,$B$12-SUM(BE143:BG143)-SUM(AY143:BD143)))</f>
        <v>0</v>
      </c>
      <c r="BI143" s="27" t="n">
        <f aca="false">MIN(AM142*(1+F$8),MAX(AY143,$B$12-SUM(BE143:BH143)-SUM(AZ143:BD143)))</f>
        <v>0</v>
      </c>
      <c r="BJ143" s="27" t="n">
        <f aca="false">MIN(AN142*(1+G$8),MAX(AZ143,$B$12-SUM(BE143:BI143)-SUM(BA143:BD143)))</f>
        <v>0</v>
      </c>
      <c r="BK143" s="27" t="n">
        <f aca="false">MIN(AO142*(1+H$8),MAX(BA143,$B$12-SUM(BE143:BJ143)-SUM(BB143:BD143)))</f>
        <v>0</v>
      </c>
      <c r="BL143" s="27" t="n">
        <f aca="false">MIN(AP142*(1+I$8),MAX(BB143,$B$12-SUM(BE143:BK143)-SUM(BC143:BD143)))</f>
        <v>0</v>
      </c>
      <c r="BM143" s="27" t="n">
        <f aca="false">MIN(AQ142*(1+J$8),MAX(BC143,$B$12-SUM(BE143:BL143)-SUM(BD143:BD143)))</f>
        <v>0</v>
      </c>
      <c r="BN143" s="27" t="n">
        <f aca="false">MIN(AR142*(1+K$8),MAX(BD143,$B$12-SUM(BE143:BM143)))</f>
        <v>0</v>
      </c>
    </row>
    <row r="144" customFormat="false" ht="15" hidden="false" customHeight="false" outlineLevel="0" collapsed="false">
      <c r="A144" s="0" t="n">
        <v>130</v>
      </c>
      <c r="B144" s="27" t="n">
        <f aca="false">ROUND(MAX(0,B143*(1+B$8)-X144),2)</f>
        <v>0</v>
      </c>
      <c r="C144" s="27" t="n">
        <f aca="false">ROUND(MAX(0,C143*(1+C$8)-Y144),2)</f>
        <v>0</v>
      </c>
      <c r="D144" s="27" t="n">
        <f aca="false">ROUND(MAX(0,D143*(1+D$8)-Z144),2)</f>
        <v>0</v>
      </c>
      <c r="E144" s="27" t="n">
        <f aca="false">ROUND(MAX(0,E143*(1+E$8)-AA144),2)</f>
        <v>0</v>
      </c>
      <c r="F144" s="27" t="n">
        <f aca="false">ROUND(MAX(0,F143*(1+F$8)-AB144),2)</f>
        <v>0</v>
      </c>
      <c r="G144" s="27" t="n">
        <f aca="false">ROUND(MAX(0,G143*(1+G$8)-AC144),2)</f>
        <v>0</v>
      </c>
      <c r="H144" s="27" t="n">
        <f aca="false">ROUND(MAX(0,H143*(1+H$8)-AD144),2)</f>
        <v>0</v>
      </c>
      <c r="I144" s="27" t="n">
        <f aca="false">ROUND(MAX(0,I143*(1+I$8)-AE144),2)</f>
        <v>0</v>
      </c>
      <c r="J144" s="27" t="n">
        <f aca="false">ROUND(MAX(0,J143*(1+J$8)-AF144),2)</f>
        <v>0</v>
      </c>
      <c r="K144" s="27" t="n">
        <f aca="false">ROUND(MAX(0,K143*(1+K$8)-AG144),2)</f>
        <v>0</v>
      </c>
      <c r="L144" s="30" t="n">
        <f aca="false">SUM(B144:K144)</f>
        <v>0</v>
      </c>
      <c r="M144" s="27" t="n">
        <f aca="false">SUMPRODUCT(B143:K143,$B$8:$K$8)</f>
        <v>0</v>
      </c>
      <c r="N144" s="27" t="n">
        <f aca="false">MIN(B143*(1+B$8),B$9)</f>
        <v>0</v>
      </c>
      <c r="O144" s="27" t="n">
        <f aca="false">MIN(C143*(1+C$8),C$9)</f>
        <v>0</v>
      </c>
      <c r="P144" s="27" t="n">
        <f aca="false">MIN(D143*(1+D$8),D$9)</f>
        <v>0</v>
      </c>
      <c r="Q144" s="27" t="n">
        <f aca="false">MIN(E143*(1+E$8),E$9)</f>
        <v>0</v>
      </c>
      <c r="R144" s="27" t="n">
        <f aca="false">MIN(F143*(1+F$8),F$9)</f>
        <v>0</v>
      </c>
      <c r="S144" s="27" t="n">
        <f aca="false">MIN(G143*(1+G$8),G$9)</f>
        <v>0</v>
      </c>
      <c r="T144" s="27" t="n">
        <f aca="false">MIN(H143*(1+H$8),H$9)</f>
        <v>0</v>
      </c>
      <c r="U144" s="27" t="n">
        <f aca="false">MIN(I143*(1+I$8),I$9)</f>
        <v>0</v>
      </c>
      <c r="V144" s="27" t="n">
        <f aca="false">MIN(J143*(1+J$8),J$9)</f>
        <v>0</v>
      </c>
      <c r="W144" s="27" t="n">
        <f aca="false">MIN(K143*(1+K$8),K$9)</f>
        <v>0</v>
      </c>
      <c r="X144" s="27" t="n">
        <f aca="false">MIN(B143*(1+B$8),MAX(N144,$B$11-SUM(O144:W144)))</f>
        <v>0</v>
      </c>
      <c r="Y144" s="27" t="n">
        <f aca="false">MIN(C143*(1+C$8),MAX(O144,$B$11-SUM(X144:X144)-SUM(P144:W144)))</f>
        <v>0</v>
      </c>
      <c r="Z144" s="27" t="n">
        <f aca="false">MIN(D143*(1+D$8),MAX(P144,$B$11-SUM(X144:Y144)-SUM(Q144:W144)))</f>
        <v>0</v>
      </c>
      <c r="AA144" s="27" t="n">
        <f aca="false">MIN(E143*(1+E$8),MAX(Q144,$B$11-SUM(X144:Z144)-SUM(R144:W144)))</f>
        <v>0</v>
      </c>
      <c r="AB144" s="27" t="n">
        <f aca="false">MIN(F143*(1+F$8),MAX(R144,$B$11-SUM(X144:AA144)-SUM(S144:W144)))</f>
        <v>0</v>
      </c>
      <c r="AC144" s="27" t="n">
        <f aca="false">MIN(G143*(1+G$8),MAX(S144,$B$11-SUM(X144:AB144)-SUM(T144:W144)))</f>
        <v>0</v>
      </c>
      <c r="AD144" s="27" t="n">
        <f aca="false">MIN(H143*(1+H$8),MAX(T144,$B$11-SUM(X144:AC144)-SUM(U144:W144)))</f>
        <v>0</v>
      </c>
      <c r="AE144" s="27" t="n">
        <f aca="false">MIN(I143*(1+I$8),MAX(U144,$B$11-SUM(X144:AD144)-SUM(V144:W144)))</f>
        <v>0</v>
      </c>
      <c r="AF144" s="27" t="n">
        <f aca="false">MIN(J143*(1+J$8),MAX(V144,$B$11-SUM(X144:AE144)-SUM(W144:W144)))</f>
        <v>0</v>
      </c>
      <c r="AG144" s="27" t="n">
        <f aca="false">MIN(K143*(1+K$8),MAX(W144,$B$11-SUM(X144:AF144)))</f>
        <v>0</v>
      </c>
      <c r="AI144" s="27" t="n">
        <f aca="false">ROUND(MAX(0,AI143*(1+B$8)-BE144),2)</f>
        <v>0</v>
      </c>
      <c r="AJ144" s="27" t="n">
        <f aca="false">ROUND(MAX(0,AJ143*(1+C$8)-BF144),2)</f>
        <v>0</v>
      </c>
      <c r="AK144" s="27" t="n">
        <f aca="false">ROUND(MAX(0,AK143*(1+D$8)-BG144),2)</f>
        <v>0</v>
      </c>
      <c r="AL144" s="27" t="n">
        <f aca="false">ROUND(MAX(0,AL143*(1+E$8)-BH144),2)</f>
        <v>0</v>
      </c>
      <c r="AM144" s="27" t="n">
        <f aca="false">ROUND(MAX(0,AM143*(1+F$8)-BI144),2)</f>
        <v>0</v>
      </c>
      <c r="AN144" s="27" t="n">
        <f aca="false">ROUND(MAX(0,AN143*(1+G$8)-BJ144),2)</f>
        <v>0</v>
      </c>
      <c r="AO144" s="27" t="n">
        <f aca="false">ROUND(MAX(0,AO143*(1+H$8)-BK144),2)</f>
        <v>0</v>
      </c>
      <c r="AP144" s="27" t="n">
        <f aca="false">ROUND(MAX(0,AP143*(1+I$8)-BL144),2)</f>
        <v>0</v>
      </c>
      <c r="AQ144" s="27" t="n">
        <f aca="false">ROUND(MAX(0,AQ143*(1+J$8)-BM144),2)</f>
        <v>0</v>
      </c>
      <c r="AR144" s="27" t="n">
        <f aca="false">ROUND(MAX(0,AR143*(1+K$8)-BN144),2)</f>
        <v>0</v>
      </c>
      <c r="AS144" s="27" t="n">
        <f aca="false">SUM(AI144:AR144)</f>
        <v>0</v>
      </c>
      <c r="AT144" s="27" t="n">
        <f aca="false">SUMPRODUCT(AI143:AR143,$B$8:$K$8)</f>
        <v>0</v>
      </c>
      <c r="AU144" s="27" t="n">
        <f aca="false">MIN(AI143*(1+B$8),B$9)</f>
        <v>0</v>
      </c>
      <c r="AV144" s="27" t="n">
        <f aca="false">MIN(AJ143*(1+C$8),C$9)</f>
        <v>0</v>
      </c>
      <c r="AW144" s="27" t="n">
        <f aca="false">MIN(AK143*(1+D$8),D$9)</f>
        <v>0</v>
      </c>
      <c r="AX144" s="27" t="n">
        <f aca="false">MIN(AL143*(1+E$8),E$9)</f>
        <v>0</v>
      </c>
      <c r="AY144" s="27" t="n">
        <f aca="false">MIN(AM143*(1+F$8),F$9)</f>
        <v>0</v>
      </c>
      <c r="AZ144" s="27" t="n">
        <f aca="false">MIN(AN143*(1+G$8),G$9)</f>
        <v>0</v>
      </c>
      <c r="BA144" s="27" t="n">
        <f aca="false">MIN(AO143*(1+H$8),H$9)</f>
        <v>0</v>
      </c>
      <c r="BB144" s="27" t="n">
        <f aca="false">MIN(AP143*(1+I$8),I$9)</f>
        <v>0</v>
      </c>
      <c r="BC144" s="27" t="n">
        <f aca="false">MIN(AQ143*(1+J$8),J$9)</f>
        <v>0</v>
      </c>
      <c r="BD144" s="27" t="n">
        <f aca="false">MIN(AR143*(1+K$8),K$9)</f>
        <v>0</v>
      </c>
      <c r="BE144" s="27" t="n">
        <f aca="false">MIN(AI143*(1+B$8),MAX(AU144,$B$12-SUM(AV144:BD144)))</f>
        <v>0</v>
      </c>
      <c r="BF144" s="27" t="n">
        <f aca="false">MIN(AJ143*(1+C$8),MAX(AV144,$B$12-SUM(BE144:BE144)-SUM(AW144:BD144)))</f>
        <v>0</v>
      </c>
      <c r="BG144" s="27" t="n">
        <f aca="false">MIN(AK143*(1+D$8),MAX(AW144,$B$12-SUM(BE144:BF144)-SUM(AX144:BD144)))</f>
        <v>0</v>
      </c>
      <c r="BH144" s="27" t="n">
        <f aca="false">MIN(AL143*(1+E$8),MAX(AX144,$B$12-SUM(BE144:BG144)-SUM(AY144:BD144)))</f>
        <v>0</v>
      </c>
      <c r="BI144" s="27" t="n">
        <f aca="false">MIN(AM143*(1+F$8),MAX(AY144,$B$12-SUM(BE144:BH144)-SUM(AZ144:BD144)))</f>
        <v>0</v>
      </c>
      <c r="BJ144" s="27" t="n">
        <f aca="false">MIN(AN143*(1+G$8),MAX(AZ144,$B$12-SUM(BE144:BI144)-SUM(BA144:BD144)))</f>
        <v>0</v>
      </c>
      <c r="BK144" s="27" t="n">
        <f aca="false">MIN(AO143*(1+H$8),MAX(BA144,$B$12-SUM(BE144:BJ144)-SUM(BB144:BD144)))</f>
        <v>0</v>
      </c>
      <c r="BL144" s="27" t="n">
        <f aca="false">MIN(AP143*(1+I$8),MAX(BB144,$B$12-SUM(BE144:BK144)-SUM(BC144:BD144)))</f>
        <v>0</v>
      </c>
      <c r="BM144" s="27" t="n">
        <f aca="false">MIN(AQ143*(1+J$8),MAX(BC144,$B$12-SUM(BE144:BL144)-SUM(BD144:BD144)))</f>
        <v>0</v>
      </c>
      <c r="BN144" s="27" t="n">
        <f aca="false">MIN(AR143*(1+K$8),MAX(BD144,$B$12-SUM(BE144:BM144)))</f>
        <v>0</v>
      </c>
    </row>
    <row r="145" customFormat="false" ht="15" hidden="false" customHeight="false" outlineLevel="0" collapsed="false">
      <c r="A145" s="0" t="n">
        <v>131</v>
      </c>
      <c r="B145" s="27" t="n">
        <f aca="false">ROUND(MAX(0,B144*(1+B$8)-X145),2)</f>
        <v>0</v>
      </c>
      <c r="C145" s="27" t="n">
        <f aca="false">ROUND(MAX(0,C144*(1+C$8)-Y145),2)</f>
        <v>0</v>
      </c>
      <c r="D145" s="27" t="n">
        <f aca="false">ROUND(MAX(0,D144*(1+D$8)-Z145),2)</f>
        <v>0</v>
      </c>
      <c r="E145" s="27" t="n">
        <f aca="false">ROUND(MAX(0,E144*(1+E$8)-AA145),2)</f>
        <v>0</v>
      </c>
      <c r="F145" s="27" t="n">
        <f aca="false">ROUND(MAX(0,F144*(1+F$8)-AB145),2)</f>
        <v>0</v>
      </c>
      <c r="G145" s="27" t="n">
        <f aca="false">ROUND(MAX(0,G144*(1+G$8)-AC145),2)</f>
        <v>0</v>
      </c>
      <c r="H145" s="27" t="n">
        <f aca="false">ROUND(MAX(0,H144*(1+H$8)-AD145),2)</f>
        <v>0</v>
      </c>
      <c r="I145" s="27" t="n">
        <f aca="false">ROUND(MAX(0,I144*(1+I$8)-AE145),2)</f>
        <v>0</v>
      </c>
      <c r="J145" s="27" t="n">
        <f aca="false">ROUND(MAX(0,J144*(1+J$8)-AF145),2)</f>
        <v>0</v>
      </c>
      <c r="K145" s="27" t="n">
        <f aca="false">ROUND(MAX(0,K144*(1+K$8)-AG145),2)</f>
        <v>0</v>
      </c>
      <c r="L145" s="30" t="n">
        <f aca="false">SUM(B145:K145)</f>
        <v>0</v>
      </c>
      <c r="M145" s="27" t="n">
        <f aca="false">SUMPRODUCT(B144:K144,$B$8:$K$8)</f>
        <v>0</v>
      </c>
      <c r="N145" s="27" t="n">
        <f aca="false">MIN(B144*(1+B$8),B$9)</f>
        <v>0</v>
      </c>
      <c r="O145" s="27" t="n">
        <f aca="false">MIN(C144*(1+C$8),C$9)</f>
        <v>0</v>
      </c>
      <c r="P145" s="27" t="n">
        <f aca="false">MIN(D144*(1+D$8),D$9)</f>
        <v>0</v>
      </c>
      <c r="Q145" s="27" t="n">
        <f aca="false">MIN(E144*(1+E$8),E$9)</f>
        <v>0</v>
      </c>
      <c r="R145" s="27" t="n">
        <f aca="false">MIN(F144*(1+F$8),F$9)</f>
        <v>0</v>
      </c>
      <c r="S145" s="27" t="n">
        <f aca="false">MIN(G144*(1+G$8),G$9)</f>
        <v>0</v>
      </c>
      <c r="T145" s="27" t="n">
        <f aca="false">MIN(H144*(1+H$8),H$9)</f>
        <v>0</v>
      </c>
      <c r="U145" s="27" t="n">
        <f aca="false">MIN(I144*(1+I$8),I$9)</f>
        <v>0</v>
      </c>
      <c r="V145" s="27" t="n">
        <f aca="false">MIN(J144*(1+J$8),J$9)</f>
        <v>0</v>
      </c>
      <c r="W145" s="27" t="n">
        <f aca="false">MIN(K144*(1+K$8),K$9)</f>
        <v>0</v>
      </c>
      <c r="X145" s="27" t="n">
        <f aca="false">MIN(B144*(1+B$8),MAX(N145,$B$11-SUM(O145:W145)))</f>
        <v>0</v>
      </c>
      <c r="Y145" s="27" t="n">
        <f aca="false">MIN(C144*(1+C$8),MAX(O145,$B$11-SUM(X145:X145)-SUM(P145:W145)))</f>
        <v>0</v>
      </c>
      <c r="Z145" s="27" t="n">
        <f aca="false">MIN(D144*(1+D$8),MAX(P145,$B$11-SUM(X145:Y145)-SUM(Q145:W145)))</f>
        <v>0</v>
      </c>
      <c r="AA145" s="27" t="n">
        <f aca="false">MIN(E144*(1+E$8),MAX(Q145,$B$11-SUM(X145:Z145)-SUM(R145:W145)))</f>
        <v>0</v>
      </c>
      <c r="AB145" s="27" t="n">
        <f aca="false">MIN(F144*(1+F$8),MAX(R145,$B$11-SUM(X145:AA145)-SUM(S145:W145)))</f>
        <v>0</v>
      </c>
      <c r="AC145" s="27" t="n">
        <f aca="false">MIN(G144*(1+G$8),MAX(S145,$B$11-SUM(X145:AB145)-SUM(T145:W145)))</f>
        <v>0</v>
      </c>
      <c r="AD145" s="27" t="n">
        <f aca="false">MIN(H144*(1+H$8),MAX(T145,$B$11-SUM(X145:AC145)-SUM(U145:W145)))</f>
        <v>0</v>
      </c>
      <c r="AE145" s="27" t="n">
        <f aca="false">MIN(I144*(1+I$8),MAX(U145,$B$11-SUM(X145:AD145)-SUM(V145:W145)))</f>
        <v>0</v>
      </c>
      <c r="AF145" s="27" t="n">
        <f aca="false">MIN(J144*(1+J$8),MAX(V145,$B$11-SUM(X145:AE145)-SUM(W145:W145)))</f>
        <v>0</v>
      </c>
      <c r="AG145" s="27" t="n">
        <f aca="false">MIN(K144*(1+K$8),MAX(W145,$B$11-SUM(X145:AF145)))</f>
        <v>0</v>
      </c>
      <c r="AI145" s="27" t="n">
        <f aca="false">ROUND(MAX(0,AI144*(1+B$8)-BE145),2)</f>
        <v>0</v>
      </c>
      <c r="AJ145" s="27" t="n">
        <f aca="false">ROUND(MAX(0,AJ144*(1+C$8)-BF145),2)</f>
        <v>0</v>
      </c>
      <c r="AK145" s="27" t="n">
        <f aca="false">ROUND(MAX(0,AK144*(1+D$8)-BG145),2)</f>
        <v>0</v>
      </c>
      <c r="AL145" s="27" t="n">
        <f aca="false">ROUND(MAX(0,AL144*(1+E$8)-BH145),2)</f>
        <v>0</v>
      </c>
      <c r="AM145" s="27" t="n">
        <f aca="false">ROUND(MAX(0,AM144*(1+F$8)-BI145),2)</f>
        <v>0</v>
      </c>
      <c r="AN145" s="27" t="n">
        <f aca="false">ROUND(MAX(0,AN144*(1+G$8)-BJ145),2)</f>
        <v>0</v>
      </c>
      <c r="AO145" s="27" t="n">
        <f aca="false">ROUND(MAX(0,AO144*(1+H$8)-BK145),2)</f>
        <v>0</v>
      </c>
      <c r="AP145" s="27" t="n">
        <f aca="false">ROUND(MAX(0,AP144*(1+I$8)-BL145),2)</f>
        <v>0</v>
      </c>
      <c r="AQ145" s="27" t="n">
        <f aca="false">ROUND(MAX(0,AQ144*(1+J$8)-BM145),2)</f>
        <v>0</v>
      </c>
      <c r="AR145" s="27" t="n">
        <f aca="false">ROUND(MAX(0,AR144*(1+K$8)-BN145),2)</f>
        <v>0</v>
      </c>
      <c r="AS145" s="27" t="n">
        <f aca="false">SUM(AI145:AR145)</f>
        <v>0</v>
      </c>
      <c r="AT145" s="27" t="n">
        <f aca="false">SUMPRODUCT(AI144:AR144,$B$8:$K$8)</f>
        <v>0</v>
      </c>
      <c r="AU145" s="27" t="n">
        <f aca="false">MIN(AI144*(1+B$8),B$9)</f>
        <v>0</v>
      </c>
      <c r="AV145" s="27" t="n">
        <f aca="false">MIN(AJ144*(1+C$8),C$9)</f>
        <v>0</v>
      </c>
      <c r="AW145" s="27" t="n">
        <f aca="false">MIN(AK144*(1+D$8),D$9)</f>
        <v>0</v>
      </c>
      <c r="AX145" s="27" t="n">
        <f aca="false">MIN(AL144*(1+E$8),E$9)</f>
        <v>0</v>
      </c>
      <c r="AY145" s="27" t="n">
        <f aca="false">MIN(AM144*(1+F$8),F$9)</f>
        <v>0</v>
      </c>
      <c r="AZ145" s="27" t="n">
        <f aca="false">MIN(AN144*(1+G$8),G$9)</f>
        <v>0</v>
      </c>
      <c r="BA145" s="27" t="n">
        <f aca="false">MIN(AO144*(1+H$8),H$9)</f>
        <v>0</v>
      </c>
      <c r="BB145" s="27" t="n">
        <f aca="false">MIN(AP144*(1+I$8),I$9)</f>
        <v>0</v>
      </c>
      <c r="BC145" s="27" t="n">
        <f aca="false">MIN(AQ144*(1+J$8),J$9)</f>
        <v>0</v>
      </c>
      <c r="BD145" s="27" t="n">
        <f aca="false">MIN(AR144*(1+K$8),K$9)</f>
        <v>0</v>
      </c>
      <c r="BE145" s="27" t="n">
        <f aca="false">MIN(AI144*(1+B$8),MAX(AU145,$B$12-SUM(AV145:BD145)))</f>
        <v>0</v>
      </c>
      <c r="BF145" s="27" t="n">
        <f aca="false">MIN(AJ144*(1+C$8),MAX(AV145,$B$12-SUM(BE145:BE145)-SUM(AW145:BD145)))</f>
        <v>0</v>
      </c>
      <c r="BG145" s="27" t="n">
        <f aca="false">MIN(AK144*(1+D$8),MAX(AW145,$B$12-SUM(BE145:BF145)-SUM(AX145:BD145)))</f>
        <v>0</v>
      </c>
      <c r="BH145" s="27" t="n">
        <f aca="false">MIN(AL144*(1+E$8),MAX(AX145,$B$12-SUM(BE145:BG145)-SUM(AY145:BD145)))</f>
        <v>0</v>
      </c>
      <c r="BI145" s="27" t="n">
        <f aca="false">MIN(AM144*(1+F$8),MAX(AY145,$B$12-SUM(BE145:BH145)-SUM(AZ145:BD145)))</f>
        <v>0</v>
      </c>
      <c r="BJ145" s="27" t="n">
        <f aca="false">MIN(AN144*(1+G$8),MAX(AZ145,$B$12-SUM(BE145:BI145)-SUM(BA145:BD145)))</f>
        <v>0</v>
      </c>
      <c r="BK145" s="27" t="n">
        <f aca="false">MIN(AO144*(1+H$8),MAX(BA145,$B$12-SUM(BE145:BJ145)-SUM(BB145:BD145)))</f>
        <v>0</v>
      </c>
      <c r="BL145" s="27" t="n">
        <f aca="false">MIN(AP144*(1+I$8),MAX(BB145,$B$12-SUM(BE145:BK145)-SUM(BC145:BD145)))</f>
        <v>0</v>
      </c>
      <c r="BM145" s="27" t="n">
        <f aca="false">MIN(AQ144*(1+J$8),MAX(BC145,$B$12-SUM(BE145:BL145)-SUM(BD145:BD145)))</f>
        <v>0</v>
      </c>
      <c r="BN145" s="27" t="n">
        <f aca="false">MIN(AR144*(1+K$8),MAX(BD145,$B$12-SUM(BE145:BM145)))</f>
        <v>0</v>
      </c>
    </row>
    <row r="146" customFormat="false" ht="15" hidden="false" customHeight="false" outlineLevel="0" collapsed="false">
      <c r="A146" s="0" t="n">
        <v>132</v>
      </c>
      <c r="B146" s="27" t="n">
        <f aca="false">ROUND(MAX(0,B145*(1+B$8)-X146),2)</f>
        <v>0</v>
      </c>
      <c r="C146" s="27" t="n">
        <f aca="false">ROUND(MAX(0,C145*(1+C$8)-Y146),2)</f>
        <v>0</v>
      </c>
      <c r="D146" s="27" t="n">
        <f aca="false">ROUND(MAX(0,D145*(1+D$8)-Z146),2)</f>
        <v>0</v>
      </c>
      <c r="E146" s="27" t="n">
        <f aca="false">ROUND(MAX(0,E145*(1+E$8)-AA146),2)</f>
        <v>0</v>
      </c>
      <c r="F146" s="27" t="n">
        <f aca="false">ROUND(MAX(0,F145*(1+F$8)-AB146),2)</f>
        <v>0</v>
      </c>
      <c r="G146" s="27" t="n">
        <f aca="false">ROUND(MAX(0,G145*(1+G$8)-AC146),2)</f>
        <v>0</v>
      </c>
      <c r="H146" s="27" t="n">
        <f aca="false">ROUND(MAX(0,H145*(1+H$8)-AD146),2)</f>
        <v>0</v>
      </c>
      <c r="I146" s="27" t="n">
        <f aca="false">ROUND(MAX(0,I145*(1+I$8)-AE146),2)</f>
        <v>0</v>
      </c>
      <c r="J146" s="27" t="n">
        <f aca="false">ROUND(MAX(0,J145*(1+J$8)-AF146),2)</f>
        <v>0</v>
      </c>
      <c r="K146" s="27" t="n">
        <f aca="false">ROUND(MAX(0,K145*(1+K$8)-AG146),2)</f>
        <v>0</v>
      </c>
      <c r="L146" s="30" t="n">
        <f aca="false">SUM(B146:K146)</f>
        <v>0</v>
      </c>
      <c r="M146" s="27" t="n">
        <f aca="false">SUMPRODUCT(B145:K145,$B$8:$K$8)</f>
        <v>0</v>
      </c>
      <c r="N146" s="27" t="n">
        <f aca="false">MIN(B145*(1+B$8),B$9)</f>
        <v>0</v>
      </c>
      <c r="O146" s="27" t="n">
        <f aca="false">MIN(C145*(1+C$8),C$9)</f>
        <v>0</v>
      </c>
      <c r="P146" s="27" t="n">
        <f aca="false">MIN(D145*(1+D$8),D$9)</f>
        <v>0</v>
      </c>
      <c r="Q146" s="27" t="n">
        <f aca="false">MIN(E145*(1+E$8),E$9)</f>
        <v>0</v>
      </c>
      <c r="R146" s="27" t="n">
        <f aca="false">MIN(F145*(1+F$8),F$9)</f>
        <v>0</v>
      </c>
      <c r="S146" s="27" t="n">
        <f aca="false">MIN(G145*(1+G$8),G$9)</f>
        <v>0</v>
      </c>
      <c r="T146" s="27" t="n">
        <f aca="false">MIN(H145*(1+H$8),H$9)</f>
        <v>0</v>
      </c>
      <c r="U146" s="27" t="n">
        <f aca="false">MIN(I145*(1+I$8),I$9)</f>
        <v>0</v>
      </c>
      <c r="V146" s="27" t="n">
        <f aca="false">MIN(J145*(1+J$8),J$9)</f>
        <v>0</v>
      </c>
      <c r="W146" s="27" t="n">
        <f aca="false">MIN(K145*(1+K$8),K$9)</f>
        <v>0</v>
      </c>
      <c r="X146" s="27" t="n">
        <f aca="false">MIN(B145*(1+B$8),MAX(N146,$B$11-SUM(O146:W146)))</f>
        <v>0</v>
      </c>
      <c r="Y146" s="27" t="n">
        <f aca="false">MIN(C145*(1+C$8),MAX(O146,$B$11-SUM(X146:X146)-SUM(P146:W146)))</f>
        <v>0</v>
      </c>
      <c r="Z146" s="27" t="n">
        <f aca="false">MIN(D145*(1+D$8),MAX(P146,$B$11-SUM(X146:Y146)-SUM(Q146:W146)))</f>
        <v>0</v>
      </c>
      <c r="AA146" s="27" t="n">
        <f aca="false">MIN(E145*(1+E$8),MAX(Q146,$B$11-SUM(X146:Z146)-SUM(R146:W146)))</f>
        <v>0</v>
      </c>
      <c r="AB146" s="27" t="n">
        <f aca="false">MIN(F145*(1+F$8),MAX(R146,$B$11-SUM(X146:AA146)-SUM(S146:W146)))</f>
        <v>0</v>
      </c>
      <c r="AC146" s="27" t="n">
        <f aca="false">MIN(G145*(1+G$8),MAX(S146,$B$11-SUM(X146:AB146)-SUM(T146:W146)))</f>
        <v>0</v>
      </c>
      <c r="AD146" s="27" t="n">
        <f aca="false">MIN(H145*(1+H$8),MAX(T146,$B$11-SUM(X146:AC146)-SUM(U146:W146)))</f>
        <v>0</v>
      </c>
      <c r="AE146" s="27" t="n">
        <f aca="false">MIN(I145*(1+I$8),MAX(U146,$B$11-SUM(X146:AD146)-SUM(V146:W146)))</f>
        <v>0</v>
      </c>
      <c r="AF146" s="27" t="n">
        <f aca="false">MIN(J145*(1+J$8),MAX(V146,$B$11-SUM(X146:AE146)-SUM(W146:W146)))</f>
        <v>0</v>
      </c>
      <c r="AG146" s="27" t="n">
        <f aca="false">MIN(K145*(1+K$8),MAX(W146,$B$11-SUM(X146:AF146)))</f>
        <v>0</v>
      </c>
      <c r="AI146" s="27" t="n">
        <f aca="false">ROUND(MAX(0,AI145*(1+B$8)-BE146),2)</f>
        <v>0</v>
      </c>
      <c r="AJ146" s="27" t="n">
        <f aca="false">ROUND(MAX(0,AJ145*(1+C$8)-BF146),2)</f>
        <v>0</v>
      </c>
      <c r="AK146" s="27" t="n">
        <f aca="false">ROUND(MAX(0,AK145*(1+D$8)-BG146),2)</f>
        <v>0</v>
      </c>
      <c r="AL146" s="27" t="n">
        <f aca="false">ROUND(MAX(0,AL145*(1+E$8)-BH146),2)</f>
        <v>0</v>
      </c>
      <c r="AM146" s="27" t="n">
        <f aca="false">ROUND(MAX(0,AM145*(1+F$8)-BI146),2)</f>
        <v>0</v>
      </c>
      <c r="AN146" s="27" t="n">
        <f aca="false">ROUND(MAX(0,AN145*(1+G$8)-BJ146),2)</f>
        <v>0</v>
      </c>
      <c r="AO146" s="27" t="n">
        <f aca="false">ROUND(MAX(0,AO145*(1+H$8)-BK146),2)</f>
        <v>0</v>
      </c>
      <c r="AP146" s="27" t="n">
        <f aca="false">ROUND(MAX(0,AP145*(1+I$8)-BL146),2)</f>
        <v>0</v>
      </c>
      <c r="AQ146" s="27" t="n">
        <f aca="false">ROUND(MAX(0,AQ145*(1+J$8)-BM146),2)</f>
        <v>0</v>
      </c>
      <c r="AR146" s="27" t="n">
        <f aca="false">ROUND(MAX(0,AR145*(1+K$8)-BN146),2)</f>
        <v>0</v>
      </c>
      <c r="AS146" s="27" t="n">
        <f aca="false">SUM(AI146:AR146)</f>
        <v>0</v>
      </c>
      <c r="AT146" s="27" t="n">
        <f aca="false">SUMPRODUCT(AI145:AR145,$B$8:$K$8)</f>
        <v>0</v>
      </c>
      <c r="AU146" s="27" t="n">
        <f aca="false">MIN(AI145*(1+B$8),B$9)</f>
        <v>0</v>
      </c>
      <c r="AV146" s="27" t="n">
        <f aca="false">MIN(AJ145*(1+C$8),C$9)</f>
        <v>0</v>
      </c>
      <c r="AW146" s="27" t="n">
        <f aca="false">MIN(AK145*(1+D$8),D$9)</f>
        <v>0</v>
      </c>
      <c r="AX146" s="27" t="n">
        <f aca="false">MIN(AL145*(1+E$8),E$9)</f>
        <v>0</v>
      </c>
      <c r="AY146" s="27" t="n">
        <f aca="false">MIN(AM145*(1+F$8),F$9)</f>
        <v>0</v>
      </c>
      <c r="AZ146" s="27" t="n">
        <f aca="false">MIN(AN145*(1+G$8),G$9)</f>
        <v>0</v>
      </c>
      <c r="BA146" s="27" t="n">
        <f aca="false">MIN(AO145*(1+H$8),H$9)</f>
        <v>0</v>
      </c>
      <c r="BB146" s="27" t="n">
        <f aca="false">MIN(AP145*(1+I$8),I$9)</f>
        <v>0</v>
      </c>
      <c r="BC146" s="27" t="n">
        <f aca="false">MIN(AQ145*(1+J$8),J$9)</f>
        <v>0</v>
      </c>
      <c r="BD146" s="27" t="n">
        <f aca="false">MIN(AR145*(1+K$8),K$9)</f>
        <v>0</v>
      </c>
      <c r="BE146" s="27" t="n">
        <f aca="false">MIN(AI145*(1+B$8),MAX(AU146,$B$12-SUM(AV146:BD146)))</f>
        <v>0</v>
      </c>
      <c r="BF146" s="27" t="n">
        <f aca="false">MIN(AJ145*(1+C$8),MAX(AV146,$B$12-SUM(BE146:BE146)-SUM(AW146:BD146)))</f>
        <v>0</v>
      </c>
      <c r="BG146" s="27" t="n">
        <f aca="false">MIN(AK145*(1+D$8),MAX(AW146,$B$12-SUM(BE146:BF146)-SUM(AX146:BD146)))</f>
        <v>0</v>
      </c>
      <c r="BH146" s="27" t="n">
        <f aca="false">MIN(AL145*(1+E$8),MAX(AX146,$B$12-SUM(BE146:BG146)-SUM(AY146:BD146)))</f>
        <v>0</v>
      </c>
      <c r="BI146" s="27" t="n">
        <f aca="false">MIN(AM145*(1+F$8),MAX(AY146,$B$12-SUM(BE146:BH146)-SUM(AZ146:BD146)))</f>
        <v>0</v>
      </c>
      <c r="BJ146" s="27" t="n">
        <f aca="false">MIN(AN145*(1+G$8),MAX(AZ146,$B$12-SUM(BE146:BI146)-SUM(BA146:BD146)))</f>
        <v>0</v>
      </c>
      <c r="BK146" s="27" t="n">
        <f aca="false">MIN(AO145*(1+H$8),MAX(BA146,$B$12-SUM(BE146:BJ146)-SUM(BB146:BD146)))</f>
        <v>0</v>
      </c>
      <c r="BL146" s="27" t="n">
        <f aca="false">MIN(AP145*(1+I$8),MAX(BB146,$B$12-SUM(BE146:BK146)-SUM(BC146:BD146)))</f>
        <v>0</v>
      </c>
      <c r="BM146" s="27" t="n">
        <f aca="false">MIN(AQ145*(1+J$8),MAX(BC146,$B$12-SUM(BE146:BL146)-SUM(BD146:BD146)))</f>
        <v>0</v>
      </c>
      <c r="BN146" s="27" t="n">
        <f aca="false">MIN(AR145*(1+K$8),MAX(BD146,$B$12-SUM(BE146:BM146)))</f>
        <v>0</v>
      </c>
    </row>
    <row r="147" customFormat="false" ht="15" hidden="false" customHeight="false" outlineLevel="0" collapsed="false">
      <c r="A147" s="0" t="n">
        <v>133</v>
      </c>
      <c r="B147" s="27" t="n">
        <f aca="false">ROUND(MAX(0,B146*(1+B$8)-X147),2)</f>
        <v>0</v>
      </c>
      <c r="C147" s="27" t="n">
        <f aca="false">ROUND(MAX(0,C146*(1+C$8)-Y147),2)</f>
        <v>0</v>
      </c>
      <c r="D147" s="27" t="n">
        <f aca="false">ROUND(MAX(0,D146*(1+D$8)-Z147),2)</f>
        <v>0</v>
      </c>
      <c r="E147" s="27" t="n">
        <f aca="false">ROUND(MAX(0,E146*(1+E$8)-AA147),2)</f>
        <v>0</v>
      </c>
      <c r="F147" s="27" t="n">
        <f aca="false">ROUND(MAX(0,F146*(1+F$8)-AB147),2)</f>
        <v>0</v>
      </c>
      <c r="G147" s="27" t="n">
        <f aca="false">ROUND(MAX(0,G146*(1+G$8)-AC147),2)</f>
        <v>0</v>
      </c>
      <c r="H147" s="27" t="n">
        <f aca="false">ROUND(MAX(0,H146*(1+H$8)-AD147),2)</f>
        <v>0</v>
      </c>
      <c r="I147" s="27" t="n">
        <f aca="false">ROUND(MAX(0,I146*(1+I$8)-AE147),2)</f>
        <v>0</v>
      </c>
      <c r="J147" s="27" t="n">
        <f aca="false">ROUND(MAX(0,J146*(1+J$8)-AF147),2)</f>
        <v>0</v>
      </c>
      <c r="K147" s="27" t="n">
        <f aca="false">ROUND(MAX(0,K146*(1+K$8)-AG147),2)</f>
        <v>0</v>
      </c>
      <c r="L147" s="30" t="n">
        <f aca="false">SUM(B147:K147)</f>
        <v>0</v>
      </c>
      <c r="M147" s="27" t="n">
        <f aca="false">SUMPRODUCT(B146:K146,$B$8:$K$8)</f>
        <v>0</v>
      </c>
      <c r="N147" s="27" t="n">
        <f aca="false">MIN(B146*(1+B$8),B$9)</f>
        <v>0</v>
      </c>
      <c r="O147" s="27" t="n">
        <f aca="false">MIN(C146*(1+C$8),C$9)</f>
        <v>0</v>
      </c>
      <c r="P147" s="27" t="n">
        <f aca="false">MIN(D146*(1+D$8),D$9)</f>
        <v>0</v>
      </c>
      <c r="Q147" s="27" t="n">
        <f aca="false">MIN(E146*(1+E$8),E$9)</f>
        <v>0</v>
      </c>
      <c r="R147" s="27" t="n">
        <f aca="false">MIN(F146*(1+F$8),F$9)</f>
        <v>0</v>
      </c>
      <c r="S147" s="27" t="n">
        <f aca="false">MIN(G146*(1+G$8),G$9)</f>
        <v>0</v>
      </c>
      <c r="T147" s="27" t="n">
        <f aca="false">MIN(H146*(1+H$8),H$9)</f>
        <v>0</v>
      </c>
      <c r="U147" s="27" t="n">
        <f aca="false">MIN(I146*(1+I$8),I$9)</f>
        <v>0</v>
      </c>
      <c r="V147" s="27" t="n">
        <f aca="false">MIN(J146*(1+J$8),J$9)</f>
        <v>0</v>
      </c>
      <c r="W147" s="27" t="n">
        <f aca="false">MIN(K146*(1+K$8),K$9)</f>
        <v>0</v>
      </c>
      <c r="X147" s="27" t="n">
        <f aca="false">MIN(B146*(1+B$8),MAX(N147,$B$11-SUM(O147:W147)))</f>
        <v>0</v>
      </c>
      <c r="Y147" s="27" t="n">
        <f aca="false">MIN(C146*(1+C$8),MAX(O147,$B$11-SUM(X147:X147)-SUM(P147:W147)))</f>
        <v>0</v>
      </c>
      <c r="Z147" s="27" t="n">
        <f aca="false">MIN(D146*(1+D$8),MAX(P147,$B$11-SUM(X147:Y147)-SUM(Q147:W147)))</f>
        <v>0</v>
      </c>
      <c r="AA147" s="27" t="n">
        <f aca="false">MIN(E146*(1+E$8),MAX(Q147,$B$11-SUM(X147:Z147)-SUM(R147:W147)))</f>
        <v>0</v>
      </c>
      <c r="AB147" s="27" t="n">
        <f aca="false">MIN(F146*(1+F$8),MAX(R147,$B$11-SUM(X147:AA147)-SUM(S147:W147)))</f>
        <v>0</v>
      </c>
      <c r="AC147" s="27" t="n">
        <f aca="false">MIN(G146*(1+G$8),MAX(S147,$B$11-SUM(X147:AB147)-SUM(T147:W147)))</f>
        <v>0</v>
      </c>
      <c r="AD147" s="27" t="n">
        <f aca="false">MIN(H146*(1+H$8),MAX(T147,$B$11-SUM(X147:AC147)-SUM(U147:W147)))</f>
        <v>0</v>
      </c>
      <c r="AE147" s="27" t="n">
        <f aca="false">MIN(I146*(1+I$8),MAX(U147,$B$11-SUM(X147:AD147)-SUM(V147:W147)))</f>
        <v>0</v>
      </c>
      <c r="AF147" s="27" t="n">
        <f aca="false">MIN(J146*(1+J$8),MAX(V147,$B$11-SUM(X147:AE147)-SUM(W147:W147)))</f>
        <v>0</v>
      </c>
      <c r="AG147" s="27" t="n">
        <f aca="false">MIN(K146*(1+K$8),MAX(W147,$B$11-SUM(X147:AF147)))</f>
        <v>0</v>
      </c>
      <c r="AI147" s="27" t="n">
        <f aca="false">ROUND(MAX(0,AI146*(1+B$8)-BE147),2)</f>
        <v>0</v>
      </c>
      <c r="AJ147" s="27" t="n">
        <f aca="false">ROUND(MAX(0,AJ146*(1+C$8)-BF147),2)</f>
        <v>0</v>
      </c>
      <c r="AK147" s="27" t="n">
        <f aca="false">ROUND(MAX(0,AK146*(1+D$8)-BG147),2)</f>
        <v>0</v>
      </c>
      <c r="AL147" s="27" t="n">
        <f aca="false">ROUND(MAX(0,AL146*(1+E$8)-BH147),2)</f>
        <v>0</v>
      </c>
      <c r="AM147" s="27" t="n">
        <f aca="false">ROUND(MAX(0,AM146*(1+F$8)-BI147),2)</f>
        <v>0</v>
      </c>
      <c r="AN147" s="27" t="n">
        <f aca="false">ROUND(MAX(0,AN146*(1+G$8)-BJ147),2)</f>
        <v>0</v>
      </c>
      <c r="AO147" s="27" t="n">
        <f aca="false">ROUND(MAX(0,AO146*(1+H$8)-BK147),2)</f>
        <v>0</v>
      </c>
      <c r="AP147" s="27" t="n">
        <f aca="false">ROUND(MAX(0,AP146*(1+I$8)-BL147),2)</f>
        <v>0</v>
      </c>
      <c r="AQ147" s="27" t="n">
        <f aca="false">ROUND(MAX(0,AQ146*(1+J$8)-BM147),2)</f>
        <v>0</v>
      </c>
      <c r="AR147" s="27" t="n">
        <f aca="false">ROUND(MAX(0,AR146*(1+K$8)-BN147),2)</f>
        <v>0</v>
      </c>
      <c r="AS147" s="27" t="n">
        <f aca="false">SUM(AI147:AR147)</f>
        <v>0</v>
      </c>
      <c r="AT147" s="27" t="n">
        <f aca="false">SUMPRODUCT(AI146:AR146,$B$8:$K$8)</f>
        <v>0</v>
      </c>
      <c r="AU147" s="27" t="n">
        <f aca="false">MIN(AI146*(1+B$8),B$9)</f>
        <v>0</v>
      </c>
      <c r="AV147" s="27" t="n">
        <f aca="false">MIN(AJ146*(1+C$8),C$9)</f>
        <v>0</v>
      </c>
      <c r="AW147" s="27" t="n">
        <f aca="false">MIN(AK146*(1+D$8),D$9)</f>
        <v>0</v>
      </c>
      <c r="AX147" s="27" t="n">
        <f aca="false">MIN(AL146*(1+E$8),E$9)</f>
        <v>0</v>
      </c>
      <c r="AY147" s="27" t="n">
        <f aca="false">MIN(AM146*(1+F$8),F$9)</f>
        <v>0</v>
      </c>
      <c r="AZ147" s="27" t="n">
        <f aca="false">MIN(AN146*(1+G$8),G$9)</f>
        <v>0</v>
      </c>
      <c r="BA147" s="27" t="n">
        <f aca="false">MIN(AO146*(1+H$8),H$9)</f>
        <v>0</v>
      </c>
      <c r="BB147" s="27" t="n">
        <f aca="false">MIN(AP146*(1+I$8),I$9)</f>
        <v>0</v>
      </c>
      <c r="BC147" s="27" t="n">
        <f aca="false">MIN(AQ146*(1+J$8),J$9)</f>
        <v>0</v>
      </c>
      <c r="BD147" s="27" t="n">
        <f aca="false">MIN(AR146*(1+K$8),K$9)</f>
        <v>0</v>
      </c>
      <c r="BE147" s="27" t="n">
        <f aca="false">MIN(AI146*(1+B$8),MAX(AU147,$B$12-SUM(AV147:BD147)))</f>
        <v>0</v>
      </c>
      <c r="BF147" s="27" t="n">
        <f aca="false">MIN(AJ146*(1+C$8),MAX(AV147,$B$12-SUM(BE147:BE147)-SUM(AW147:BD147)))</f>
        <v>0</v>
      </c>
      <c r="BG147" s="27" t="n">
        <f aca="false">MIN(AK146*(1+D$8),MAX(AW147,$B$12-SUM(BE147:BF147)-SUM(AX147:BD147)))</f>
        <v>0</v>
      </c>
      <c r="BH147" s="27" t="n">
        <f aca="false">MIN(AL146*(1+E$8),MAX(AX147,$B$12-SUM(BE147:BG147)-SUM(AY147:BD147)))</f>
        <v>0</v>
      </c>
      <c r="BI147" s="27" t="n">
        <f aca="false">MIN(AM146*(1+F$8),MAX(AY147,$B$12-SUM(BE147:BH147)-SUM(AZ147:BD147)))</f>
        <v>0</v>
      </c>
      <c r="BJ147" s="27" t="n">
        <f aca="false">MIN(AN146*(1+G$8),MAX(AZ147,$B$12-SUM(BE147:BI147)-SUM(BA147:BD147)))</f>
        <v>0</v>
      </c>
      <c r="BK147" s="27" t="n">
        <f aca="false">MIN(AO146*(1+H$8),MAX(BA147,$B$12-SUM(BE147:BJ147)-SUM(BB147:BD147)))</f>
        <v>0</v>
      </c>
      <c r="BL147" s="27" t="n">
        <f aca="false">MIN(AP146*(1+I$8),MAX(BB147,$B$12-SUM(BE147:BK147)-SUM(BC147:BD147)))</f>
        <v>0</v>
      </c>
      <c r="BM147" s="27" t="n">
        <f aca="false">MIN(AQ146*(1+J$8),MAX(BC147,$B$12-SUM(BE147:BL147)-SUM(BD147:BD147)))</f>
        <v>0</v>
      </c>
      <c r="BN147" s="27" t="n">
        <f aca="false">MIN(AR146*(1+K$8),MAX(BD147,$B$12-SUM(BE147:BM147)))</f>
        <v>0</v>
      </c>
    </row>
    <row r="148" customFormat="false" ht="15" hidden="false" customHeight="false" outlineLevel="0" collapsed="false">
      <c r="A148" s="0" t="n">
        <v>134</v>
      </c>
      <c r="B148" s="27" t="n">
        <f aca="false">ROUND(MAX(0,B147*(1+B$8)-X148),2)</f>
        <v>0</v>
      </c>
      <c r="C148" s="27" t="n">
        <f aca="false">ROUND(MAX(0,C147*(1+C$8)-Y148),2)</f>
        <v>0</v>
      </c>
      <c r="D148" s="27" t="n">
        <f aca="false">ROUND(MAX(0,D147*(1+D$8)-Z148),2)</f>
        <v>0</v>
      </c>
      <c r="E148" s="27" t="n">
        <f aca="false">ROUND(MAX(0,E147*(1+E$8)-AA148),2)</f>
        <v>0</v>
      </c>
      <c r="F148" s="27" t="n">
        <f aca="false">ROUND(MAX(0,F147*(1+F$8)-AB148),2)</f>
        <v>0</v>
      </c>
      <c r="G148" s="27" t="n">
        <f aca="false">ROUND(MAX(0,G147*(1+G$8)-AC148),2)</f>
        <v>0</v>
      </c>
      <c r="H148" s="27" t="n">
        <f aca="false">ROUND(MAX(0,H147*(1+H$8)-AD148),2)</f>
        <v>0</v>
      </c>
      <c r="I148" s="27" t="n">
        <f aca="false">ROUND(MAX(0,I147*(1+I$8)-AE148),2)</f>
        <v>0</v>
      </c>
      <c r="J148" s="27" t="n">
        <f aca="false">ROUND(MAX(0,J147*(1+J$8)-AF148),2)</f>
        <v>0</v>
      </c>
      <c r="K148" s="27" t="n">
        <f aca="false">ROUND(MAX(0,K147*(1+K$8)-AG148),2)</f>
        <v>0</v>
      </c>
      <c r="L148" s="30" t="n">
        <f aca="false">SUM(B148:K148)</f>
        <v>0</v>
      </c>
      <c r="M148" s="27" t="n">
        <f aca="false">SUMPRODUCT(B147:K147,$B$8:$K$8)</f>
        <v>0</v>
      </c>
      <c r="N148" s="27" t="n">
        <f aca="false">MIN(B147*(1+B$8),B$9)</f>
        <v>0</v>
      </c>
      <c r="O148" s="27" t="n">
        <f aca="false">MIN(C147*(1+C$8),C$9)</f>
        <v>0</v>
      </c>
      <c r="P148" s="27" t="n">
        <f aca="false">MIN(D147*(1+D$8),D$9)</f>
        <v>0</v>
      </c>
      <c r="Q148" s="27" t="n">
        <f aca="false">MIN(E147*(1+E$8),E$9)</f>
        <v>0</v>
      </c>
      <c r="R148" s="27" t="n">
        <f aca="false">MIN(F147*(1+F$8),F$9)</f>
        <v>0</v>
      </c>
      <c r="S148" s="27" t="n">
        <f aca="false">MIN(G147*(1+G$8),G$9)</f>
        <v>0</v>
      </c>
      <c r="T148" s="27" t="n">
        <f aca="false">MIN(H147*(1+H$8),H$9)</f>
        <v>0</v>
      </c>
      <c r="U148" s="27" t="n">
        <f aca="false">MIN(I147*(1+I$8),I$9)</f>
        <v>0</v>
      </c>
      <c r="V148" s="27" t="n">
        <f aca="false">MIN(J147*(1+J$8),J$9)</f>
        <v>0</v>
      </c>
      <c r="W148" s="27" t="n">
        <f aca="false">MIN(K147*(1+K$8),K$9)</f>
        <v>0</v>
      </c>
      <c r="X148" s="27" t="n">
        <f aca="false">MIN(B147*(1+B$8),MAX(N148,$B$11-SUM(O148:W148)))</f>
        <v>0</v>
      </c>
      <c r="Y148" s="27" t="n">
        <f aca="false">MIN(C147*(1+C$8),MAX(O148,$B$11-SUM(X148:X148)-SUM(P148:W148)))</f>
        <v>0</v>
      </c>
      <c r="Z148" s="27" t="n">
        <f aca="false">MIN(D147*(1+D$8),MAX(P148,$B$11-SUM(X148:Y148)-SUM(Q148:W148)))</f>
        <v>0</v>
      </c>
      <c r="AA148" s="27" t="n">
        <f aca="false">MIN(E147*(1+E$8),MAX(Q148,$B$11-SUM(X148:Z148)-SUM(R148:W148)))</f>
        <v>0</v>
      </c>
      <c r="AB148" s="27" t="n">
        <f aca="false">MIN(F147*(1+F$8),MAX(R148,$B$11-SUM(X148:AA148)-SUM(S148:W148)))</f>
        <v>0</v>
      </c>
      <c r="AC148" s="27" t="n">
        <f aca="false">MIN(G147*(1+G$8),MAX(S148,$B$11-SUM(X148:AB148)-SUM(T148:W148)))</f>
        <v>0</v>
      </c>
      <c r="AD148" s="27" t="n">
        <f aca="false">MIN(H147*(1+H$8),MAX(T148,$B$11-SUM(X148:AC148)-SUM(U148:W148)))</f>
        <v>0</v>
      </c>
      <c r="AE148" s="27" t="n">
        <f aca="false">MIN(I147*(1+I$8),MAX(U148,$B$11-SUM(X148:AD148)-SUM(V148:W148)))</f>
        <v>0</v>
      </c>
      <c r="AF148" s="27" t="n">
        <f aca="false">MIN(J147*(1+J$8),MAX(V148,$B$11-SUM(X148:AE148)-SUM(W148:W148)))</f>
        <v>0</v>
      </c>
      <c r="AG148" s="27" t="n">
        <f aca="false">MIN(K147*(1+K$8),MAX(W148,$B$11-SUM(X148:AF148)))</f>
        <v>0</v>
      </c>
      <c r="AI148" s="27" t="n">
        <f aca="false">ROUND(MAX(0,AI147*(1+B$8)-BE148),2)</f>
        <v>0</v>
      </c>
      <c r="AJ148" s="27" t="n">
        <f aca="false">ROUND(MAX(0,AJ147*(1+C$8)-BF148),2)</f>
        <v>0</v>
      </c>
      <c r="AK148" s="27" t="n">
        <f aca="false">ROUND(MAX(0,AK147*(1+D$8)-BG148),2)</f>
        <v>0</v>
      </c>
      <c r="AL148" s="27" t="n">
        <f aca="false">ROUND(MAX(0,AL147*(1+E$8)-BH148),2)</f>
        <v>0</v>
      </c>
      <c r="AM148" s="27" t="n">
        <f aca="false">ROUND(MAX(0,AM147*(1+F$8)-BI148),2)</f>
        <v>0</v>
      </c>
      <c r="AN148" s="27" t="n">
        <f aca="false">ROUND(MAX(0,AN147*(1+G$8)-BJ148),2)</f>
        <v>0</v>
      </c>
      <c r="AO148" s="27" t="n">
        <f aca="false">ROUND(MAX(0,AO147*(1+H$8)-BK148),2)</f>
        <v>0</v>
      </c>
      <c r="AP148" s="27" t="n">
        <f aca="false">ROUND(MAX(0,AP147*(1+I$8)-BL148),2)</f>
        <v>0</v>
      </c>
      <c r="AQ148" s="27" t="n">
        <f aca="false">ROUND(MAX(0,AQ147*(1+J$8)-BM148),2)</f>
        <v>0</v>
      </c>
      <c r="AR148" s="27" t="n">
        <f aca="false">ROUND(MAX(0,AR147*(1+K$8)-BN148),2)</f>
        <v>0</v>
      </c>
      <c r="AS148" s="27" t="n">
        <f aca="false">SUM(AI148:AR148)</f>
        <v>0</v>
      </c>
      <c r="AT148" s="27" t="n">
        <f aca="false">SUMPRODUCT(AI147:AR147,$B$8:$K$8)</f>
        <v>0</v>
      </c>
      <c r="AU148" s="27" t="n">
        <f aca="false">MIN(AI147*(1+B$8),B$9)</f>
        <v>0</v>
      </c>
      <c r="AV148" s="27" t="n">
        <f aca="false">MIN(AJ147*(1+C$8),C$9)</f>
        <v>0</v>
      </c>
      <c r="AW148" s="27" t="n">
        <f aca="false">MIN(AK147*(1+D$8),D$9)</f>
        <v>0</v>
      </c>
      <c r="AX148" s="27" t="n">
        <f aca="false">MIN(AL147*(1+E$8),E$9)</f>
        <v>0</v>
      </c>
      <c r="AY148" s="27" t="n">
        <f aca="false">MIN(AM147*(1+F$8),F$9)</f>
        <v>0</v>
      </c>
      <c r="AZ148" s="27" t="n">
        <f aca="false">MIN(AN147*(1+G$8),G$9)</f>
        <v>0</v>
      </c>
      <c r="BA148" s="27" t="n">
        <f aca="false">MIN(AO147*(1+H$8),H$9)</f>
        <v>0</v>
      </c>
      <c r="BB148" s="27" t="n">
        <f aca="false">MIN(AP147*(1+I$8),I$9)</f>
        <v>0</v>
      </c>
      <c r="BC148" s="27" t="n">
        <f aca="false">MIN(AQ147*(1+J$8),J$9)</f>
        <v>0</v>
      </c>
      <c r="BD148" s="27" t="n">
        <f aca="false">MIN(AR147*(1+K$8),K$9)</f>
        <v>0</v>
      </c>
      <c r="BE148" s="27" t="n">
        <f aca="false">MIN(AI147*(1+B$8),MAX(AU148,$B$12-SUM(AV148:BD148)))</f>
        <v>0</v>
      </c>
      <c r="BF148" s="27" t="n">
        <f aca="false">MIN(AJ147*(1+C$8),MAX(AV148,$B$12-SUM(BE148:BE148)-SUM(AW148:BD148)))</f>
        <v>0</v>
      </c>
      <c r="BG148" s="27" t="n">
        <f aca="false">MIN(AK147*(1+D$8),MAX(AW148,$B$12-SUM(BE148:BF148)-SUM(AX148:BD148)))</f>
        <v>0</v>
      </c>
      <c r="BH148" s="27" t="n">
        <f aca="false">MIN(AL147*(1+E$8),MAX(AX148,$B$12-SUM(BE148:BG148)-SUM(AY148:BD148)))</f>
        <v>0</v>
      </c>
      <c r="BI148" s="27" t="n">
        <f aca="false">MIN(AM147*(1+F$8),MAX(AY148,$B$12-SUM(BE148:BH148)-SUM(AZ148:BD148)))</f>
        <v>0</v>
      </c>
      <c r="BJ148" s="27" t="n">
        <f aca="false">MIN(AN147*(1+G$8),MAX(AZ148,$B$12-SUM(BE148:BI148)-SUM(BA148:BD148)))</f>
        <v>0</v>
      </c>
      <c r="BK148" s="27" t="n">
        <f aca="false">MIN(AO147*(1+H$8),MAX(BA148,$B$12-SUM(BE148:BJ148)-SUM(BB148:BD148)))</f>
        <v>0</v>
      </c>
      <c r="BL148" s="27" t="n">
        <f aca="false">MIN(AP147*(1+I$8),MAX(BB148,$B$12-SUM(BE148:BK148)-SUM(BC148:BD148)))</f>
        <v>0</v>
      </c>
      <c r="BM148" s="27" t="n">
        <f aca="false">MIN(AQ147*(1+J$8),MAX(BC148,$B$12-SUM(BE148:BL148)-SUM(BD148:BD148)))</f>
        <v>0</v>
      </c>
      <c r="BN148" s="27" t="n">
        <f aca="false">MIN(AR147*(1+K$8),MAX(BD148,$B$12-SUM(BE148:BM148)))</f>
        <v>0</v>
      </c>
    </row>
    <row r="149" customFormat="false" ht="15" hidden="false" customHeight="false" outlineLevel="0" collapsed="false">
      <c r="A149" s="0" t="n">
        <v>135</v>
      </c>
      <c r="B149" s="27" t="n">
        <f aca="false">ROUND(MAX(0,B148*(1+B$8)-X149),2)</f>
        <v>0</v>
      </c>
      <c r="C149" s="27" t="n">
        <f aca="false">ROUND(MAX(0,C148*(1+C$8)-Y149),2)</f>
        <v>0</v>
      </c>
      <c r="D149" s="27" t="n">
        <f aca="false">ROUND(MAX(0,D148*(1+D$8)-Z149),2)</f>
        <v>0</v>
      </c>
      <c r="E149" s="27" t="n">
        <f aca="false">ROUND(MAX(0,E148*(1+E$8)-AA149),2)</f>
        <v>0</v>
      </c>
      <c r="F149" s="27" t="n">
        <f aca="false">ROUND(MAX(0,F148*(1+F$8)-AB149),2)</f>
        <v>0</v>
      </c>
      <c r="G149" s="27" t="n">
        <f aca="false">ROUND(MAX(0,G148*(1+G$8)-AC149),2)</f>
        <v>0</v>
      </c>
      <c r="H149" s="27" t="n">
        <f aca="false">ROUND(MAX(0,H148*(1+H$8)-AD149),2)</f>
        <v>0</v>
      </c>
      <c r="I149" s="27" t="n">
        <f aca="false">ROUND(MAX(0,I148*(1+I$8)-AE149),2)</f>
        <v>0</v>
      </c>
      <c r="J149" s="27" t="n">
        <f aca="false">ROUND(MAX(0,J148*(1+J$8)-AF149),2)</f>
        <v>0</v>
      </c>
      <c r="K149" s="27" t="n">
        <f aca="false">ROUND(MAX(0,K148*(1+K$8)-AG149),2)</f>
        <v>0</v>
      </c>
      <c r="L149" s="30" t="n">
        <f aca="false">SUM(B149:K149)</f>
        <v>0</v>
      </c>
      <c r="M149" s="27" t="n">
        <f aca="false">SUMPRODUCT(B148:K148,$B$8:$K$8)</f>
        <v>0</v>
      </c>
      <c r="N149" s="27" t="n">
        <f aca="false">MIN(B148*(1+B$8),B$9)</f>
        <v>0</v>
      </c>
      <c r="O149" s="27" t="n">
        <f aca="false">MIN(C148*(1+C$8),C$9)</f>
        <v>0</v>
      </c>
      <c r="P149" s="27" t="n">
        <f aca="false">MIN(D148*(1+D$8),D$9)</f>
        <v>0</v>
      </c>
      <c r="Q149" s="27" t="n">
        <f aca="false">MIN(E148*(1+E$8),E$9)</f>
        <v>0</v>
      </c>
      <c r="R149" s="27" t="n">
        <f aca="false">MIN(F148*(1+F$8),F$9)</f>
        <v>0</v>
      </c>
      <c r="S149" s="27" t="n">
        <f aca="false">MIN(G148*(1+G$8),G$9)</f>
        <v>0</v>
      </c>
      <c r="T149" s="27" t="n">
        <f aca="false">MIN(H148*(1+H$8),H$9)</f>
        <v>0</v>
      </c>
      <c r="U149" s="27" t="n">
        <f aca="false">MIN(I148*(1+I$8),I$9)</f>
        <v>0</v>
      </c>
      <c r="V149" s="27" t="n">
        <f aca="false">MIN(J148*(1+J$8),J$9)</f>
        <v>0</v>
      </c>
      <c r="W149" s="27" t="n">
        <f aca="false">MIN(K148*(1+K$8),K$9)</f>
        <v>0</v>
      </c>
      <c r="X149" s="27" t="n">
        <f aca="false">MIN(B148*(1+B$8),MAX(N149,$B$11-SUM(O149:W149)))</f>
        <v>0</v>
      </c>
      <c r="Y149" s="27" t="n">
        <f aca="false">MIN(C148*(1+C$8),MAX(O149,$B$11-SUM(X149:X149)-SUM(P149:W149)))</f>
        <v>0</v>
      </c>
      <c r="Z149" s="27" t="n">
        <f aca="false">MIN(D148*(1+D$8),MAX(P149,$B$11-SUM(X149:Y149)-SUM(Q149:W149)))</f>
        <v>0</v>
      </c>
      <c r="AA149" s="27" t="n">
        <f aca="false">MIN(E148*(1+E$8),MAX(Q149,$B$11-SUM(X149:Z149)-SUM(R149:W149)))</f>
        <v>0</v>
      </c>
      <c r="AB149" s="27" t="n">
        <f aca="false">MIN(F148*(1+F$8),MAX(R149,$B$11-SUM(X149:AA149)-SUM(S149:W149)))</f>
        <v>0</v>
      </c>
      <c r="AC149" s="27" t="n">
        <f aca="false">MIN(G148*(1+G$8),MAX(S149,$B$11-SUM(X149:AB149)-SUM(T149:W149)))</f>
        <v>0</v>
      </c>
      <c r="AD149" s="27" t="n">
        <f aca="false">MIN(H148*(1+H$8),MAX(T149,$B$11-SUM(X149:AC149)-SUM(U149:W149)))</f>
        <v>0</v>
      </c>
      <c r="AE149" s="27" t="n">
        <f aca="false">MIN(I148*(1+I$8),MAX(U149,$B$11-SUM(X149:AD149)-SUM(V149:W149)))</f>
        <v>0</v>
      </c>
      <c r="AF149" s="27" t="n">
        <f aca="false">MIN(J148*(1+J$8),MAX(V149,$B$11-SUM(X149:AE149)-SUM(W149:W149)))</f>
        <v>0</v>
      </c>
      <c r="AG149" s="27" t="n">
        <f aca="false">MIN(K148*(1+K$8),MAX(W149,$B$11-SUM(X149:AF149)))</f>
        <v>0</v>
      </c>
      <c r="AI149" s="27" t="n">
        <f aca="false">ROUND(MAX(0,AI148*(1+B$8)-BE149),2)</f>
        <v>0</v>
      </c>
      <c r="AJ149" s="27" t="n">
        <f aca="false">ROUND(MAX(0,AJ148*(1+C$8)-BF149),2)</f>
        <v>0</v>
      </c>
      <c r="AK149" s="27" t="n">
        <f aca="false">ROUND(MAX(0,AK148*(1+D$8)-BG149),2)</f>
        <v>0</v>
      </c>
      <c r="AL149" s="27" t="n">
        <f aca="false">ROUND(MAX(0,AL148*(1+E$8)-BH149),2)</f>
        <v>0</v>
      </c>
      <c r="AM149" s="27" t="n">
        <f aca="false">ROUND(MAX(0,AM148*(1+F$8)-BI149),2)</f>
        <v>0</v>
      </c>
      <c r="AN149" s="27" t="n">
        <f aca="false">ROUND(MAX(0,AN148*(1+G$8)-BJ149),2)</f>
        <v>0</v>
      </c>
      <c r="AO149" s="27" t="n">
        <f aca="false">ROUND(MAX(0,AO148*(1+H$8)-BK149),2)</f>
        <v>0</v>
      </c>
      <c r="AP149" s="27" t="n">
        <f aca="false">ROUND(MAX(0,AP148*(1+I$8)-BL149),2)</f>
        <v>0</v>
      </c>
      <c r="AQ149" s="27" t="n">
        <f aca="false">ROUND(MAX(0,AQ148*(1+J$8)-BM149),2)</f>
        <v>0</v>
      </c>
      <c r="AR149" s="27" t="n">
        <f aca="false">ROUND(MAX(0,AR148*(1+K$8)-BN149),2)</f>
        <v>0</v>
      </c>
      <c r="AS149" s="27" t="n">
        <f aca="false">SUM(AI149:AR149)</f>
        <v>0</v>
      </c>
      <c r="AT149" s="27" t="n">
        <f aca="false">SUMPRODUCT(AI148:AR148,$B$8:$K$8)</f>
        <v>0</v>
      </c>
      <c r="AU149" s="27" t="n">
        <f aca="false">MIN(AI148*(1+B$8),B$9)</f>
        <v>0</v>
      </c>
      <c r="AV149" s="27" t="n">
        <f aca="false">MIN(AJ148*(1+C$8),C$9)</f>
        <v>0</v>
      </c>
      <c r="AW149" s="27" t="n">
        <f aca="false">MIN(AK148*(1+D$8),D$9)</f>
        <v>0</v>
      </c>
      <c r="AX149" s="27" t="n">
        <f aca="false">MIN(AL148*(1+E$8),E$9)</f>
        <v>0</v>
      </c>
      <c r="AY149" s="27" t="n">
        <f aca="false">MIN(AM148*(1+F$8),F$9)</f>
        <v>0</v>
      </c>
      <c r="AZ149" s="27" t="n">
        <f aca="false">MIN(AN148*(1+G$8),G$9)</f>
        <v>0</v>
      </c>
      <c r="BA149" s="27" t="n">
        <f aca="false">MIN(AO148*(1+H$8),H$9)</f>
        <v>0</v>
      </c>
      <c r="BB149" s="27" t="n">
        <f aca="false">MIN(AP148*(1+I$8),I$9)</f>
        <v>0</v>
      </c>
      <c r="BC149" s="27" t="n">
        <f aca="false">MIN(AQ148*(1+J$8),J$9)</f>
        <v>0</v>
      </c>
      <c r="BD149" s="27" t="n">
        <f aca="false">MIN(AR148*(1+K$8),K$9)</f>
        <v>0</v>
      </c>
      <c r="BE149" s="27" t="n">
        <f aca="false">MIN(AI148*(1+B$8),MAX(AU149,$B$12-SUM(AV149:BD149)))</f>
        <v>0</v>
      </c>
      <c r="BF149" s="27" t="n">
        <f aca="false">MIN(AJ148*(1+C$8),MAX(AV149,$B$12-SUM(BE149:BE149)-SUM(AW149:BD149)))</f>
        <v>0</v>
      </c>
      <c r="BG149" s="27" t="n">
        <f aca="false">MIN(AK148*(1+D$8),MAX(AW149,$B$12-SUM(BE149:BF149)-SUM(AX149:BD149)))</f>
        <v>0</v>
      </c>
      <c r="BH149" s="27" t="n">
        <f aca="false">MIN(AL148*(1+E$8),MAX(AX149,$B$12-SUM(BE149:BG149)-SUM(AY149:BD149)))</f>
        <v>0</v>
      </c>
      <c r="BI149" s="27" t="n">
        <f aca="false">MIN(AM148*(1+F$8),MAX(AY149,$B$12-SUM(BE149:BH149)-SUM(AZ149:BD149)))</f>
        <v>0</v>
      </c>
      <c r="BJ149" s="27" t="n">
        <f aca="false">MIN(AN148*(1+G$8),MAX(AZ149,$B$12-SUM(BE149:BI149)-SUM(BA149:BD149)))</f>
        <v>0</v>
      </c>
      <c r="BK149" s="27" t="n">
        <f aca="false">MIN(AO148*(1+H$8),MAX(BA149,$B$12-SUM(BE149:BJ149)-SUM(BB149:BD149)))</f>
        <v>0</v>
      </c>
      <c r="BL149" s="27" t="n">
        <f aca="false">MIN(AP148*(1+I$8),MAX(BB149,$B$12-SUM(BE149:BK149)-SUM(BC149:BD149)))</f>
        <v>0</v>
      </c>
      <c r="BM149" s="27" t="n">
        <f aca="false">MIN(AQ148*(1+J$8),MAX(BC149,$B$12-SUM(BE149:BL149)-SUM(BD149:BD149)))</f>
        <v>0</v>
      </c>
      <c r="BN149" s="27" t="n">
        <f aca="false">MIN(AR148*(1+K$8),MAX(BD149,$B$12-SUM(BE149:BM149)))</f>
        <v>0</v>
      </c>
    </row>
    <row r="150" customFormat="false" ht="15" hidden="false" customHeight="false" outlineLevel="0" collapsed="false">
      <c r="A150" s="0" t="n">
        <v>136</v>
      </c>
      <c r="B150" s="27" t="n">
        <f aca="false">ROUND(MAX(0,B149*(1+B$8)-X150),2)</f>
        <v>0</v>
      </c>
      <c r="C150" s="27" t="n">
        <f aca="false">ROUND(MAX(0,C149*(1+C$8)-Y150),2)</f>
        <v>0</v>
      </c>
      <c r="D150" s="27" t="n">
        <f aca="false">ROUND(MAX(0,D149*(1+D$8)-Z150),2)</f>
        <v>0</v>
      </c>
      <c r="E150" s="27" t="n">
        <f aca="false">ROUND(MAX(0,E149*(1+E$8)-AA150),2)</f>
        <v>0</v>
      </c>
      <c r="F150" s="27" t="n">
        <f aca="false">ROUND(MAX(0,F149*(1+F$8)-AB150),2)</f>
        <v>0</v>
      </c>
      <c r="G150" s="27" t="n">
        <f aca="false">ROUND(MAX(0,G149*(1+G$8)-AC150),2)</f>
        <v>0</v>
      </c>
      <c r="H150" s="27" t="n">
        <f aca="false">ROUND(MAX(0,H149*(1+H$8)-AD150),2)</f>
        <v>0</v>
      </c>
      <c r="I150" s="27" t="n">
        <f aca="false">ROUND(MAX(0,I149*(1+I$8)-AE150),2)</f>
        <v>0</v>
      </c>
      <c r="J150" s="27" t="n">
        <f aca="false">ROUND(MAX(0,J149*(1+J$8)-AF150),2)</f>
        <v>0</v>
      </c>
      <c r="K150" s="27" t="n">
        <f aca="false">ROUND(MAX(0,K149*(1+K$8)-AG150),2)</f>
        <v>0</v>
      </c>
      <c r="L150" s="30" t="n">
        <f aca="false">SUM(B150:K150)</f>
        <v>0</v>
      </c>
      <c r="M150" s="27" t="n">
        <f aca="false">SUMPRODUCT(B149:K149,$B$8:$K$8)</f>
        <v>0</v>
      </c>
      <c r="N150" s="27" t="n">
        <f aca="false">MIN(B149*(1+B$8),B$9)</f>
        <v>0</v>
      </c>
      <c r="O150" s="27" t="n">
        <f aca="false">MIN(C149*(1+C$8),C$9)</f>
        <v>0</v>
      </c>
      <c r="P150" s="27" t="n">
        <f aca="false">MIN(D149*(1+D$8),D$9)</f>
        <v>0</v>
      </c>
      <c r="Q150" s="27" t="n">
        <f aca="false">MIN(E149*(1+E$8),E$9)</f>
        <v>0</v>
      </c>
      <c r="R150" s="27" t="n">
        <f aca="false">MIN(F149*(1+F$8),F$9)</f>
        <v>0</v>
      </c>
      <c r="S150" s="27" t="n">
        <f aca="false">MIN(G149*(1+G$8),G$9)</f>
        <v>0</v>
      </c>
      <c r="T150" s="27" t="n">
        <f aca="false">MIN(H149*(1+H$8),H$9)</f>
        <v>0</v>
      </c>
      <c r="U150" s="27" t="n">
        <f aca="false">MIN(I149*(1+I$8),I$9)</f>
        <v>0</v>
      </c>
      <c r="V150" s="27" t="n">
        <f aca="false">MIN(J149*(1+J$8),J$9)</f>
        <v>0</v>
      </c>
      <c r="W150" s="27" t="n">
        <f aca="false">MIN(K149*(1+K$8),K$9)</f>
        <v>0</v>
      </c>
      <c r="X150" s="27" t="n">
        <f aca="false">MIN(B149*(1+B$8),MAX(N150,$B$11-SUM(O150:W150)))</f>
        <v>0</v>
      </c>
      <c r="Y150" s="27" t="n">
        <f aca="false">MIN(C149*(1+C$8),MAX(O150,$B$11-SUM(X150:X150)-SUM(P150:W150)))</f>
        <v>0</v>
      </c>
      <c r="Z150" s="27" t="n">
        <f aca="false">MIN(D149*(1+D$8),MAX(P150,$B$11-SUM(X150:Y150)-SUM(Q150:W150)))</f>
        <v>0</v>
      </c>
      <c r="AA150" s="27" t="n">
        <f aca="false">MIN(E149*(1+E$8),MAX(Q150,$B$11-SUM(X150:Z150)-SUM(R150:W150)))</f>
        <v>0</v>
      </c>
      <c r="AB150" s="27" t="n">
        <f aca="false">MIN(F149*(1+F$8),MAX(R150,$B$11-SUM(X150:AA150)-SUM(S150:W150)))</f>
        <v>0</v>
      </c>
      <c r="AC150" s="27" t="n">
        <f aca="false">MIN(G149*(1+G$8),MAX(S150,$B$11-SUM(X150:AB150)-SUM(T150:W150)))</f>
        <v>0</v>
      </c>
      <c r="AD150" s="27" t="n">
        <f aca="false">MIN(H149*(1+H$8),MAX(T150,$B$11-SUM(X150:AC150)-SUM(U150:W150)))</f>
        <v>0</v>
      </c>
      <c r="AE150" s="27" t="n">
        <f aca="false">MIN(I149*(1+I$8),MAX(U150,$B$11-SUM(X150:AD150)-SUM(V150:W150)))</f>
        <v>0</v>
      </c>
      <c r="AF150" s="27" t="n">
        <f aca="false">MIN(J149*(1+J$8),MAX(V150,$B$11-SUM(X150:AE150)-SUM(W150:W150)))</f>
        <v>0</v>
      </c>
      <c r="AG150" s="27" t="n">
        <f aca="false">MIN(K149*(1+K$8),MAX(W150,$B$11-SUM(X150:AF150)))</f>
        <v>0</v>
      </c>
      <c r="AI150" s="27" t="n">
        <f aca="false">ROUND(MAX(0,AI149*(1+B$8)-BE150),2)</f>
        <v>0</v>
      </c>
      <c r="AJ150" s="27" t="n">
        <f aca="false">ROUND(MAX(0,AJ149*(1+C$8)-BF150),2)</f>
        <v>0</v>
      </c>
      <c r="AK150" s="27" t="n">
        <f aca="false">ROUND(MAX(0,AK149*(1+D$8)-BG150),2)</f>
        <v>0</v>
      </c>
      <c r="AL150" s="27" t="n">
        <f aca="false">ROUND(MAX(0,AL149*(1+E$8)-BH150),2)</f>
        <v>0</v>
      </c>
      <c r="AM150" s="27" t="n">
        <f aca="false">ROUND(MAX(0,AM149*(1+F$8)-BI150),2)</f>
        <v>0</v>
      </c>
      <c r="AN150" s="27" t="n">
        <f aca="false">ROUND(MAX(0,AN149*(1+G$8)-BJ150),2)</f>
        <v>0</v>
      </c>
      <c r="AO150" s="27" t="n">
        <f aca="false">ROUND(MAX(0,AO149*(1+H$8)-BK150),2)</f>
        <v>0</v>
      </c>
      <c r="AP150" s="27" t="n">
        <f aca="false">ROUND(MAX(0,AP149*(1+I$8)-BL150),2)</f>
        <v>0</v>
      </c>
      <c r="AQ150" s="27" t="n">
        <f aca="false">ROUND(MAX(0,AQ149*(1+J$8)-BM150),2)</f>
        <v>0</v>
      </c>
      <c r="AR150" s="27" t="n">
        <f aca="false">ROUND(MAX(0,AR149*(1+K$8)-BN150),2)</f>
        <v>0</v>
      </c>
      <c r="AS150" s="27" t="n">
        <f aca="false">SUM(AI150:AR150)</f>
        <v>0</v>
      </c>
      <c r="AT150" s="27" t="n">
        <f aca="false">SUMPRODUCT(AI149:AR149,$B$8:$K$8)</f>
        <v>0</v>
      </c>
      <c r="AU150" s="27" t="n">
        <f aca="false">MIN(AI149*(1+B$8),B$9)</f>
        <v>0</v>
      </c>
      <c r="AV150" s="27" t="n">
        <f aca="false">MIN(AJ149*(1+C$8),C$9)</f>
        <v>0</v>
      </c>
      <c r="AW150" s="27" t="n">
        <f aca="false">MIN(AK149*(1+D$8),D$9)</f>
        <v>0</v>
      </c>
      <c r="AX150" s="27" t="n">
        <f aca="false">MIN(AL149*(1+E$8),E$9)</f>
        <v>0</v>
      </c>
      <c r="AY150" s="27" t="n">
        <f aca="false">MIN(AM149*(1+F$8),F$9)</f>
        <v>0</v>
      </c>
      <c r="AZ150" s="27" t="n">
        <f aca="false">MIN(AN149*(1+G$8),G$9)</f>
        <v>0</v>
      </c>
      <c r="BA150" s="27" t="n">
        <f aca="false">MIN(AO149*(1+H$8),H$9)</f>
        <v>0</v>
      </c>
      <c r="BB150" s="27" t="n">
        <f aca="false">MIN(AP149*(1+I$8),I$9)</f>
        <v>0</v>
      </c>
      <c r="BC150" s="27" t="n">
        <f aca="false">MIN(AQ149*(1+J$8),J$9)</f>
        <v>0</v>
      </c>
      <c r="BD150" s="27" t="n">
        <f aca="false">MIN(AR149*(1+K$8),K$9)</f>
        <v>0</v>
      </c>
      <c r="BE150" s="27" t="n">
        <f aca="false">MIN(AI149*(1+B$8),MAX(AU150,$B$12-SUM(AV150:BD150)))</f>
        <v>0</v>
      </c>
      <c r="BF150" s="27" t="n">
        <f aca="false">MIN(AJ149*(1+C$8),MAX(AV150,$B$12-SUM(BE150:BE150)-SUM(AW150:BD150)))</f>
        <v>0</v>
      </c>
      <c r="BG150" s="27" t="n">
        <f aca="false">MIN(AK149*(1+D$8),MAX(AW150,$B$12-SUM(BE150:BF150)-SUM(AX150:BD150)))</f>
        <v>0</v>
      </c>
      <c r="BH150" s="27" t="n">
        <f aca="false">MIN(AL149*(1+E$8),MAX(AX150,$B$12-SUM(BE150:BG150)-SUM(AY150:BD150)))</f>
        <v>0</v>
      </c>
      <c r="BI150" s="27" t="n">
        <f aca="false">MIN(AM149*(1+F$8),MAX(AY150,$B$12-SUM(BE150:BH150)-SUM(AZ150:BD150)))</f>
        <v>0</v>
      </c>
      <c r="BJ150" s="27" t="n">
        <f aca="false">MIN(AN149*(1+G$8),MAX(AZ150,$B$12-SUM(BE150:BI150)-SUM(BA150:BD150)))</f>
        <v>0</v>
      </c>
      <c r="BK150" s="27" t="n">
        <f aca="false">MIN(AO149*(1+H$8),MAX(BA150,$B$12-SUM(BE150:BJ150)-SUM(BB150:BD150)))</f>
        <v>0</v>
      </c>
      <c r="BL150" s="27" t="n">
        <f aca="false">MIN(AP149*(1+I$8),MAX(BB150,$B$12-SUM(BE150:BK150)-SUM(BC150:BD150)))</f>
        <v>0</v>
      </c>
      <c r="BM150" s="27" t="n">
        <f aca="false">MIN(AQ149*(1+J$8),MAX(BC150,$B$12-SUM(BE150:BL150)-SUM(BD150:BD150)))</f>
        <v>0</v>
      </c>
      <c r="BN150" s="27" t="n">
        <f aca="false">MIN(AR149*(1+K$8),MAX(BD150,$B$12-SUM(BE150:BM150)))</f>
        <v>0</v>
      </c>
    </row>
    <row r="151" customFormat="false" ht="15" hidden="false" customHeight="false" outlineLevel="0" collapsed="false">
      <c r="A151" s="0" t="n">
        <v>137</v>
      </c>
      <c r="B151" s="27" t="n">
        <f aca="false">ROUND(MAX(0,B150*(1+B$8)-X151),2)</f>
        <v>0</v>
      </c>
      <c r="C151" s="27" t="n">
        <f aca="false">ROUND(MAX(0,C150*(1+C$8)-Y151),2)</f>
        <v>0</v>
      </c>
      <c r="D151" s="27" t="n">
        <f aca="false">ROUND(MAX(0,D150*(1+D$8)-Z151),2)</f>
        <v>0</v>
      </c>
      <c r="E151" s="27" t="n">
        <f aca="false">ROUND(MAX(0,E150*(1+E$8)-AA151),2)</f>
        <v>0</v>
      </c>
      <c r="F151" s="27" t="n">
        <f aca="false">ROUND(MAX(0,F150*(1+F$8)-AB151),2)</f>
        <v>0</v>
      </c>
      <c r="G151" s="27" t="n">
        <f aca="false">ROUND(MAX(0,G150*(1+G$8)-AC151),2)</f>
        <v>0</v>
      </c>
      <c r="H151" s="27" t="n">
        <f aca="false">ROUND(MAX(0,H150*(1+H$8)-AD151),2)</f>
        <v>0</v>
      </c>
      <c r="I151" s="27" t="n">
        <f aca="false">ROUND(MAX(0,I150*(1+I$8)-AE151),2)</f>
        <v>0</v>
      </c>
      <c r="J151" s="27" t="n">
        <f aca="false">ROUND(MAX(0,J150*(1+J$8)-AF151),2)</f>
        <v>0</v>
      </c>
      <c r="K151" s="27" t="n">
        <f aca="false">ROUND(MAX(0,K150*(1+K$8)-AG151),2)</f>
        <v>0</v>
      </c>
      <c r="L151" s="30" t="n">
        <f aca="false">SUM(B151:K151)</f>
        <v>0</v>
      </c>
      <c r="M151" s="27" t="n">
        <f aca="false">SUMPRODUCT(B150:K150,$B$8:$K$8)</f>
        <v>0</v>
      </c>
      <c r="N151" s="27" t="n">
        <f aca="false">MIN(B150*(1+B$8),B$9)</f>
        <v>0</v>
      </c>
      <c r="O151" s="27" t="n">
        <f aca="false">MIN(C150*(1+C$8),C$9)</f>
        <v>0</v>
      </c>
      <c r="P151" s="27" t="n">
        <f aca="false">MIN(D150*(1+D$8),D$9)</f>
        <v>0</v>
      </c>
      <c r="Q151" s="27" t="n">
        <f aca="false">MIN(E150*(1+E$8),E$9)</f>
        <v>0</v>
      </c>
      <c r="R151" s="27" t="n">
        <f aca="false">MIN(F150*(1+F$8),F$9)</f>
        <v>0</v>
      </c>
      <c r="S151" s="27" t="n">
        <f aca="false">MIN(G150*(1+G$8),G$9)</f>
        <v>0</v>
      </c>
      <c r="T151" s="27" t="n">
        <f aca="false">MIN(H150*(1+H$8),H$9)</f>
        <v>0</v>
      </c>
      <c r="U151" s="27" t="n">
        <f aca="false">MIN(I150*(1+I$8),I$9)</f>
        <v>0</v>
      </c>
      <c r="V151" s="27" t="n">
        <f aca="false">MIN(J150*(1+J$8),J$9)</f>
        <v>0</v>
      </c>
      <c r="W151" s="27" t="n">
        <f aca="false">MIN(K150*(1+K$8),K$9)</f>
        <v>0</v>
      </c>
      <c r="X151" s="27" t="n">
        <f aca="false">MIN(B150*(1+B$8),MAX(N151,$B$11-SUM(O151:W151)))</f>
        <v>0</v>
      </c>
      <c r="Y151" s="27" t="n">
        <f aca="false">MIN(C150*(1+C$8),MAX(O151,$B$11-SUM(X151:X151)-SUM(P151:W151)))</f>
        <v>0</v>
      </c>
      <c r="Z151" s="27" t="n">
        <f aca="false">MIN(D150*(1+D$8),MAX(P151,$B$11-SUM(X151:Y151)-SUM(Q151:W151)))</f>
        <v>0</v>
      </c>
      <c r="AA151" s="27" t="n">
        <f aca="false">MIN(E150*(1+E$8),MAX(Q151,$B$11-SUM(X151:Z151)-SUM(R151:W151)))</f>
        <v>0</v>
      </c>
      <c r="AB151" s="27" t="n">
        <f aca="false">MIN(F150*(1+F$8),MAX(R151,$B$11-SUM(X151:AA151)-SUM(S151:W151)))</f>
        <v>0</v>
      </c>
      <c r="AC151" s="27" t="n">
        <f aca="false">MIN(G150*(1+G$8),MAX(S151,$B$11-SUM(X151:AB151)-SUM(T151:W151)))</f>
        <v>0</v>
      </c>
      <c r="AD151" s="27" t="n">
        <f aca="false">MIN(H150*(1+H$8),MAX(T151,$B$11-SUM(X151:AC151)-SUM(U151:W151)))</f>
        <v>0</v>
      </c>
      <c r="AE151" s="27" t="n">
        <f aca="false">MIN(I150*(1+I$8),MAX(U151,$B$11-SUM(X151:AD151)-SUM(V151:W151)))</f>
        <v>0</v>
      </c>
      <c r="AF151" s="27" t="n">
        <f aca="false">MIN(J150*(1+J$8),MAX(V151,$B$11-SUM(X151:AE151)-SUM(W151:W151)))</f>
        <v>0</v>
      </c>
      <c r="AG151" s="27" t="n">
        <f aca="false">MIN(K150*(1+K$8),MAX(W151,$B$11-SUM(X151:AF151)))</f>
        <v>0</v>
      </c>
      <c r="AI151" s="27" t="n">
        <f aca="false">ROUND(MAX(0,AI150*(1+B$8)-BE151),2)</f>
        <v>0</v>
      </c>
      <c r="AJ151" s="27" t="n">
        <f aca="false">ROUND(MAX(0,AJ150*(1+C$8)-BF151),2)</f>
        <v>0</v>
      </c>
      <c r="AK151" s="27" t="n">
        <f aca="false">ROUND(MAX(0,AK150*(1+D$8)-BG151),2)</f>
        <v>0</v>
      </c>
      <c r="AL151" s="27" t="n">
        <f aca="false">ROUND(MAX(0,AL150*(1+E$8)-BH151),2)</f>
        <v>0</v>
      </c>
      <c r="AM151" s="27" t="n">
        <f aca="false">ROUND(MAX(0,AM150*(1+F$8)-BI151),2)</f>
        <v>0</v>
      </c>
      <c r="AN151" s="27" t="n">
        <f aca="false">ROUND(MAX(0,AN150*(1+G$8)-BJ151),2)</f>
        <v>0</v>
      </c>
      <c r="AO151" s="27" t="n">
        <f aca="false">ROUND(MAX(0,AO150*(1+H$8)-BK151),2)</f>
        <v>0</v>
      </c>
      <c r="AP151" s="27" t="n">
        <f aca="false">ROUND(MAX(0,AP150*(1+I$8)-BL151),2)</f>
        <v>0</v>
      </c>
      <c r="AQ151" s="27" t="n">
        <f aca="false">ROUND(MAX(0,AQ150*(1+J$8)-BM151),2)</f>
        <v>0</v>
      </c>
      <c r="AR151" s="27" t="n">
        <f aca="false">ROUND(MAX(0,AR150*(1+K$8)-BN151),2)</f>
        <v>0</v>
      </c>
      <c r="AS151" s="27" t="n">
        <f aca="false">SUM(AI151:AR151)</f>
        <v>0</v>
      </c>
      <c r="AT151" s="27" t="n">
        <f aca="false">SUMPRODUCT(AI150:AR150,$B$8:$K$8)</f>
        <v>0</v>
      </c>
      <c r="AU151" s="27" t="n">
        <f aca="false">MIN(AI150*(1+B$8),B$9)</f>
        <v>0</v>
      </c>
      <c r="AV151" s="27" t="n">
        <f aca="false">MIN(AJ150*(1+C$8),C$9)</f>
        <v>0</v>
      </c>
      <c r="AW151" s="27" t="n">
        <f aca="false">MIN(AK150*(1+D$8),D$9)</f>
        <v>0</v>
      </c>
      <c r="AX151" s="27" t="n">
        <f aca="false">MIN(AL150*(1+E$8),E$9)</f>
        <v>0</v>
      </c>
      <c r="AY151" s="27" t="n">
        <f aca="false">MIN(AM150*(1+F$8),F$9)</f>
        <v>0</v>
      </c>
      <c r="AZ151" s="27" t="n">
        <f aca="false">MIN(AN150*(1+G$8),G$9)</f>
        <v>0</v>
      </c>
      <c r="BA151" s="27" t="n">
        <f aca="false">MIN(AO150*(1+H$8),H$9)</f>
        <v>0</v>
      </c>
      <c r="BB151" s="27" t="n">
        <f aca="false">MIN(AP150*(1+I$8),I$9)</f>
        <v>0</v>
      </c>
      <c r="BC151" s="27" t="n">
        <f aca="false">MIN(AQ150*(1+J$8),J$9)</f>
        <v>0</v>
      </c>
      <c r="BD151" s="27" t="n">
        <f aca="false">MIN(AR150*(1+K$8),K$9)</f>
        <v>0</v>
      </c>
      <c r="BE151" s="27" t="n">
        <f aca="false">MIN(AI150*(1+B$8),MAX(AU151,$B$12-SUM(AV151:BD151)))</f>
        <v>0</v>
      </c>
      <c r="BF151" s="27" t="n">
        <f aca="false">MIN(AJ150*(1+C$8),MAX(AV151,$B$12-SUM(BE151:BE151)-SUM(AW151:BD151)))</f>
        <v>0</v>
      </c>
      <c r="BG151" s="27" t="n">
        <f aca="false">MIN(AK150*(1+D$8),MAX(AW151,$B$12-SUM(BE151:BF151)-SUM(AX151:BD151)))</f>
        <v>0</v>
      </c>
      <c r="BH151" s="27" t="n">
        <f aca="false">MIN(AL150*(1+E$8),MAX(AX151,$B$12-SUM(BE151:BG151)-SUM(AY151:BD151)))</f>
        <v>0</v>
      </c>
      <c r="BI151" s="27" t="n">
        <f aca="false">MIN(AM150*(1+F$8),MAX(AY151,$B$12-SUM(BE151:BH151)-SUM(AZ151:BD151)))</f>
        <v>0</v>
      </c>
      <c r="BJ151" s="27" t="n">
        <f aca="false">MIN(AN150*(1+G$8),MAX(AZ151,$B$12-SUM(BE151:BI151)-SUM(BA151:BD151)))</f>
        <v>0</v>
      </c>
      <c r="BK151" s="27" t="n">
        <f aca="false">MIN(AO150*(1+H$8),MAX(BA151,$B$12-SUM(BE151:BJ151)-SUM(BB151:BD151)))</f>
        <v>0</v>
      </c>
      <c r="BL151" s="27" t="n">
        <f aca="false">MIN(AP150*(1+I$8),MAX(BB151,$B$12-SUM(BE151:BK151)-SUM(BC151:BD151)))</f>
        <v>0</v>
      </c>
      <c r="BM151" s="27" t="n">
        <f aca="false">MIN(AQ150*(1+J$8),MAX(BC151,$B$12-SUM(BE151:BL151)-SUM(BD151:BD151)))</f>
        <v>0</v>
      </c>
      <c r="BN151" s="27" t="n">
        <f aca="false">MIN(AR150*(1+K$8),MAX(BD151,$B$12-SUM(BE151:BM151)))</f>
        <v>0</v>
      </c>
    </row>
    <row r="152" customFormat="false" ht="15" hidden="false" customHeight="false" outlineLevel="0" collapsed="false">
      <c r="A152" s="0" t="n">
        <v>138</v>
      </c>
      <c r="B152" s="27" t="n">
        <f aca="false">ROUND(MAX(0,B151*(1+B$8)-X152),2)</f>
        <v>0</v>
      </c>
      <c r="C152" s="27" t="n">
        <f aca="false">ROUND(MAX(0,C151*(1+C$8)-Y152),2)</f>
        <v>0</v>
      </c>
      <c r="D152" s="27" t="n">
        <f aca="false">ROUND(MAX(0,D151*(1+D$8)-Z152),2)</f>
        <v>0</v>
      </c>
      <c r="E152" s="27" t="n">
        <f aca="false">ROUND(MAX(0,E151*(1+E$8)-AA152),2)</f>
        <v>0</v>
      </c>
      <c r="F152" s="27" t="n">
        <f aca="false">ROUND(MAX(0,F151*(1+F$8)-AB152),2)</f>
        <v>0</v>
      </c>
      <c r="G152" s="27" t="n">
        <f aca="false">ROUND(MAX(0,G151*(1+G$8)-AC152),2)</f>
        <v>0</v>
      </c>
      <c r="H152" s="27" t="n">
        <f aca="false">ROUND(MAX(0,H151*(1+H$8)-AD152),2)</f>
        <v>0</v>
      </c>
      <c r="I152" s="27" t="n">
        <f aca="false">ROUND(MAX(0,I151*(1+I$8)-AE152),2)</f>
        <v>0</v>
      </c>
      <c r="J152" s="27" t="n">
        <f aca="false">ROUND(MAX(0,J151*(1+J$8)-AF152),2)</f>
        <v>0</v>
      </c>
      <c r="K152" s="27" t="n">
        <f aca="false">ROUND(MAX(0,K151*(1+K$8)-AG152),2)</f>
        <v>0</v>
      </c>
      <c r="L152" s="30" t="n">
        <f aca="false">SUM(B152:K152)</f>
        <v>0</v>
      </c>
      <c r="M152" s="27" t="n">
        <f aca="false">SUMPRODUCT(B151:K151,$B$8:$K$8)</f>
        <v>0</v>
      </c>
      <c r="N152" s="27" t="n">
        <f aca="false">MIN(B151*(1+B$8),B$9)</f>
        <v>0</v>
      </c>
      <c r="O152" s="27" t="n">
        <f aca="false">MIN(C151*(1+C$8),C$9)</f>
        <v>0</v>
      </c>
      <c r="P152" s="27" t="n">
        <f aca="false">MIN(D151*(1+D$8),D$9)</f>
        <v>0</v>
      </c>
      <c r="Q152" s="27" t="n">
        <f aca="false">MIN(E151*(1+E$8),E$9)</f>
        <v>0</v>
      </c>
      <c r="R152" s="27" t="n">
        <f aca="false">MIN(F151*(1+F$8),F$9)</f>
        <v>0</v>
      </c>
      <c r="S152" s="27" t="n">
        <f aca="false">MIN(G151*(1+G$8),G$9)</f>
        <v>0</v>
      </c>
      <c r="T152" s="27" t="n">
        <f aca="false">MIN(H151*(1+H$8),H$9)</f>
        <v>0</v>
      </c>
      <c r="U152" s="27" t="n">
        <f aca="false">MIN(I151*(1+I$8),I$9)</f>
        <v>0</v>
      </c>
      <c r="V152" s="27" t="n">
        <f aca="false">MIN(J151*(1+J$8),J$9)</f>
        <v>0</v>
      </c>
      <c r="W152" s="27" t="n">
        <f aca="false">MIN(K151*(1+K$8),K$9)</f>
        <v>0</v>
      </c>
      <c r="X152" s="27" t="n">
        <f aca="false">MIN(B151*(1+B$8),MAX(N152,$B$11-SUM(O152:W152)))</f>
        <v>0</v>
      </c>
      <c r="Y152" s="27" t="n">
        <f aca="false">MIN(C151*(1+C$8),MAX(O152,$B$11-SUM(X152:X152)-SUM(P152:W152)))</f>
        <v>0</v>
      </c>
      <c r="Z152" s="27" t="n">
        <f aca="false">MIN(D151*(1+D$8),MAX(P152,$B$11-SUM(X152:Y152)-SUM(Q152:W152)))</f>
        <v>0</v>
      </c>
      <c r="AA152" s="27" t="n">
        <f aca="false">MIN(E151*(1+E$8),MAX(Q152,$B$11-SUM(X152:Z152)-SUM(R152:W152)))</f>
        <v>0</v>
      </c>
      <c r="AB152" s="27" t="n">
        <f aca="false">MIN(F151*(1+F$8),MAX(R152,$B$11-SUM(X152:AA152)-SUM(S152:W152)))</f>
        <v>0</v>
      </c>
      <c r="AC152" s="27" t="n">
        <f aca="false">MIN(G151*(1+G$8),MAX(S152,$B$11-SUM(X152:AB152)-SUM(T152:W152)))</f>
        <v>0</v>
      </c>
      <c r="AD152" s="27" t="n">
        <f aca="false">MIN(H151*(1+H$8),MAX(T152,$B$11-SUM(X152:AC152)-SUM(U152:W152)))</f>
        <v>0</v>
      </c>
      <c r="AE152" s="27" t="n">
        <f aca="false">MIN(I151*(1+I$8),MAX(U152,$B$11-SUM(X152:AD152)-SUM(V152:W152)))</f>
        <v>0</v>
      </c>
      <c r="AF152" s="27" t="n">
        <f aca="false">MIN(J151*(1+J$8),MAX(V152,$B$11-SUM(X152:AE152)-SUM(W152:W152)))</f>
        <v>0</v>
      </c>
      <c r="AG152" s="27" t="n">
        <f aca="false">MIN(K151*(1+K$8),MAX(W152,$B$11-SUM(X152:AF152)))</f>
        <v>0</v>
      </c>
      <c r="AI152" s="27" t="n">
        <f aca="false">ROUND(MAX(0,AI151*(1+B$8)-BE152),2)</f>
        <v>0</v>
      </c>
      <c r="AJ152" s="27" t="n">
        <f aca="false">ROUND(MAX(0,AJ151*(1+C$8)-BF152),2)</f>
        <v>0</v>
      </c>
      <c r="AK152" s="27" t="n">
        <f aca="false">ROUND(MAX(0,AK151*(1+D$8)-BG152),2)</f>
        <v>0</v>
      </c>
      <c r="AL152" s="27" t="n">
        <f aca="false">ROUND(MAX(0,AL151*(1+E$8)-BH152),2)</f>
        <v>0</v>
      </c>
      <c r="AM152" s="27" t="n">
        <f aca="false">ROUND(MAX(0,AM151*(1+F$8)-BI152),2)</f>
        <v>0</v>
      </c>
      <c r="AN152" s="27" t="n">
        <f aca="false">ROUND(MAX(0,AN151*(1+G$8)-BJ152),2)</f>
        <v>0</v>
      </c>
      <c r="AO152" s="27" t="n">
        <f aca="false">ROUND(MAX(0,AO151*(1+H$8)-BK152),2)</f>
        <v>0</v>
      </c>
      <c r="AP152" s="27" t="n">
        <f aca="false">ROUND(MAX(0,AP151*(1+I$8)-BL152),2)</f>
        <v>0</v>
      </c>
      <c r="AQ152" s="27" t="n">
        <f aca="false">ROUND(MAX(0,AQ151*(1+J$8)-BM152),2)</f>
        <v>0</v>
      </c>
      <c r="AR152" s="27" t="n">
        <f aca="false">ROUND(MAX(0,AR151*(1+K$8)-BN152),2)</f>
        <v>0</v>
      </c>
      <c r="AS152" s="27" t="n">
        <f aca="false">SUM(AI152:AR152)</f>
        <v>0</v>
      </c>
      <c r="AT152" s="27" t="n">
        <f aca="false">SUMPRODUCT(AI151:AR151,$B$8:$K$8)</f>
        <v>0</v>
      </c>
      <c r="AU152" s="27" t="n">
        <f aca="false">MIN(AI151*(1+B$8),B$9)</f>
        <v>0</v>
      </c>
      <c r="AV152" s="27" t="n">
        <f aca="false">MIN(AJ151*(1+C$8),C$9)</f>
        <v>0</v>
      </c>
      <c r="AW152" s="27" t="n">
        <f aca="false">MIN(AK151*(1+D$8),D$9)</f>
        <v>0</v>
      </c>
      <c r="AX152" s="27" t="n">
        <f aca="false">MIN(AL151*(1+E$8),E$9)</f>
        <v>0</v>
      </c>
      <c r="AY152" s="27" t="n">
        <f aca="false">MIN(AM151*(1+F$8),F$9)</f>
        <v>0</v>
      </c>
      <c r="AZ152" s="27" t="n">
        <f aca="false">MIN(AN151*(1+G$8),G$9)</f>
        <v>0</v>
      </c>
      <c r="BA152" s="27" t="n">
        <f aca="false">MIN(AO151*(1+H$8),H$9)</f>
        <v>0</v>
      </c>
      <c r="BB152" s="27" t="n">
        <f aca="false">MIN(AP151*(1+I$8),I$9)</f>
        <v>0</v>
      </c>
      <c r="BC152" s="27" t="n">
        <f aca="false">MIN(AQ151*(1+J$8),J$9)</f>
        <v>0</v>
      </c>
      <c r="BD152" s="27" t="n">
        <f aca="false">MIN(AR151*(1+K$8),K$9)</f>
        <v>0</v>
      </c>
      <c r="BE152" s="27" t="n">
        <f aca="false">MIN(AI151*(1+B$8),MAX(AU152,$B$12-SUM(AV152:BD152)))</f>
        <v>0</v>
      </c>
      <c r="BF152" s="27" t="n">
        <f aca="false">MIN(AJ151*(1+C$8),MAX(AV152,$B$12-SUM(BE152:BE152)-SUM(AW152:BD152)))</f>
        <v>0</v>
      </c>
      <c r="BG152" s="27" t="n">
        <f aca="false">MIN(AK151*(1+D$8),MAX(AW152,$B$12-SUM(BE152:BF152)-SUM(AX152:BD152)))</f>
        <v>0</v>
      </c>
      <c r="BH152" s="27" t="n">
        <f aca="false">MIN(AL151*(1+E$8),MAX(AX152,$B$12-SUM(BE152:BG152)-SUM(AY152:BD152)))</f>
        <v>0</v>
      </c>
      <c r="BI152" s="27" t="n">
        <f aca="false">MIN(AM151*(1+F$8),MAX(AY152,$B$12-SUM(BE152:BH152)-SUM(AZ152:BD152)))</f>
        <v>0</v>
      </c>
      <c r="BJ152" s="27" t="n">
        <f aca="false">MIN(AN151*(1+G$8),MAX(AZ152,$B$12-SUM(BE152:BI152)-SUM(BA152:BD152)))</f>
        <v>0</v>
      </c>
      <c r="BK152" s="27" t="n">
        <f aca="false">MIN(AO151*(1+H$8),MAX(BA152,$B$12-SUM(BE152:BJ152)-SUM(BB152:BD152)))</f>
        <v>0</v>
      </c>
      <c r="BL152" s="27" t="n">
        <f aca="false">MIN(AP151*(1+I$8),MAX(BB152,$B$12-SUM(BE152:BK152)-SUM(BC152:BD152)))</f>
        <v>0</v>
      </c>
      <c r="BM152" s="27" t="n">
        <f aca="false">MIN(AQ151*(1+J$8),MAX(BC152,$B$12-SUM(BE152:BL152)-SUM(BD152:BD152)))</f>
        <v>0</v>
      </c>
      <c r="BN152" s="27" t="n">
        <f aca="false">MIN(AR151*(1+K$8),MAX(BD152,$B$12-SUM(BE152:BM152)))</f>
        <v>0</v>
      </c>
    </row>
    <row r="153" customFormat="false" ht="15" hidden="false" customHeight="false" outlineLevel="0" collapsed="false">
      <c r="A153" s="0" t="n">
        <v>139</v>
      </c>
      <c r="B153" s="27" t="n">
        <f aca="false">ROUND(MAX(0,B152*(1+B$8)-X153),2)</f>
        <v>0</v>
      </c>
      <c r="C153" s="27" t="n">
        <f aca="false">ROUND(MAX(0,C152*(1+C$8)-Y153),2)</f>
        <v>0</v>
      </c>
      <c r="D153" s="27" t="n">
        <f aca="false">ROUND(MAX(0,D152*(1+D$8)-Z153),2)</f>
        <v>0</v>
      </c>
      <c r="E153" s="27" t="n">
        <f aca="false">ROUND(MAX(0,E152*(1+E$8)-AA153),2)</f>
        <v>0</v>
      </c>
      <c r="F153" s="27" t="n">
        <f aca="false">ROUND(MAX(0,F152*(1+F$8)-AB153),2)</f>
        <v>0</v>
      </c>
      <c r="G153" s="27" t="n">
        <f aca="false">ROUND(MAX(0,G152*(1+G$8)-AC153),2)</f>
        <v>0</v>
      </c>
      <c r="H153" s="27" t="n">
        <f aca="false">ROUND(MAX(0,H152*(1+H$8)-AD153),2)</f>
        <v>0</v>
      </c>
      <c r="I153" s="27" t="n">
        <f aca="false">ROUND(MAX(0,I152*(1+I$8)-AE153),2)</f>
        <v>0</v>
      </c>
      <c r="J153" s="27" t="n">
        <f aca="false">ROUND(MAX(0,J152*(1+J$8)-AF153),2)</f>
        <v>0</v>
      </c>
      <c r="K153" s="27" t="n">
        <f aca="false">ROUND(MAX(0,K152*(1+K$8)-AG153),2)</f>
        <v>0</v>
      </c>
      <c r="L153" s="30" t="n">
        <f aca="false">SUM(B153:K153)</f>
        <v>0</v>
      </c>
      <c r="M153" s="27" t="n">
        <f aca="false">SUMPRODUCT(B152:K152,$B$8:$K$8)</f>
        <v>0</v>
      </c>
      <c r="N153" s="27" t="n">
        <f aca="false">MIN(B152*(1+B$8),B$9)</f>
        <v>0</v>
      </c>
      <c r="O153" s="27" t="n">
        <f aca="false">MIN(C152*(1+C$8),C$9)</f>
        <v>0</v>
      </c>
      <c r="P153" s="27" t="n">
        <f aca="false">MIN(D152*(1+D$8),D$9)</f>
        <v>0</v>
      </c>
      <c r="Q153" s="27" t="n">
        <f aca="false">MIN(E152*(1+E$8),E$9)</f>
        <v>0</v>
      </c>
      <c r="R153" s="27" t="n">
        <f aca="false">MIN(F152*(1+F$8),F$9)</f>
        <v>0</v>
      </c>
      <c r="S153" s="27" t="n">
        <f aca="false">MIN(G152*(1+G$8),G$9)</f>
        <v>0</v>
      </c>
      <c r="T153" s="27" t="n">
        <f aca="false">MIN(H152*(1+H$8),H$9)</f>
        <v>0</v>
      </c>
      <c r="U153" s="27" t="n">
        <f aca="false">MIN(I152*(1+I$8),I$9)</f>
        <v>0</v>
      </c>
      <c r="V153" s="27" t="n">
        <f aca="false">MIN(J152*(1+J$8),J$9)</f>
        <v>0</v>
      </c>
      <c r="W153" s="27" t="n">
        <f aca="false">MIN(K152*(1+K$8),K$9)</f>
        <v>0</v>
      </c>
      <c r="X153" s="27" t="n">
        <f aca="false">MIN(B152*(1+B$8),MAX(N153,$B$11-SUM(O153:W153)))</f>
        <v>0</v>
      </c>
      <c r="Y153" s="27" t="n">
        <f aca="false">MIN(C152*(1+C$8),MAX(O153,$B$11-SUM(X153:X153)-SUM(P153:W153)))</f>
        <v>0</v>
      </c>
      <c r="Z153" s="27" t="n">
        <f aca="false">MIN(D152*(1+D$8),MAX(P153,$B$11-SUM(X153:Y153)-SUM(Q153:W153)))</f>
        <v>0</v>
      </c>
      <c r="AA153" s="27" t="n">
        <f aca="false">MIN(E152*(1+E$8),MAX(Q153,$B$11-SUM(X153:Z153)-SUM(R153:W153)))</f>
        <v>0</v>
      </c>
      <c r="AB153" s="27" t="n">
        <f aca="false">MIN(F152*(1+F$8),MAX(R153,$B$11-SUM(X153:AA153)-SUM(S153:W153)))</f>
        <v>0</v>
      </c>
      <c r="AC153" s="27" t="n">
        <f aca="false">MIN(G152*(1+G$8),MAX(S153,$B$11-SUM(X153:AB153)-SUM(T153:W153)))</f>
        <v>0</v>
      </c>
      <c r="AD153" s="27" t="n">
        <f aca="false">MIN(H152*(1+H$8),MAX(T153,$B$11-SUM(X153:AC153)-SUM(U153:W153)))</f>
        <v>0</v>
      </c>
      <c r="AE153" s="27" t="n">
        <f aca="false">MIN(I152*(1+I$8),MAX(U153,$B$11-SUM(X153:AD153)-SUM(V153:W153)))</f>
        <v>0</v>
      </c>
      <c r="AF153" s="27" t="n">
        <f aca="false">MIN(J152*(1+J$8),MAX(V153,$B$11-SUM(X153:AE153)-SUM(W153:W153)))</f>
        <v>0</v>
      </c>
      <c r="AG153" s="27" t="n">
        <f aca="false">MIN(K152*(1+K$8),MAX(W153,$B$11-SUM(X153:AF153)))</f>
        <v>0</v>
      </c>
      <c r="AI153" s="27" t="n">
        <f aca="false">ROUND(MAX(0,AI152*(1+B$8)-BE153),2)</f>
        <v>0</v>
      </c>
      <c r="AJ153" s="27" t="n">
        <f aca="false">ROUND(MAX(0,AJ152*(1+C$8)-BF153),2)</f>
        <v>0</v>
      </c>
      <c r="AK153" s="27" t="n">
        <f aca="false">ROUND(MAX(0,AK152*(1+D$8)-BG153),2)</f>
        <v>0</v>
      </c>
      <c r="AL153" s="27" t="n">
        <f aca="false">ROUND(MAX(0,AL152*(1+E$8)-BH153),2)</f>
        <v>0</v>
      </c>
      <c r="AM153" s="27" t="n">
        <f aca="false">ROUND(MAX(0,AM152*(1+F$8)-BI153),2)</f>
        <v>0</v>
      </c>
      <c r="AN153" s="27" t="n">
        <f aca="false">ROUND(MAX(0,AN152*(1+G$8)-BJ153),2)</f>
        <v>0</v>
      </c>
      <c r="AO153" s="27" t="n">
        <f aca="false">ROUND(MAX(0,AO152*(1+H$8)-BK153),2)</f>
        <v>0</v>
      </c>
      <c r="AP153" s="27" t="n">
        <f aca="false">ROUND(MAX(0,AP152*(1+I$8)-BL153),2)</f>
        <v>0</v>
      </c>
      <c r="AQ153" s="27" t="n">
        <f aca="false">ROUND(MAX(0,AQ152*(1+J$8)-BM153),2)</f>
        <v>0</v>
      </c>
      <c r="AR153" s="27" t="n">
        <f aca="false">ROUND(MAX(0,AR152*(1+K$8)-BN153),2)</f>
        <v>0</v>
      </c>
      <c r="AS153" s="27" t="n">
        <f aca="false">SUM(AI153:AR153)</f>
        <v>0</v>
      </c>
      <c r="AT153" s="27" t="n">
        <f aca="false">SUMPRODUCT(AI152:AR152,$B$8:$K$8)</f>
        <v>0</v>
      </c>
      <c r="AU153" s="27" t="n">
        <f aca="false">MIN(AI152*(1+B$8),B$9)</f>
        <v>0</v>
      </c>
      <c r="AV153" s="27" t="n">
        <f aca="false">MIN(AJ152*(1+C$8),C$9)</f>
        <v>0</v>
      </c>
      <c r="AW153" s="27" t="n">
        <f aca="false">MIN(AK152*(1+D$8),D$9)</f>
        <v>0</v>
      </c>
      <c r="AX153" s="27" t="n">
        <f aca="false">MIN(AL152*(1+E$8),E$9)</f>
        <v>0</v>
      </c>
      <c r="AY153" s="27" t="n">
        <f aca="false">MIN(AM152*(1+F$8),F$9)</f>
        <v>0</v>
      </c>
      <c r="AZ153" s="27" t="n">
        <f aca="false">MIN(AN152*(1+G$8),G$9)</f>
        <v>0</v>
      </c>
      <c r="BA153" s="27" t="n">
        <f aca="false">MIN(AO152*(1+H$8),H$9)</f>
        <v>0</v>
      </c>
      <c r="BB153" s="27" t="n">
        <f aca="false">MIN(AP152*(1+I$8),I$9)</f>
        <v>0</v>
      </c>
      <c r="BC153" s="27" t="n">
        <f aca="false">MIN(AQ152*(1+J$8),J$9)</f>
        <v>0</v>
      </c>
      <c r="BD153" s="27" t="n">
        <f aca="false">MIN(AR152*(1+K$8),K$9)</f>
        <v>0</v>
      </c>
      <c r="BE153" s="27" t="n">
        <f aca="false">MIN(AI152*(1+B$8),MAX(AU153,$B$12-SUM(AV153:BD153)))</f>
        <v>0</v>
      </c>
      <c r="BF153" s="27" t="n">
        <f aca="false">MIN(AJ152*(1+C$8),MAX(AV153,$B$12-SUM(BE153:BE153)-SUM(AW153:BD153)))</f>
        <v>0</v>
      </c>
      <c r="BG153" s="27" t="n">
        <f aca="false">MIN(AK152*(1+D$8),MAX(AW153,$B$12-SUM(BE153:BF153)-SUM(AX153:BD153)))</f>
        <v>0</v>
      </c>
      <c r="BH153" s="27" t="n">
        <f aca="false">MIN(AL152*(1+E$8),MAX(AX153,$B$12-SUM(BE153:BG153)-SUM(AY153:BD153)))</f>
        <v>0</v>
      </c>
      <c r="BI153" s="27" t="n">
        <f aca="false">MIN(AM152*(1+F$8),MAX(AY153,$B$12-SUM(BE153:BH153)-SUM(AZ153:BD153)))</f>
        <v>0</v>
      </c>
      <c r="BJ153" s="27" t="n">
        <f aca="false">MIN(AN152*(1+G$8),MAX(AZ153,$B$12-SUM(BE153:BI153)-SUM(BA153:BD153)))</f>
        <v>0</v>
      </c>
      <c r="BK153" s="27" t="n">
        <f aca="false">MIN(AO152*(1+H$8),MAX(BA153,$B$12-SUM(BE153:BJ153)-SUM(BB153:BD153)))</f>
        <v>0</v>
      </c>
      <c r="BL153" s="27" t="n">
        <f aca="false">MIN(AP152*(1+I$8),MAX(BB153,$B$12-SUM(BE153:BK153)-SUM(BC153:BD153)))</f>
        <v>0</v>
      </c>
      <c r="BM153" s="27" t="n">
        <f aca="false">MIN(AQ152*(1+J$8),MAX(BC153,$B$12-SUM(BE153:BL153)-SUM(BD153:BD153)))</f>
        <v>0</v>
      </c>
      <c r="BN153" s="27" t="n">
        <f aca="false">MIN(AR152*(1+K$8),MAX(BD153,$B$12-SUM(BE153:BM153)))</f>
        <v>0</v>
      </c>
    </row>
    <row r="154" customFormat="false" ht="15" hidden="false" customHeight="false" outlineLevel="0" collapsed="false">
      <c r="A154" s="0" t="n">
        <v>140</v>
      </c>
      <c r="B154" s="27" t="n">
        <f aca="false">ROUND(MAX(0,B153*(1+B$8)-X154),2)</f>
        <v>0</v>
      </c>
      <c r="C154" s="27" t="n">
        <f aca="false">ROUND(MAX(0,C153*(1+C$8)-Y154),2)</f>
        <v>0</v>
      </c>
      <c r="D154" s="27" t="n">
        <f aca="false">ROUND(MAX(0,D153*(1+D$8)-Z154),2)</f>
        <v>0</v>
      </c>
      <c r="E154" s="27" t="n">
        <f aca="false">ROUND(MAX(0,E153*(1+E$8)-AA154),2)</f>
        <v>0</v>
      </c>
      <c r="F154" s="27" t="n">
        <f aca="false">ROUND(MAX(0,F153*(1+F$8)-AB154),2)</f>
        <v>0</v>
      </c>
      <c r="G154" s="27" t="n">
        <f aca="false">ROUND(MAX(0,G153*(1+G$8)-AC154),2)</f>
        <v>0</v>
      </c>
      <c r="H154" s="27" t="n">
        <f aca="false">ROUND(MAX(0,H153*(1+H$8)-AD154),2)</f>
        <v>0</v>
      </c>
      <c r="I154" s="27" t="n">
        <f aca="false">ROUND(MAX(0,I153*(1+I$8)-AE154),2)</f>
        <v>0</v>
      </c>
      <c r="J154" s="27" t="n">
        <f aca="false">ROUND(MAX(0,J153*(1+J$8)-AF154),2)</f>
        <v>0</v>
      </c>
      <c r="K154" s="27" t="n">
        <f aca="false">ROUND(MAX(0,K153*(1+K$8)-AG154),2)</f>
        <v>0</v>
      </c>
      <c r="L154" s="30" t="n">
        <f aca="false">SUM(B154:K154)</f>
        <v>0</v>
      </c>
      <c r="M154" s="27" t="n">
        <f aca="false">SUMPRODUCT(B153:K153,$B$8:$K$8)</f>
        <v>0</v>
      </c>
      <c r="N154" s="27" t="n">
        <f aca="false">MIN(B153*(1+B$8),B$9)</f>
        <v>0</v>
      </c>
      <c r="O154" s="27" t="n">
        <f aca="false">MIN(C153*(1+C$8),C$9)</f>
        <v>0</v>
      </c>
      <c r="P154" s="27" t="n">
        <f aca="false">MIN(D153*(1+D$8),D$9)</f>
        <v>0</v>
      </c>
      <c r="Q154" s="27" t="n">
        <f aca="false">MIN(E153*(1+E$8),E$9)</f>
        <v>0</v>
      </c>
      <c r="R154" s="27" t="n">
        <f aca="false">MIN(F153*(1+F$8),F$9)</f>
        <v>0</v>
      </c>
      <c r="S154" s="27" t="n">
        <f aca="false">MIN(G153*(1+G$8),G$9)</f>
        <v>0</v>
      </c>
      <c r="T154" s="27" t="n">
        <f aca="false">MIN(H153*(1+H$8),H$9)</f>
        <v>0</v>
      </c>
      <c r="U154" s="27" t="n">
        <f aca="false">MIN(I153*(1+I$8),I$9)</f>
        <v>0</v>
      </c>
      <c r="V154" s="27" t="n">
        <f aca="false">MIN(J153*(1+J$8),J$9)</f>
        <v>0</v>
      </c>
      <c r="W154" s="27" t="n">
        <f aca="false">MIN(K153*(1+K$8),K$9)</f>
        <v>0</v>
      </c>
      <c r="X154" s="27" t="n">
        <f aca="false">MIN(B153*(1+B$8),MAX(N154,$B$11-SUM(O154:W154)))</f>
        <v>0</v>
      </c>
      <c r="Y154" s="27" t="n">
        <f aca="false">MIN(C153*(1+C$8),MAX(O154,$B$11-SUM(X154:X154)-SUM(P154:W154)))</f>
        <v>0</v>
      </c>
      <c r="Z154" s="27" t="n">
        <f aca="false">MIN(D153*(1+D$8),MAX(P154,$B$11-SUM(X154:Y154)-SUM(Q154:W154)))</f>
        <v>0</v>
      </c>
      <c r="AA154" s="27" t="n">
        <f aca="false">MIN(E153*(1+E$8),MAX(Q154,$B$11-SUM(X154:Z154)-SUM(R154:W154)))</f>
        <v>0</v>
      </c>
      <c r="AB154" s="27" t="n">
        <f aca="false">MIN(F153*(1+F$8),MAX(R154,$B$11-SUM(X154:AA154)-SUM(S154:W154)))</f>
        <v>0</v>
      </c>
      <c r="AC154" s="27" t="n">
        <f aca="false">MIN(G153*(1+G$8),MAX(S154,$B$11-SUM(X154:AB154)-SUM(T154:W154)))</f>
        <v>0</v>
      </c>
      <c r="AD154" s="27" t="n">
        <f aca="false">MIN(H153*(1+H$8),MAX(T154,$B$11-SUM(X154:AC154)-SUM(U154:W154)))</f>
        <v>0</v>
      </c>
      <c r="AE154" s="27" t="n">
        <f aca="false">MIN(I153*(1+I$8),MAX(U154,$B$11-SUM(X154:AD154)-SUM(V154:W154)))</f>
        <v>0</v>
      </c>
      <c r="AF154" s="27" t="n">
        <f aca="false">MIN(J153*(1+J$8),MAX(V154,$B$11-SUM(X154:AE154)-SUM(W154:W154)))</f>
        <v>0</v>
      </c>
      <c r="AG154" s="27" t="n">
        <f aca="false">MIN(K153*(1+K$8),MAX(W154,$B$11-SUM(X154:AF154)))</f>
        <v>0</v>
      </c>
      <c r="AI154" s="27" t="n">
        <f aca="false">ROUND(MAX(0,AI153*(1+B$8)-BE154),2)</f>
        <v>0</v>
      </c>
      <c r="AJ154" s="27" t="n">
        <f aca="false">ROUND(MAX(0,AJ153*(1+C$8)-BF154),2)</f>
        <v>0</v>
      </c>
      <c r="AK154" s="27" t="n">
        <f aca="false">ROUND(MAX(0,AK153*(1+D$8)-BG154),2)</f>
        <v>0</v>
      </c>
      <c r="AL154" s="27" t="n">
        <f aca="false">ROUND(MAX(0,AL153*(1+E$8)-BH154),2)</f>
        <v>0</v>
      </c>
      <c r="AM154" s="27" t="n">
        <f aca="false">ROUND(MAX(0,AM153*(1+F$8)-BI154),2)</f>
        <v>0</v>
      </c>
      <c r="AN154" s="27" t="n">
        <f aca="false">ROUND(MAX(0,AN153*(1+G$8)-BJ154),2)</f>
        <v>0</v>
      </c>
      <c r="AO154" s="27" t="n">
        <f aca="false">ROUND(MAX(0,AO153*(1+H$8)-BK154),2)</f>
        <v>0</v>
      </c>
      <c r="AP154" s="27" t="n">
        <f aca="false">ROUND(MAX(0,AP153*(1+I$8)-BL154),2)</f>
        <v>0</v>
      </c>
      <c r="AQ154" s="27" t="n">
        <f aca="false">ROUND(MAX(0,AQ153*(1+J$8)-BM154),2)</f>
        <v>0</v>
      </c>
      <c r="AR154" s="27" t="n">
        <f aca="false">ROUND(MAX(0,AR153*(1+K$8)-BN154),2)</f>
        <v>0</v>
      </c>
      <c r="AS154" s="27" t="n">
        <f aca="false">SUM(AI154:AR154)</f>
        <v>0</v>
      </c>
      <c r="AT154" s="27" t="n">
        <f aca="false">SUMPRODUCT(AI153:AR153,$B$8:$K$8)</f>
        <v>0</v>
      </c>
      <c r="AU154" s="27" t="n">
        <f aca="false">MIN(AI153*(1+B$8),B$9)</f>
        <v>0</v>
      </c>
      <c r="AV154" s="27" t="n">
        <f aca="false">MIN(AJ153*(1+C$8),C$9)</f>
        <v>0</v>
      </c>
      <c r="AW154" s="27" t="n">
        <f aca="false">MIN(AK153*(1+D$8),D$9)</f>
        <v>0</v>
      </c>
      <c r="AX154" s="27" t="n">
        <f aca="false">MIN(AL153*(1+E$8),E$9)</f>
        <v>0</v>
      </c>
      <c r="AY154" s="27" t="n">
        <f aca="false">MIN(AM153*(1+F$8),F$9)</f>
        <v>0</v>
      </c>
      <c r="AZ154" s="27" t="n">
        <f aca="false">MIN(AN153*(1+G$8),G$9)</f>
        <v>0</v>
      </c>
      <c r="BA154" s="27" t="n">
        <f aca="false">MIN(AO153*(1+H$8),H$9)</f>
        <v>0</v>
      </c>
      <c r="BB154" s="27" t="n">
        <f aca="false">MIN(AP153*(1+I$8),I$9)</f>
        <v>0</v>
      </c>
      <c r="BC154" s="27" t="n">
        <f aca="false">MIN(AQ153*(1+J$8),J$9)</f>
        <v>0</v>
      </c>
      <c r="BD154" s="27" t="n">
        <f aca="false">MIN(AR153*(1+K$8),K$9)</f>
        <v>0</v>
      </c>
      <c r="BE154" s="27" t="n">
        <f aca="false">MIN(AI153*(1+B$8),MAX(AU154,$B$12-SUM(AV154:BD154)))</f>
        <v>0</v>
      </c>
      <c r="BF154" s="27" t="n">
        <f aca="false">MIN(AJ153*(1+C$8),MAX(AV154,$B$12-SUM(BE154:BE154)-SUM(AW154:BD154)))</f>
        <v>0</v>
      </c>
      <c r="BG154" s="27" t="n">
        <f aca="false">MIN(AK153*(1+D$8),MAX(AW154,$B$12-SUM(BE154:BF154)-SUM(AX154:BD154)))</f>
        <v>0</v>
      </c>
      <c r="BH154" s="27" t="n">
        <f aca="false">MIN(AL153*(1+E$8),MAX(AX154,$B$12-SUM(BE154:BG154)-SUM(AY154:BD154)))</f>
        <v>0</v>
      </c>
      <c r="BI154" s="27" t="n">
        <f aca="false">MIN(AM153*(1+F$8),MAX(AY154,$B$12-SUM(BE154:BH154)-SUM(AZ154:BD154)))</f>
        <v>0</v>
      </c>
      <c r="BJ154" s="27" t="n">
        <f aca="false">MIN(AN153*(1+G$8),MAX(AZ154,$B$12-SUM(BE154:BI154)-SUM(BA154:BD154)))</f>
        <v>0</v>
      </c>
      <c r="BK154" s="27" t="n">
        <f aca="false">MIN(AO153*(1+H$8),MAX(BA154,$B$12-SUM(BE154:BJ154)-SUM(BB154:BD154)))</f>
        <v>0</v>
      </c>
      <c r="BL154" s="27" t="n">
        <f aca="false">MIN(AP153*(1+I$8),MAX(BB154,$B$12-SUM(BE154:BK154)-SUM(BC154:BD154)))</f>
        <v>0</v>
      </c>
      <c r="BM154" s="27" t="n">
        <f aca="false">MIN(AQ153*(1+J$8),MAX(BC154,$B$12-SUM(BE154:BL154)-SUM(BD154:BD154)))</f>
        <v>0</v>
      </c>
      <c r="BN154" s="27" t="n">
        <f aca="false">MIN(AR153*(1+K$8),MAX(BD154,$B$12-SUM(BE154:BM154)))</f>
        <v>0</v>
      </c>
    </row>
    <row r="155" customFormat="false" ht="15" hidden="false" customHeight="false" outlineLevel="0" collapsed="false">
      <c r="A155" s="0" t="n">
        <v>141</v>
      </c>
      <c r="B155" s="27" t="n">
        <f aca="false">ROUND(MAX(0,B154*(1+B$8)-X155),2)</f>
        <v>0</v>
      </c>
      <c r="C155" s="27" t="n">
        <f aca="false">ROUND(MAX(0,C154*(1+C$8)-Y155),2)</f>
        <v>0</v>
      </c>
      <c r="D155" s="27" t="n">
        <f aca="false">ROUND(MAX(0,D154*(1+D$8)-Z155),2)</f>
        <v>0</v>
      </c>
      <c r="E155" s="27" t="n">
        <f aca="false">ROUND(MAX(0,E154*(1+E$8)-AA155),2)</f>
        <v>0</v>
      </c>
      <c r="F155" s="27" t="n">
        <f aca="false">ROUND(MAX(0,F154*(1+F$8)-AB155),2)</f>
        <v>0</v>
      </c>
      <c r="G155" s="27" t="n">
        <f aca="false">ROUND(MAX(0,G154*(1+G$8)-AC155),2)</f>
        <v>0</v>
      </c>
      <c r="H155" s="27" t="n">
        <f aca="false">ROUND(MAX(0,H154*(1+H$8)-AD155),2)</f>
        <v>0</v>
      </c>
      <c r="I155" s="27" t="n">
        <f aca="false">ROUND(MAX(0,I154*(1+I$8)-AE155),2)</f>
        <v>0</v>
      </c>
      <c r="J155" s="27" t="n">
        <f aca="false">ROUND(MAX(0,J154*(1+J$8)-AF155),2)</f>
        <v>0</v>
      </c>
      <c r="K155" s="27" t="n">
        <f aca="false">ROUND(MAX(0,K154*(1+K$8)-AG155),2)</f>
        <v>0</v>
      </c>
      <c r="L155" s="30" t="n">
        <f aca="false">SUM(B155:K155)</f>
        <v>0</v>
      </c>
      <c r="M155" s="27" t="n">
        <f aca="false">SUMPRODUCT(B154:K154,$B$8:$K$8)</f>
        <v>0</v>
      </c>
      <c r="N155" s="27" t="n">
        <f aca="false">MIN(B154*(1+B$8),B$9)</f>
        <v>0</v>
      </c>
      <c r="O155" s="27" t="n">
        <f aca="false">MIN(C154*(1+C$8),C$9)</f>
        <v>0</v>
      </c>
      <c r="P155" s="27" t="n">
        <f aca="false">MIN(D154*(1+D$8),D$9)</f>
        <v>0</v>
      </c>
      <c r="Q155" s="27" t="n">
        <f aca="false">MIN(E154*(1+E$8),E$9)</f>
        <v>0</v>
      </c>
      <c r="R155" s="27" t="n">
        <f aca="false">MIN(F154*(1+F$8),F$9)</f>
        <v>0</v>
      </c>
      <c r="S155" s="27" t="n">
        <f aca="false">MIN(G154*(1+G$8),G$9)</f>
        <v>0</v>
      </c>
      <c r="T155" s="27" t="n">
        <f aca="false">MIN(H154*(1+H$8),H$9)</f>
        <v>0</v>
      </c>
      <c r="U155" s="27" t="n">
        <f aca="false">MIN(I154*(1+I$8),I$9)</f>
        <v>0</v>
      </c>
      <c r="V155" s="27" t="n">
        <f aca="false">MIN(J154*(1+J$8),J$9)</f>
        <v>0</v>
      </c>
      <c r="W155" s="27" t="n">
        <f aca="false">MIN(K154*(1+K$8),K$9)</f>
        <v>0</v>
      </c>
      <c r="X155" s="27" t="n">
        <f aca="false">MIN(B154*(1+B$8),MAX(N155,$B$11-SUM(O155:W155)))</f>
        <v>0</v>
      </c>
      <c r="Y155" s="27" t="n">
        <f aca="false">MIN(C154*(1+C$8),MAX(O155,$B$11-SUM(X155:X155)-SUM(P155:W155)))</f>
        <v>0</v>
      </c>
      <c r="Z155" s="27" t="n">
        <f aca="false">MIN(D154*(1+D$8),MAX(P155,$B$11-SUM(X155:Y155)-SUM(Q155:W155)))</f>
        <v>0</v>
      </c>
      <c r="AA155" s="27" t="n">
        <f aca="false">MIN(E154*(1+E$8),MAX(Q155,$B$11-SUM(X155:Z155)-SUM(R155:W155)))</f>
        <v>0</v>
      </c>
      <c r="AB155" s="27" t="n">
        <f aca="false">MIN(F154*(1+F$8),MAX(R155,$B$11-SUM(X155:AA155)-SUM(S155:W155)))</f>
        <v>0</v>
      </c>
      <c r="AC155" s="27" t="n">
        <f aca="false">MIN(G154*(1+G$8),MAX(S155,$B$11-SUM(X155:AB155)-SUM(T155:W155)))</f>
        <v>0</v>
      </c>
      <c r="AD155" s="27" t="n">
        <f aca="false">MIN(H154*(1+H$8),MAX(T155,$B$11-SUM(X155:AC155)-SUM(U155:W155)))</f>
        <v>0</v>
      </c>
      <c r="AE155" s="27" t="n">
        <f aca="false">MIN(I154*(1+I$8),MAX(U155,$B$11-SUM(X155:AD155)-SUM(V155:W155)))</f>
        <v>0</v>
      </c>
      <c r="AF155" s="27" t="n">
        <f aca="false">MIN(J154*(1+J$8),MAX(V155,$B$11-SUM(X155:AE155)-SUM(W155:W155)))</f>
        <v>0</v>
      </c>
      <c r="AG155" s="27" t="n">
        <f aca="false">MIN(K154*(1+K$8),MAX(W155,$B$11-SUM(X155:AF155)))</f>
        <v>0</v>
      </c>
      <c r="AI155" s="27" t="n">
        <f aca="false">ROUND(MAX(0,AI154*(1+B$8)-BE155),2)</f>
        <v>0</v>
      </c>
      <c r="AJ155" s="27" t="n">
        <f aca="false">ROUND(MAX(0,AJ154*(1+C$8)-BF155),2)</f>
        <v>0</v>
      </c>
      <c r="AK155" s="27" t="n">
        <f aca="false">ROUND(MAX(0,AK154*(1+D$8)-BG155),2)</f>
        <v>0</v>
      </c>
      <c r="AL155" s="27" t="n">
        <f aca="false">ROUND(MAX(0,AL154*(1+E$8)-BH155),2)</f>
        <v>0</v>
      </c>
      <c r="AM155" s="27" t="n">
        <f aca="false">ROUND(MAX(0,AM154*(1+F$8)-BI155),2)</f>
        <v>0</v>
      </c>
      <c r="AN155" s="27" t="n">
        <f aca="false">ROUND(MAX(0,AN154*(1+G$8)-BJ155),2)</f>
        <v>0</v>
      </c>
      <c r="AO155" s="27" t="n">
        <f aca="false">ROUND(MAX(0,AO154*(1+H$8)-BK155),2)</f>
        <v>0</v>
      </c>
      <c r="AP155" s="27" t="n">
        <f aca="false">ROUND(MAX(0,AP154*(1+I$8)-BL155),2)</f>
        <v>0</v>
      </c>
      <c r="AQ155" s="27" t="n">
        <f aca="false">ROUND(MAX(0,AQ154*(1+J$8)-BM155),2)</f>
        <v>0</v>
      </c>
      <c r="AR155" s="27" t="n">
        <f aca="false">ROUND(MAX(0,AR154*(1+K$8)-BN155),2)</f>
        <v>0</v>
      </c>
      <c r="AS155" s="27" t="n">
        <f aca="false">SUM(AI155:AR155)</f>
        <v>0</v>
      </c>
      <c r="AT155" s="27" t="n">
        <f aca="false">SUMPRODUCT(AI154:AR154,$B$8:$K$8)</f>
        <v>0</v>
      </c>
      <c r="AU155" s="27" t="n">
        <f aca="false">MIN(AI154*(1+B$8),B$9)</f>
        <v>0</v>
      </c>
      <c r="AV155" s="27" t="n">
        <f aca="false">MIN(AJ154*(1+C$8),C$9)</f>
        <v>0</v>
      </c>
      <c r="AW155" s="27" t="n">
        <f aca="false">MIN(AK154*(1+D$8),D$9)</f>
        <v>0</v>
      </c>
      <c r="AX155" s="27" t="n">
        <f aca="false">MIN(AL154*(1+E$8),E$9)</f>
        <v>0</v>
      </c>
      <c r="AY155" s="27" t="n">
        <f aca="false">MIN(AM154*(1+F$8),F$9)</f>
        <v>0</v>
      </c>
      <c r="AZ155" s="27" t="n">
        <f aca="false">MIN(AN154*(1+G$8),G$9)</f>
        <v>0</v>
      </c>
      <c r="BA155" s="27" t="n">
        <f aca="false">MIN(AO154*(1+H$8),H$9)</f>
        <v>0</v>
      </c>
      <c r="BB155" s="27" t="n">
        <f aca="false">MIN(AP154*(1+I$8),I$9)</f>
        <v>0</v>
      </c>
      <c r="BC155" s="27" t="n">
        <f aca="false">MIN(AQ154*(1+J$8),J$9)</f>
        <v>0</v>
      </c>
      <c r="BD155" s="27" t="n">
        <f aca="false">MIN(AR154*(1+K$8),K$9)</f>
        <v>0</v>
      </c>
      <c r="BE155" s="27" t="n">
        <f aca="false">MIN(AI154*(1+B$8),MAX(AU155,$B$12-SUM(AV155:BD155)))</f>
        <v>0</v>
      </c>
      <c r="BF155" s="27" t="n">
        <f aca="false">MIN(AJ154*(1+C$8),MAX(AV155,$B$12-SUM(BE155:BE155)-SUM(AW155:BD155)))</f>
        <v>0</v>
      </c>
      <c r="BG155" s="27" t="n">
        <f aca="false">MIN(AK154*(1+D$8),MAX(AW155,$B$12-SUM(BE155:BF155)-SUM(AX155:BD155)))</f>
        <v>0</v>
      </c>
      <c r="BH155" s="27" t="n">
        <f aca="false">MIN(AL154*(1+E$8),MAX(AX155,$B$12-SUM(BE155:BG155)-SUM(AY155:BD155)))</f>
        <v>0</v>
      </c>
      <c r="BI155" s="27" t="n">
        <f aca="false">MIN(AM154*(1+F$8),MAX(AY155,$B$12-SUM(BE155:BH155)-SUM(AZ155:BD155)))</f>
        <v>0</v>
      </c>
      <c r="BJ155" s="27" t="n">
        <f aca="false">MIN(AN154*(1+G$8),MAX(AZ155,$B$12-SUM(BE155:BI155)-SUM(BA155:BD155)))</f>
        <v>0</v>
      </c>
      <c r="BK155" s="27" t="n">
        <f aca="false">MIN(AO154*(1+H$8),MAX(BA155,$B$12-SUM(BE155:BJ155)-SUM(BB155:BD155)))</f>
        <v>0</v>
      </c>
      <c r="BL155" s="27" t="n">
        <f aca="false">MIN(AP154*(1+I$8),MAX(BB155,$B$12-SUM(BE155:BK155)-SUM(BC155:BD155)))</f>
        <v>0</v>
      </c>
      <c r="BM155" s="27" t="n">
        <f aca="false">MIN(AQ154*(1+J$8),MAX(BC155,$B$12-SUM(BE155:BL155)-SUM(BD155:BD155)))</f>
        <v>0</v>
      </c>
      <c r="BN155" s="27" t="n">
        <f aca="false">MIN(AR154*(1+K$8),MAX(BD155,$B$12-SUM(BE155:BM155)))</f>
        <v>0</v>
      </c>
    </row>
    <row r="156" customFormat="false" ht="15" hidden="false" customHeight="false" outlineLevel="0" collapsed="false">
      <c r="A156" s="0" t="n">
        <v>142</v>
      </c>
      <c r="B156" s="27" t="n">
        <f aca="false">ROUND(MAX(0,B155*(1+B$8)-X156),2)</f>
        <v>0</v>
      </c>
      <c r="C156" s="27" t="n">
        <f aca="false">ROUND(MAX(0,C155*(1+C$8)-Y156),2)</f>
        <v>0</v>
      </c>
      <c r="D156" s="27" t="n">
        <f aca="false">ROUND(MAX(0,D155*(1+D$8)-Z156),2)</f>
        <v>0</v>
      </c>
      <c r="E156" s="27" t="n">
        <f aca="false">ROUND(MAX(0,E155*(1+E$8)-AA156),2)</f>
        <v>0</v>
      </c>
      <c r="F156" s="27" t="n">
        <f aca="false">ROUND(MAX(0,F155*(1+F$8)-AB156),2)</f>
        <v>0</v>
      </c>
      <c r="G156" s="27" t="n">
        <f aca="false">ROUND(MAX(0,G155*(1+G$8)-AC156),2)</f>
        <v>0</v>
      </c>
      <c r="H156" s="27" t="n">
        <f aca="false">ROUND(MAX(0,H155*(1+H$8)-AD156),2)</f>
        <v>0</v>
      </c>
      <c r="I156" s="27" t="n">
        <f aca="false">ROUND(MAX(0,I155*(1+I$8)-AE156),2)</f>
        <v>0</v>
      </c>
      <c r="J156" s="27" t="n">
        <f aca="false">ROUND(MAX(0,J155*(1+J$8)-AF156),2)</f>
        <v>0</v>
      </c>
      <c r="K156" s="27" t="n">
        <f aca="false">ROUND(MAX(0,K155*(1+K$8)-AG156),2)</f>
        <v>0</v>
      </c>
      <c r="L156" s="30" t="n">
        <f aca="false">SUM(B156:K156)</f>
        <v>0</v>
      </c>
      <c r="M156" s="27" t="n">
        <f aca="false">SUMPRODUCT(B155:K155,$B$8:$K$8)</f>
        <v>0</v>
      </c>
      <c r="N156" s="27" t="n">
        <f aca="false">MIN(B155*(1+B$8),B$9)</f>
        <v>0</v>
      </c>
      <c r="O156" s="27" t="n">
        <f aca="false">MIN(C155*(1+C$8),C$9)</f>
        <v>0</v>
      </c>
      <c r="P156" s="27" t="n">
        <f aca="false">MIN(D155*(1+D$8),D$9)</f>
        <v>0</v>
      </c>
      <c r="Q156" s="27" t="n">
        <f aca="false">MIN(E155*(1+E$8),E$9)</f>
        <v>0</v>
      </c>
      <c r="R156" s="27" t="n">
        <f aca="false">MIN(F155*(1+F$8),F$9)</f>
        <v>0</v>
      </c>
      <c r="S156" s="27" t="n">
        <f aca="false">MIN(G155*(1+G$8),G$9)</f>
        <v>0</v>
      </c>
      <c r="T156" s="27" t="n">
        <f aca="false">MIN(H155*(1+H$8),H$9)</f>
        <v>0</v>
      </c>
      <c r="U156" s="27" t="n">
        <f aca="false">MIN(I155*(1+I$8),I$9)</f>
        <v>0</v>
      </c>
      <c r="V156" s="27" t="n">
        <f aca="false">MIN(J155*(1+J$8),J$9)</f>
        <v>0</v>
      </c>
      <c r="W156" s="27" t="n">
        <f aca="false">MIN(K155*(1+K$8),K$9)</f>
        <v>0</v>
      </c>
      <c r="X156" s="27" t="n">
        <f aca="false">MIN(B155*(1+B$8),MAX(N156,$B$11-SUM(O156:W156)))</f>
        <v>0</v>
      </c>
      <c r="Y156" s="27" t="n">
        <f aca="false">MIN(C155*(1+C$8),MAX(O156,$B$11-SUM(X156:X156)-SUM(P156:W156)))</f>
        <v>0</v>
      </c>
      <c r="Z156" s="27" t="n">
        <f aca="false">MIN(D155*(1+D$8),MAX(P156,$B$11-SUM(X156:Y156)-SUM(Q156:W156)))</f>
        <v>0</v>
      </c>
      <c r="AA156" s="27" t="n">
        <f aca="false">MIN(E155*(1+E$8),MAX(Q156,$B$11-SUM(X156:Z156)-SUM(R156:W156)))</f>
        <v>0</v>
      </c>
      <c r="AB156" s="27" t="n">
        <f aca="false">MIN(F155*(1+F$8),MAX(R156,$B$11-SUM(X156:AA156)-SUM(S156:W156)))</f>
        <v>0</v>
      </c>
      <c r="AC156" s="27" t="n">
        <f aca="false">MIN(G155*(1+G$8),MAX(S156,$B$11-SUM(X156:AB156)-SUM(T156:W156)))</f>
        <v>0</v>
      </c>
      <c r="AD156" s="27" t="n">
        <f aca="false">MIN(H155*(1+H$8),MAX(T156,$B$11-SUM(X156:AC156)-SUM(U156:W156)))</f>
        <v>0</v>
      </c>
      <c r="AE156" s="27" t="n">
        <f aca="false">MIN(I155*(1+I$8),MAX(U156,$B$11-SUM(X156:AD156)-SUM(V156:W156)))</f>
        <v>0</v>
      </c>
      <c r="AF156" s="27" t="n">
        <f aca="false">MIN(J155*(1+J$8),MAX(V156,$B$11-SUM(X156:AE156)-SUM(W156:W156)))</f>
        <v>0</v>
      </c>
      <c r="AG156" s="27" t="n">
        <f aca="false">MIN(K155*(1+K$8),MAX(W156,$B$11-SUM(X156:AF156)))</f>
        <v>0</v>
      </c>
      <c r="AI156" s="27" t="n">
        <f aca="false">ROUND(MAX(0,AI155*(1+B$8)-BE156),2)</f>
        <v>0</v>
      </c>
      <c r="AJ156" s="27" t="n">
        <f aca="false">ROUND(MAX(0,AJ155*(1+C$8)-BF156),2)</f>
        <v>0</v>
      </c>
      <c r="AK156" s="27" t="n">
        <f aca="false">ROUND(MAX(0,AK155*(1+D$8)-BG156),2)</f>
        <v>0</v>
      </c>
      <c r="AL156" s="27" t="n">
        <f aca="false">ROUND(MAX(0,AL155*(1+E$8)-BH156),2)</f>
        <v>0</v>
      </c>
      <c r="AM156" s="27" t="n">
        <f aca="false">ROUND(MAX(0,AM155*(1+F$8)-BI156),2)</f>
        <v>0</v>
      </c>
      <c r="AN156" s="27" t="n">
        <f aca="false">ROUND(MAX(0,AN155*(1+G$8)-BJ156),2)</f>
        <v>0</v>
      </c>
      <c r="AO156" s="27" t="n">
        <f aca="false">ROUND(MAX(0,AO155*(1+H$8)-BK156),2)</f>
        <v>0</v>
      </c>
      <c r="AP156" s="27" t="n">
        <f aca="false">ROUND(MAX(0,AP155*(1+I$8)-BL156),2)</f>
        <v>0</v>
      </c>
      <c r="AQ156" s="27" t="n">
        <f aca="false">ROUND(MAX(0,AQ155*(1+J$8)-BM156),2)</f>
        <v>0</v>
      </c>
      <c r="AR156" s="27" t="n">
        <f aca="false">ROUND(MAX(0,AR155*(1+K$8)-BN156),2)</f>
        <v>0</v>
      </c>
      <c r="AS156" s="27" t="n">
        <f aca="false">SUM(AI156:AR156)</f>
        <v>0</v>
      </c>
      <c r="AT156" s="27" t="n">
        <f aca="false">SUMPRODUCT(AI155:AR155,$B$8:$K$8)</f>
        <v>0</v>
      </c>
      <c r="AU156" s="27" t="n">
        <f aca="false">MIN(AI155*(1+B$8),B$9)</f>
        <v>0</v>
      </c>
      <c r="AV156" s="27" t="n">
        <f aca="false">MIN(AJ155*(1+C$8),C$9)</f>
        <v>0</v>
      </c>
      <c r="AW156" s="27" t="n">
        <f aca="false">MIN(AK155*(1+D$8),D$9)</f>
        <v>0</v>
      </c>
      <c r="AX156" s="27" t="n">
        <f aca="false">MIN(AL155*(1+E$8),E$9)</f>
        <v>0</v>
      </c>
      <c r="AY156" s="27" t="n">
        <f aca="false">MIN(AM155*(1+F$8),F$9)</f>
        <v>0</v>
      </c>
      <c r="AZ156" s="27" t="n">
        <f aca="false">MIN(AN155*(1+G$8),G$9)</f>
        <v>0</v>
      </c>
      <c r="BA156" s="27" t="n">
        <f aca="false">MIN(AO155*(1+H$8),H$9)</f>
        <v>0</v>
      </c>
      <c r="BB156" s="27" t="n">
        <f aca="false">MIN(AP155*(1+I$8),I$9)</f>
        <v>0</v>
      </c>
      <c r="BC156" s="27" t="n">
        <f aca="false">MIN(AQ155*(1+J$8),J$9)</f>
        <v>0</v>
      </c>
      <c r="BD156" s="27" t="n">
        <f aca="false">MIN(AR155*(1+K$8),K$9)</f>
        <v>0</v>
      </c>
      <c r="BE156" s="27" t="n">
        <f aca="false">MIN(AI155*(1+B$8),MAX(AU156,$B$12-SUM(AV156:BD156)))</f>
        <v>0</v>
      </c>
      <c r="BF156" s="27" t="n">
        <f aca="false">MIN(AJ155*(1+C$8),MAX(AV156,$B$12-SUM(BE156:BE156)-SUM(AW156:BD156)))</f>
        <v>0</v>
      </c>
      <c r="BG156" s="27" t="n">
        <f aca="false">MIN(AK155*(1+D$8),MAX(AW156,$B$12-SUM(BE156:BF156)-SUM(AX156:BD156)))</f>
        <v>0</v>
      </c>
      <c r="BH156" s="27" t="n">
        <f aca="false">MIN(AL155*(1+E$8),MAX(AX156,$B$12-SUM(BE156:BG156)-SUM(AY156:BD156)))</f>
        <v>0</v>
      </c>
      <c r="BI156" s="27" t="n">
        <f aca="false">MIN(AM155*(1+F$8),MAX(AY156,$B$12-SUM(BE156:BH156)-SUM(AZ156:BD156)))</f>
        <v>0</v>
      </c>
      <c r="BJ156" s="27" t="n">
        <f aca="false">MIN(AN155*(1+G$8),MAX(AZ156,$B$12-SUM(BE156:BI156)-SUM(BA156:BD156)))</f>
        <v>0</v>
      </c>
      <c r="BK156" s="27" t="n">
        <f aca="false">MIN(AO155*(1+H$8),MAX(BA156,$B$12-SUM(BE156:BJ156)-SUM(BB156:BD156)))</f>
        <v>0</v>
      </c>
      <c r="BL156" s="27" t="n">
        <f aca="false">MIN(AP155*(1+I$8),MAX(BB156,$B$12-SUM(BE156:BK156)-SUM(BC156:BD156)))</f>
        <v>0</v>
      </c>
      <c r="BM156" s="27" t="n">
        <f aca="false">MIN(AQ155*(1+J$8),MAX(BC156,$B$12-SUM(BE156:BL156)-SUM(BD156:BD156)))</f>
        <v>0</v>
      </c>
      <c r="BN156" s="27" t="n">
        <f aca="false">MIN(AR155*(1+K$8),MAX(BD156,$B$12-SUM(BE156:BM156)))</f>
        <v>0</v>
      </c>
    </row>
    <row r="157" customFormat="false" ht="15" hidden="false" customHeight="false" outlineLevel="0" collapsed="false">
      <c r="A157" s="0" t="n">
        <v>143</v>
      </c>
      <c r="B157" s="27" t="n">
        <f aca="false">ROUND(MAX(0,B156*(1+B$8)-X157),2)</f>
        <v>0</v>
      </c>
      <c r="C157" s="27" t="n">
        <f aca="false">ROUND(MAX(0,C156*(1+C$8)-Y157),2)</f>
        <v>0</v>
      </c>
      <c r="D157" s="27" t="n">
        <f aca="false">ROUND(MAX(0,D156*(1+D$8)-Z157),2)</f>
        <v>0</v>
      </c>
      <c r="E157" s="27" t="n">
        <f aca="false">ROUND(MAX(0,E156*(1+E$8)-AA157),2)</f>
        <v>0</v>
      </c>
      <c r="F157" s="27" t="n">
        <f aca="false">ROUND(MAX(0,F156*(1+F$8)-AB157),2)</f>
        <v>0</v>
      </c>
      <c r="G157" s="27" t="n">
        <f aca="false">ROUND(MAX(0,G156*(1+G$8)-AC157),2)</f>
        <v>0</v>
      </c>
      <c r="H157" s="27" t="n">
        <f aca="false">ROUND(MAX(0,H156*(1+H$8)-AD157),2)</f>
        <v>0</v>
      </c>
      <c r="I157" s="27" t="n">
        <f aca="false">ROUND(MAX(0,I156*(1+I$8)-AE157),2)</f>
        <v>0</v>
      </c>
      <c r="J157" s="27" t="n">
        <f aca="false">ROUND(MAX(0,J156*(1+J$8)-AF157),2)</f>
        <v>0</v>
      </c>
      <c r="K157" s="27" t="n">
        <f aca="false">ROUND(MAX(0,K156*(1+K$8)-AG157),2)</f>
        <v>0</v>
      </c>
      <c r="L157" s="30" t="n">
        <f aca="false">SUM(B157:K157)</f>
        <v>0</v>
      </c>
      <c r="M157" s="27" t="n">
        <f aca="false">SUMPRODUCT(B156:K156,$B$8:$K$8)</f>
        <v>0</v>
      </c>
      <c r="N157" s="27" t="n">
        <f aca="false">MIN(B156*(1+B$8),B$9)</f>
        <v>0</v>
      </c>
      <c r="O157" s="27" t="n">
        <f aca="false">MIN(C156*(1+C$8),C$9)</f>
        <v>0</v>
      </c>
      <c r="P157" s="27" t="n">
        <f aca="false">MIN(D156*(1+D$8),D$9)</f>
        <v>0</v>
      </c>
      <c r="Q157" s="27" t="n">
        <f aca="false">MIN(E156*(1+E$8),E$9)</f>
        <v>0</v>
      </c>
      <c r="R157" s="27" t="n">
        <f aca="false">MIN(F156*(1+F$8),F$9)</f>
        <v>0</v>
      </c>
      <c r="S157" s="27" t="n">
        <f aca="false">MIN(G156*(1+G$8),G$9)</f>
        <v>0</v>
      </c>
      <c r="T157" s="27" t="n">
        <f aca="false">MIN(H156*(1+H$8),H$9)</f>
        <v>0</v>
      </c>
      <c r="U157" s="27" t="n">
        <f aca="false">MIN(I156*(1+I$8),I$9)</f>
        <v>0</v>
      </c>
      <c r="V157" s="27" t="n">
        <f aca="false">MIN(J156*(1+J$8),J$9)</f>
        <v>0</v>
      </c>
      <c r="W157" s="27" t="n">
        <f aca="false">MIN(K156*(1+K$8),K$9)</f>
        <v>0</v>
      </c>
      <c r="X157" s="27" t="n">
        <f aca="false">MIN(B156*(1+B$8),MAX(N157,$B$11-SUM(O157:W157)))</f>
        <v>0</v>
      </c>
      <c r="Y157" s="27" t="n">
        <f aca="false">MIN(C156*(1+C$8),MAX(O157,$B$11-SUM(X157:X157)-SUM(P157:W157)))</f>
        <v>0</v>
      </c>
      <c r="Z157" s="27" t="n">
        <f aca="false">MIN(D156*(1+D$8),MAX(P157,$B$11-SUM(X157:Y157)-SUM(Q157:W157)))</f>
        <v>0</v>
      </c>
      <c r="AA157" s="27" t="n">
        <f aca="false">MIN(E156*(1+E$8),MAX(Q157,$B$11-SUM(X157:Z157)-SUM(R157:W157)))</f>
        <v>0</v>
      </c>
      <c r="AB157" s="27" t="n">
        <f aca="false">MIN(F156*(1+F$8),MAX(R157,$B$11-SUM(X157:AA157)-SUM(S157:W157)))</f>
        <v>0</v>
      </c>
      <c r="AC157" s="27" t="n">
        <f aca="false">MIN(G156*(1+G$8),MAX(S157,$B$11-SUM(X157:AB157)-SUM(T157:W157)))</f>
        <v>0</v>
      </c>
      <c r="AD157" s="27" t="n">
        <f aca="false">MIN(H156*(1+H$8),MAX(T157,$B$11-SUM(X157:AC157)-SUM(U157:W157)))</f>
        <v>0</v>
      </c>
      <c r="AE157" s="27" t="n">
        <f aca="false">MIN(I156*(1+I$8),MAX(U157,$B$11-SUM(X157:AD157)-SUM(V157:W157)))</f>
        <v>0</v>
      </c>
      <c r="AF157" s="27" t="n">
        <f aca="false">MIN(J156*(1+J$8),MAX(V157,$B$11-SUM(X157:AE157)-SUM(W157:W157)))</f>
        <v>0</v>
      </c>
      <c r="AG157" s="27" t="n">
        <f aca="false">MIN(K156*(1+K$8),MAX(W157,$B$11-SUM(X157:AF157)))</f>
        <v>0</v>
      </c>
      <c r="AI157" s="27" t="n">
        <f aca="false">ROUND(MAX(0,AI156*(1+B$8)-BE157),2)</f>
        <v>0</v>
      </c>
      <c r="AJ157" s="27" t="n">
        <f aca="false">ROUND(MAX(0,AJ156*(1+C$8)-BF157),2)</f>
        <v>0</v>
      </c>
      <c r="AK157" s="27" t="n">
        <f aca="false">ROUND(MAX(0,AK156*(1+D$8)-BG157),2)</f>
        <v>0</v>
      </c>
      <c r="AL157" s="27" t="n">
        <f aca="false">ROUND(MAX(0,AL156*(1+E$8)-BH157),2)</f>
        <v>0</v>
      </c>
      <c r="AM157" s="27" t="n">
        <f aca="false">ROUND(MAX(0,AM156*(1+F$8)-BI157),2)</f>
        <v>0</v>
      </c>
      <c r="AN157" s="27" t="n">
        <f aca="false">ROUND(MAX(0,AN156*(1+G$8)-BJ157),2)</f>
        <v>0</v>
      </c>
      <c r="AO157" s="27" t="n">
        <f aca="false">ROUND(MAX(0,AO156*(1+H$8)-BK157),2)</f>
        <v>0</v>
      </c>
      <c r="AP157" s="27" t="n">
        <f aca="false">ROUND(MAX(0,AP156*(1+I$8)-BL157),2)</f>
        <v>0</v>
      </c>
      <c r="AQ157" s="27" t="n">
        <f aca="false">ROUND(MAX(0,AQ156*(1+J$8)-BM157),2)</f>
        <v>0</v>
      </c>
      <c r="AR157" s="27" t="n">
        <f aca="false">ROUND(MAX(0,AR156*(1+K$8)-BN157),2)</f>
        <v>0</v>
      </c>
      <c r="AS157" s="27" t="n">
        <f aca="false">SUM(AI157:AR157)</f>
        <v>0</v>
      </c>
      <c r="AT157" s="27" t="n">
        <f aca="false">SUMPRODUCT(AI156:AR156,$B$8:$K$8)</f>
        <v>0</v>
      </c>
      <c r="AU157" s="27" t="n">
        <f aca="false">MIN(AI156*(1+B$8),B$9)</f>
        <v>0</v>
      </c>
      <c r="AV157" s="27" t="n">
        <f aca="false">MIN(AJ156*(1+C$8),C$9)</f>
        <v>0</v>
      </c>
      <c r="AW157" s="27" t="n">
        <f aca="false">MIN(AK156*(1+D$8),D$9)</f>
        <v>0</v>
      </c>
      <c r="AX157" s="27" t="n">
        <f aca="false">MIN(AL156*(1+E$8),E$9)</f>
        <v>0</v>
      </c>
      <c r="AY157" s="27" t="n">
        <f aca="false">MIN(AM156*(1+F$8),F$9)</f>
        <v>0</v>
      </c>
      <c r="AZ157" s="27" t="n">
        <f aca="false">MIN(AN156*(1+G$8),G$9)</f>
        <v>0</v>
      </c>
      <c r="BA157" s="27" t="n">
        <f aca="false">MIN(AO156*(1+H$8),H$9)</f>
        <v>0</v>
      </c>
      <c r="BB157" s="27" t="n">
        <f aca="false">MIN(AP156*(1+I$8),I$9)</f>
        <v>0</v>
      </c>
      <c r="BC157" s="27" t="n">
        <f aca="false">MIN(AQ156*(1+J$8),J$9)</f>
        <v>0</v>
      </c>
      <c r="BD157" s="27" t="n">
        <f aca="false">MIN(AR156*(1+K$8),K$9)</f>
        <v>0</v>
      </c>
      <c r="BE157" s="27" t="n">
        <f aca="false">MIN(AI156*(1+B$8),MAX(AU157,$B$12-SUM(AV157:BD157)))</f>
        <v>0</v>
      </c>
      <c r="BF157" s="27" t="n">
        <f aca="false">MIN(AJ156*(1+C$8),MAX(AV157,$B$12-SUM(BE157:BE157)-SUM(AW157:BD157)))</f>
        <v>0</v>
      </c>
      <c r="BG157" s="27" t="n">
        <f aca="false">MIN(AK156*(1+D$8),MAX(AW157,$B$12-SUM(BE157:BF157)-SUM(AX157:BD157)))</f>
        <v>0</v>
      </c>
      <c r="BH157" s="27" t="n">
        <f aca="false">MIN(AL156*(1+E$8),MAX(AX157,$B$12-SUM(BE157:BG157)-SUM(AY157:BD157)))</f>
        <v>0</v>
      </c>
      <c r="BI157" s="27" t="n">
        <f aca="false">MIN(AM156*(1+F$8),MAX(AY157,$B$12-SUM(BE157:BH157)-SUM(AZ157:BD157)))</f>
        <v>0</v>
      </c>
      <c r="BJ157" s="27" t="n">
        <f aca="false">MIN(AN156*(1+G$8),MAX(AZ157,$B$12-SUM(BE157:BI157)-SUM(BA157:BD157)))</f>
        <v>0</v>
      </c>
      <c r="BK157" s="27" t="n">
        <f aca="false">MIN(AO156*(1+H$8),MAX(BA157,$B$12-SUM(BE157:BJ157)-SUM(BB157:BD157)))</f>
        <v>0</v>
      </c>
      <c r="BL157" s="27" t="n">
        <f aca="false">MIN(AP156*(1+I$8),MAX(BB157,$B$12-SUM(BE157:BK157)-SUM(BC157:BD157)))</f>
        <v>0</v>
      </c>
      <c r="BM157" s="27" t="n">
        <f aca="false">MIN(AQ156*(1+J$8),MAX(BC157,$B$12-SUM(BE157:BL157)-SUM(BD157:BD157)))</f>
        <v>0</v>
      </c>
      <c r="BN157" s="27" t="n">
        <f aca="false">MIN(AR156*(1+K$8),MAX(BD157,$B$12-SUM(BE157:BM157)))</f>
        <v>0</v>
      </c>
    </row>
    <row r="158" customFormat="false" ht="15" hidden="false" customHeight="false" outlineLevel="0" collapsed="false">
      <c r="A158" s="0" t="n">
        <v>144</v>
      </c>
      <c r="B158" s="27" t="n">
        <f aca="false">ROUND(MAX(0,B157*(1+B$8)-X158),2)</f>
        <v>0</v>
      </c>
      <c r="C158" s="27" t="n">
        <f aca="false">ROUND(MAX(0,C157*(1+C$8)-Y158),2)</f>
        <v>0</v>
      </c>
      <c r="D158" s="27" t="n">
        <f aca="false">ROUND(MAX(0,D157*(1+D$8)-Z158),2)</f>
        <v>0</v>
      </c>
      <c r="E158" s="27" t="n">
        <f aca="false">ROUND(MAX(0,E157*(1+E$8)-AA158),2)</f>
        <v>0</v>
      </c>
      <c r="F158" s="27" t="n">
        <f aca="false">ROUND(MAX(0,F157*(1+F$8)-AB158),2)</f>
        <v>0</v>
      </c>
      <c r="G158" s="27" t="n">
        <f aca="false">ROUND(MAX(0,G157*(1+G$8)-AC158),2)</f>
        <v>0</v>
      </c>
      <c r="H158" s="27" t="n">
        <f aca="false">ROUND(MAX(0,H157*(1+H$8)-AD158),2)</f>
        <v>0</v>
      </c>
      <c r="I158" s="27" t="n">
        <f aca="false">ROUND(MAX(0,I157*(1+I$8)-AE158),2)</f>
        <v>0</v>
      </c>
      <c r="J158" s="27" t="n">
        <f aca="false">ROUND(MAX(0,J157*(1+J$8)-AF158),2)</f>
        <v>0</v>
      </c>
      <c r="K158" s="27" t="n">
        <f aca="false">ROUND(MAX(0,K157*(1+K$8)-AG158),2)</f>
        <v>0</v>
      </c>
      <c r="L158" s="30" t="n">
        <f aca="false">SUM(B158:K158)</f>
        <v>0</v>
      </c>
      <c r="M158" s="27" t="n">
        <f aca="false">SUMPRODUCT(B157:K157,$B$8:$K$8)</f>
        <v>0</v>
      </c>
      <c r="N158" s="27" t="n">
        <f aca="false">MIN(B157*(1+B$8),B$9)</f>
        <v>0</v>
      </c>
      <c r="O158" s="27" t="n">
        <f aca="false">MIN(C157*(1+C$8),C$9)</f>
        <v>0</v>
      </c>
      <c r="P158" s="27" t="n">
        <f aca="false">MIN(D157*(1+D$8),D$9)</f>
        <v>0</v>
      </c>
      <c r="Q158" s="27" t="n">
        <f aca="false">MIN(E157*(1+E$8),E$9)</f>
        <v>0</v>
      </c>
      <c r="R158" s="27" t="n">
        <f aca="false">MIN(F157*(1+F$8),F$9)</f>
        <v>0</v>
      </c>
      <c r="S158" s="27" t="n">
        <f aca="false">MIN(G157*(1+G$8),G$9)</f>
        <v>0</v>
      </c>
      <c r="T158" s="27" t="n">
        <f aca="false">MIN(H157*(1+H$8),H$9)</f>
        <v>0</v>
      </c>
      <c r="U158" s="27" t="n">
        <f aca="false">MIN(I157*(1+I$8),I$9)</f>
        <v>0</v>
      </c>
      <c r="V158" s="27" t="n">
        <f aca="false">MIN(J157*(1+J$8),J$9)</f>
        <v>0</v>
      </c>
      <c r="W158" s="27" t="n">
        <f aca="false">MIN(K157*(1+K$8),K$9)</f>
        <v>0</v>
      </c>
      <c r="X158" s="27" t="n">
        <f aca="false">MIN(B157*(1+B$8),MAX(N158,$B$11-SUM(O158:W158)))</f>
        <v>0</v>
      </c>
      <c r="Y158" s="27" t="n">
        <f aca="false">MIN(C157*(1+C$8),MAX(O158,$B$11-SUM(X158:X158)-SUM(P158:W158)))</f>
        <v>0</v>
      </c>
      <c r="Z158" s="27" t="n">
        <f aca="false">MIN(D157*(1+D$8),MAX(P158,$B$11-SUM(X158:Y158)-SUM(Q158:W158)))</f>
        <v>0</v>
      </c>
      <c r="AA158" s="27" t="n">
        <f aca="false">MIN(E157*(1+E$8),MAX(Q158,$B$11-SUM(X158:Z158)-SUM(R158:W158)))</f>
        <v>0</v>
      </c>
      <c r="AB158" s="27" t="n">
        <f aca="false">MIN(F157*(1+F$8),MAX(R158,$B$11-SUM(X158:AA158)-SUM(S158:W158)))</f>
        <v>0</v>
      </c>
      <c r="AC158" s="27" t="n">
        <f aca="false">MIN(G157*(1+G$8),MAX(S158,$B$11-SUM(X158:AB158)-SUM(T158:W158)))</f>
        <v>0</v>
      </c>
      <c r="AD158" s="27" t="n">
        <f aca="false">MIN(H157*(1+H$8),MAX(T158,$B$11-SUM(X158:AC158)-SUM(U158:W158)))</f>
        <v>0</v>
      </c>
      <c r="AE158" s="27" t="n">
        <f aca="false">MIN(I157*(1+I$8),MAX(U158,$B$11-SUM(X158:AD158)-SUM(V158:W158)))</f>
        <v>0</v>
      </c>
      <c r="AF158" s="27" t="n">
        <f aca="false">MIN(J157*(1+J$8),MAX(V158,$B$11-SUM(X158:AE158)-SUM(W158:W158)))</f>
        <v>0</v>
      </c>
      <c r="AG158" s="27" t="n">
        <f aca="false">MIN(K157*(1+K$8),MAX(W158,$B$11-SUM(X158:AF158)))</f>
        <v>0</v>
      </c>
      <c r="AI158" s="27" t="n">
        <f aca="false">ROUND(MAX(0,AI157*(1+B$8)-BE158),2)</f>
        <v>0</v>
      </c>
      <c r="AJ158" s="27" t="n">
        <f aca="false">ROUND(MAX(0,AJ157*(1+C$8)-BF158),2)</f>
        <v>0</v>
      </c>
      <c r="AK158" s="27" t="n">
        <f aca="false">ROUND(MAX(0,AK157*(1+D$8)-BG158),2)</f>
        <v>0</v>
      </c>
      <c r="AL158" s="27" t="n">
        <f aca="false">ROUND(MAX(0,AL157*(1+E$8)-BH158),2)</f>
        <v>0</v>
      </c>
      <c r="AM158" s="27" t="n">
        <f aca="false">ROUND(MAX(0,AM157*(1+F$8)-BI158),2)</f>
        <v>0</v>
      </c>
      <c r="AN158" s="27" t="n">
        <f aca="false">ROUND(MAX(0,AN157*(1+G$8)-BJ158),2)</f>
        <v>0</v>
      </c>
      <c r="AO158" s="27" t="n">
        <f aca="false">ROUND(MAX(0,AO157*(1+H$8)-BK158),2)</f>
        <v>0</v>
      </c>
      <c r="AP158" s="27" t="n">
        <f aca="false">ROUND(MAX(0,AP157*(1+I$8)-BL158),2)</f>
        <v>0</v>
      </c>
      <c r="AQ158" s="27" t="n">
        <f aca="false">ROUND(MAX(0,AQ157*(1+J$8)-BM158),2)</f>
        <v>0</v>
      </c>
      <c r="AR158" s="27" t="n">
        <f aca="false">ROUND(MAX(0,AR157*(1+K$8)-BN158),2)</f>
        <v>0</v>
      </c>
      <c r="AS158" s="27" t="n">
        <f aca="false">SUM(AI158:AR158)</f>
        <v>0</v>
      </c>
      <c r="AT158" s="27" t="n">
        <f aca="false">SUMPRODUCT(AI157:AR157,$B$8:$K$8)</f>
        <v>0</v>
      </c>
      <c r="AU158" s="27" t="n">
        <f aca="false">MIN(AI157*(1+B$8),B$9)</f>
        <v>0</v>
      </c>
      <c r="AV158" s="27" t="n">
        <f aca="false">MIN(AJ157*(1+C$8),C$9)</f>
        <v>0</v>
      </c>
      <c r="AW158" s="27" t="n">
        <f aca="false">MIN(AK157*(1+D$8),D$9)</f>
        <v>0</v>
      </c>
      <c r="AX158" s="27" t="n">
        <f aca="false">MIN(AL157*(1+E$8),E$9)</f>
        <v>0</v>
      </c>
      <c r="AY158" s="27" t="n">
        <f aca="false">MIN(AM157*(1+F$8),F$9)</f>
        <v>0</v>
      </c>
      <c r="AZ158" s="27" t="n">
        <f aca="false">MIN(AN157*(1+G$8),G$9)</f>
        <v>0</v>
      </c>
      <c r="BA158" s="27" t="n">
        <f aca="false">MIN(AO157*(1+H$8),H$9)</f>
        <v>0</v>
      </c>
      <c r="BB158" s="27" t="n">
        <f aca="false">MIN(AP157*(1+I$8),I$9)</f>
        <v>0</v>
      </c>
      <c r="BC158" s="27" t="n">
        <f aca="false">MIN(AQ157*(1+J$8),J$9)</f>
        <v>0</v>
      </c>
      <c r="BD158" s="27" t="n">
        <f aca="false">MIN(AR157*(1+K$8),K$9)</f>
        <v>0</v>
      </c>
      <c r="BE158" s="27" t="n">
        <f aca="false">MIN(AI157*(1+B$8),MAX(AU158,$B$12-SUM(AV158:BD158)))</f>
        <v>0</v>
      </c>
      <c r="BF158" s="27" t="n">
        <f aca="false">MIN(AJ157*(1+C$8),MAX(AV158,$B$12-SUM(BE158:BE158)-SUM(AW158:BD158)))</f>
        <v>0</v>
      </c>
      <c r="BG158" s="27" t="n">
        <f aca="false">MIN(AK157*(1+D$8),MAX(AW158,$B$12-SUM(BE158:BF158)-SUM(AX158:BD158)))</f>
        <v>0</v>
      </c>
      <c r="BH158" s="27" t="n">
        <f aca="false">MIN(AL157*(1+E$8),MAX(AX158,$B$12-SUM(BE158:BG158)-SUM(AY158:BD158)))</f>
        <v>0</v>
      </c>
      <c r="BI158" s="27" t="n">
        <f aca="false">MIN(AM157*(1+F$8),MAX(AY158,$B$12-SUM(BE158:BH158)-SUM(AZ158:BD158)))</f>
        <v>0</v>
      </c>
      <c r="BJ158" s="27" t="n">
        <f aca="false">MIN(AN157*(1+G$8),MAX(AZ158,$B$12-SUM(BE158:BI158)-SUM(BA158:BD158)))</f>
        <v>0</v>
      </c>
      <c r="BK158" s="27" t="n">
        <f aca="false">MIN(AO157*(1+H$8),MAX(BA158,$B$12-SUM(BE158:BJ158)-SUM(BB158:BD158)))</f>
        <v>0</v>
      </c>
      <c r="BL158" s="27" t="n">
        <f aca="false">MIN(AP157*(1+I$8),MAX(BB158,$B$12-SUM(BE158:BK158)-SUM(BC158:BD158)))</f>
        <v>0</v>
      </c>
      <c r="BM158" s="27" t="n">
        <f aca="false">MIN(AQ157*(1+J$8),MAX(BC158,$B$12-SUM(BE158:BL158)-SUM(BD158:BD158)))</f>
        <v>0</v>
      </c>
      <c r="BN158" s="27" t="n">
        <f aca="false">MIN(AR157*(1+K$8),MAX(BD158,$B$12-SUM(BE158:BM158)))</f>
        <v>0</v>
      </c>
    </row>
    <row r="159" customFormat="false" ht="15" hidden="false" customHeight="false" outlineLevel="0" collapsed="false">
      <c r="A159" s="0" t="n">
        <v>145</v>
      </c>
      <c r="B159" s="27" t="n">
        <f aca="false">ROUND(MAX(0,B158*(1+B$8)-X159),2)</f>
        <v>0</v>
      </c>
      <c r="C159" s="27" t="n">
        <f aca="false">ROUND(MAX(0,C158*(1+C$8)-Y159),2)</f>
        <v>0</v>
      </c>
      <c r="D159" s="27" t="n">
        <f aca="false">ROUND(MAX(0,D158*(1+D$8)-Z159),2)</f>
        <v>0</v>
      </c>
      <c r="E159" s="27" t="n">
        <f aca="false">ROUND(MAX(0,E158*(1+E$8)-AA159),2)</f>
        <v>0</v>
      </c>
      <c r="F159" s="27" t="n">
        <f aca="false">ROUND(MAX(0,F158*(1+F$8)-AB159),2)</f>
        <v>0</v>
      </c>
      <c r="G159" s="27" t="n">
        <f aca="false">ROUND(MAX(0,G158*(1+G$8)-AC159),2)</f>
        <v>0</v>
      </c>
      <c r="H159" s="27" t="n">
        <f aca="false">ROUND(MAX(0,H158*(1+H$8)-AD159),2)</f>
        <v>0</v>
      </c>
      <c r="I159" s="27" t="n">
        <f aca="false">ROUND(MAX(0,I158*(1+I$8)-AE159),2)</f>
        <v>0</v>
      </c>
      <c r="J159" s="27" t="n">
        <f aca="false">ROUND(MAX(0,J158*(1+J$8)-AF159),2)</f>
        <v>0</v>
      </c>
      <c r="K159" s="27" t="n">
        <f aca="false">ROUND(MAX(0,K158*(1+K$8)-AG159),2)</f>
        <v>0</v>
      </c>
      <c r="L159" s="30" t="n">
        <f aca="false">SUM(B159:K159)</f>
        <v>0</v>
      </c>
      <c r="M159" s="27" t="n">
        <f aca="false">SUMPRODUCT(B158:K158,$B$8:$K$8)</f>
        <v>0</v>
      </c>
      <c r="N159" s="27" t="n">
        <f aca="false">MIN(B158*(1+B$8),B$9)</f>
        <v>0</v>
      </c>
      <c r="O159" s="27" t="n">
        <f aca="false">MIN(C158*(1+C$8),C$9)</f>
        <v>0</v>
      </c>
      <c r="P159" s="27" t="n">
        <f aca="false">MIN(D158*(1+D$8),D$9)</f>
        <v>0</v>
      </c>
      <c r="Q159" s="27" t="n">
        <f aca="false">MIN(E158*(1+E$8),E$9)</f>
        <v>0</v>
      </c>
      <c r="R159" s="27" t="n">
        <f aca="false">MIN(F158*(1+F$8),F$9)</f>
        <v>0</v>
      </c>
      <c r="S159" s="27" t="n">
        <f aca="false">MIN(G158*(1+G$8),G$9)</f>
        <v>0</v>
      </c>
      <c r="T159" s="27" t="n">
        <f aca="false">MIN(H158*(1+H$8),H$9)</f>
        <v>0</v>
      </c>
      <c r="U159" s="27" t="n">
        <f aca="false">MIN(I158*(1+I$8),I$9)</f>
        <v>0</v>
      </c>
      <c r="V159" s="27" t="n">
        <f aca="false">MIN(J158*(1+J$8),J$9)</f>
        <v>0</v>
      </c>
      <c r="W159" s="27" t="n">
        <f aca="false">MIN(K158*(1+K$8),K$9)</f>
        <v>0</v>
      </c>
      <c r="X159" s="27" t="n">
        <f aca="false">MIN(B158*(1+B$8),MAX(N159,$B$11-SUM(O159:W159)))</f>
        <v>0</v>
      </c>
      <c r="Y159" s="27" t="n">
        <f aca="false">MIN(C158*(1+C$8),MAX(O159,$B$11-SUM(X159:X159)-SUM(P159:W159)))</f>
        <v>0</v>
      </c>
      <c r="Z159" s="27" t="n">
        <f aca="false">MIN(D158*(1+D$8),MAX(P159,$B$11-SUM(X159:Y159)-SUM(Q159:W159)))</f>
        <v>0</v>
      </c>
      <c r="AA159" s="27" t="n">
        <f aca="false">MIN(E158*(1+E$8),MAX(Q159,$B$11-SUM(X159:Z159)-SUM(R159:W159)))</f>
        <v>0</v>
      </c>
      <c r="AB159" s="27" t="n">
        <f aca="false">MIN(F158*(1+F$8),MAX(R159,$B$11-SUM(X159:AA159)-SUM(S159:W159)))</f>
        <v>0</v>
      </c>
      <c r="AC159" s="27" t="n">
        <f aca="false">MIN(G158*(1+G$8),MAX(S159,$B$11-SUM(X159:AB159)-SUM(T159:W159)))</f>
        <v>0</v>
      </c>
      <c r="AD159" s="27" t="n">
        <f aca="false">MIN(H158*(1+H$8),MAX(T159,$B$11-SUM(X159:AC159)-SUM(U159:W159)))</f>
        <v>0</v>
      </c>
      <c r="AE159" s="27" t="n">
        <f aca="false">MIN(I158*(1+I$8),MAX(U159,$B$11-SUM(X159:AD159)-SUM(V159:W159)))</f>
        <v>0</v>
      </c>
      <c r="AF159" s="27" t="n">
        <f aca="false">MIN(J158*(1+J$8),MAX(V159,$B$11-SUM(X159:AE159)-SUM(W159:W159)))</f>
        <v>0</v>
      </c>
      <c r="AG159" s="27" t="n">
        <f aca="false">MIN(K158*(1+K$8),MAX(W159,$B$11-SUM(X159:AF159)))</f>
        <v>0</v>
      </c>
      <c r="AI159" s="27" t="n">
        <f aca="false">ROUND(MAX(0,AI158*(1+B$8)-BE159),2)</f>
        <v>0</v>
      </c>
      <c r="AJ159" s="27" t="n">
        <f aca="false">ROUND(MAX(0,AJ158*(1+C$8)-BF159),2)</f>
        <v>0</v>
      </c>
      <c r="AK159" s="27" t="n">
        <f aca="false">ROUND(MAX(0,AK158*(1+D$8)-BG159),2)</f>
        <v>0</v>
      </c>
      <c r="AL159" s="27" t="n">
        <f aca="false">ROUND(MAX(0,AL158*(1+E$8)-BH159),2)</f>
        <v>0</v>
      </c>
      <c r="AM159" s="27" t="n">
        <f aca="false">ROUND(MAX(0,AM158*(1+F$8)-BI159),2)</f>
        <v>0</v>
      </c>
      <c r="AN159" s="27" t="n">
        <f aca="false">ROUND(MAX(0,AN158*(1+G$8)-BJ159),2)</f>
        <v>0</v>
      </c>
      <c r="AO159" s="27" t="n">
        <f aca="false">ROUND(MAX(0,AO158*(1+H$8)-BK159),2)</f>
        <v>0</v>
      </c>
      <c r="AP159" s="27" t="n">
        <f aca="false">ROUND(MAX(0,AP158*(1+I$8)-BL159),2)</f>
        <v>0</v>
      </c>
      <c r="AQ159" s="27" t="n">
        <f aca="false">ROUND(MAX(0,AQ158*(1+J$8)-BM159),2)</f>
        <v>0</v>
      </c>
      <c r="AR159" s="27" t="n">
        <f aca="false">ROUND(MAX(0,AR158*(1+K$8)-BN159),2)</f>
        <v>0</v>
      </c>
      <c r="AS159" s="27" t="n">
        <f aca="false">SUM(AI159:AR159)</f>
        <v>0</v>
      </c>
      <c r="AT159" s="27" t="n">
        <f aca="false">SUMPRODUCT(AI158:AR158,$B$8:$K$8)</f>
        <v>0</v>
      </c>
      <c r="AU159" s="27" t="n">
        <f aca="false">MIN(AI158*(1+B$8),B$9)</f>
        <v>0</v>
      </c>
      <c r="AV159" s="27" t="n">
        <f aca="false">MIN(AJ158*(1+C$8),C$9)</f>
        <v>0</v>
      </c>
      <c r="AW159" s="27" t="n">
        <f aca="false">MIN(AK158*(1+D$8),D$9)</f>
        <v>0</v>
      </c>
      <c r="AX159" s="27" t="n">
        <f aca="false">MIN(AL158*(1+E$8),E$9)</f>
        <v>0</v>
      </c>
      <c r="AY159" s="27" t="n">
        <f aca="false">MIN(AM158*(1+F$8),F$9)</f>
        <v>0</v>
      </c>
      <c r="AZ159" s="27" t="n">
        <f aca="false">MIN(AN158*(1+G$8),G$9)</f>
        <v>0</v>
      </c>
      <c r="BA159" s="27" t="n">
        <f aca="false">MIN(AO158*(1+H$8),H$9)</f>
        <v>0</v>
      </c>
      <c r="BB159" s="27" t="n">
        <f aca="false">MIN(AP158*(1+I$8),I$9)</f>
        <v>0</v>
      </c>
      <c r="BC159" s="27" t="n">
        <f aca="false">MIN(AQ158*(1+J$8),J$9)</f>
        <v>0</v>
      </c>
      <c r="BD159" s="27" t="n">
        <f aca="false">MIN(AR158*(1+K$8),K$9)</f>
        <v>0</v>
      </c>
      <c r="BE159" s="27" t="n">
        <f aca="false">MIN(AI158*(1+B$8),MAX(AU159,$B$12-SUM(AV159:BD159)))</f>
        <v>0</v>
      </c>
      <c r="BF159" s="27" t="n">
        <f aca="false">MIN(AJ158*(1+C$8),MAX(AV159,$B$12-SUM(BE159:BE159)-SUM(AW159:BD159)))</f>
        <v>0</v>
      </c>
      <c r="BG159" s="27" t="n">
        <f aca="false">MIN(AK158*(1+D$8),MAX(AW159,$B$12-SUM(BE159:BF159)-SUM(AX159:BD159)))</f>
        <v>0</v>
      </c>
      <c r="BH159" s="27" t="n">
        <f aca="false">MIN(AL158*(1+E$8),MAX(AX159,$B$12-SUM(BE159:BG159)-SUM(AY159:BD159)))</f>
        <v>0</v>
      </c>
      <c r="BI159" s="27" t="n">
        <f aca="false">MIN(AM158*(1+F$8),MAX(AY159,$B$12-SUM(BE159:BH159)-SUM(AZ159:BD159)))</f>
        <v>0</v>
      </c>
      <c r="BJ159" s="27" t="n">
        <f aca="false">MIN(AN158*(1+G$8),MAX(AZ159,$B$12-SUM(BE159:BI159)-SUM(BA159:BD159)))</f>
        <v>0</v>
      </c>
      <c r="BK159" s="27" t="n">
        <f aca="false">MIN(AO158*(1+H$8),MAX(BA159,$B$12-SUM(BE159:BJ159)-SUM(BB159:BD159)))</f>
        <v>0</v>
      </c>
      <c r="BL159" s="27" t="n">
        <f aca="false">MIN(AP158*(1+I$8),MAX(BB159,$B$12-SUM(BE159:BK159)-SUM(BC159:BD159)))</f>
        <v>0</v>
      </c>
      <c r="BM159" s="27" t="n">
        <f aca="false">MIN(AQ158*(1+J$8),MAX(BC159,$B$12-SUM(BE159:BL159)-SUM(BD159:BD159)))</f>
        <v>0</v>
      </c>
      <c r="BN159" s="27" t="n">
        <f aca="false">MIN(AR158*(1+K$8),MAX(BD159,$B$12-SUM(BE159:BM159)))</f>
        <v>0</v>
      </c>
    </row>
    <row r="160" customFormat="false" ht="15" hidden="false" customHeight="false" outlineLevel="0" collapsed="false">
      <c r="A160" s="0" t="n">
        <v>146</v>
      </c>
      <c r="B160" s="27" t="n">
        <f aca="false">ROUND(MAX(0,B159*(1+B$8)-X160),2)</f>
        <v>0</v>
      </c>
      <c r="C160" s="27" t="n">
        <f aca="false">ROUND(MAX(0,C159*(1+C$8)-Y160),2)</f>
        <v>0</v>
      </c>
      <c r="D160" s="27" t="n">
        <f aca="false">ROUND(MAX(0,D159*(1+D$8)-Z160),2)</f>
        <v>0</v>
      </c>
      <c r="E160" s="27" t="n">
        <f aca="false">ROUND(MAX(0,E159*(1+E$8)-AA160),2)</f>
        <v>0</v>
      </c>
      <c r="F160" s="27" t="n">
        <f aca="false">ROUND(MAX(0,F159*(1+F$8)-AB160),2)</f>
        <v>0</v>
      </c>
      <c r="G160" s="27" t="n">
        <f aca="false">ROUND(MAX(0,G159*(1+G$8)-AC160),2)</f>
        <v>0</v>
      </c>
      <c r="H160" s="27" t="n">
        <f aca="false">ROUND(MAX(0,H159*(1+H$8)-AD160),2)</f>
        <v>0</v>
      </c>
      <c r="I160" s="27" t="n">
        <f aca="false">ROUND(MAX(0,I159*(1+I$8)-AE160),2)</f>
        <v>0</v>
      </c>
      <c r="J160" s="27" t="n">
        <f aca="false">ROUND(MAX(0,J159*(1+J$8)-AF160),2)</f>
        <v>0</v>
      </c>
      <c r="K160" s="27" t="n">
        <f aca="false">ROUND(MAX(0,K159*(1+K$8)-AG160),2)</f>
        <v>0</v>
      </c>
      <c r="L160" s="30" t="n">
        <f aca="false">SUM(B160:K160)</f>
        <v>0</v>
      </c>
      <c r="M160" s="27" t="n">
        <f aca="false">SUMPRODUCT(B159:K159,$B$8:$K$8)</f>
        <v>0</v>
      </c>
      <c r="N160" s="27" t="n">
        <f aca="false">MIN(B159*(1+B$8),B$9)</f>
        <v>0</v>
      </c>
      <c r="O160" s="27" t="n">
        <f aca="false">MIN(C159*(1+C$8),C$9)</f>
        <v>0</v>
      </c>
      <c r="P160" s="27" t="n">
        <f aca="false">MIN(D159*(1+D$8),D$9)</f>
        <v>0</v>
      </c>
      <c r="Q160" s="27" t="n">
        <f aca="false">MIN(E159*(1+E$8),E$9)</f>
        <v>0</v>
      </c>
      <c r="R160" s="27" t="n">
        <f aca="false">MIN(F159*(1+F$8),F$9)</f>
        <v>0</v>
      </c>
      <c r="S160" s="27" t="n">
        <f aca="false">MIN(G159*(1+G$8),G$9)</f>
        <v>0</v>
      </c>
      <c r="T160" s="27" t="n">
        <f aca="false">MIN(H159*(1+H$8),H$9)</f>
        <v>0</v>
      </c>
      <c r="U160" s="27" t="n">
        <f aca="false">MIN(I159*(1+I$8),I$9)</f>
        <v>0</v>
      </c>
      <c r="V160" s="27" t="n">
        <f aca="false">MIN(J159*(1+J$8),J$9)</f>
        <v>0</v>
      </c>
      <c r="W160" s="27" t="n">
        <f aca="false">MIN(K159*(1+K$8),K$9)</f>
        <v>0</v>
      </c>
      <c r="X160" s="27" t="n">
        <f aca="false">MIN(B159*(1+B$8),MAX(N160,$B$11-SUM(O160:W160)))</f>
        <v>0</v>
      </c>
      <c r="Y160" s="27" t="n">
        <f aca="false">MIN(C159*(1+C$8),MAX(O160,$B$11-SUM(X160:X160)-SUM(P160:W160)))</f>
        <v>0</v>
      </c>
      <c r="Z160" s="27" t="n">
        <f aca="false">MIN(D159*(1+D$8),MAX(P160,$B$11-SUM(X160:Y160)-SUM(Q160:W160)))</f>
        <v>0</v>
      </c>
      <c r="AA160" s="27" t="n">
        <f aca="false">MIN(E159*(1+E$8),MAX(Q160,$B$11-SUM(X160:Z160)-SUM(R160:W160)))</f>
        <v>0</v>
      </c>
      <c r="AB160" s="27" t="n">
        <f aca="false">MIN(F159*(1+F$8),MAX(R160,$B$11-SUM(X160:AA160)-SUM(S160:W160)))</f>
        <v>0</v>
      </c>
      <c r="AC160" s="27" t="n">
        <f aca="false">MIN(G159*(1+G$8),MAX(S160,$B$11-SUM(X160:AB160)-SUM(T160:W160)))</f>
        <v>0</v>
      </c>
      <c r="AD160" s="27" t="n">
        <f aca="false">MIN(H159*(1+H$8),MAX(T160,$B$11-SUM(X160:AC160)-SUM(U160:W160)))</f>
        <v>0</v>
      </c>
      <c r="AE160" s="27" t="n">
        <f aca="false">MIN(I159*(1+I$8),MAX(U160,$B$11-SUM(X160:AD160)-SUM(V160:W160)))</f>
        <v>0</v>
      </c>
      <c r="AF160" s="27" t="n">
        <f aca="false">MIN(J159*(1+J$8),MAX(V160,$B$11-SUM(X160:AE160)-SUM(W160:W160)))</f>
        <v>0</v>
      </c>
      <c r="AG160" s="27" t="n">
        <f aca="false">MIN(K159*(1+K$8),MAX(W160,$B$11-SUM(X160:AF160)))</f>
        <v>0</v>
      </c>
      <c r="AI160" s="27" t="n">
        <f aca="false">ROUND(MAX(0,AI159*(1+B$8)-BE160),2)</f>
        <v>0</v>
      </c>
      <c r="AJ160" s="27" t="n">
        <f aca="false">ROUND(MAX(0,AJ159*(1+C$8)-BF160),2)</f>
        <v>0</v>
      </c>
      <c r="AK160" s="27" t="n">
        <f aca="false">ROUND(MAX(0,AK159*(1+D$8)-BG160),2)</f>
        <v>0</v>
      </c>
      <c r="AL160" s="27" t="n">
        <f aca="false">ROUND(MAX(0,AL159*(1+E$8)-BH160),2)</f>
        <v>0</v>
      </c>
      <c r="AM160" s="27" t="n">
        <f aca="false">ROUND(MAX(0,AM159*(1+F$8)-BI160),2)</f>
        <v>0</v>
      </c>
      <c r="AN160" s="27" t="n">
        <f aca="false">ROUND(MAX(0,AN159*(1+G$8)-BJ160),2)</f>
        <v>0</v>
      </c>
      <c r="AO160" s="27" t="n">
        <f aca="false">ROUND(MAX(0,AO159*(1+H$8)-BK160),2)</f>
        <v>0</v>
      </c>
      <c r="AP160" s="27" t="n">
        <f aca="false">ROUND(MAX(0,AP159*(1+I$8)-BL160),2)</f>
        <v>0</v>
      </c>
      <c r="AQ160" s="27" t="n">
        <f aca="false">ROUND(MAX(0,AQ159*(1+J$8)-BM160),2)</f>
        <v>0</v>
      </c>
      <c r="AR160" s="27" t="n">
        <f aca="false">ROUND(MAX(0,AR159*(1+K$8)-BN160),2)</f>
        <v>0</v>
      </c>
      <c r="AS160" s="27" t="n">
        <f aca="false">SUM(AI160:AR160)</f>
        <v>0</v>
      </c>
      <c r="AT160" s="27" t="n">
        <f aca="false">SUMPRODUCT(AI159:AR159,$B$8:$K$8)</f>
        <v>0</v>
      </c>
      <c r="AU160" s="27" t="n">
        <f aca="false">MIN(AI159*(1+B$8),B$9)</f>
        <v>0</v>
      </c>
      <c r="AV160" s="27" t="n">
        <f aca="false">MIN(AJ159*(1+C$8),C$9)</f>
        <v>0</v>
      </c>
      <c r="AW160" s="27" t="n">
        <f aca="false">MIN(AK159*(1+D$8),D$9)</f>
        <v>0</v>
      </c>
      <c r="AX160" s="27" t="n">
        <f aca="false">MIN(AL159*(1+E$8),E$9)</f>
        <v>0</v>
      </c>
      <c r="AY160" s="27" t="n">
        <f aca="false">MIN(AM159*(1+F$8),F$9)</f>
        <v>0</v>
      </c>
      <c r="AZ160" s="27" t="n">
        <f aca="false">MIN(AN159*(1+G$8),G$9)</f>
        <v>0</v>
      </c>
      <c r="BA160" s="27" t="n">
        <f aca="false">MIN(AO159*(1+H$8),H$9)</f>
        <v>0</v>
      </c>
      <c r="BB160" s="27" t="n">
        <f aca="false">MIN(AP159*(1+I$8),I$9)</f>
        <v>0</v>
      </c>
      <c r="BC160" s="27" t="n">
        <f aca="false">MIN(AQ159*(1+J$8),J$9)</f>
        <v>0</v>
      </c>
      <c r="BD160" s="27" t="n">
        <f aca="false">MIN(AR159*(1+K$8),K$9)</f>
        <v>0</v>
      </c>
      <c r="BE160" s="27" t="n">
        <f aca="false">MIN(AI159*(1+B$8),MAX(AU160,$B$12-SUM(AV160:BD160)))</f>
        <v>0</v>
      </c>
      <c r="BF160" s="27" t="n">
        <f aca="false">MIN(AJ159*(1+C$8),MAX(AV160,$B$12-SUM(BE160:BE160)-SUM(AW160:BD160)))</f>
        <v>0</v>
      </c>
      <c r="BG160" s="27" t="n">
        <f aca="false">MIN(AK159*(1+D$8),MAX(AW160,$B$12-SUM(BE160:BF160)-SUM(AX160:BD160)))</f>
        <v>0</v>
      </c>
      <c r="BH160" s="27" t="n">
        <f aca="false">MIN(AL159*(1+E$8),MAX(AX160,$B$12-SUM(BE160:BG160)-SUM(AY160:BD160)))</f>
        <v>0</v>
      </c>
      <c r="BI160" s="27" t="n">
        <f aca="false">MIN(AM159*(1+F$8),MAX(AY160,$B$12-SUM(BE160:BH160)-SUM(AZ160:BD160)))</f>
        <v>0</v>
      </c>
      <c r="BJ160" s="27" t="n">
        <f aca="false">MIN(AN159*(1+G$8),MAX(AZ160,$B$12-SUM(BE160:BI160)-SUM(BA160:BD160)))</f>
        <v>0</v>
      </c>
      <c r="BK160" s="27" t="n">
        <f aca="false">MIN(AO159*(1+H$8),MAX(BA160,$B$12-SUM(BE160:BJ160)-SUM(BB160:BD160)))</f>
        <v>0</v>
      </c>
      <c r="BL160" s="27" t="n">
        <f aca="false">MIN(AP159*(1+I$8),MAX(BB160,$B$12-SUM(BE160:BK160)-SUM(BC160:BD160)))</f>
        <v>0</v>
      </c>
      <c r="BM160" s="27" t="n">
        <f aca="false">MIN(AQ159*(1+J$8),MAX(BC160,$B$12-SUM(BE160:BL160)-SUM(BD160:BD160)))</f>
        <v>0</v>
      </c>
      <c r="BN160" s="27" t="n">
        <f aca="false">MIN(AR159*(1+K$8),MAX(BD160,$B$12-SUM(BE160:BM160)))</f>
        <v>0</v>
      </c>
    </row>
    <row r="161" customFormat="false" ht="15" hidden="false" customHeight="false" outlineLevel="0" collapsed="false">
      <c r="A161" s="0" t="n">
        <v>147</v>
      </c>
      <c r="B161" s="27" t="n">
        <f aca="false">ROUND(MAX(0,B160*(1+B$8)-X161),2)</f>
        <v>0</v>
      </c>
      <c r="C161" s="27" t="n">
        <f aca="false">ROUND(MAX(0,C160*(1+C$8)-Y161),2)</f>
        <v>0</v>
      </c>
      <c r="D161" s="27" t="n">
        <f aca="false">ROUND(MAX(0,D160*(1+D$8)-Z161),2)</f>
        <v>0</v>
      </c>
      <c r="E161" s="27" t="n">
        <f aca="false">ROUND(MAX(0,E160*(1+E$8)-AA161),2)</f>
        <v>0</v>
      </c>
      <c r="F161" s="27" t="n">
        <f aca="false">ROUND(MAX(0,F160*(1+F$8)-AB161),2)</f>
        <v>0</v>
      </c>
      <c r="G161" s="27" t="n">
        <f aca="false">ROUND(MAX(0,G160*(1+G$8)-AC161),2)</f>
        <v>0</v>
      </c>
      <c r="H161" s="27" t="n">
        <f aca="false">ROUND(MAX(0,H160*(1+H$8)-AD161),2)</f>
        <v>0</v>
      </c>
      <c r="I161" s="27" t="n">
        <f aca="false">ROUND(MAX(0,I160*(1+I$8)-AE161),2)</f>
        <v>0</v>
      </c>
      <c r="J161" s="27" t="n">
        <f aca="false">ROUND(MAX(0,J160*(1+J$8)-AF161),2)</f>
        <v>0</v>
      </c>
      <c r="K161" s="27" t="n">
        <f aca="false">ROUND(MAX(0,K160*(1+K$8)-AG161),2)</f>
        <v>0</v>
      </c>
      <c r="L161" s="30" t="n">
        <f aca="false">SUM(B161:K161)</f>
        <v>0</v>
      </c>
      <c r="M161" s="27" t="n">
        <f aca="false">SUMPRODUCT(B160:K160,$B$8:$K$8)</f>
        <v>0</v>
      </c>
      <c r="N161" s="27" t="n">
        <f aca="false">MIN(B160*(1+B$8),B$9)</f>
        <v>0</v>
      </c>
      <c r="O161" s="27" t="n">
        <f aca="false">MIN(C160*(1+C$8),C$9)</f>
        <v>0</v>
      </c>
      <c r="P161" s="27" t="n">
        <f aca="false">MIN(D160*(1+D$8),D$9)</f>
        <v>0</v>
      </c>
      <c r="Q161" s="27" t="n">
        <f aca="false">MIN(E160*(1+E$8),E$9)</f>
        <v>0</v>
      </c>
      <c r="R161" s="27" t="n">
        <f aca="false">MIN(F160*(1+F$8),F$9)</f>
        <v>0</v>
      </c>
      <c r="S161" s="27" t="n">
        <f aca="false">MIN(G160*(1+G$8),G$9)</f>
        <v>0</v>
      </c>
      <c r="T161" s="27" t="n">
        <f aca="false">MIN(H160*(1+H$8),H$9)</f>
        <v>0</v>
      </c>
      <c r="U161" s="27" t="n">
        <f aca="false">MIN(I160*(1+I$8),I$9)</f>
        <v>0</v>
      </c>
      <c r="V161" s="27" t="n">
        <f aca="false">MIN(J160*(1+J$8),J$9)</f>
        <v>0</v>
      </c>
      <c r="W161" s="27" t="n">
        <f aca="false">MIN(K160*(1+K$8),K$9)</f>
        <v>0</v>
      </c>
      <c r="X161" s="27" t="n">
        <f aca="false">MIN(B160*(1+B$8),MAX(N161,$B$11-SUM(O161:W161)))</f>
        <v>0</v>
      </c>
      <c r="Y161" s="27" t="n">
        <f aca="false">MIN(C160*(1+C$8),MAX(O161,$B$11-SUM(X161:X161)-SUM(P161:W161)))</f>
        <v>0</v>
      </c>
      <c r="Z161" s="27" t="n">
        <f aca="false">MIN(D160*(1+D$8),MAX(P161,$B$11-SUM(X161:Y161)-SUM(Q161:W161)))</f>
        <v>0</v>
      </c>
      <c r="AA161" s="27" t="n">
        <f aca="false">MIN(E160*(1+E$8),MAX(Q161,$B$11-SUM(X161:Z161)-SUM(R161:W161)))</f>
        <v>0</v>
      </c>
      <c r="AB161" s="27" t="n">
        <f aca="false">MIN(F160*(1+F$8),MAX(R161,$B$11-SUM(X161:AA161)-SUM(S161:W161)))</f>
        <v>0</v>
      </c>
      <c r="AC161" s="27" t="n">
        <f aca="false">MIN(G160*(1+G$8),MAX(S161,$B$11-SUM(X161:AB161)-SUM(T161:W161)))</f>
        <v>0</v>
      </c>
      <c r="AD161" s="27" t="n">
        <f aca="false">MIN(H160*(1+H$8),MAX(T161,$B$11-SUM(X161:AC161)-SUM(U161:W161)))</f>
        <v>0</v>
      </c>
      <c r="AE161" s="27" t="n">
        <f aca="false">MIN(I160*(1+I$8),MAX(U161,$B$11-SUM(X161:AD161)-SUM(V161:W161)))</f>
        <v>0</v>
      </c>
      <c r="AF161" s="27" t="n">
        <f aca="false">MIN(J160*(1+J$8),MAX(V161,$B$11-SUM(X161:AE161)-SUM(W161:W161)))</f>
        <v>0</v>
      </c>
      <c r="AG161" s="27" t="n">
        <f aca="false">MIN(K160*(1+K$8),MAX(W161,$B$11-SUM(X161:AF161)))</f>
        <v>0</v>
      </c>
      <c r="AI161" s="27" t="n">
        <f aca="false">ROUND(MAX(0,AI160*(1+B$8)-BE161),2)</f>
        <v>0</v>
      </c>
      <c r="AJ161" s="27" t="n">
        <f aca="false">ROUND(MAX(0,AJ160*(1+C$8)-BF161),2)</f>
        <v>0</v>
      </c>
      <c r="AK161" s="27" t="n">
        <f aca="false">ROUND(MAX(0,AK160*(1+D$8)-BG161),2)</f>
        <v>0</v>
      </c>
      <c r="AL161" s="27" t="n">
        <f aca="false">ROUND(MAX(0,AL160*(1+E$8)-BH161),2)</f>
        <v>0</v>
      </c>
      <c r="AM161" s="27" t="n">
        <f aca="false">ROUND(MAX(0,AM160*(1+F$8)-BI161),2)</f>
        <v>0</v>
      </c>
      <c r="AN161" s="27" t="n">
        <f aca="false">ROUND(MAX(0,AN160*(1+G$8)-BJ161),2)</f>
        <v>0</v>
      </c>
      <c r="AO161" s="27" t="n">
        <f aca="false">ROUND(MAX(0,AO160*(1+H$8)-BK161),2)</f>
        <v>0</v>
      </c>
      <c r="AP161" s="27" t="n">
        <f aca="false">ROUND(MAX(0,AP160*(1+I$8)-BL161),2)</f>
        <v>0</v>
      </c>
      <c r="AQ161" s="27" t="n">
        <f aca="false">ROUND(MAX(0,AQ160*(1+J$8)-BM161),2)</f>
        <v>0</v>
      </c>
      <c r="AR161" s="27" t="n">
        <f aca="false">ROUND(MAX(0,AR160*(1+K$8)-BN161),2)</f>
        <v>0</v>
      </c>
      <c r="AS161" s="27" t="n">
        <f aca="false">SUM(AI161:AR161)</f>
        <v>0</v>
      </c>
      <c r="AT161" s="27" t="n">
        <f aca="false">SUMPRODUCT(AI160:AR160,$B$8:$K$8)</f>
        <v>0</v>
      </c>
      <c r="AU161" s="27" t="n">
        <f aca="false">MIN(AI160*(1+B$8),B$9)</f>
        <v>0</v>
      </c>
      <c r="AV161" s="27" t="n">
        <f aca="false">MIN(AJ160*(1+C$8),C$9)</f>
        <v>0</v>
      </c>
      <c r="AW161" s="27" t="n">
        <f aca="false">MIN(AK160*(1+D$8),D$9)</f>
        <v>0</v>
      </c>
      <c r="AX161" s="27" t="n">
        <f aca="false">MIN(AL160*(1+E$8),E$9)</f>
        <v>0</v>
      </c>
      <c r="AY161" s="27" t="n">
        <f aca="false">MIN(AM160*(1+F$8),F$9)</f>
        <v>0</v>
      </c>
      <c r="AZ161" s="27" t="n">
        <f aca="false">MIN(AN160*(1+G$8),G$9)</f>
        <v>0</v>
      </c>
      <c r="BA161" s="27" t="n">
        <f aca="false">MIN(AO160*(1+H$8),H$9)</f>
        <v>0</v>
      </c>
      <c r="BB161" s="27" t="n">
        <f aca="false">MIN(AP160*(1+I$8),I$9)</f>
        <v>0</v>
      </c>
      <c r="BC161" s="27" t="n">
        <f aca="false">MIN(AQ160*(1+J$8),J$9)</f>
        <v>0</v>
      </c>
      <c r="BD161" s="27" t="n">
        <f aca="false">MIN(AR160*(1+K$8),K$9)</f>
        <v>0</v>
      </c>
      <c r="BE161" s="27" t="n">
        <f aca="false">MIN(AI160*(1+B$8),MAX(AU161,$B$12-SUM(AV161:BD161)))</f>
        <v>0</v>
      </c>
      <c r="BF161" s="27" t="n">
        <f aca="false">MIN(AJ160*(1+C$8),MAX(AV161,$B$12-SUM(BE161:BE161)-SUM(AW161:BD161)))</f>
        <v>0</v>
      </c>
      <c r="BG161" s="27" t="n">
        <f aca="false">MIN(AK160*(1+D$8),MAX(AW161,$B$12-SUM(BE161:BF161)-SUM(AX161:BD161)))</f>
        <v>0</v>
      </c>
      <c r="BH161" s="27" t="n">
        <f aca="false">MIN(AL160*(1+E$8),MAX(AX161,$B$12-SUM(BE161:BG161)-SUM(AY161:BD161)))</f>
        <v>0</v>
      </c>
      <c r="BI161" s="27" t="n">
        <f aca="false">MIN(AM160*(1+F$8),MAX(AY161,$B$12-SUM(BE161:BH161)-SUM(AZ161:BD161)))</f>
        <v>0</v>
      </c>
      <c r="BJ161" s="27" t="n">
        <f aca="false">MIN(AN160*(1+G$8),MAX(AZ161,$B$12-SUM(BE161:BI161)-SUM(BA161:BD161)))</f>
        <v>0</v>
      </c>
      <c r="BK161" s="27" t="n">
        <f aca="false">MIN(AO160*(1+H$8),MAX(BA161,$B$12-SUM(BE161:BJ161)-SUM(BB161:BD161)))</f>
        <v>0</v>
      </c>
      <c r="BL161" s="27" t="n">
        <f aca="false">MIN(AP160*(1+I$8),MAX(BB161,$B$12-SUM(BE161:BK161)-SUM(BC161:BD161)))</f>
        <v>0</v>
      </c>
      <c r="BM161" s="27" t="n">
        <f aca="false">MIN(AQ160*(1+J$8),MAX(BC161,$B$12-SUM(BE161:BL161)-SUM(BD161:BD161)))</f>
        <v>0</v>
      </c>
      <c r="BN161" s="27" t="n">
        <f aca="false">MIN(AR160*(1+K$8),MAX(BD161,$B$12-SUM(BE161:BM161)))</f>
        <v>0</v>
      </c>
    </row>
    <row r="162" customFormat="false" ht="15" hidden="false" customHeight="false" outlineLevel="0" collapsed="false">
      <c r="A162" s="0" t="n">
        <v>148</v>
      </c>
      <c r="B162" s="27" t="n">
        <f aca="false">ROUND(MAX(0,B161*(1+B$8)-X162),2)</f>
        <v>0</v>
      </c>
      <c r="C162" s="27" t="n">
        <f aca="false">ROUND(MAX(0,C161*(1+C$8)-Y162),2)</f>
        <v>0</v>
      </c>
      <c r="D162" s="27" t="n">
        <f aca="false">ROUND(MAX(0,D161*(1+D$8)-Z162),2)</f>
        <v>0</v>
      </c>
      <c r="E162" s="27" t="n">
        <f aca="false">ROUND(MAX(0,E161*(1+E$8)-AA162),2)</f>
        <v>0</v>
      </c>
      <c r="F162" s="27" t="n">
        <f aca="false">ROUND(MAX(0,F161*(1+F$8)-AB162),2)</f>
        <v>0</v>
      </c>
      <c r="G162" s="27" t="n">
        <f aca="false">ROUND(MAX(0,G161*(1+G$8)-AC162),2)</f>
        <v>0</v>
      </c>
      <c r="H162" s="27" t="n">
        <f aca="false">ROUND(MAX(0,H161*(1+H$8)-AD162),2)</f>
        <v>0</v>
      </c>
      <c r="I162" s="27" t="n">
        <f aca="false">ROUND(MAX(0,I161*(1+I$8)-AE162),2)</f>
        <v>0</v>
      </c>
      <c r="J162" s="27" t="n">
        <f aca="false">ROUND(MAX(0,J161*(1+J$8)-AF162),2)</f>
        <v>0</v>
      </c>
      <c r="K162" s="27" t="n">
        <f aca="false">ROUND(MAX(0,K161*(1+K$8)-AG162),2)</f>
        <v>0</v>
      </c>
      <c r="L162" s="30" t="n">
        <f aca="false">SUM(B162:K162)</f>
        <v>0</v>
      </c>
      <c r="M162" s="27" t="n">
        <f aca="false">SUMPRODUCT(B161:K161,$B$8:$K$8)</f>
        <v>0</v>
      </c>
      <c r="N162" s="27" t="n">
        <f aca="false">MIN(B161*(1+B$8),B$9)</f>
        <v>0</v>
      </c>
      <c r="O162" s="27" t="n">
        <f aca="false">MIN(C161*(1+C$8),C$9)</f>
        <v>0</v>
      </c>
      <c r="P162" s="27" t="n">
        <f aca="false">MIN(D161*(1+D$8),D$9)</f>
        <v>0</v>
      </c>
      <c r="Q162" s="27" t="n">
        <f aca="false">MIN(E161*(1+E$8),E$9)</f>
        <v>0</v>
      </c>
      <c r="R162" s="27" t="n">
        <f aca="false">MIN(F161*(1+F$8),F$9)</f>
        <v>0</v>
      </c>
      <c r="S162" s="27" t="n">
        <f aca="false">MIN(G161*(1+G$8),G$9)</f>
        <v>0</v>
      </c>
      <c r="T162" s="27" t="n">
        <f aca="false">MIN(H161*(1+H$8),H$9)</f>
        <v>0</v>
      </c>
      <c r="U162" s="27" t="n">
        <f aca="false">MIN(I161*(1+I$8),I$9)</f>
        <v>0</v>
      </c>
      <c r="V162" s="27" t="n">
        <f aca="false">MIN(J161*(1+J$8),J$9)</f>
        <v>0</v>
      </c>
      <c r="W162" s="27" t="n">
        <f aca="false">MIN(K161*(1+K$8),K$9)</f>
        <v>0</v>
      </c>
      <c r="X162" s="27" t="n">
        <f aca="false">MIN(B161*(1+B$8),MAX(N162,$B$11-SUM(O162:W162)))</f>
        <v>0</v>
      </c>
      <c r="Y162" s="27" t="n">
        <f aca="false">MIN(C161*(1+C$8),MAX(O162,$B$11-SUM(X162:X162)-SUM(P162:W162)))</f>
        <v>0</v>
      </c>
      <c r="Z162" s="27" t="n">
        <f aca="false">MIN(D161*(1+D$8),MAX(P162,$B$11-SUM(X162:Y162)-SUM(Q162:W162)))</f>
        <v>0</v>
      </c>
      <c r="AA162" s="27" t="n">
        <f aca="false">MIN(E161*(1+E$8),MAX(Q162,$B$11-SUM(X162:Z162)-SUM(R162:W162)))</f>
        <v>0</v>
      </c>
      <c r="AB162" s="27" t="n">
        <f aca="false">MIN(F161*(1+F$8),MAX(R162,$B$11-SUM(X162:AA162)-SUM(S162:W162)))</f>
        <v>0</v>
      </c>
      <c r="AC162" s="27" t="n">
        <f aca="false">MIN(G161*(1+G$8),MAX(S162,$B$11-SUM(X162:AB162)-SUM(T162:W162)))</f>
        <v>0</v>
      </c>
      <c r="AD162" s="27" t="n">
        <f aca="false">MIN(H161*(1+H$8),MAX(T162,$B$11-SUM(X162:AC162)-SUM(U162:W162)))</f>
        <v>0</v>
      </c>
      <c r="AE162" s="27" t="n">
        <f aca="false">MIN(I161*(1+I$8),MAX(U162,$B$11-SUM(X162:AD162)-SUM(V162:W162)))</f>
        <v>0</v>
      </c>
      <c r="AF162" s="27" t="n">
        <f aca="false">MIN(J161*(1+J$8),MAX(V162,$B$11-SUM(X162:AE162)-SUM(W162:W162)))</f>
        <v>0</v>
      </c>
      <c r="AG162" s="27" t="n">
        <f aca="false">MIN(K161*(1+K$8),MAX(W162,$B$11-SUM(X162:AF162)))</f>
        <v>0</v>
      </c>
      <c r="AI162" s="27" t="n">
        <f aca="false">ROUND(MAX(0,AI161*(1+B$8)-BE162),2)</f>
        <v>0</v>
      </c>
      <c r="AJ162" s="27" t="n">
        <f aca="false">ROUND(MAX(0,AJ161*(1+C$8)-BF162),2)</f>
        <v>0</v>
      </c>
      <c r="AK162" s="27" t="n">
        <f aca="false">ROUND(MAX(0,AK161*(1+D$8)-BG162),2)</f>
        <v>0</v>
      </c>
      <c r="AL162" s="27" t="n">
        <f aca="false">ROUND(MAX(0,AL161*(1+E$8)-BH162),2)</f>
        <v>0</v>
      </c>
      <c r="AM162" s="27" t="n">
        <f aca="false">ROUND(MAX(0,AM161*(1+F$8)-BI162),2)</f>
        <v>0</v>
      </c>
      <c r="AN162" s="27" t="n">
        <f aca="false">ROUND(MAX(0,AN161*(1+G$8)-BJ162),2)</f>
        <v>0</v>
      </c>
      <c r="AO162" s="27" t="n">
        <f aca="false">ROUND(MAX(0,AO161*(1+H$8)-BK162),2)</f>
        <v>0</v>
      </c>
      <c r="AP162" s="27" t="n">
        <f aca="false">ROUND(MAX(0,AP161*(1+I$8)-BL162),2)</f>
        <v>0</v>
      </c>
      <c r="AQ162" s="27" t="n">
        <f aca="false">ROUND(MAX(0,AQ161*(1+J$8)-BM162),2)</f>
        <v>0</v>
      </c>
      <c r="AR162" s="27" t="n">
        <f aca="false">ROUND(MAX(0,AR161*(1+K$8)-BN162),2)</f>
        <v>0</v>
      </c>
      <c r="AS162" s="27" t="n">
        <f aca="false">SUM(AI162:AR162)</f>
        <v>0</v>
      </c>
      <c r="AT162" s="27" t="n">
        <f aca="false">SUMPRODUCT(AI161:AR161,$B$8:$K$8)</f>
        <v>0</v>
      </c>
      <c r="AU162" s="27" t="n">
        <f aca="false">MIN(AI161*(1+B$8),B$9)</f>
        <v>0</v>
      </c>
      <c r="AV162" s="27" t="n">
        <f aca="false">MIN(AJ161*(1+C$8),C$9)</f>
        <v>0</v>
      </c>
      <c r="AW162" s="27" t="n">
        <f aca="false">MIN(AK161*(1+D$8),D$9)</f>
        <v>0</v>
      </c>
      <c r="AX162" s="27" t="n">
        <f aca="false">MIN(AL161*(1+E$8),E$9)</f>
        <v>0</v>
      </c>
      <c r="AY162" s="27" t="n">
        <f aca="false">MIN(AM161*(1+F$8),F$9)</f>
        <v>0</v>
      </c>
      <c r="AZ162" s="27" t="n">
        <f aca="false">MIN(AN161*(1+G$8),G$9)</f>
        <v>0</v>
      </c>
      <c r="BA162" s="27" t="n">
        <f aca="false">MIN(AO161*(1+H$8),H$9)</f>
        <v>0</v>
      </c>
      <c r="BB162" s="27" t="n">
        <f aca="false">MIN(AP161*(1+I$8),I$9)</f>
        <v>0</v>
      </c>
      <c r="BC162" s="27" t="n">
        <f aca="false">MIN(AQ161*(1+J$8),J$9)</f>
        <v>0</v>
      </c>
      <c r="BD162" s="27" t="n">
        <f aca="false">MIN(AR161*(1+K$8),K$9)</f>
        <v>0</v>
      </c>
      <c r="BE162" s="27" t="n">
        <f aca="false">MIN(AI161*(1+B$8),MAX(AU162,$B$12-SUM(AV162:BD162)))</f>
        <v>0</v>
      </c>
      <c r="BF162" s="27" t="n">
        <f aca="false">MIN(AJ161*(1+C$8),MAX(AV162,$B$12-SUM(BE162:BE162)-SUM(AW162:BD162)))</f>
        <v>0</v>
      </c>
      <c r="BG162" s="27" t="n">
        <f aca="false">MIN(AK161*(1+D$8),MAX(AW162,$B$12-SUM(BE162:BF162)-SUM(AX162:BD162)))</f>
        <v>0</v>
      </c>
      <c r="BH162" s="27" t="n">
        <f aca="false">MIN(AL161*(1+E$8),MAX(AX162,$B$12-SUM(BE162:BG162)-SUM(AY162:BD162)))</f>
        <v>0</v>
      </c>
      <c r="BI162" s="27" t="n">
        <f aca="false">MIN(AM161*(1+F$8),MAX(AY162,$B$12-SUM(BE162:BH162)-SUM(AZ162:BD162)))</f>
        <v>0</v>
      </c>
      <c r="BJ162" s="27" t="n">
        <f aca="false">MIN(AN161*(1+G$8),MAX(AZ162,$B$12-SUM(BE162:BI162)-SUM(BA162:BD162)))</f>
        <v>0</v>
      </c>
      <c r="BK162" s="27" t="n">
        <f aca="false">MIN(AO161*(1+H$8),MAX(BA162,$B$12-SUM(BE162:BJ162)-SUM(BB162:BD162)))</f>
        <v>0</v>
      </c>
      <c r="BL162" s="27" t="n">
        <f aca="false">MIN(AP161*(1+I$8),MAX(BB162,$B$12-SUM(BE162:BK162)-SUM(BC162:BD162)))</f>
        <v>0</v>
      </c>
      <c r="BM162" s="27" t="n">
        <f aca="false">MIN(AQ161*(1+J$8),MAX(BC162,$B$12-SUM(BE162:BL162)-SUM(BD162:BD162)))</f>
        <v>0</v>
      </c>
      <c r="BN162" s="27" t="n">
        <f aca="false">MIN(AR161*(1+K$8),MAX(BD162,$B$12-SUM(BE162:BM162)))</f>
        <v>0</v>
      </c>
    </row>
    <row r="163" customFormat="false" ht="15" hidden="false" customHeight="false" outlineLevel="0" collapsed="false">
      <c r="A163" s="0" t="n">
        <v>149</v>
      </c>
      <c r="B163" s="27" t="n">
        <f aca="false">ROUND(MAX(0,B162*(1+B$8)-X163),2)</f>
        <v>0</v>
      </c>
      <c r="C163" s="27" t="n">
        <f aca="false">ROUND(MAX(0,C162*(1+C$8)-Y163),2)</f>
        <v>0</v>
      </c>
      <c r="D163" s="27" t="n">
        <f aca="false">ROUND(MAX(0,D162*(1+D$8)-Z163),2)</f>
        <v>0</v>
      </c>
      <c r="E163" s="27" t="n">
        <f aca="false">ROUND(MAX(0,E162*(1+E$8)-AA163),2)</f>
        <v>0</v>
      </c>
      <c r="F163" s="27" t="n">
        <f aca="false">ROUND(MAX(0,F162*(1+F$8)-AB163),2)</f>
        <v>0</v>
      </c>
      <c r="G163" s="27" t="n">
        <f aca="false">ROUND(MAX(0,G162*(1+G$8)-AC163),2)</f>
        <v>0</v>
      </c>
      <c r="H163" s="27" t="n">
        <f aca="false">ROUND(MAX(0,H162*(1+H$8)-AD163),2)</f>
        <v>0</v>
      </c>
      <c r="I163" s="27" t="n">
        <f aca="false">ROUND(MAX(0,I162*(1+I$8)-AE163),2)</f>
        <v>0</v>
      </c>
      <c r="J163" s="27" t="n">
        <f aca="false">ROUND(MAX(0,J162*(1+J$8)-AF163),2)</f>
        <v>0</v>
      </c>
      <c r="K163" s="27" t="n">
        <f aca="false">ROUND(MAX(0,K162*(1+K$8)-AG163),2)</f>
        <v>0</v>
      </c>
      <c r="L163" s="30" t="n">
        <f aca="false">SUM(B163:K163)</f>
        <v>0</v>
      </c>
      <c r="M163" s="27" t="n">
        <f aca="false">SUMPRODUCT(B162:K162,$B$8:$K$8)</f>
        <v>0</v>
      </c>
      <c r="N163" s="27" t="n">
        <f aca="false">MIN(B162*(1+B$8),B$9)</f>
        <v>0</v>
      </c>
      <c r="O163" s="27" t="n">
        <f aca="false">MIN(C162*(1+C$8),C$9)</f>
        <v>0</v>
      </c>
      <c r="P163" s="27" t="n">
        <f aca="false">MIN(D162*(1+D$8),D$9)</f>
        <v>0</v>
      </c>
      <c r="Q163" s="27" t="n">
        <f aca="false">MIN(E162*(1+E$8),E$9)</f>
        <v>0</v>
      </c>
      <c r="R163" s="27" t="n">
        <f aca="false">MIN(F162*(1+F$8),F$9)</f>
        <v>0</v>
      </c>
      <c r="S163" s="27" t="n">
        <f aca="false">MIN(G162*(1+G$8),G$9)</f>
        <v>0</v>
      </c>
      <c r="T163" s="27" t="n">
        <f aca="false">MIN(H162*(1+H$8),H$9)</f>
        <v>0</v>
      </c>
      <c r="U163" s="27" t="n">
        <f aca="false">MIN(I162*(1+I$8),I$9)</f>
        <v>0</v>
      </c>
      <c r="V163" s="27" t="n">
        <f aca="false">MIN(J162*(1+J$8),J$9)</f>
        <v>0</v>
      </c>
      <c r="W163" s="27" t="n">
        <f aca="false">MIN(K162*(1+K$8),K$9)</f>
        <v>0</v>
      </c>
      <c r="X163" s="27" t="n">
        <f aca="false">MIN(B162*(1+B$8),MAX(N163,$B$11-SUM(O163:W163)))</f>
        <v>0</v>
      </c>
      <c r="Y163" s="27" t="n">
        <f aca="false">MIN(C162*(1+C$8),MAX(O163,$B$11-SUM(X163:X163)-SUM(P163:W163)))</f>
        <v>0</v>
      </c>
      <c r="Z163" s="27" t="n">
        <f aca="false">MIN(D162*(1+D$8),MAX(P163,$B$11-SUM(X163:Y163)-SUM(Q163:W163)))</f>
        <v>0</v>
      </c>
      <c r="AA163" s="27" t="n">
        <f aca="false">MIN(E162*(1+E$8),MAX(Q163,$B$11-SUM(X163:Z163)-SUM(R163:W163)))</f>
        <v>0</v>
      </c>
      <c r="AB163" s="27" t="n">
        <f aca="false">MIN(F162*(1+F$8),MAX(R163,$B$11-SUM(X163:AA163)-SUM(S163:W163)))</f>
        <v>0</v>
      </c>
      <c r="AC163" s="27" t="n">
        <f aca="false">MIN(G162*(1+G$8),MAX(S163,$B$11-SUM(X163:AB163)-SUM(T163:W163)))</f>
        <v>0</v>
      </c>
      <c r="AD163" s="27" t="n">
        <f aca="false">MIN(H162*(1+H$8),MAX(T163,$B$11-SUM(X163:AC163)-SUM(U163:W163)))</f>
        <v>0</v>
      </c>
      <c r="AE163" s="27" t="n">
        <f aca="false">MIN(I162*(1+I$8),MAX(U163,$B$11-SUM(X163:AD163)-SUM(V163:W163)))</f>
        <v>0</v>
      </c>
      <c r="AF163" s="27" t="n">
        <f aca="false">MIN(J162*(1+J$8),MAX(V163,$B$11-SUM(X163:AE163)-SUM(W163:W163)))</f>
        <v>0</v>
      </c>
      <c r="AG163" s="27" t="n">
        <f aca="false">MIN(K162*(1+K$8),MAX(W163,$B$11-SUM(X163:AF163)))</f>
        <v>0</v>
      </c>
      <c r="AI163" s="27" t="n">
        <f aca="false">ROUND(MAX(0,AI162*(1+B$8)-BE163),2)</f>
        <v>0</v>
      </c>
      <c r="AJ163" s="27" t="n">
        <f aca="false">ROUND(MAX(0,AJ162*(1+C$8)-BF163),2)</f>
        <v>0</v>
      </c>
      <c r="AK163" s="27" t="n">
        <f aca="false">ROUND(MAX(0,AK162*(1+D$8)-BG163),2)</f>
        <v>0</v>
      </c>
      <c r="AL163" s="27" t="n">
        <f aca="false">ROUND(MAX(0,AL162*(1+E$8)-BH163),2)</f>
        <v>0</v>
      </c>
      <c r="AM163" s="27" t="n">
        <f aca="false">ROUND(MAX(0,AM162*(1+F$8)-BI163),2)</f>
        <v>0</v>
      </c>
      <c r="AN163" s="27" t="n">
        <f aca="false">ROUND(MAX(0,AN162*(1+G$8)-BJ163),2)</f>
        <v>0</v>
      </c>
      <c r="AO163" s="27" t="n">
        <f aca="false">ROUND(MAX(0,AO162*(1+H$8)-BK163),2)</f>
        <v>0</v>
      </c>
      <c r="AP163" s="27" t="n">
        <f aca="false">ROUND(MAX(0,AP162*(1+I$8)-BL163),2)</f>
        <v>0</v>
      </c>
      <c r="AQ163" s="27" t="n">
        <f aca="false">ROUND(MAX(0,AQ162*(1+J$8)-BM163),2)</f>
        <v>0</v>
      </c>
      <c r="AR163" s="27" t="n">
        <f aca="false">ROUND(MAX(0,AR162*(1+K$8)-BN163),2)</f>
        <v>0</v>
      </c>
      <c r="AS163" s="27" t="n">
        <f aca="false">SUM(AI163:AR163)</f>
        <v>0</v>
      </c>
      <c r="AT163" s="27" t="n">
        <f aca="false">SUMPRODUCT(AI162:AR162,$B$8:$K$8)</f>
        <v>0</v>
      </c>
      <c r="AU163" s="27" t="n">
        <f aca="false">MIN(AI162*(1+B$8),B$9)</f>
        <v>0</v>
      </c>
      <c r="AV163" s="27" t="n">
        <f aca="false">MIN(AJ162*(1+C$8),C$9)</f>
        <v>0</v>
      </c>
      <c r="AW163" s="27" t="n">
        <f aca="false">MIN(AK162*(1+D$8),D$9)</f>
        <v>0</v>
      </c>
      <c r="AX163" s="27" t="n">
        <f aca="false">MIN(AL162*(1+E$8),E$9)</f>
        <v>0</v>
      </c>
      <c r="AY163" s="27" t="n">
        <f aca="false">MIN(AM162*(1+F$8),F$9)</f>
        <v>0</v>
      </c>
      <c r="AZ163" s="27" t="n">
        <f aca="false">MIN(AN162*(1+G$8),G$9)</f>
        <v>0</v>
      </c>
      <c r="BA163" s="27" t="n">
        <f aca="false">MIN(AO162*(1+H$8),H$9)</f>
        <v>0</v>
      </c>
      <c r="BB163" s="27" t="n">
        <f aca="false">MIN(AP162*(1+I$8),I$9)</f>
        <v>0</v>
      </c>
      <c r="BC163" s="27" t="n">
        <f aca="false">MIN(AQ162*(1+J$8),J$9)</f>
        <v>0</v>
      </c>
      <c r="BD163" s="27" t="n">
        <f aca="false">MIN(AR162*(1+K$8),K$9)</f>
        <v>0</v>
      </c>
      <c r="BE163" s="27" t="n">
        <f aca="false">MIN(AI162*(1+B$8),MAX(AU163,$B$12-SUM(AV163:BD163)))</f>
        <v>0</v>
      </c>
      <c r="BF163" s="27" t="n">
        <f aca="false">MIN(AJ162*(1+C$8),MAX(AV163,$B$12-SUM(BE163:BE163)-SUM(AW163:BD163)))</f>
        <v>0</v>
      </c>
      <c r="BG163" s="27" t="n">
        <f aca="false">MIN(AK162*(1+D$8),MAX(AW163,$B$12-SUM(BE163:BF163)-SUM(AX163:BD163)))</f>
        <v>0</v>
      </c>
      <c r="BH163" s="27" t="n">
        <f aca="false">MIN(AL162*(1+E$8),MAX(AX163,$B$12-SUM(BE163:BG163)-SUM(AY163:BD163)))</f>
        <v>0</v>
      </c>
      <c r="BI163" s="27" t="n">
        <f aca="false">MIN(AM162*(1+F$8),MAX(AY163,$B$12-SUM(BE163:BH163)-SUM(AZ163:BD163)))</f>
        <v>0</v>
      </c>
      <c r="BJ163" s="27" t="n">
        <f aca="false">MIN(AN162*(1+G$8),MAX(AZ163,$B$12-SUM(BE163:BI163)-SUM(BA163:BD163)))</f>
        <v>0</v>
      </c>
      <c r="BK163" s="27" t="n">
        <f aca="false">MIN(AO162*(1+H$8),MAX(BA163,$B$12-SUM(BE163:BJ163)-SUM(BB163:BD163)))</f>
        <v>0</v>
      </c>
      <c r="BL163" s="27" t="n">
        <f aca="false">MIN(AP162*(1+I$8),MAX(BB163,$B$12-SUM(BE163:BK163)-SUM(BC163:BD163)))</f>
        <v>0</v>
      </c>
      <c r="BM163" s="27" t="n">
        <f aca="false">MIN(AQ162*(1+J$8),MAX(BC163,$B$12-SUM(BE163:BL163)-SUM(BD163:BD163)))</f>
        <v>0</v>
      </c>
      <c r="BN163" s="27" t="n">
        <f aca="false">MIN(AR162*(1+K$8),MAX(BD163,$B$12-SUM(BE163:BM163)))</f>
        <v>0</v>
      </c>
    </row>
    <row r="164" customFormat="false" ht="15" hidden="false" customHeight="false" outlineLevel="0" collapsed="false">
      <c r="A164" s="0" t="n">
        <v>150</v>
      </c>
      <c r="B164" s="27" t="n">
        <f aca="false">ROUND(MAX(0,B163*(1+B$8)-X164),2)</f>
        <v>0</v>
      </c>
      <c r="C164" s="27" t="n">
        <f aca="false">ROUND(MAX(0,C163*(1+C$8)-Y164),2)</f>
        <v>0</v>
      </c>
      <c r="D164" s="27" t="n">
        <f aca="false">ROUND(MAX(0,D163*(1+D$8)-Z164),2)</f>
        <v>0</v>
      </c>
      <c r="E164" s="27" t="n">
        <f aca="false">ROUND(MAX(0,E163*(1+E$8)-AA164),2)</f>
        <v>0</v>
      </c>
      <c r="F164" s="27" t="n">
        <f aca="false">ROUND(MAX(0,F163*(1+F$8)-AB164),2)</f>
        <v>0</v>
      </c>
      <c r="G164" s="27" t="n">
        <f aca="false">ROUND(MAX(0,G163*(1+G$8)-AC164),2)</f>
        <v>0</v>
      </c>
      <c r="H164" s="27" t="n">
        <f aca="false">ROUND(MAX(0,H163*(1+H$8)-AD164),2)</f>
        <v>0</v>
      </c>
      <c r="I164" s="27" t="n">
        <f aca="false">ROUND(MAX(0,I163*(1+I$8)-AE164),2)</f>
        <v>0</v>
      </c>
      <c r="J164" s="27" t="n">
        <f aca="false">ROUND(MAX(0,J163*(1+J$8)-AF164),2)</f>
        <v>0</v>
      </c>
      <c r="K164" s="27" t="n">
        <f aca="false">ROUND(MAX(0,K163*(1+K$8)-AG164),2)</f>
        <v>0</v>
      </c>
      <c r="L164" s="30" t="n">
        <f aca="false">SUM(B164:K164)</f>
        <v>0</v>
      </c>
      <c r="M164" s="27" t="n">
        <f aca="false">SUMPRODUCT(B163:K163,$B$8:$K$8)</f>
        <v>0</v>
      </c>
      <c r="N164" s="27" t="n">
        <f aca="false">MIN(B163*(1+B$8),B$9)</f>
        <v>0</v>
      </c>
      <c r="O164" s="27" t="n">
        <f aca="false">MIN(C163*(1+C$8),C$9)</f>
        <v>0</v>
      </c>
      <c r="P164" s="27" t="n">
        <f aca="false">MIN(D163*(1+D$8),D$9)</f>
        <v>0</v>
      </c>
      <c r="Q164" s="27" t="n">
        <f aca="false">MIN(E163*(1+E$8),E$9)</f>
        <v>0</v>
      </c>
      <c r="R164" s="27" t="n">
        <f aca="false">MIN(F163*(1+F$8),F$9)</f>
        <v>0</v>
      </c>
      <c r="S164" s="27" t="n">
        <f aca="false">MIN(G163*(1+G$8),G$9)</f>
        <v>0</v>
      </c>
      <c r="T164" s="27" t="n">
        <f aca="false">MIN(H163*(1+H$8),H$9)</f>
        <v>0</v>
      </c>
      <c r="U164" s="27" t="n">
        <f aca="false">MIN(I163*(1+I$8),I$9)</f>
        <v>0</v>
      </c>
      <c r="V164" s="27" t="n">
        <f aca="false">MIN(J163*(1+J$8),J$9)</f>
        <v>0</v>
      </c>
      <c r="W164" s="27" t="n">
        <f aca="false">MIN(K163*(1+K$8),K$9)</f>
        <v>0</v>
      </c>
      <c r="X164" s="27" t="n">
        <f aca="false">MIN(B163*(1+B$8),MAX(N164,$B$11-SUM(O164:W164)))</f>
        <v>0</v>
      </c>
      <c r="Y164" s="27" t="n">
        <f aca="false">MIN(C163*(1+C$8),MAX(O164,$B$11-SUM(X164:X164)-SUM(P164:W164)))</f>
        <v>0</v>
      </c>
      <c r="Z164" s="27" t="n">
        <f aca="false">MIN(D163*(1+D$8),MAX(P164,$B$11-SUM(X164:Y164)-SUM(Q164:W164)))</f>
        <v>0</v>
      </c>
      <c r="AA164" s="27" t="n">
        <f aca="false">MIN(E163*(1+E$8),MAX(Q164,$B$11-SUM(X164:Z164)-SUM(R164:W164)))</f>
        <v>0</v>
      </c>
      <c r="AB164" s="27" t="n">
        <f aca="false">MIN(F163*(1+F$8),MAX(R164,$B$11-SUM(X164:AA164)-SUM(S164:W164)))</f>
        <v>0</v>
      </c>
      <c r="AC164" s="27" t="n">
        <f aca="false">MIN(G163*(1+G$8),MAX(S164,$B$11-SUM(X164:AB164)-SUM(T164:W164)))</f>
        <v>0</v>
      </c>
      <c r="AD164" s="27" t="n">
        <f aca="false">MIN(H163*(1+H$8),MAX(T164,$B$11-SUM(X164:AC164)-SUM(U164:W164)))</f>
        <v>0</v>
      </c>
      <c r="AE164" s="27" t="n">
        <f aca="false">MIN(I163*(1+I$8),MAX(U164,$B$11-SUM(X164:AD164)-SUM(V164:W164)))</f>
        <v>0</v>
      </c>
      <c r="AF164" s="27" t="n">
        <f aca="false">MIN(J163*(1+J$8),MAX(V164,$B$11-SUM(X164:AE164)-SUM(W164:W164)))</f>
        <v>0</v>
      </c>
      <c r="AG164" s="27" t="n">
        <f aca="false">MIN(K163*(1+K$8),MAX(W164,$B$11-SUM(X164:AF164)))</f>
        <v>0</v>
      </c>
      <c r="AI164" s="27" t="n">
        <f aca="false">ROUND(MAX(0,AI163*(1+B$8)-BE164),2)</f>
        <v>0</v>
      </c>
      <c r="AJ164" s="27" t="n">
        <f aca="false">ROUND(MAX(0,AJ163*(1+C$8)-BF164),2)</f>
        <v>0</v>
      </c>
      <c r="AK164" s="27" t="n">
        <f aca="false">ROUND(MAX(0,AK163*(1+D$8)-BG164),2)</f>
        <v>0</v>
      </c>
      <c r="AL164" s="27" t="n">
        <f aca="false">ROUND(MAX(0,AL163*(1+E$8)-BH164),2)</f>
        <v>0</v>
      </c>
      <c r="AM164" s="27" t="n">
        <f aca="false">ROUND(MAX(0,AM163*(1+F$8)-BI164),2)</f>
        <v>0</v>
      </c>
      <c r="AN164" s="27" t="n">
        <f aca="false">ROUND(MAX(0,AN163*(1+G$8)-BJ164),2)</f>
        <v>0</v>
      </c>
      <c r="AO164" s="27" t="n">
        <f aca="false">ROUND(MAX(0,AO163*(1+H$8)-BK164),2)</f>
        <v>0</v>
      </c>
      <c r="AP164" s="27" t="n">
        <f aca="false">ROUND(MAX(0,AP163*(1+I$8)-BL164),2)</f>
        <v>0</v>
      </c>
      <c r="AQ164" s="27" t="n">
        <f aca="false">ROUND(MAX(0,AQ163*(1+J$8)-BM164),2)</f>
        <v>0</v>
      </c>
      <c r="AR164" s="27" t="n">
        <f aca="false">ROUND(MAX(0,AR163*(1+K$8)-BN164),2)</f>
        <v>0</v>
      </c>
      <c r="AS164" s="27" t="n">
        <f aca="false">SUM(AI164:AR164)</f>
        <v>0</v>
      </c>
      <c r="AT164" s="27" t="n">
        <f aca="false">SUMPRODUCT(AI163:AR163,$B$8:$K$8)</f>
        <v>0</v>
      </c>
      <c r="AU164" s="27" t="n">
        <f aca="false">MIN(AI163*(1+B$8),B$9)</f>
        <v>0</v>
      </c>
      <c r="AV164" s="27" t="n">
        <f aca="false">MIN(AJ163*(1+C$8),C$9)</f>
        <v>0</v>
      </c>
      <c r="AW164" s="27" t="n">
        <f aca="false">MIN(AK163*(1+D$8),D$9)</f>
        <v>0</v>
      </c>
      <c r="AX164" s="27" t="n">
        <f aca="false">MIN(AL163*(1+E$8),E$9)</f>
        <v>0</v>
      </c>
      <c r="AY164" s="27" t="n">
        <f aca="false">MIN(AM163*(1+F$8),F$9)</f>
        <v>0</v>
      </c>
      <c r="AZ164" s="27" t="n">
        <f aca="false">MIN(AN163*(1+G$8),G$9)</f>
        <v>0</v>
      </c>
      <c r="BA164" s="27" t="n">
        <f aca="false">MIN(AO163*(1+H$8),H$9)</f>
        <v>0</v>
      </c>
      <c r="BB164" s="27" t="n">
        <f aca="false">MIN(AP163*(1+I$8),I$9)</f>
        <v>0</v>
      </c>
      <c r="BC164" s="27" t="n">
        <f aca="false">MIN(AQ163*(1+J$8),J$9)</f>
        <v>0</v>
      </c>
      <c r="BD164" s="27" t="n">
        <f aca="false">MIN(AR163*(1+K$8),K$9)</f>
        <v>0</v>
      </c>
      <c r="BE164" s="27" t="n">
        <f aca="false">MIN(AI163*(1+B$8),MAX(AU164,$B$12-SUM(AV164:BD164)))</f>
        <v>0</v>
      </c>
      <c r="BF164" s="27" t="n">
        <f aca="false">MIN(AJ163*(1+C$8),MAX(AV164,$B$12-SUM(BE164:BE164)-SUM(AW164:BD164)))</f>
        <v>0</v>
      </c>
      <c r="BG164" s="27" t="n">
        <f aca="false">MIN(AK163*(1+D$8),MAX(AW164,$B$12-SUM(BE164:BF164)-SUM(AX164:BD164)))</f>
        <v>0</v>
      </c>
      <c r="BH164" s="27" t="n">
        <f aca="false">MIN(AL163*(1+E$8),MAX(AX164,$B$12-SUM(BE164:BG164)-SUM(AY164:BD164)))</f>
        <v>0</v>
      </c>
      <c r="BI164" s="27" t="n">
        <f aca="false">MIN(AM163*(1+F$8),MAX(AY164,$B$12-SUM(BE164:BH164)-SUM(AZ164:BD164)))</f>
        <v>0</v>
      </c>
      <c r="BJ164" s="27" t="n">
        <f aca="false">MIN(AN163*(1+G$8),MAX(AZ164,$B$12-SUM(BE164:BI164)-SUM(BA164:BD164)))</f>
        <v>0</v>
      </c>
      <c r="BK164" s="27" t="n">
        <f aca="false">MIN(AO163*(1+H$8),MAX(BA164,$B$12-SUM(BE164:BJ164)-SUM(BB164:BD164)))</f>
        <v>0</v>
      </c>
      <c r="BL164" s="27" t="n">
        <f aca="false">MIN(AP163*(1+I$8),MAX(BB164,$B$12-SUM(BE164:BK164)-SUM(BC164:BD164)))</f>
        <v>0</v>
      </c>
      <c r="BM164" s="27" t="n">
        <f aca="false">MIN(AQ163*(1+J$8),MAX(BC164,$B$12-SUM(BE164:BL164)-SUM(BD164:BD164)))</f>
        <v>0</v>
      </c>
      <c r="BN164" s="27" t="n">
        <f aca="false">MIN(AR163*(1+K$8),MAX(BD164,$B$12-SUM(BE164:BM164)))</f>
        <v>0</v>
      </c>
    </row>
    <row r="165" customFormat="false" ht="15" hidden="false" customHeight="false" outlineLevel="0" collapsed="false">
      <c r="A165" s="0" t="n">
        <v>151</v>
      </c>
      <c r="B165" s="27" t="n">
        <f aca="false">ROUND(MAX(0,B164*(1+B$8)-X165),2)</f>
        <v>0</v>
      </c>
      <c r="C165" s="27" t="n">
        <f aca="false">ROUND(MAX(0,C164*(1+C$8)-Y165),2)</f>
        <v>0</v>
      </c>
      <c r="D165" s="27" t="n">
        <f aca="false">ROUND(MAX(0,D164*(1+D$8)-Z165),2)</f>
        <v>0</v>
      </c>
      <c r="E165" s="27" t="n">
        <f aca="false">ROUND(MAX(0,E164*(1+E$8)-AA165),2)</f>
        <v>0</v>
      </c>
      <c r="F165" s="27" t="n">
        <f aca="false">ROUND(MAX(0,F164*(1+F$8)-AB165),2)</f>
        <v>0</v>
      </c>
      <c r="G165" s="27" t="n">
        <f aca="false">ROUND(MAX(0,G164*(1+G$8)-AC165),2)</f>
        <v>0</v>
      </c>
      <c r="H165" s="27" t="n">
        <f aca="false">ROUND(MAX(0,H164*(1+H$8)-AD165),2)</f>
        <v>0</v>
      </c>
      <c r="I165" s="27" t="n">
        <f aca="false">ROUND(MAX(0,I164*(1+I$8)-AE165),2)</f>
        <v>0</v>
      </c>
      <c r="J165" s="27" t="n">
        <f aca="false">ROUND(MAX(0,J164*(1+J$8)-AF165),2)</f>
        <v>0</v>
      </c>
      <c r="K165" s="27" t="n">
        <f aca="false">ROUND(MAX(0,K164*(1+K$8)-AG165),2)</f>
        <v>0</v>
      </c>
      <c r="L165" s="30" t="n">
        <f aca="false">SUM(B165:K165)</f>
        <v>0</v>
      </c>
      <c r="M165" s="27" t="n">
        <f aca="false">SUMPRODUCT(B164:K164,$B$8:$K$8)</f>
        <v>0</v>
      </c>
      <c r="N165" s="27" t="n">
        <f aca="false">MIN(B164*(1+B$8),B$9)</f>
        <v>0</v>
      </c>
      <c r="O165" s="27" t="n">
        <f aca="false">MIN(C164*(1+C$8),C$9)</f>
        <v>0</v>
      </c>
      <c r="P165" s="27" t="n">
        <f aca="false">MIN(D164*(1+D$8),D$9)</f>
        <v>0</v>
      </c>
      <c r="Q165" s="27" t="n">
        <f aca="false">MIN(E164*(1+E$8),E$9)</f>
        <v>0</v>
      </c>
      <c r="R165" s="27" t="n">
        <f aca="false">MIN(F164*(1+F$8),F$9)</f>
        <v>0</v>
      </c>
      <c r="S165" s="27" t="n">
        <f aca="false">MIN(G164*(1+G$8),G$9)</f>
        <v>0</v>
      </c>
      <c r="T165" s="27" t="n">
        <f aca="false">MIN(H164*(1+H$8),H$9)</f>
        <v>0</v>
      </c>
      <c r="U165" s="27" t="n">
        <f aca="false">MIN(I164*(1+I$8),I$9)</f>
        <v>0</v>
      </c>
      <c r="V165" s="27" t="n">
        <f aca="false">MIN(J164*(1+J$8),J$9)</f>
        <v>0</v>
      </c>
      <c r="W165" s="27" t="n">
        <f aca="false">MIN(K164*(1+K$8),K$9)</f>
        <v>0</v>
      </c>
      <c r="X165" s="27" t="n">
        <f aca="false">MIN(B164*(1+B$8),MAX(N165,$B$11-SUM(O165:W165)))</f>
        <v>0</v>
      </c>
      <c r="Y165" s="27" t="n">
        <f aca="false">MIN(C164*(1+C$8),MAX(O165,$B$11-SUM(X165:X165)-SUM(P165:W165)))</f>
        <v>0</v>
      </c>
      <c r="Z165" s="27" t="n">
        <f aca="false">MIN(D164*(1+D$8),MAX(P165,$B$11-SUM(X165:Y165)-SUM(Q165:W165)))</f>
        <v>0</v>
      </c>
      <c r="AA165" s="27" t="n">
        <f aca="false">MIN(E164*(1+E$8),MAX(Q165,$B$11-SUM(X165:Z165)-SUM(R165:W165)))</f>
        <v>0</v>
      </c>
      <c r="AB165" s="27" t="n">
        <f aca="false">MIN(F164*(1+F$8),MAX(R165,$B$11-SUM(X165:AA165)-SUM(S165:W165)))</f>
        <v>0</v>
      </c>
      <c r="AC165" s="27" t="n">
        <f aca="false">MIN(G164*(1+G$8),MAX(S165,$B$11-SUM(X165:AB165)-SUM(T165:W165)))</f>
        <v>0</v>
      </c>
      <c r="AD165" s="27" t="n">
        <f aca="false">MIN(H164*(1+H$8),MAX(T165,$B$11-SUM(X165:AC165)-SUM(U165:W165)))</f>
        <v>0</v>
      </c>
      <c r="AE165" s="27" t="n">
        <f aca="false">MIN(I164*(1+I$8),MAX(U165,$B$11-SUM(X165:AD165)-SUM(V165:W165)))</f>
        <v>0</v>
      </c>
      <c r="AF165" s="27" t="n">
        <f aca="false">MIN(J164*(1+J$8),MAX(V165,$B$11-SUM(X165:AE165)-SUM(W165:W165)))</f>
        <v>0</v>
      </c>
      <c r="AG165" s="27" t="n">
        <f aca="false">MIN(K164*(1+K$8),MAX(W165,$B$11-SUM(X165:AF165)))</f>
        <v>0</v>
      </c>
      <c r="AI165" s="27" t="n">
        <f aca="false">ROUND(MAX(0,AI164*(1+B$8)-BE165),2)</f>
        <v>0</v>
      </c>
      <c r="AJ165" s="27" t="n">
        <f aca="false">ROUND(MAX(0,AJ164*(1+C$8)-BF165),2)</f>
        <v>0</v>
      </c>
      <c r="AK165" s="27" t="n">
        <f aca="false">ROUND(MAX(0,AK164*(1+D$8)-BG165),2)</f>
        <v>0</v>
      </c>
      <c r="AL165" s="27" t="n">
        <f aca="false">ROUND(MAX(0,AL164*(1+E$8)-BH165),2)</f>
        <v>0</v>
      </c>
      <c r="AM165" s="27" t="n">
        <f aca="false">ROUND(MAX(0,AM164*(1+F$8)-BI165),2)</f>
        <v>0</v>
      </c>
      <c r="AN165" s="27" t="n">
        <f aca="false">ROUND(MAX(0,AN164*(1+G$8)-BJ165),2)</f>
        <v>0</v>
      </c>
      <c r="AO165" s="27" t="n">
        <f aca="false">ROUND(MAX(0,AO164*(1+H$8)-BK165),2)</f>
        <v>0</v>
      </c>
      <c r="AP165" s="27" t="n">
        <f aca="false">ROUND(MAX(0,AP164*(1+I$8)-BL165),2)</f>
        <v>0</v>
      </c>
      <c r="AQ165" s="27" t="n">
        <f aca="false">ROUND(MAX(0,AQ164*(1+J$8)-BM165),2)</f>
        <v>0</v>
      </c>
      <c r="AR165" s="27" t="n">
        <f aca="false">ROUND(MAX(0,AR164*(1+K$8)-BN165),2)</f>
        <v>0</v>
      </c>
      <c r="AS165" s="27" t="n">
        <f aca="false">SUM(AI165:AR165)</f>
        <v>0</v>
      </c>
      <c r="AT165" s="27" t="n">
        <f aca="false">SUMPRODUCT(AI164:AR164,$B$8:$K$8)</f>
        <v>0</v>
      </c>
      <c r="AU165" s="27" t="n">
        <f aca="false">MIN(AI164*(1+B$8),B$9)</f>
        <v>0</v>
      </c>
      <c r="AV165" s="27" t="n">
        <f aca="false">MIN(AJ164*(1+C$8),C$9)</f>
        <v>0</v>
      </c>
      <c r="AW165" s="27" t="n">
        <f aca="false">MIN(AK164*(1+D$8),D$9)</f>
        <v>0</v>
      </c>
      <c r="AX165" s="27" t="n">
        <f aca="false">MIN(AL164*(1+E$8),E$9)</f>
        <v>0</v>
      </c>
      <c r="AY165" s="27" t="n">
        <f aca="false">MIN(AM164*(1+F$8),F$9)</f>
        <v>0</v>
      </c>
      <c r="AZ165" s="27" t="n">
        <f aca="false">MIN(AN164*(1+G$8),G$9)</f>
        <v>0</v>
      </c>
      <c r="BA165" s="27" t="n">
        <f aca="false">MIN(AO164*(1+H$8),H$9)</f>
        <v>0</v>
      </c>
      <c r="BB165" s="27" t="n">
        <f aca="false">MIN(AP164*(1+I$8),I$9)</f>
        <v>0</v>
      </c>
      <c r="BC165" s="27" t="n">
        <f aca="false">MIN(AQ164*(1+J$8),J$9)</f>
        <v>0</v>
      </c>
      <c r="BD165" s="27" t="n">
        <f aca="false">MIN(AR164*(1+K$8),K$9)</f>
        <v>0</v>
      </c>
      <c r="BE165" s="27" t="n">
        <f aca="false">MIN(AI164*(1+B$8),MAX(AU165,$B$12-SUM(AV165:BD165)))</f>
        <v>0</v>
      </c>
      <c r="BF165" s="27" t="n">
        <f aca="false">MIN(AJ164*(1+C$8),MAX(AV165,$B$12-SUM(BE165:BE165)-SUM(AW165:BD165)))</f>
        <v>0</v>
      </c>
      <c r="BG165" s="27" t="n">
        <f aca="false">MIN(AK164*(1+D$8),MAX(AW165,$B$12-SUM(BE165:BF165)-SUM(AX165:BD165)))</f>
        <v>0</v>
      </c>
      <c r="BH165" s="27" t="n">
        <f aca="false">MIN(AL164*(1+E$8),MAX(AX165,$B$12-SUM(BE165:BG165)-SUM(AY165:BD165)))</f>
        <v>0</v>
      </c>
      <c r="BI165" s="27" t="n">
        <f aca="false">MIN(AM164*(1+F$8),MAX(AY165,$B$12-SUM(BE165:BH165)-SUM(AZ165:BD165)))</f>
        <v>0</v>
      </c>
      <c r="BJ165" s="27" t="n">
        <f aca="false">MIN(AN164*(1+G$8),MAX(AZ165,$B$12-SUM(BE165:BI165)-SUM(BA165:BD165)))</f>
        <v>0</v>
      </c>
      <c r="BK165" s="27" t="n">
        <f aca="false">MIN(AO164*(1+H$8),MAX(BA165,$B$12-SUM(BE165:BJ165)-SUM(BB165:BD165)))</f>
        <v>0</v>
      </c>
      <c r="BL165" s="27" t="n">
        <f aca="false">MIN(AP164*(1+I$8),MAX(BB165,$B$12-SUM(BE165:BK165)-SUM(BC165:BD165)))</f>
        <v>0</v>
      </c>
      <c r="BM165" s="27" t="n">
        <f aca="false">MIN(AQ164*(1+J$8),MAX(BC165,$B$12-SUM(BE165:BL165)-SUM(BD165:BD165)))</f>
        <v>0</v>
      </c>
      <c r="BN165" s="27" t="n">
        <f aca="false">MIN(AR164*(1+K$8),MAX(BD165,$B$12-SUM(BE165:BM165)))</f>
        <v>0</v>
      </c>
    </row>
    <row r="166" customFormat="false" ht="15" hidden="false" customHeight="false" outlineLevel="0" collapsed="false">
      <c r="A166" s="0" t="n">
        <v>152</v>
      </c>
      <c r="B166" s="27" t="n">
        <f aca="false">ROUND(MAX(0,B165*(1+B$8)-X166),2)</f>
        <v>0</v>
      </c>
      <c r="C166" s="27" t="n">
        <f aca="false">ROUND(MAX(0,C165*(1+C$8)-Y166),2)</f>
        <v>0</v>
      </c>
      <c r="D166" s="27" t="n">
        <f aca="false">ROUND(MAX(0,D165*(1+D$8)-Z166),2)</f>
        <v>0</v>
      </c>
      <c r="E166" s="27" t="n">
        <f aca="false">ROUND(MAX(0,E165*(1+E$8)-AA166),2)</f>
        <v>0</v>
      </c>
      <c r="F166" s="27" t="n">
        <f aca="false">ROUND(MAX(0,F165*(1+F$8)-AB166),2)</f>
        <v>0</v>
      </c>
      <c r="G166" s="27" t="n">
        <f aca="false">ROUND(MAX(0,G165*(1+G$8)-AC166),2)</f>
        <v>0</v>
      </c>
      <c r="H166" s="27" t="n">
        <f aca="false">ROUND(MAX(0,H165*(1+H$8)-AD166),2)</f>
        <v>0</v>
      </c>
      <c r="I166" s="27" t="n">
        <f aca="false">ROUND(MAX(0,I165*(1+I$8)-AE166),2)</f>
        <v>0</v>
      </c>
      <c r="J166" s="27" t="n">
        <f aca="false">ROUND(MAX(0,J165*(1+J$8)-AF166),2)</f>
        <v>0</v>
      </c>
      <c r="K166" s="27" t="n">
        <f aca="false">ROUND(MAX(0,K165*(1+K$8)-AG166),2)</f>
        <v>0</v>
      </c>
      <c r="L166" s="30" t="n">
        <f aca="false">SUM(B166:K166)</f>
        <v>0</v>
      </c>
      <c r="M166" s="27" t="n">
        <f aca="false">SUMPRODUCT(B165:K165,$B$8:$K$8)</f>
        <v>0</v>
      </c>
      <c r="N166" s="27" t="n">
        <f aca="false">MIN(B165*(1+B$8),B$9)</f>
        <v>0</v>
      </c>
      <c r="O166" s="27" t="n">
        <f aca="false">MIN(C165*(1+C$8),C$9)</f>
        <v>0</v>
      </c>
      <c r="P166" s="27" t="n">
        <f aca="false">MIN(D165*(1+D$8),D$9)</f>
        <v>0</v>
      </c>
      <c r="Q166" s="27" t="n">
        <f aca="false">MIN(E165*(1+E$8),E$9)</f>
        <v>0</v>
      </c>
      <c r="R166" s="27" t="n">
        <f aca="false">MIN(F165*(1+F$8),F$9)</f>
        <v>0</v>
      </c>
      <c r="S166" s="27" t="n">
        <f aca="false">MIN(G165*(1+G$8),G$9)</f>
        <v>0</v>
      </c>
      <c r="T166" s="27" t="n">
        <f aca="false">MIN(H165*(1+H$8),H$9)</f>
        <v>0</v>
      </c>
      <c r="U166" s="27" t="n">
        <f aca="false">MIN(I165*(1+I$8),I$9)</f>
        <v>0</v>
      </c>
      <c r="V166" s="27" t="n">
        <f aca="false">MIN(J165*(1+J$8),J$9)</f>
        <v>0</v>
      </c>
      <c r="W166" s="27" t="n">
        <f aca="false">MIN(K165*(1+K$8),K$9)</f>
        <v>0</v>
      </c>
      <c r="X166" s="27" t="n">
        <f aca="false">MIN(B165*(1+B$8),MAX(N166,$B$11-SUM(O166:W166)))</f>
        <v>0</v>
      </c>
      <c r="Y166" s="27" t="n">
        <f aca="false">MIN(C165*(1+C$8),MAX(O166,$B$11-SUM(X166:X166)-SUM(P166:W166)))</f>
        <v>0</v>
      </c>
      <c r="Z166" s="27" t="n">
        <f aca="false">MIN(D165*(1+D$8),MAX(P166,$B$11-SUM(X166:Y166)-SUM(Q166:W166)))</f>
        <v>0</v>
      </c>
      <c r="AA166" s="27" t="n">
        <f aca="false">MIN(E165*(1+E$8),MAX(Q166,$B$11-SUM(X166:Z166)-SUM(R166:W166)))</f>
        <v>0</v>
      </c>
      <c r="AB166" s="27" t="n">
        <f aca="false">MIN(F165*(1+F$8),MAX(R166,$B$11-SUM(X166:AA166)-SUM(S166:W166)))</f>
        <v>0</v>
      </c>
      <c r="AC166" s="27" t="n">
        <f aca="false">MIN(G165*(1+G$8),MAX(S166,$B$11-SUM(X166:AB166)-SUM(T166:W166)))</f>
        <v>0</v>
      </c>
      <c r="AD166" s="27" t="n">
        <f aca="false">MIN(H165*(1+H$8),MAX(T166,$B$11-SUM(X166:AC166)-SUM(U166:W166)))</f>
        <v>0</v>
      </c>
      <c r="AE166" s="27" t="n">
        <f aca="false">MIN(I165*(1+I$8),MAX(U166,$B$11-SUM(X166:AD166)-SUM(V166:W166)))</f>
        <v>0</v>
      </c>
      <c r="AF166" s="27" t="n">
        <f aca="false">MIN(J165*(1+J$8),MAX(V166,$B$11-SUM(X166:AE166)-SUM(W166:W166)))</f>
        <v>0</v>
      </c>
      <c r="AG166" s="27" t="n">
        <f aca="false">MIN(K165*(1+K$8),MAX(W166,$B$11-SUM(X166:AF166)))</f>
        <v>0</v>
      </c>
      <c r="AI166" s="27" t="n">
        <f aca="false">ROUND(MAX(0,AI165*(1+B$8)-BE166),2)</f>
        <v>0</v>
      </c>
      <c r="AJ166" s="27" t="n">
        <f aca="false">ROUND(MAX(0,AJ165*(1+C$8)-BF166),2)</f>
        <v>0</v>
      </c>
      <c r="AK166" s="27" t="n">
        <f aca="false">ROUND(MAX(0,AK165*(1+D$8)-BG166),2)</f>
        <v>0</v>
      </c>
      <c r="AL166" s="27" t="n">
        <f aca="false">ROUND(MAX(0,AL165*(1+E$8)-BH166),2)</f>
        <v>0</v>
      </c>
      <c r="AM166" s="27" t="n">
        <f aca="false">ROUND(MAX(0,AM165*(1+F$8)-BI166),2)</f>
        <v>0</v>
      </c>
      <c r="AN166" s="27" t="n">
        <f aca="false">ROUND(MAX(0,AN165*(1+G$8)-BJ166),2)</f>
        <v>0</v>
      </c>
      <c r="AO166" s="27" t="n">
        <f aca="false">ROUND(MAX(0,AO165*(1+H$8)-BK166),2)</f>
        <v>0</v>
      </c>
      <c r="AP166" s="27" t="n">
        <f aca="false">ROUND(MAX(0,AP165*(1+I$8)-BL166),2)</f>
        <v>0</v>
      </c>
      <c r="AQ166" s="27" t="n">
        <f aca="false">ROUND(MAX(0,AQ165*(1+J$8)-BM166),2)</f>
        <v>0</v>
      </c>
      <c r="AR166" s="27" t="n">
        <f aca="false">ROUND(MAX(0,AR165*(1+K$8)-BN166),2)</f>
        <v>0</v>
      </c>
      <c r="AS166" s="27" t="n">
        <f aca="false">SUM(AI166:AR166)</f>
        <v>0</v>
      </c>
      <c r="AT166" s="27" t="n">
        <f aca="false">SUMPRODUCT(AI165:AR165,$B$8:$K$8)</f>
        <v>0</v>
      </c>
      <c r="AU166" s="27" t="n">
        <f aca="false">MIN(AI165*(1+B$8),B$9)</f>
        <v>0</v>
      </c>
      <c r="AV166" s="27" t="n">
        <f aca="false">MIN(AJ165*(1+C$8),C$9)</f>
        <v>0</v>
      </c>
      <c r="AW166" s="27" t="n">
        <f aca="false">MIN(AK165*(1+D$8),D$9)</f>
        <v>0</v>
      </c>
      <c r="AX166" s="27" t="n">
        <f aca="false">MIN(AL165*(1+E$8),E$9)</f>
        <v>0</v>
      </c>
      <c r="AY166" s="27" t="n">
        <f aca="false">MIN(AM165*(1+F$8),F$9)</f>
        <v>0</v>
      </c>
      <c r="AZ166" s="27" t="n">
        <f aca="false">MIN(AN165*(1+G$8),G$9)</f>
        <v>0</v>
      </c>
      <c r="BA166" s="27" t="n">
        <f aca="false">MIN(AO165*(1+H$8),H$9)</f>
        <v>0</v>
      </c>
      <c r="BB166" s="27" t="n">
        <f aca="false">MIN(AP165*(1+I$8),I$9)</f>
        <v>0</v>
      </c>
      <c r="BC166" s="27" t="n">
        <f aca="false">MIN(AQ165*(1+J$8),J$9)</f>
        <v>0</v>
      </c>
      <c r="BD166" s="27" t="n">
        <f aca="false">MIN(AR165*(1+K$8),K$9)</f>
        <v>0</v>
      </c>
      <c r="BE166" s="27" t="n">
        <f aca="false">MIN(AI165*(1+B$8),MAX(AU166,$B$12-SUM(AV166:BD166)))</f>
        <v>0</v>
      </c>
      <c r="BF166" s="27" t="n">
        <f aca="false">MIN(AJ165*(1+C$8),MAX(AV166,$B$12-SUM(BE166:BE166)-SUM(AW166:BD166)))</f>
        <v>0</v>
      </c>
      <c r="BG166" s="27" t="n">
        <f aca="false">MIN(AK165*(1+D$8),MAX(AW166,$B$12-SUM(BE166:BF166)-SUM(AX166:BD166)))</f>
        <v>0</v>
      </c>
      <c r="BH166" s="27" t="n">
        <f aca="false">MIN(AL165*(1+E$8),MAX(AX166,$B$12-SUM(BE166:BG166)-SUM(AY166:BD166)))</f>
        <v>0</v>
      </c>
      <c r="BI166" s="27" t="n">
        <f aca="false">MIN(AM165*(1+F$8),MAX(AY166,$B$12-SUM(BE166:BH166)-SUM(AZ166:BD166)))</f>
        <v>0</v>
      </c>
      <c r="BJ166" s="27" t="n">
        <f aca="false">MIN(AN165*(1+G$8),MAX(AZ166,$B$12-SUM(BE166:BI166)-SUM(BA166:BD166)))</f>
        <v>0</v>
      </c>
      <c r="BK166" s="27" t="n">
        <f aca="false">MIN(AO165*(1+H$8),MAX(BA166,$B$12-SUM(BE166:BJ166)-SUM(BB166:BD166)))</f>
        <v>0</v>
      </c>
      <c r="BL166" s="27" t="n">
        <f aca="false">MIN(AP165*(1+I$8),MAX(BB166,$B$12-SUM(BE166:BK166)-SUM(BC166:BD166)))</f>
        <v>0</v>
      </c>
      <c r="BM166" s="27" t="n">
        <f aca="false">MIN(AQ165*(1+J$8),MAX(BC166,$B$12-SUM(BE166:BL166)-SUM(BD166:BD166)))</f>
        <v>0</v>
      </c>
      <c r="BN166" s="27" t="n">
        <f aca="false">MIN(AR165*(1+K$8),MAX(BD166,$B$12-SUM(BE166:BM166)))</f>
        <v>0</v>
      </c>
    </row>
    <row r="167" customFormat="false" ht="15" hidden="false" customHeight="false" outlineLevel="0" collapsed="false">
      <c r="A167" s="0" t="n">
        <v>153</v>
      </c>
      <c r="B167" s="27" t="n">
        <f aca="false">ROUND(MAX(0,B166*(1+B$8)-X167),2)</f>
        <v>0</v>
      </c>
      <c r="C167" s="27" t="n">
        <f aca="false">ROUND(MAX(0,C166*(1+C$8)-Y167),2)</f>
        <v>0</v>
      </c>
      <c r="D167" s="27" t="n">
        <f aca="false">ROUND(MAX(0,D166*(1+D$8)-Z167),2)</f>
        <v>0</v>
      </c>
      <c r="E167" s="27" t="n">
        <f aca="false">ROUND(MAX(0,E166*(1+E$8)-AA167),2)</f>
        <v>0</v>
      </c>
      <c r="F167" s="27" t="n">
        <f aca="false">ROUND(MAX(0,F166*(1+F$8)-AB167),2)</f>
        <v>0</v>
      </c>
      <c r="G167" s="27" t="n">
        <f aca="false">ROUND(MAX(0,G166*(1+G$8)-AC167),2)</f>
        <v>0</v>
      </c>
      <c r="H167" s="27" t="n">
        <f aca="false">ROUND(MAX(0,H166*(1+H$8)-AD167),2)</f>
        <v>0</v>
      </c>
      <c r="I167" s="27" t="n">
        <f aca="false">ROUND(MAX(0,I166*(1+I$8)-AE167),2)</f>
        <v>0</v>
      </c>
      <c r="J167" s="27" t="n">
        <f aca="false">ROUND(MAX(0,J166*(1+J$8)-AF167),2)</f>
        <v>0</v>
      </c>
      <c r="K167" s="27" t="n">
        <f aca="false">ROUND(MAX(0,K166*(1+K$8)-AG167),2)</f>
        <v>0</v>
      </c>
      <c r="L167" s="30" t="n">
        <f aca="false">SUM(B167:K167)</f>
        <v>0</v>
      </c>
      <c r="M167" s="27" t="n">
        <f aca="false">SUMPRODUCT(B166:K166,$B$8:$K$8)</f>
        <v>0</v>
      </c>
      <c r="N167" s="27" t="n">
        <f aca="false">MIN(B166*(1+B$8),B$9)</f>
        <v>0</v>
      </c>
      <c r="O167" s="27" t="n">
        <f aca="false">MIN(C166*(1+C$8),C$9)</f>
        <v>0</v>
      </c>
      <c r="P167" s="27" t="n">
        <f aca="false">MIN(D166*(1+D$8),D$9)</f>
        <v>0</v>
      </c>
      <c r="Q167" s="27" t="n">
        <f aca="false">MIN(E166*(1+E$8),E$9)</f>
        <v>0</v>
      </c>
      <c r="R167" s="27" t="n">
        <f aca="false">MIN(F166*(1+F$8),F$9)</f>
        <v>0</v>
      </c>
      <c r="S167" s="27" t="n">
        <f aca="false">MIN(G166*(1+G$8),G$9)</f>
        <v>0</v>
      </c>
      <c r="T167" s="27" t="n">
        <f aca="false">MIN(H166*(1+H$8),H$9)</f>
        <v>0</v>
      </c>
      <c r="U167" s="27" t="n">
        <f aca="false">MIN(I166*(1+I$8),I$9)</f>
        <v>0</v>
      </c>
      <c r="V167" s="27" t="n">
        <f aca="false">MIN(J166*(1+J$8),J$9)</f>
        <v>0</v>
      </c>
      <c r="W167" s="27" t="n">
        <f aca="false">MIN(K166*(1+K$8),K$9)</f>
        <v>0</v>
      </c>
      <c r="X167" s="27" t="n">
        <f aca="false">MIN(B166*(1+B$8),MAX(N167,$B$11-SUM(O167:W167)))</f>
        <v>0</v>
      </c>
      <c r="Y167" s="27" t="n">
        <f aca="false">MIN(C166*(1+C$8),MAX(O167,$B$11-SUM(X167:X167)-SUM(P167:W167)))</f>
        <v>0</v>
      </c>
      <c r="Z167" s="27" t="n">
        <f aca="false">MIN(D166*(1+D$8),MAX(P167,$B$11-SUM(X167:Y167)-SUM(Q167:W167)))</f>
        <v>0</v>
      </c>
      <c r="AA167" s="27" t="n">
        <f aca="false">MIN(E166*(1+E$8),MAX(Q167,$B$11-SUM(X167:Z167)-SUM(R167:W167)))</f>
        <v>0</v>
      </c>
      <c r="AB167" s="27" t="n">
        <f aca="false">MIN(F166*(1+F$8),MAX(R167,$B$11-SUM(X167:AA167)-SUM(S167:W167)))</f>
        <v>0</v>
      </c>
      <c r="AC167" s="27" t="n">
        <f aca="false">MIN(G166*(1+G$8),MAX(S167,$B$11-SUM(X167:AB167)-SUM(T167:W167)))</f>
        <v>0</v>
      </c>
      <c r="AD167" s="27" t="n">
        <f aca="false">MIN(H166*(1+H$8),MAX(T167,$B$11-SUM(X167:AC167)-SUM(U167:W167)))</f>
        <v>0</v>
      </c>
      <c r="AE167" s="27" t="n">
        <f aca="false">MIN(I166*(1+I$8),MAX(U167,$B$11-SUM(X167:AD167)-SUM(V167:W167)))</f>
        <v>0</v>
      </c>
      <c r="AF167" s="27" t="n">
        <f aca="false">MIN(J166*(1+J$8),MAX(V167,$B$11-SUM(X167:AE167)-SUM(W167:W167)))</f>
        <v>0</v>
      </c>
      <c r="AG167" s="27" t="n">
        <f aca="false">MIN(K166*(1+K$8),MAX(W167,$B$11-SUM(X167:AF167)))</f>
        <v>0</v>
      </c>
      <c r="AI167" s="27" t="n">
        <f aca="false">ROUND(MAX(0,AI166*(1+B$8)-BE167),2)</f>
        <v>0</v>
      </c>
      <c r="AJ167" s="27" t="n">
        <f aca="false">ROUND(MAX(0,AJ166*(1+C$8)-BF167),2)</f>
        <v>0</v>
      </c>
      <c r="AK167" s="27" t="n">
        <f aca="false">ROUND(MAX(0,AK166*(1+D$8)-BG167),2)</f>
        <v>0</v>
      </c>
      <c r="AL167" s="27" t="n">
        <f aca="false">ROUND(MAX(0,AL166*(1+E$8)-BH167),2)</f>
        <v>0</v>
      </c>
      <c r="AM167" s="27" t="n">
        <f aca="false">ROUND(MAX(0,AM166*(1+F$8)-BI167),2)</f>
        <v>0</v>
      </c>
      <c r="AN167" s="27" t="n">
        <f aca="false">ROUND(MAX(0,AN166*(1+G$8)-BJ167),2)</f>
        <v>0</v>
      </c>
      <c r="AO167" s="27" t="n">
        <f aca="false">ROUND(MAX(0,AO166*(1+H$8)-BK167),2)</f>
        <v>0</v>
      </c>
      <c r="AP167" s="27" t="n">
        <f aca="false">ROUND(MAX(0,AP166*(1+I$8)-BL167),2)</f>
        <v>0</v>
      </c>
      <c r="AQ167" s="27" t="n">
        <f aca="false">ROUND(MAX(0,AQ166*(1+J$8)-BM167),2)</f>
        <v>0</v>
      </c>
      <c r="AR167" s="27" t="n">
        <f aca="false">ROUND(MAX(0,AR166*(1+K$8)-BN167),2)</f>
        <v>0</v>
      </c>
      <c r="AS167" s="27" t="n">
        <f aca="false">SUM(AI167:AR167)</f>
        <v>0</v>
      </c>
      <c r="AT167" s="27" t="n">
        <f aca="false">SUMPRODUCT(AI166:AR166,$B$8:$K$8)</f>
        <v>0</v>
      </c>
      <c r="AU167" s="27" t="n">
        <f aca="false">MIN(AI166*(1+B$8),B$9)</f>
        <v>0</v>
      </c>
      <c r="AV167" s="27" t="n">
        <f aca="false">MIN(AJ166*(1+C$8),C$9)</f>
        <v>0</v>
      </c>
      <c r="AW167" s="27" t="n">
        <f aca="false">MIN(AK166*(1+D$8),D$9)</f>
        <v>0</v>
      </c>
      <c r="AX167" s="27" t="n">
        <f aca="false">MIN(AL166*(1+E$8),E$9)</f>
        <v>0</v>
      </c>
      <c r="AY167" s="27" t="n">
        <f aca="false">MIN(AM166*(1+F$8),F$9)</f>
        <v>0</v>
      </c>
      <c r="AZ167" s="27" t="n">
        <f aca="false">MIN(AN166*(1+G$8),G$9)</f>
        <v>0</v>
      </c>
      <c r="BA167" s="27" t="n">
        <f aca="false">MIN(AO166*(1+H$8),H$9)</f>
        <v>0</v>
      </c>
      <c r="BB167" s="27" t="n">
        <f aca="false">MIN(AP166*(1+I$8),I$9)</f>
        <v>0</v>
      </c>
      <c r="BC167" s="27" t="n">
        <f aca="false">MIN(AQ166*(1+J$8),J$9)</f>
        <v>0</v>
      </c>
      <c r="BD167" s="27" t="n">
        <f aca="false">MIN(AR166*(1+K$8),K$9)</f>
        <v>0</v>
      </c>
      <c r="BE167" s="27" t="n">
        <f aca="false">MIN(AI166*(1+B$8),MAX(AU167,$B$12-SUM(AV167:BD167)))</f>
        <v>0</v>
      </c>
      <c r="BF167" s="27" t="n">
        <f aca="false">MIN(AJ166*(1+C$8),MAX(AV167,$B$12-SUM(BE167:BE167)-SUM(AW167:BD167)))</f>
        <v>0</v>
      </c>
      <c r="BG167" s="27" t="n">
        <f aca="false">MIN(AK166*(1+D$8),MAX(AW167,$B$12-SUM(BE167:BF167)-SUM(AX167:BD167)))</f>
        <v>0</v>
      </c>
      <c r="BH167" s="27" t="n">
        <f aca="false">MIN(AL166*(1+E$8),MAX(AX167,$B$12-SUM(BE167:BG167)-SUM(AY167:BD167)))</f>
        <v>0</v>
      </c>
      <c r="BI167" s="27" t="n">
        <f aca="false">MIN(AM166*(1+F$8),MAX(AY167,$B$12-SUM(BE167:BH167)-SUM(AZ167:BD167)))</f>
        <v>0</v>
      </c>
      <c r="BJ167" s="27" t="n">
        <f aca="false">MIN(AN166*(1+G$8),MAX(AZ167,$B$12-SUM(BE167:BI167)-SUM(BA167:BD167)))</f>
        <v>0</v>
      </c>
      <c r="BK167" s="27" t="n">
        <f aca="false">MIN(AO166*(1+H$8),MAX(BA167,$B$12-SUM(BE167:BJ167)-SUM(BB167:BD167)))</f>
        <v>0</v>
      </c>
      <c r="BL167" s="27" t="n">
        <f aca="false">MIN(AP166*(1+I$8),MAX(BB167,$B$12-SUM(BE167:BK167)-SUM(BC167:BD167)))</f>
        <v>0</v>
      </c>
      <c r="BM167" s="27" t="n">
        <f aca="false">MIN(AQ166*(1+J$8),MAX(BC167,$B$12-SUM(BE167:BL167)-SUM(BD167:BD167)))</f>
        <v>0</v>
      </c>
      <c r="BN167" s="27" t="n">
        <f aca="false">MIN(AR166*(1+K$8),MAX(BD167,$B$12-SUM(BE167:BM167)))</f>
        <v>0</v>
      </c>
    </row>
    <row r="168" customFormat="false" ht="15" hidden="false" customHeight="false" outlineLevel="0" collapsed="false">
      <c r="A168" s="0" t="n">
        <v>154</v>
      </c>
      <c r="B168" s="27" t="n">
        <f aca="false">ROUND(MAX(0,B167*(1+B$8)-X168),2)</f>
        <v>0</v>
      </c>
      <c r="C168" s="27" t="n">
        <f aca="false">ROUND(MAX(0,C167*(1+C$8)-Y168),2)</f>
        <v>0</v>
      </c>
      <c r="D168" s="27" t="n">
        <f aca="false">ROUND(MAX(0,D167*(1+D$8)-Z168),2)</f>
        <v>0</v>
      </c>
      <c r="E168" s="27" t="n">
        <f aca="false">ROUND(MAX(0,E167*(1+E$8)-AA168),2)</f>
        <v>0</v>
      </c>
      <c r="F168" s="27" t="n">
        <f aca="false">ROUND(MAX(0,F167*(1+F$8)-AB168),2)</f>
        <v>0</v>
      </c>
      <c r="G168" s="27" t="n">
        <f aca="false">ROUND(MAX(0,G167*(1+G$8)-AC168),2)</f>
        <v>0</v>
      </c>
      <c r="H168" s="27" t="n">
        <f aca="false">ROUND(MAX(0,H167*(1+H$8)-AD168),2)</f>
        <v>0</v>
      </c>
      <c r="I168" s="27" t="n">
        <f aca="false">ROUND(MAX(0,I167*(1+I$8)-AE168),2)</f>
        <v>0</v>
      </c>
      <c r="J168" s="27" t="n">
        <f aca="false">ROUND(MAX(0,J167*(1+J$8)-AF168),2)</f>
        <v>0</v>
      </c>
      <c r="K168" s="27" t="n">
        <f aca="false">ROUND(MAX(0,K167*(1+K$8)-AG168),2)</f>
        <v>0</v>
      </c>
      <c r="L168" s="30" t="n">
        <f aca="false">SUM(B168:K168)</f>
        <v>0</v>
      </c>
      <c r="M168" s="27" t="n">
        <f aca="false">SUMPRODUCT(B167:K167,$B$8:$K$8)</f>
        <v>0</v>
      </c>
      <c r="N168" s="27" t="n">
        <f aca="false">MIN(B167*(1+B$8),B$9)</f>
        <v>0</v>
      </c>
      <c r="O168" s="27" t="n">
        <f aca="false">MIN(C167*(1+C$8),C$9)</f>
        <v>0</v>
      </c>
      <c r="P168" s="27" t="n">
        <f aca="false">MIN(D167*(1+D$8),D$9)</f>
        <v>0</v>
      </c>
      <c r="Q168" s="27" t="n">
        <f aca="false">MIN(E167*(1+E$8),E$9)</f>
        <v>0</v>
      </c>
      <c r="R168" s="27" t="n">
        <f aca="false">MIN(F167*(1+F$8),F$9)</f>
        <v>0</v>
      </c>
      <c r="S168" s="27" t="n">
        <f aca="false">MIN(G167*(1+G$8),G$9)</f>
        <v>0</v>
      </c>
      <c r="T168" s="27" t="n">
        <f aca="false">MIN(H167*(1+H$8),H$9)</f>
        <v>0</v>
      </c>
      <c r="U168" s="27" t="n">
        <f aca="false">MIN(I167*(1+I$8),I$9)</f>
        <v>0</v>
      </c>
      <c r="V168" s="27" t="n">
        <f aca="false">MIN(J167*(1+J$8),J$9)</f>
        <v>0</v>
      </c>
      <c r="W168" s="27" t="n">
        <f aca="false">MIN(K167*(1+K$8),K$9)</f>
        <v>0</v>
      </c>
      <c r="X168" s="27" t="n">
        <f aca="false">MIN(B167*(1+B$8),MAX(N168,$B$11-SUM(O168:W168)))</f>
        <v>0</v>
      </c>
      <c r="Y168" s="27" t="n">
        <f aca="false">MIN(C167*(1+C$8),MAX(O168,$B$11-SUM(X168:X168)-SUM(P168:W168)))</f>
        <v>0</v>
      </c>
      <c r="Z168" s="27" t="n">
        <f aca="false">MIN(D167*(1+D$8),MAX(P168,$B$11-SUM(X168:Y168)-SUM(Q168:W168)))</f>
        <v>0</v>
      </c>
      <c r="AA168" s="27" t="n">
        <f aca="false">MIN(E167*(1+E$8),MAX(Q168,$B$11-SUM(X168:Z168)-SUM(R168:W168)))</f>
        <v>0</v>
      </c>
      <c r="AB168" s="27" t="n">
        <f aca="false">MIN(F167*(1+F$8),MAX(R168,$B$11-SUM(X168:AA168)-SUM(S168:W168)))</f>
        <v>0</v>
      </c>
      <c r="AC168" s="27" t="n">
        <f aca="false">MIN(G167*(1+G$8),MAX(S168,$B$11-SUM(X168:AB168)-SUM(T168:W168)))</f>
        <v>0</v>
      </c>
      <c r="AD168" s="27" t="n">
        <f aca="false">MIN(H167*(1+H$8),MAX(T168,$B$11-SUM(X168:AC168)-SUM(U168:W168)))</f>
        <v>0</v>
      </c>
      <c r="AE168" s="27" t="n">
        <f aca="false">MIN(I167*(1+I$8),MAX(U168,$B$11-SUM(X168:AD168)-SUM(V168:W168)))</f>
        <v>0</v>
      </c>
      <c r="AF168" s="27" t="n">
        <f aca="false">MIN(J167*(1+J$8),MAX(V168,$B$11-SUM(X168:AE168)-SUM(W168:W168)))</f>
        <v>0</v>
      </c>
      <c r="AG168" s="27" t="n">
        <f aca="false">MIN(K167*(1+K$8),MAX(W168,$B$11-SUM(X168:AF168)))</f>
        <v>0</v>
      </c>
      <c r="AI168" s="27" t="n">
        <f aca="false">ROUND(MAX(0,AI167*(1+B$8)-BE168),2)</f>
        <v>0</v>
      </c>
      <c r="AJ168" s="27" t="n">
        <f aca="false">ROUND(MAX(0,AJ167*(1+C$8)-BF168),2)</f>
        <v>0</v>
      </c>
      <c r="AK168" s="27" t="n">
        <f aca="false">ROUND(MAX(0,AK167*(1+D$8)-BG168),2)</f>
        <v>0</v>
      </c>
      <c r="AL168" s="27" t="n">
        <f aca="false">ROUND(MAX(0,AL167*(1+E$8)-BH168),2)</f>
        <v>0</v>
      </c>
      <c r="AM168" s="27" t="n">
        <f aca="false">ROUND(MAX(0,AM167*(1+F$8)-BI168),2)</f>
        <v>0</v>
      </c>
      <c r="AN168" s="27" t="n">
        <f aca="false">ROUND(MAX(0,AN167*(1+G$8)-BJ168),2)</f>
        <v>0</v>
      </c>
      <c r="AO168" s="27" t="n">
        <f aca="false">ROUND(MAX(0,AO167*(1+H$8)-BK168),2)</f>
        <v>0</v>
      </c>
      <c r="AP168" s="27" t="n">
        <f aca="false">ROUND(MAX(0,AP167*(1+I$8)-BL168),2)</f>
        <v>0</v>
      </c>
      <c r="AQ168" s="27" t="n">
        <f aca="false">ROUND(MAX(0,AQ167*(1+J$8)-BM168),2)</f>
        <v>0</v>
      </c>
      <c r="AR168" s="27" t="n">
        <f aca="false">ROUND(MAX(0,AR167*(1+K$8)-BN168),2)</f>
        <v>0</v>
      </c>
      <c r="AS168" s="27" t="n">
        <f aca="false">SUM(AI168:AR168)</f>
        <v>0</v>
      </c>
      <c r="AT168" s="27" t="n">
        <f aca="false">SUMPRODUCT(AI167:AR167,$B$8:$K$8)</f>
        <v>0</v>
      </c>
      <c r="AU168" s="27" t="n">
        <f aca="false">MIN(AI167*(1+B$8),B$9)</f>
        <v>0</v>
      </c>
      <c r="AV168" s="27" t="n">
        <f aca="false">MIN(AJ167*(1+C$8),C$9)</f>
        <v>0</v>
      </c>
      <c r="AW168" s="27" t="n">
        <f aca="false">MIN(AK167*(1+D$8),D$9)</f>
        <v>0</v>
      </c>
      <c r="AX168" s="27" t="n">
        <f aca="false">MIN(AL167*(1+E$8),E$9)</f>
        <v>0</v>
      </c>
      <c r="AY168" s="27" t="n">
        <f aca="false">MIN(AM167*(1+F$8),F$9)</f>
        <v>0</v>
      </c>
      <c r="AZ168" s="27" t="n">
        <f aca="false">MIN(AN167*(1+G$8),G$9)</f>
        <v>0</v>
      </c>
      <c r="BA168" s="27" t="n">
        <f aca="false">MIN(AO167*(1+H$8),H$9)</f>
        <v>0</v>
      </c>
      <c r="BB168" s="27" t="n">
        <f aca="false">MIN(AP167*(1+I$8),I$9)</f>
        <v>0</v>
      </c>
      <c r="BC168" s="27" t="n">
        <f aca="false">MIN(AQ167*(1+J$8),J$9)</f>
        <v>0</v>
      </c>
      <c r="BD168" s="27" t="n">
        <f aca="false">MIN(AR167*(1+K$8),K$9)</f>
        <v>0</v>
      </c>
      <c r="BE168" s="27" t="n">
        <f aca="false">MIN(AI167*(1+B$8),MAX(AU168,$B$12-SUM(AV168:BD168)))</f>
        <v>0</v>
      </c>
      <c r="BF168" s="27" t="n">
        <f aca="false">MIN(AJ167*(1+C$8),MAX(AV168,$B$12-SUM(BE168:BE168)-SUM(AW168:BD168)))</f>
        <v>0</v>
      </c>
      <c r="BG168" s="27" t="n">
        <f aca="false">MIN(AK167*(1+D$8),MAX(AW168,$B$12-SUM(BE168:BF168)-SUM(AX168:BD168)))</f>
        <v>0</v>
      </c>
      <c r="BH168" s="27" t="n">
        <f aca="false">MIN(AL167*(1+E$8),MAX(AX168,$B$12-SUM(BE168:BG168)-SUM(AY168:BD168)))</f>
        <v>0</v>
      </c>
      <c r="BI168" s="27" t="n">
        <f aca="false">MIN(AM167*(1+F$8),MAX(AY168,$B$12-SUM(BE168:BH168)-SUM(AZ168:BD168)))</f>
        <v>0</v>
      </c>
      <c r="BJ168" s="27" t="n">
        <f aca="false">MIN(AN167*(1+G$8),MAX(AZ168,$B$12-SUM(BE168:BI168)-SUM(BA168:BD168)))</f>
        <v>0</v>
      </c>
      <c r="BK168" s="27" t="n">
        <f aca="false">MIN(AO167*(1+H$8),MAX(BA168,$B$12-SUM(BE168:BJ168)-SUM(BB168:BD168)))</f>
        <v>0</v>
      </c>
      <c r="BL168" s="27" t="n">
        <f aca="false">MIN(AP167*(1+I$8),MAX(BB168,$B$12-SUM(BE168:BK168)-SUM(BC168:BD168)))</f>
        <v>0</v>
      </c>
      <c r="BM168" s="27" t="n">
        <f aca="false">MIN(AQ167*(1+J$8),MAX(BC168,$B$12-SUM(BE168:BL168)-SUM(BD168:BD168)))</f>
        <v>0</v>
      </c>
      <c r="BN168" s="27" t="n">
        <f aca="false">MIN(AR167*(1+K$8),MAX(BD168,$B$12-SUM(BE168:BM168)))</f>
        <v>0</v>
      </c>
    </row>
    <row r="169" customFormat="false" ht="15" hidden="false" customHeight="false" outlineLevel="0" collapsed="false">
      <c r="A169" s="0" t="n">
        <v>155</v>
      </c>
      <c r="B169" s="27" t="n">
        <f aca="false">ROUND(MAX(0,B168*(1+B$8)-X169),2)</f>
        <v>0</v>
      </c>
      <c r="C169" s="27" t="n">
        <f aca="false">ROUND(MAX(0,C168*(1+C$8)-Y169),2)</f>
        <v>0</v>
      </c>
      <c r="D169" s="27" t="n">
        <f aca="false">ROUND(MAX(0,D168*(1+D$8)-Z169),2)</f>
        <v>0</v>
      </c>
      <c r="E169" s="27" t="n">
        <f aca="false">ROUND(MAX(0,E168*(1+E$8)-AA169),2)</f>
        <v>0</v>
      </c>
      <c r="F169" s="27" t="n">
        <f aca="false">ROUND(MAX(0,F168*(1+F$8)-AB169),2)</f>
        <v>0</v>
      </c>
      <c r="G169" s="27" t="n">
        <f aca="false">ROUND(MAX(0,G168*(1+G$8)-AC169),2)</f>
        <v>0</v>
      </c>
      <c r="H169" s="27" t="n">
        <f aca="false">ROUND(MAX(0,H168*(1+H$8)-AD169),2)</f>
        <v>0</v>
      </c>
      <c r="I169" s="27" t="n">
        <f aca="false">ROUND(MAX(0,I168*(1+I$8)-AE169),2)</f>
        <v>0</v>
      </c>
      <c r="J169" s="27" t="n">
        <f aca="false">ROUND(MAX(0,J168*(1+J$8)-AF169),2)</f>
        <v>0</v>
      </c>
      <c r="K169" s="27" t="n">
        <f aca="false">ROUND(MAX(0,K168*(1+K$8)-AG169),2)</f>
        <v>0</v>
      </c>
      <c r="L169" s="30" t="n">
        <f aca="false">SUM(B169:K169)</f>
        <v>0</v>
      </c>
      <c r="M169" s="27" t="n">
        <f aca="false">SUMPRODUCT(B168:K168,$B$8:$K$8)</f>
        <v>0</v>
      </c>
      <c r="N169" s="27" t="n">
        <f aca="false">MIN(B168*(1+B$8),B$9)</f>
        <v>0</v>
      </c>
      <c r="O169" s="27" t="n">
        <f aca="false">MIN(C168*(1+C$8),C$9)</f>
        <v>0</v>
      </c>
      <c r="P169" s="27" t="n">
        <f aca="false">MIN(D168*(1+D$8),D$9)</f>
        <v>0</v>
      </c>
      <c r="Q169" s="27" t="n">
        <f aca="false">MIN(E168*(1+E$8),E$9)</f>
        <v>0</v>
      </c>
      <c r="R169" s="27" t="n">
        <f aca="false">MIN(F168*(1+F$8),F$9)</f>
        <v>0</v>
      </c>
      <c r="S169" s="27" t="n">
        <f aca="false">MIN(G168*(1+G$8),G$9)</f>
        <v>0</v>
      </c>
      <c r="T169" s="27" t="n">
        <f aca="false">MIN(H168*(1+H$8),H$9)</f>
        <v>0</v>
      </c>
      <c r="U169" s="27" t="n">
        <f aca="false">MIN(I168*(1+I$8),I$9)</f>
        <v>0</v>
      </c>
      <c r="V169" s="27" t="n">
        <f aca="false">MIN(J168*(1+J$8),J$9)</f>
        <v>0</v>
      </c>
      <c r="W169" s="27" t="n">
        <f aca="false">MIN(K168*(1+K$8),K$9)</f>
        <v>0</v>
      </c>
      <c r="X169" s="27" t="n">
        <f aca="false">MIN(B168*(1+B$8),MAX(N169,$B$11-SUM(O169:W169)))</f>
        <v>0</v>
      </c>
      <c r="Y169" s="27" t="n">
        <f aca="false">MIN(C168*(1+C$8),MAX(O169,$B$11-SUM(X169:X169)-SUM(P169:W169)))</f>
        <v>0</v>
      </c>
      <c r="Z169" s="27" t="n">
        <f aca="false">MIN(D168*(1+D$8),MAX(P169,$B$11-SUM(X169:Y169)-SUM(Q169:W169)))</f>
        <v>0</v>
      </c>
      <c r="AA169" s="27" t="n">
        <f aca="false">MIN(E168*(1+E$8),MAX(Q169,$B$11-SUM(X169:Z169)-SUM(R169:W169)))</f>
        <v>0</v>
      </c>
      <c r="AB169" s="27" t="n">
        <f aca="false">MIN(F168*(1+F$8),MAX(R169,$B$11-SUM(X169:AA169)-SUM(S169:W169)))</f>
        <v>0</v>
      </c>
      <c r="AC169" s="27" t="n">
        <f aca="false">MIN(G168*(1+G$8),MAX(S169,$B$11-SUM(X169:AB169)-SUM(T169:W169)))</f>
        <v>0</v>
      </c>
      <c r="AD169" s="27" t="n">
        <f aca="false">MIN(H168*(1+H$8),MAX(T169,$B$11-SUM(X169:AC169)-SUM(U169:W169)))</f>
        <v>0</v>
      </c>
      <c r="AE169" s="27" t="n">
        <f aca="false">MIN(I168*(1+I$8),MAX(U169,$B$11-SUM(X169:AD169)-SUM(V169:W169)))</f>
        <v>0</v>
      </c>
      <c r="AF169" s="27" t="n">
        <f aca="false">MIN(J168*(1+J$8),MAX(V169,$B$11-SUM(X169:AE169)-SUM(W169:W169)))</f>
        <v>0</v>
      </c>
      <c r="AG169" s="27" t="n">
        <f aca="false">MIN(K168*(1+K$8),MAX(W169,$B$11-SUM(X169:AF169)))</f>
        <v>0</v>
      </c>
      <c r="AI169" s="27" t="n">
        <f aca="false">ROUND(MAX(0,AI168*(1+B$8)-BE169),2)</f>
        <v>0</v>
      </c>
      <c r="AJ169" s="27" t="n">
        <f aca="false">ROUND(MAX(0,AJ168*(1+C$8)-BF169),2)</f>
        <v>0</v>
      </c>
      <c r="AK169" s="27" t="n">
        <f aca="false">ROUND(MAX(0,AK168*(1+D$8)-BG169),2)</f>
        <v>0</v>
      </c>
      <c r="AL169" s="27" t="n">
        <f aca="false">ROUND(MAX(0,AL168*(1+E$8)-BH169),2)</f>
        <v>0</v>
      </c>
      <c r="AM169" s="27" t="n">
        <f aca="false">ROUND(MAX(0,AM168*(1+F$8)-BI169),2)</f>
        <v>0</v>
      </c>
      <c r="AN169" s="27" t="n">
        <f aca="false">ROUND(MAX(0,AN168*(1+G$8)-BJ169),2)</f>
        <v>0</v>
      </c>
      <c r="AO169" s="27" t="n">
        <f aca="false">ROUND(MAX(0,AO168*(1+H$8)-BK169),2)</f>
        <v>0</v>
      </c>
      <c r="AP169" s="27" t="n">
        <f aca="false">ROUND(MAX(0,AP168*(1+I$8)-BL169),2)</f>
        <v>0</v>
      </c>
      <c r="AQ169" s="27" t="n">
        <f aca="false">ROUND(MAX(0,AQ168*(1+J$8)-BM169),2)</f>
        <v>0</v>
      </c>
      <c r="AR169" s="27" t="n">
        <f aca="false">ROUND(MAX(0,AR168*(1+K$8)-BN169),2)</f>
        <v>0</v>
      </c>
      <c r="AS169" s="27" t="n">
        <f aca="false">SUM(AI169:AR169)</f>
        <v>0</v>
      </c>
      <c r="AT169" s="27" t="n">
        <f aca="false">SUMPRODUCT(AI168:AR168,$B$8:$K$8)</f>
        <v>0</v>
      </c>
      <c r="AU169" s="27" t="n">
        <f aca="false">MIN(AI168*(1+B$8),B$9)</f>
        <v>0</v>
      </c>
      <c r="AV169" s="27" t="n">
        <f aca="false">MIN(AJ168*(1+C$8),C$9)</f>
        <v>0</v>
      </c>
      <c r="AW169" s="27" t="n">
        <f aca="false">MIN(AK168*(1+D$8),D$9)</f>
        <v>0</v>
      </c>
      <c r="AX169" s="27" t="n">
        <f aca="false">MIN(AL168*(1+E$8),E$9)</f>
        <v>0</v>
      </c>
      <c r="AY169" s="27" t="n">
        <f aca="false">MIN(AM168*(1+F$8),F$9)</f>
        <v>0</v>
      </c>
      <c r="AZ169" s="27" t="n">
        <f aca="false">MIN(AN168*(1+G$8),G$9)</f>
        <v>0</v>
      </c>
      <c r="BA169" s="27" t="n">
        <f aca="false">MIN(AO168*(1+H$8),H$9)</f>
        <v>0</v>
      </c>
      <c r="BB169" s="27" t="n">
        <f aca="false">MIN(AP168*(1+I$8),I$9)</f>
        <v>0</v>
      </c>
      <c r="BC169" s="27" t="n">
        <f aca="false">MIN(AQ168*(1+J$8),J$9)</f>
        <v>0</v>
      </c>
      <c r="BD169" s="27" t="n">
        <f aca="false">MIN(AR168*(1+K$8),K$9)</f>
        <v>0</v>
      </c>
      <c r="BE169" s="27" t="n">
        <f aca="false">MIN(AI168*(1+B$8),MAX(AU169,$B$12-SUM(AV169:BD169)))</f>
        <v>0</v>
      </c>
      <c r="BF169" s="27" t="n">
        <f aca="false">MIN(AJ168*(1+C$8),MAX(AV169,$B$12-SUM(BE169:BE169)-SUM(AW169:BD169)))</f>
        <v>0</v>
      </c>
      <c r="BG169" s="27" t="n">
        <f aca="false">MIN(AK168*(1+D$8),MAX(AW169,$B$12-SUM(BE169:BF169)-SUM(AX169:BD169)))</f>
        <v>0</v>
      </c>
      <c r="BH169" s="27" t="n">
        <f aca="false">MIN(AL168*(1+E$8),MAX(AX169,$B$12-SUM(BE169:BG169)-SUM(AY169:BD169)))</f>
        <v>0</v>
      </c>
      <c r="BI169" s="27" t="n">
        <f aca="false">MIN(AM168*(1+F$8),MAX(AY169,$B$12-SUM(BE169:BH169)-SUM(AZ169:BD169)))</f>
        <v>0</v>
      </c>
      <c r="BJ169" s="27" t="n">
        <f aca="false">MIN(AN168*(1+G$8),MAX(AZ169,$B$12-SUM(BE169:BI169)-SUM(BA169:BD169)))</f>
        <v>0</v>
      </c>
      <c r="BK169" s="27" t="n">
        <f aca="false">MIN(AO168*(1+H$8),MAX(BA169,$B$12-SUM(BE169:BJ169)-SUM(BB169:BD169)))</f>
        <v>0</v>
      </c>
      <c r="BL169" s="27" t="n">
        <f aca="false">MIN(AP168*(1+I$8),MAX(BB169,$B$12-SUM(BE169:BK169)-SUM(BC169:BD169)))</f>
        <v>0</v>
      </c>
      <c r="BM169" s="27" t="n">
        <f aca="false">MIN(AQ168*(1+J$8),MAX(BC169,$B$12-SUM(BE169:BL169)-SUM(BD169:BD169)))</f>
        <v>0</v>
      </c>
      <c r="BN169" s="27" t="n">
        <f aca="false">MIN(AR168*(1+K$8),MAX(BD169,$B$12-SUM(BE169:BM169)))</f>
        <v>0</v>
      </c>
    </row>
    <row r="170" customFormat="false" ht="15" hidden="false" customHeight="false" outlineLevel="0" collapsed="false">
      <c r="A170" s="0" t="n">
        <v>156</v>
      </c>
      <c r="B170" s="27" t="n">
        <f aca="false">ROUND(MAX(0,B169*(1+B$8)-X170),2)</f>
        <v>0</v>
      </c>
      <c r="C170" s="27" t="n">
        <f aca="false">ROUND(MAX(0,C169*(1+C$8)-Y170),2)</f>
        <v>0</v>
      </c>
      <c r="D170" s="27" t="n">
        <f aca="false">ROUND(MAX(0,D169*(1+D$8)-Z170),2)</f>
        <v>0</v>
      </c>
      <c r="E170" s="27" t="n">
        <f aca="false">ROUND(MAX(0,E169*(1+E$8)-AA170),2)</f>
        <v>0</v>
      </c>
      <c r="F170" s="27" t="n">
        <f aca="false">ROUND(MAX(0,F169*(1+F$8)-AB170),2)</f>
        <v>0</v>
      </c>
      <c r="G170" s="27" t="n">
        <f aca="false">ROUND(MAX(0,G169*(1+G$8)-AC170),2)</f>
        <v>0</v>
      </c>
      <c r="H170" s="27" t="n">
        <f aca="false">ROUND(MAX(0,H169*(1+H$8)-AD170),2)</f>
        <v>0</v>
      </c>
      <c r="I170" s="27" t="n">
        <f aca="false">ROUND(MAX(0,I169*(1+I$8)-AE170),2)</f>
        <v>0</v>
      </c>
      <c r="J170" s="27" t="n">
        <f aca="false">ROUND(MAX(0,J169*(1+J$8)-AF170),2)</f>
        <v>0</v>
      </c>
      <c r="K170" s="27" t="n">
        <f aca="false">ROUND(MAX(0,K169*(1+K$8)-AG170),2)</f>
        <v>0</v>
      </c>
      <c r="L170" s="30" t="n">
        <f aca="false">SUM(B170:K170)</f>
        <v>0</v>
      </c>
      <c r="M170" s="27" t="n">
        <f aca="false">SUMPRODUCT(B169:K169,$B$8:$K$8)</f>
        <v>0</v>
      </c>
      <c r="N170" s="27" t="n">
        <f aca="false">MIN(B169*(1+B$8),B$9)</f>
        <v>0</v>
      </c>
      <c r="O170" s="27" t="n">
        <f aca="false">MIN(C169*(1+C$8),C$9)</f>
        <v>0</v>
      </c>
      <c r="P170" s="27" t="n">
        <f aca="false">MIN(D169*(1+D$8),D$9)</f>
        <v>0</v>
      </c>
      <c r="Q170" s="27" t="n">
        <f aca="false">MIN(E169*(1+E$8),E$9)</f>
        <v>0</v>
      </c>
      <c r="R170" s="27" t="n">
        <f aca="false">MIN(F169*(1+F$8),F$9)</f>
        <v>0</v>
      </c>
      <c r="S170" s="27" t="n">
        <f aca="false">MIN(G169*(1+G$8),G$9)</f>
        <v>0</v>
      </c>
      <c r="T170" s="27" t="n">
        <f aca="false">MIN(H169*(1+H$8),H$9)</f>
        <v>0</v>
      </c>
      <c r="U170" s="27" t="n">
        <f aca="false">MIN(I169*(1+I$8),I$9)</f>
        <v>0</v>
      </c>
      <c r="V170" s="27" t="n">
        <f aca="false">MIN(J169*(1+J$8),J$9)</f>
        <v>0</v>
      </c>
      <c r="W170" s="27" t="n">
        <f aca="false">MIN(K169*(1+K$8),K$9)</f>
        <v>0</v>
      </c>
      <c r="X170" s="27" t="n">
        <f aca="false">MIN(B169*(1+B$8),MAX(N170,$B$11-SUM(O170:W170)))</f>
        <v>0</v>
      </c>
      <c r="Y170" s="27" t="n">
        <f aca="false">MIN(C169*(1+C$8),MAX(O170,$B$11-SUM(X170:X170)-SUM(P170:W170)))</f>
        <v>0</v>
      </c>
      <c r="Z170" s="27" t="n">
        <f aca="false">MIN(D169*(1+D$8),MAX(P170,$B$11-SUM(X170:Y170)-SUM(Q170:W170)))</f>
        <v>0</v>
      </c>
      <c r="AA170" s="27" t="n">
        <f aca="false">MIN(E169*(1+E$8),MAX(Q170,$B$11-SUM(X170:Z170)-SUM(R170:W170)))</f>
        <v>0</v>
      </c>
      <c r="AB170" s="27" t="n">
        <f aca="false">MIN(F169*(1+F$8),MAX(R170,$B$11-SUM(X170:AA170)-SUM(S170:W170)))</f>
        <v>0</v>
      </c>
      <c r="AC170" s="27" t="n">
        <f aca="false">MIN(G169*(1+G$8),MAX(S170,$B$11-SUM(X170:AB170)-SUM(T170:W170)))</f>
        <v>0</v>
      </c>
      <c r="AD170" s="27" t="n">
        <f aca="false">MIN(H169*(1+H$8),MAX(T170,$B$11-SUM(X170:AC170)-SUM(U170:W170)))</f>
        <v>0</v>
      </c>
      <c r="AE170" s="27" t="n">
        <f aca="false">MIN(I169*(1+I$8),MAX(U170,$B$11-SUM(X170:AD170)-SUM(V170:W170)))</f>
        <v>0</v>
      </c>
      <c r="AF170" s="27" t="n">
        <f aca="false">MIN(J169*(1+J$8),MAX(V170,$B$11-SUM(X170:AE170)-SUM(W170:W170)))</f>
        <v>0</v>
      </c>
      <c r="AG170" s="27" t="n">
        <f aca="false">MIN(K169*(1+K$8),MAX(W170,$B$11-SUM(X170:AF170)))</f>
        <v>0</v>
      </c>
      <c r="AI170" s="27" t="n">
        <f aca="false">ROUND(MAX(0,AI169*(1+B$8)-BE170),2)</f>
        <v>0</v>
      </c>
      <c r="AJ170" s="27" t="n">
        <f aca="false">ROUND(MAX(0,AJ169*(1+C$8)-BF170),2)</f>
        <v>0</v>
      </c>
      <c r="AK170" s="27" t="n">
        <f aca="false">ROUND(MAX(0,AK169*(1+D$8)-BG170),2)</f>
        <v>0</v>
      </c>
      <c r="AL170" s="27" t="n">
        <f aca="false">ROUND(MAX(0,AL169*(1+E$8)-BH170),2)</f>
        <v>0</v>
      </c>
      <c r="AM170" s="27" t="n">
        <f aca="false">ROUND(MAX(0,AM169*(1+F$8)-BI170),2)</f>
        <v>0</v>
      </c>
      <c r="AN170" s="27" t="n">
        <f aca="false">ROUND(MAX(0,AN169*(1+G$8)-BJ170),2)</f>
        <v>0</v>
      </c>
      <c r="AO170" s="27" t="n">
        <f aca="false">ROUND(MAX(0,AO169*(1+H$8)-BK170),2)</f>
        <v>0</v>
      </c>
      <c r="AP170" s="27" t="n">
        <f aca="false">ROUND(MAX(0,AP169*(1+I$8)-BL170),2)</f>
        <v>0</v>
      </c>
      <c r="AQ170" s="27" t="n">
        <f aca="false">ROUND(MAX(0,AQ169*(1+J$8)-BM170),2)</f>
        <v>0</v>
      </c>
      <c r="AR170" s="27" t="n">
        <f aca="false">ROUND(MAX(0,AR169*(1+K$8)-BN170),2)</f>
        <v>0</v>
      </c>
      <c r="AS170" s="27" t="n">
        <f aca="false">SUM(AI170:AR170)</f>
        <v>0</v>
      </c>
      <c r="AT170" s="27" t="n">
        <f aca="false">SUMPRODUCT(AI169:AR169,$B$8:$K$8)</f>
        <v>0</v>
      </c>
      <c r="AU170" s="27" t="n">
        <f aca="false">MIN(AI169*(1+B$8),B$9)</f>
        <v>0</v>
      </c>
      <c r="AV170" s="27" t="n">
        <f aca="false">MIN(AJ169*(1+C$8),C$9)</f>
        <v>0</v>
      </c>
      <c r="AW170" s="27" t="n">
        <f aca="false">MIN(AK169*(1+D$8),D$9)</f>
        <v>0</v>
      </c>
      <c r="AX170" s="27" t="n">
        <f aca="false">MIN(AL169*(1+E$8),E$9)</f>
        <v>0</v>
      </c>
      <c r="AY170" s="27" t="n">
        <f aca="false">MIN(AM169*(1+F$8),F$9)</f>
        <v>0</v>
      </c>
      <c r="AZ170" s="27" t="n">
        <f aca="false">MIN(AN169*(1+G$8),G$9)</f>
        <v>0</v>
      </c>
      <c r="BA170" s="27" t="n">
        <f aca="false">MIN(AO169*(1+H$8),H$9)</f>
        <v>0</v>
      </c>
      <c r="BB170" s="27" t="n">
        <f aca="false">MIN(AP169*(1+I$8),I$9)</f>
        <v>0</v>
      </c>
      <c r="BC170" s="27" t="n">
        <f aca="false">MIN(AQ169*(1+J$8),J$9)</f>
        <v>0</v>
      </c>
      <c r="BD170" s="27" t="n">
        <f aca="false">MIN(AR169*(1+K$8),K$9)</f>
        <v>0</v>
      </c>
      <c r="BE170" s="27" t="n">
        <f aca="false">MIN(AI169*(1+B$8),MAX(AU170,$B$12-SUM(AV170:BD170)))</f>
        <v>0</v>
      </c>
      <c r="BF170" s="27" t="n">
        <f aca="false">MIN(AJ169*(1+C$8),MAX(AV170,$B$12-SUM(BE170:BE170)-SUM(AW170:BD170)))</f>
        <v>0</v>
      </c>
      <c r="BG170" s="27" t="n">
        <f aca="false">MIN(AK169*(1+D$8),MAX(AW170,$B$12-SUM(BE170:BF170)-SUM(AX170:BD170)))</f>
        <v>0</v>
      </c>
      <c r="BH170" s="27" t="n">
        <f aca="false">MIN(AL169*(1+E$8),MAX(AX170,$B$12-SUM(BE170:BG170)-SUM(AY170:BD170)))</f>
        <v>0</v>
      </c>
      <c r="BI170" s="27" t="n">
        <f aca="false">MIN(AM169*(1+F$8),MAX(AY170,$B$12-SUM(BE170:BH170)-SUM(AZ170:BD170)))</f>
        <v>0</v>
      </c>
      <c r="BJ170" s="27" t="n">
        <f aca="false">MIN(AN169*(1+G$8),MAX(AZ170,$B$12-SUM(BE170:BI170)-SUM(BA170:BD170)))</f>
        <v>0</v>
      </c>
      <c r="BK170" s="27" t="n">
        <f aca="false">MIN(AO169*(1+H$8),MAX(BA170,$B$12-SUM(BE170:BJ170)-SUM(BB170:BD170)))</f>
        <v>0</v>
      </c>
      <c r="BL170" s="27" t="n">
        <f aca="false">MIN(AP169*(1+I$8),MAX(BB170,$B$12-SUM(BE170:BK170)-SUM(BC170:BD170)))</f>
        <v>0</v>
      </c>
      <c r="BM170" s="27" t="n">
        <f aca="false">MIN(AQ169*(1+J$8),MAX(BC170,$B$12-SUM(BE170:BL170)-SUM(BD170:BD170)))</f>
        <v>0</v>
      </c>
      <c r="BN170" s="27" t="n">
        <f aca="false">MIN(AR169*(1+K$8),MAX(BD170,$B$12-SUM(BE170:BM170)))</f>
        <v>0</v>
      </c>
    </row>
    <row r="171" customFormat="false" ht="15" hidden="false" customHeight="false" outlineLevel="0" collapsed="false">
      <c r="A171" s="0" t="n">
        <v>157</v>
      </c>
      <c r="B171" s="27" t="n">
        <f aca="false">ROUND(MAX(0,B170*(1+B$8)-X171),2)</f>
        <v>0</v>
      </c>
      <c r="C171" s="27" t="n">
        <f aca="false">ROUND(MAX(0,C170*(1+C$8)-Y171),2)</f>
        <v>0</v>
      </c>
      <c r="D171" s="27" t="n">
        <f aca="false">ROUND(MAX(0,D170*(1+D$8)-Z171),2)</f>
        <v>0</v>
      </c>
      <c r="E171" s="27" t="n">
        <f aca="false">ROUND(MAX(0,E170*(1+E$8)-AA171),2)</f>
        <v>0</v>
      </c>
      <c r="F171" s="27" t="n">
        <f aca="false">ROUND(MAX(0,F170*(1+F$8)-AB171),2)</f>
        <v>0</v>
      </c>
      <c r="G171" s="27" t="n">
        <f aca="false">ROUND(MAX(0,G170*(1+G$8)-AC171),2)</f>
        <v>0</v>
      </c>
      <c r="H171" s="27" t="n">
        <f aca="false">ROUND(MAX(0,H170*(1+H$8)-AD171),2)</f>
        <v>0</v>
      </c>
      <c r="I171" s="27" t="n">
        <f aca="false">ROUND(MAX(0,I170*(1+I$8)-AE171),2)</f>
        <v>0</v>
      </c>
      <c r="J171" s="27" t="n">
        <f aca="false">ROUND(MAX(0,J170*(1+J$8)-AF171),2)</f>
        <v>0</v>
      </c>
      <c r="K171" s="27" t="n">
        <f aca="false">ROUND(MAX(0,K170*(1+K$8)-AG171),2)</f>
        <v>0</v>
      </c>
      <c r="L171" s="30" t="n">
        <f aca="false">SUM(B171:K171)</f>
        <v>0</v>
      </c>
      <c r="M171" s="27" t="n">
        <f aca="false">SUMPRODUCT(B170:K170,$B$8:$K$8)</f>
        <v>0</v>
      </c>
      <c r="N171" s="27" t="n">
        <f aca="false">MIN(B170*(1+B$8),B$9)</f>
        <v>0</v>
      </c>
      <c r="O171" s="27" t="n">
        <f aca="false">MIN(C170*(1+C$8),C$9)</f>
        <v>0</v>
      </c>
      <c r="P171" s="27" t="n">
        <f aca="false">MIN(D170*(1+D$8),D$9)</f>
        <v>0</v>
      </c>
      <c r="Q171" s="27" t="n">
        <f aca="false">MIN(E170*(1+E$8),E$9)</f>
        <v>0</v>
      </c>
      <c r="R171" s="27" t="n">
        <f aca="false">MIN(F170*(1+F$8),F$9)</f>
        <v>0</v>
      </c>
      <c r="S171" s="27" t="n">
        <f aca="false">MIN(G170*(1+G$8),G$9)</f>
        <v>0</v>
      </c>
      <c r="T171" s="27" t="n">
        <f aca="false">MIN(H170*(1+H$8),H$9)</f>
        <v>0</v>
      </c>
      <c r="U171" s="27" t="n">
        <f aca="false">MIN(I170*(1+I$8),I$9)</f>
        <v>0</v>
      </c>
      <c r="V171" s="27" t="n">
        <f aca="false">MIN(J170*(1+J$8),J$9)</f>
        <v>0</v>
      </c>
      <c r="W171" s="27" t="n">
        <f aca="false">MIN(K170*(1+K$8),K$9)</f>
        <v>0</v>
      </c>
      <c r="X171" s="27" t="n">
        <f aca="false">MIN(B170*(1+B$8),MAX(N171,$B$11-SUM(O171:W171)))</f>
        <v>0</v>
      </c>
      <c r="Y171" s="27" t="n">
        <f aca="false">MIN(C170*(1+C$8),MAX(O171,$B$11-SUM(X171:X171)-SUM(P171:W171)))</f>
        <v>0</v>
      </c>
      <c r="Z171" s="27" t="n">
        <f aca="false">MIN(D170*(1+D$8),MAX(P171,$B$11-SUM(X171:Y171)-SUM(Q171:W171)))</f>
        <v>0</v>
      </c>
      <c r="AA171" s="27" t="n">
        <f aca="false">MIN(E170*(1+E$8),MAX(Q171,$B$11-SUM(X171:Z171)-SUM(R171:W171)))</f>
        <v>0</v>
      </c>
      <c r="AB171" s="27" t="n">
        <f aca="false">MIN(F170*(1+F$8),MAX(R171,$B$11-SUM(X171:AA171)-SUM(S171:W171)))</f>
        <v>0</v>
      </c>
      <c r="AC171" s="27" t="n">
        <f aca="false">MIN(G170*(1+G$8),MAX(S171,$B$11-SUM(X171:AB171)-SUM(T171:W171)))</f>
        <v>0</v>
      </c>
      <c r="AD171" s="27" t="n">
        <f aca="false">MIN(H170*(1+H$8),MAX(T171,$B$11-SUM(X171:AC171)-SUM(U171:W171)))</f>
        <v>0</v>
      </c>
      <c r="AE171" s="27" t="n">
        <f aca="false">MIN(I170*(1+I$8),MAX(U171,$B$11-SUM(X171:AD171)-SUM(V171:W171)))</f>
        <v>0</v>
      </c>
      <c r="AF171" s="27" t="n">
        <f aca="false">MIN(J170*(1+J$8),MAX(V171,$B$11-SUM(X171:AE171)-SUM(W171:W171)))</f>
        <v>0</v>
      </c>
      <c r="AG171" s="27" t="n">
        <f aca="false">MIN(K170*(1+K$8),MAX(W171,$B$11-SUM(X171:AF171)))</f>
        <v>0</v>
      </c>
      <c r="AI171" s="27" t="n">
        <f aca="false">ROUND(MAX(0,AI170*(1+B$8)-BE171),2)</f>
        <v>0</v>
      </c>
      <c r="AJ171" s="27" t="n">
        <f aca="false">ROUND(MAX(0,AJ170*(1+C$8)-BF171),2)</f>
        <v>0</v>
      </c>
      <c r="AK171" s="27" t="n">
        <f aca="false">ROUND(MAX(0,AK170*(1+D$8)-BG171),2)</f>
        <v>0</v>
      </c>
      <c r="AL171" s="27" t="n">
        <f aca="false">ROUND(MAX(0,AL170*(1+E$8)-BH171),2)</f>
        <v>0</v>
      </c>
      <c r="AM171" s="27" t="n">
        <f aca="false">ROUND(MAX(0,AM170*(1+F$8)-BI171),2)</f>
        <v>0</v>
      </c>
      <c r="AN171" s="27" t="n">
        <f aca="false">ROUND(MAX(0,AN170*(1+G$8)-BJ171),2)</f>
        <v>0</v>
      </c>
      <c r="AO171" s="27" t="n">
        <f aca="false">ROUND(MAX(0,AO170*(1+H$8)-BK171),2)</f>
        <v>0</v>
      </c>
      <c r="AP171" s="27" t="n">
        <f aca="false">ROUND(MAX(0,AP170*(1+I$8)-BL171),2)</f>
        <v>0</v>
      </c>
      <c r="AQ171" s="27" t="n">
        <f aca="false">ROUND(MAX(0,AQ170*(1+J$8)-BM171),2)</f>
        <v>0</v>
      </c>
      <c r="AR171" s="27" t="n">
        <f aca="false">ROUND(MAX(0,AR170*(1+K$8)-BN171),2)</f>
        <v>0</v>
      </c>
      <c r="AS171" s="27" t="n">
        <f aca="false">SUM(AI171:AR171)</f>
        <v>0</v>
      </c>
      <c r="AT171" s="27" t="n">
        <f aca="false">SUMPRODUCT(AI170:AR170,$B$8:$K$8)</f>
        <v>0</v>
      </c>
      <c r="AU171" s="27" t="n">
        <f aca="false">MIN(AI170*(1+B$8),B$9)</f>
        <v>0</v>
      </c>
      <c r="AV171" s="27" t="n">
        <f aca="false">MIN(AJ170*(1+C$8),C$9)</f>
        <v>0</v>
      </c>
      <c r="AW171" s="27" t="n">
        <f aca="false">MIN(AK170*(1+D$8),D$9)</f>
        <v>0</v>
      </c>
      <c r="AX171" s="27" t="n">
        <f aca="false">MIN(AL170*(1+E$8),E$9)</f>
        <v>0</v>
      </c>
      <c r="AY171" s="27" t="n">
        <f aca="false">MIN(AM170*(1+F$8),F$9)</f>
        <v>0</v>
      </c>
      <c r="AZ171" s="27" t="n">
        <f aca="false">MIN(AN170*(1+G$8),G$9)</f>
        <v>0</v>
      </c>
      <c r="BA171" s="27" t="n">
        <f aca="false">MIN(AO170*(1+H$8),H$9)</f>
        <v>0</v>
      </c>
      <c r="BB171" s="27" t="n">
        <f aca="false">MIN(AP170*(1+I$8),I$9)</f>
        <v>0</v>
      </c>
      <c r="BC171" s="27" t="n">
        <f aca="false">MIN(AQ170*(1+J$8),J$9)</f>
        <v>0</v>
      </c>
      <c r="BD171" s="27" t="n">
        <f aca="false">MIN(AR170*(1+K$8),K$9)</f>
        <v>0</v>
      </c>
      <c r="BE171" s="27" t="n">
        <f aca="false">MIN(AI170*(1+B$8),MAX(AU171,$B$12-SUM(AV171:BD171)))</f>
        <v>0</v>
      </c>
      <c r="BF171" s="27" t="n">
        <f aca="false">MIN(AJ170*(1+C$8),MAX(AV171,$B$12-SUM(BE171:BE171)-SUM(AW171:BD171)))</f>
        <v>0</v>
      </c>
      <c r="BG171" s="27" t="n">
        <f aca="false">MIN(AK170*(1+D$8),MAX(AW171,$B$12-SUM(BE171:BF171)-SUM(AX171:BD171)))</f>
        <v>0</v>
      </c>
      <c r="BH171" s="27" t="n">
        <f aca="false">MIN(AL170*(1+E$8),MAX(AX171,$B$12-SUM(BE171:BG171)-SUM(AY171:BD171)))</f>
        <v>0</v>
      </c>
      <c r="BI171" s="27" t="n">
        <f aca="false">MIN(AM170*(1+F$8),MAX(AY171,$B$12-SUM(BE171:BH171)-SUM(AZ171:BD171)))</f>
        <v>0</v>
      </c>
      <c r="BJ171" s="27" t="n">
        <f aca="false">MIN(AN170*(1+G$8),MAX(AZ171,$B$12-SUM(BE171:BI171)-SUM(BA171:BD171)))</f>
        <v>0</v>
      </c>
      <c r="BK171" s="27" t="n">
        <f aca="false">MIN(AO170*(1+H$8),MAX(BA171,$B$12-SUM(BE171:BJ171)-SUM(BB171:BD171)))</f>
        <v>0</v>
      </c>
      <c r="BL171" s="27" t="n">
        <f aca="false">MIN(AP170*(1+I$8),MAX(BB171,$B$12-SUM(BE171:BK171)-SUM(BC171:BD171)))</f>
        <v>0</v>
      </c>
      <c r="BM171" s="27" t="n">
        <f aca="false">MIN(AQ170*(1+J$8),MAX(BC171,$B$12-SUM(BE171:BL171)-SUM(BD171:BD171)))</f>
        <v>0</v>
      </c>
      <c r="BN171" s="27" t="n">
        <f aca="false">MIN(AR170*(1+K$8),MAX(BD171,$B$12-SUM(BE171:BM171)))</f>
        <v>0</v>
      </c>
    </row>
    <row r="172" customFormat="false" ht="15" hidden="false" customHeight="false" outlineLevel="0" collapsed="false">
      <c r="A172" s="0" t="n">
        <v>158</v>
      </c>
      <c r="B172" s="27" t="n">
        <f aca="false">ROUND(MAX(0,B171*(1+B$8)-X172),2)</f>
        <v>0</v>
      </c>
      <c r="C172" s="27" t="n">
        <f aca="false">ROUND(MAX(0,C171*(1+C$8)-Y172),2)</f>
        <v>0</v>
      </c>
      <c r="D172" s="27" t="n">
        <f aca="false">ROUND(MAX(0,D171*(1+D$8)-Z172),2)</f>
        <v>0</v>
      </c>
      <c r="E172" s="27" t="n">
        <f aca="false">ROUND(MAX(0,E171*(1+E$8)-AA172),2)</f>
        <v>0</v>
      </c>
      <c r="F172" s="27" t="n">
        <f aca="false">ROUND(MAX(0,F171*(1+F$8)-AB172),2)</f>
        <v>0</v>
      </c>
      <c r="G172" s="27" t="n">
        <f aca="false">ROUND(MAX(0,G171*(1+G$8)-AC172),2)</f>
        <v>0</v>
      </c>
      <c r="H172" s="27" t="n">
        <f aca="false">ROUND(MAX(0,H171*(1+H$8)-AD172),2)</f>
        <v>0</v>
      </c>
      <c r="I172" s="27" t="n">
        <f aca="false">ROUND(MAX(0,I171*(1+I$8)-AE172),2)</f>
        <v>0</v>
      </c>
      <c r="J172" s="27" t="n">
        <f aca="false">ROUND(MAX(0,J171*(1+J$8)-AF172),2)</f>
        <v>0</v>
      </c>
      <c r="K172" s="27" t="n">
        <f aca="false">ROUND(MAX(0,K171*(1+K$8)-AG172),2)</f>
        <v>0</v>
      </c>
      <c r="L172" s="30" t="n">
        <f aca="false">SUM(B172:K172)</f>
        <v>0</v>
      </c>
      <c r="M172" s="27" t="n">
        <f aca="false">SUMPRODUCT(B171:K171,$B$8:$K$8)</f>
        <v>0</v>
      </c>
      <c r="N172" s="27" t="n">
        <f aca="false">MIN(B171*(1+B$8),B$9)</f>
        <v>0</v>
      </c>
      <c r="O172" s="27" t="n">
        <f aca="false">MIN(C171*(1+C$8),C$9)</f>
        <v>0</v>
      </c>
      <c r="P172" s="27" t="n">
        <f aca="false">MIN(D171*(1+D$8),D$9)</f>
        <v>0</v>
      </c>
      <c r="Q172" s="27" t="n">
        <f aca="false">MIN(E171*(1+E$8),E$9)</f>
        <v>0</v>
      </c>
      <c r="R172" s="27" t="n">
        <f aca="false">MIN(F171*(1+F$8),F$9)</f>
        <v>0</v>
      </c>
      <c r="S172" s="27" t="n">
        <f aca="false">MIN(G171*(1+G$8),G$9)</f>
        <v>0</v>
      </c>
      <c r="T172" s="27" t="n">
        <f aca="false">MIN(H171*(1+H$8),H$9)</f>
        <v>0</v>
      </c>
      <c r="U172" s="27" t="n">
        <f aca="false">MIN(I171*(1+I$8),I$9)</f>
        <v>0</v>
      </c>
      <c r="V172" s="27" t="n">
        <f aca="false">MIN(J171*(1+J$8),J$9)</f>
        <v>0</v>
      </c>
      <c r="W172" s="27" t="n">
        <f aca="false">MIN(K171*(1+K$8),K$9)</f>
        <v>0</v>
      </c>
      <c r="X172" s="27" t="n">
        <f aca="false">MIN(B171*(1+B$8),MAX(N172,$B$11-SUM(O172:W172)))</f>
        <v>0</v>
      </c>
      <c r="Y172" s="27" t="n">
        <f aca="false">MIN(C171*(1+C$8),MAX(O172,$B$11-SUM(X172:X172)-SUM(P172:W172)))</f>
        <v>0</v>
      </c>
      <c r="Z172" s="27" t="n">
        <f aca="false">MIN(D171*(1+D$8),MAX(P172,$B$11-SUM(X172:Y172)-SUM(Q172:W172)))</f>
        <v>0</v>
      </c>
      <c r="AA172" s="27" t="n">
        <f aca="false">MIN(E171*(1+E$8),MAX(Q172,$B$11-SUM(X172:Z172)-SUM(R172:W172)))</f>
        <v>0</v>
      </c>
      <c r="AB172" s="27" t="n">
        <f aca="false">MIN(F171*(1+F$8),MAX(R172,$B$11-SUM(X172:AA172)-SUM(S172:W172)))</f>
        <v>0</v>
      </c>
      <c r="AC172" s="27" t="n">
        <f aca="false">MIN(G171*(1+G$8),MAX(S172,$B$11-SUM(X172:AB172)-SUM(T172:W172)))</f>
        <v>0</v>
      </c>
      <c r="AD172" s="27" t="n">
        <f aca="false">MIN(H171*(1+H$8),MAX(T172,$B$11-SUM(X172:AC172)-SUM(U172:W172)))</f>
        <v>0</v>
      </c>
      <c r="AE172" s="27" t="n">
        <f aca="false">MIN(I171*(1+I$8),MAX(U172,$B$11-SUM(X172:AD172)-SUM(V172:W172)))</f>
        <v>0</v>
      </c>
      <c r="AF172" s="27" t="n">
        <f aca="false">MIN(J171*(1+J$8),MAX(V172,$B$11-SUM(X172:AE172)-SUM(W172:W172)))</f>
        <v>0</v>
      </c>
      <c r="AG172" s="27" t="n">
        <f aca="false">MIN(K171*(1+K$8),MAX(W172,$B$11-SUM(X172:AF172)))</f>
        <v>0</v>
      </c>
      <c r="AI172" s="27" t="n">
        <f aca="false">ROUND(MAX(0,AI171*(1+B$8)-BE172),2)</f>
        <v>0</v>
      </c>
      <c r="AJ172" s="27" t="n">
        <f aca="false">ROUND(MAX(0,AJ171*(1+C$8)-BF172),2)</f>
        <v>0</v>
      </c>
      <c r="AK172" s="27" t="n">
        <f aca="false">ROUND(MAX(0,AK171*(1+D$8)-BG172),2)</f>
        <v>0</v>
      </c>
      <c r="AL172" s="27" t="n">
        <f aca="false">ROUND(MAX(0,AL171*(1+E$8)-BH172),2)</f>
        <v>0</v>
      </c>
      <c r="AM172" s="27" t="n">
        <f aca="false">ROUND(MAX(0,AM171*(1+F$8)-BI172),2)</f>
        <v>0</v>
      </c>
      <c r="AN172" s="27" t="n">
        <f aca="false">ROUND(MAX(0,AN171*(1+G$8)-BJ172),2)</f>
        <v>0</v>
      </c>
      <c r="AO172" s="27" t="n">
        <f aca="false">ROUND(MAX(0,AO171*(1+H$8)-BK172),2)</f>
        <v>0</v>
      </c>
      <c r="AP172" s="27" t="n">
        <f aca="false">ROUND(MAX(0,AP171*(1+I$8)-BL172),2)</f>
        <v>0</v>
      </c>
      <c r="AQ172" s="27" t="n">
        <f aca="false">ROUND(MAX(0,AQ171*(1+J$8)-BM172),2)</f>
        <v>0</v>
      </c>
      <c r="AR172" s="27" t="n">
        <f aca="false">ROUND(MAX(0,AR171*(1+K$8)-BN172),2)</f>
        <v>0</v>
      </c>
      <c r="AS172" s="27" t="n">
        <f aca="false">SUM(AI172:AR172)</f>
        <v>0</v>
      </c>
      <c r="AT172" s="27" t="n">
        <f aca="false">SUMPRODUCT(AI171:AR171,$B$8:$K$8)</f>
        <v>0</v>
      </c>
      <c r="AU172" s="27" t="n">
        <f aca="false">MIN(AI171*(1+B$8),B$9)</f>
        <v>0</v>
      </c>
      <c r="AV172" s="27" t="n">
        <f aca="false">MIN(AJ171*(1+C$8),C$9)</f>
        <v>0</v>
      </c>
      <c r="AW172" s="27" t="n">
        <f aca="false">MIN(AK171*(1+D$8),D$9)</f>
        <v>0</v>
      </c>
      <c r="AX172" s="27" t="n">
        <f aca="false">MIN(AL171*(1+E$8),E$9)</f>
        <v>0</v>
      </c>
      <c r="AY172" s="27" t="n">
        <f aca="false">MIN(AM171*(1+F$8),F$9)</f>
        <v>0</v>
      </c>
      <c r="AZ172" s="27" t="n">
        <f aca="false">MIN(AN171*(1+G$8),G$9)</f>
        <v>0</v>
      </c>
      <c r="BA172" s="27" t="n">
        <f aca="false">MIN(AO171*(1+H$8),H$9)</f>
        <v>0</v>
      </c>
      <c r="BB172" s="27" t="n">
        <f aca="false">MIN(AP171*(1+I$8),I$9)</f>
        <v>0</v>
      </c>
      <c r="BC172" s="27" t="n">
        <f aca="false">MIN(AQ171*(1+J$8),J$9)</f>
        <v>0</v>
      </c>
      <c r="BD172" s="27" t="n">
        <f aca="false">MIN(AR171*(1+K$8),K$9)</f>
        <v>0</v>
      </c>
      <c r="BE172" s="27" t="n">
        <f aca="false">MIN(AI171*(1+B$8),MAX(AU172,$B$12-SUM(AV172:BD172)))</f>
        <v>0</v>
      </c>
      <c r="BF172" s="27" t="n">
        <f aca="false">MIN(AJ171*(1+C$8),MAX(AV172,$B$12-SUM(BE172:BE172)-SUM(AW172:BD172)))</f>
        <v>0</v>
      </c>
      <c r="BG172" s="27" t="n">
        <f aca="false">MIN(AK171*(1+D$8),MAX(AW172,$B$12-SUM(BE172:BF172)-SUM(AX172:BD172)))</f>
        <v>0</v>
      </c>
      <c r="BH172" s="27" t="n">
        <f aca="false">MIN(AL171*(1+E$8),MAX(AX172,$B$12-SUM(BE172:BG172)-SUM(AY172:BD172)))</f>
        <v>0</v>
      </c>
      <c r="BI172" s="27" t="n">
        <f aca="false">MIN(AM171*(1+F$8),MAX(AY172,$B$12-SUM(BE172:BH172)-SUM(AZ172:BD172)))</f>
        <v>0</v>
      </c>
      <c r="BJ172" s="27" t="n">
        <f aca="false">MIN(AN171*(1+G$8),MAX(AZ172,$B$12-SUM(BE172:BI172)-SUM(BA172:BD172)))</f>
        <v>0</v>
      </c>
      <c r="BK172" s="27" t="n">
        <f aca="false">MIN(AO171*(1+H$8),MAX(BA172,$B$12-SUM(BE172:BJ172)-SUM(BB172:BD172)))</f>
        <v>0</v>
      </c>
      <c r="BL172" s="27" t="n">
        <f aca="false">MIN(AP171*(1+I$8),MAX(BB172,$B$12-SUM(BE172:BK172)-SUM(BC172:BD172)))</f>
        <v>0</v>
      </c>
      <c r="BM172" s="27" t="n">
        <f aca="false">MIN(AQ171*(1+J$8),MAX(BC172,$B$12-SUM(BE172:BL172)-SUM(BD172:BD172)))</f>
        <v>0</v>
      </c>
      <c r="BN172" s="27" t="n">
        <f aca="false">MIN(AR171*(1+K$8),MAX(BD172,$B$12-SUM(BE172:BM172)))</f>
        <v>0</v>
      </c>
    </row>
    <row r="173" customFormat="false" ht="15" hidden="false" customHeight="false" outlineLevel="0" collapsed="false">
      <c r="A173" s="0" t="n">
        <v>159</v>
      </c>
      <c r="B173" s="27" t="n">
        <f aca="false">ROUND(MAX(0,B172*(1+B$8)-X173),2)</f>
        <v>0</v>
      </c>
      <c r="C173" s="27" t="n">
        <f aca="false">ROUND(MAX(0,C172*(1+C$8)-Y173),2)</f>
        <v>0</v>
      </c>
      <c r="D173" s="27" t="n">
        <f aca="false">ROUND(MAX(0,D172*(1+D$8)-Z173),2)</f>
        <v>0</v>
      </c>
      <c r="E173" s="27" t="n">
        <f aca="false">ROUND(MAX(0,E172*(1+E$8)-AA173),2)</f>
        <v>0</v>
      </c>
      <c r="F173" s="27" t="n">
        <f aca="false">ROUND(MAX(0,F172*(1+F$8)-AB173),2)</f>
        <v>0</v>
      </c>
      <c r="G173" s="27" t="n">
        <f aca="false">ROUND(MAX(0,G172*(1+G$8)-AC173),2)</f>
        <v>0</v>
      </c>
      <c r="H173" s="27" t="n">
        <f aca="false">ROUND(MAX(0,H172*(1+H$8)-AD173),2)</f>
        <v>0</v>
      </c>
      <c r="I173" s="27" t="n">
        <f aca="false">ROUND(MAX(0,I172*(1+I$8)-AE173),2)</f>
        <v>0</v>
      </c>
      <c r="J173" s="27" t="n">
        <f aca="false">ROUND(MAX(0,J172*(1+J$8)-AF173),2)</f>
        <v>0</v>
      </c>
      <c r="K173" s="27" t="n">
        <f aca="false">ROUND(MAX(0,K172*(1+K$8)-AG173),2)</f>
        <v>0</v>
      </c>
      <c r="L173" s="30" t="n">
        <f aca="false">SUM(B173:K173)</f>
        <v>0</v>
      </c>
      <c r="M173" s="27" t="n">
        <f aca="false">SUMPRODUCT(B172:K172,$B$8:$K$8)</f>
        <v>0</v>
      </c>
      <c r="N173" s="27" t="n">
        <f aca="false">MIN(B172*(1+B$8),B$9)</f>
        <v>0</v>
      </c>
      <c r="O173" s="27" t="n">
        <f aca="false">MIN(C172*(1+C$8),C$9)</f>
        <v>0</v>
      </c>
      <c r="P173" s="27" t="n">
        <f aca="false">MIN(D172*(1+D$8),D$9)</f>
        <v>0</v>
      </c>
      <c r="Q173" s="27" t="n">
        <f aca="false">MIN(E172*(1+E$8),E$9)</f>
        <v>0</v>
      </c>
      <c r="R173" s="27" t="n">
        <f aca="false">MIN(F172*(1+F$8),F$9)</f>
        <v>0</v>
      </c>
      <c r="S173" s="27" t="n">
        <f aca="false">MIN(G172*(1+G$8),G$9)</f>
        <v>0</v>
      </c>
      <c r="T173" s="27" t="n">
        <f aca="false">MIN(H172*(1+H$8),H$9)</f>
        <v>0</v>
      </c>
      <c r="U173" s="27" t="n">
        <f aca="false">MIN(I172*(1+I$8),I$9)</f>
        <v>0</v>
      </c>
      <c r="V173" s="27" t="n">
        <f aca="false">MIN(J172*(1+J$8),J$9)</f>
        <v>0</v>
      </c>
      <c r="W173" s="27" t="n">
        <f aca="false">MIN(K172*(1+K$8),K$9)</f>
        <v>0</v>
      </c>
      <c r="X173" s="27" t="n">
        <f aca="false">MIN(B172*(1+B$8),MAX(N173,$B$11-SUM(O173:W173)))</f>
        <v>0</v>
      </c>
      <c r="Y173" s="27" t="n">
        <f aca="false">MIN(C172*(1+C$8),MAX(O173,$B$11-SUM(X173:X173)-SUM(P173:W173)))</f>
        <v>0</v>
      </c>
      <c r="Z173" s="27" t="n">
        <f aca="false">MIN(D172*(1+D$8),MAX(P173,$B$11-SUM(X173:Y173)-SUM(Q173:W173)))</f>
        <v>0</v>
      </c>
      <c r="AA173" s="27" t="n">
        <f aca="false">MIN(E172*(1+E$8),MAX(Q173,$B$11-SUM(X173:Z173)-SUM(R173:W173)))</f>
        <v>0</v>
      </c>
      <c r="AB173" s="27" t="n">
        <f aca="false">MIN(F172*(1+F$8),MAX(R173,$B$11-SUM(X173:AA173)-SUM(S173:W173)))</f>
        <v>0</v>
      </c>
      <c r="AC173" s="27" t="n">
        <f aca="false">MIN(G172*(1+G$8),MAX(S173,$B$11-SUM(X173:AB173)-SUM(T173:W173)))</f>
        <v>0</v>
      </c>
      <c r="AD173" s="27" t="n">
        <f aca="false">MIN(H172*(1+H$8),MAX(T173,$B$11-SUM(X173:AC173)-SUM(U173:W173)))</f>
        <v>0</v>
      </c>
      <c r="AE173" s="27" t="n">
        <f aca="false">MIN(I172*(1+I$8),MAX(U173,$B$11-SUM(X173:AD173)-SUM(V173:W173)))</f>
        <v>0</v>
      </c>
      <c r="AF173" s="27" t="n">
        <f aca="false">MIN(J172*(1+J$8),MAX(V173,$B$11-SUM(X173:AE173)-SUM(W173:W173)))</f>
        <v>0</v>
      </c>
      <c r="AG173" s="27" t="n">
        <f aca="false">MIN(K172*(1+K$8),MAX(W173,$B$11-SUM(X173:AF173)))</f>
        <v>0</v>
      </c>
      <c r="AI173" s="27" t="n">
        <f aca="false">ROUND(MAX(0,AI172*(1+B$8)-BE173),2)</f>
        <v>0</v>
      </c>
      <c r="AJ173" s="27" t="n">
        <f aca="false">ROUND(MAX(0,AJ172*(1+C$8)-BF173),2)</f>
        <v>0</v>
      </c>
      <c r="AK173" s="27" t="n">
        <f aca="false">ROUND(MAX(0,AK172*(1+D$8)-BG173),2)</f>
        <v>0</v>
      </c>
      <c r="AL173" s="27" t="n">
        <f aca="false">ROUND(MAX(0,AL172*(1+E$8)-BH173),2)</f>
        <v>0</v>
      </c>
      <c r="AM173" s="27" t="n">
        <f aca="false">ROUND(MAX(0,AM172*(1+F$8)-BI173),2)</f>
        <v>0</v>
      </c>
      <c r="AN173" s="27" t="n">
        <f aca="false">ROUND(MAX(0,AN172*(1+G$8)-BJ173),2)</f>
        <v>0</v>
      </c>
      <c r="AO173" s="27" t="n">
        <f aca="false">ROUND(MAX(0,AO172*(1+H$8)-BK173),2)</f>
        <v>0</v>
      </c>
      <c r="AP173" s="27" t="n">
        <f aca="false">ROUND(MAX(0,AP172*(1+I$8)-BL173),2)</f>
        <v>0</v>
      </c>
      <c r="AQ173" s="27" t="n">
        <f aca="false">ROUND(MAX(0,AQ172*(1+J$8)-BM173),2)</f>
        <v>0</v>
      </c>
      <c r="AR173" s="27" t="n">
        <f aca="false">ROUND(MAX(0,AR172*(1+K$8)-BN173),2)</f>
        <v>0</v>
      </c>
      <c r="AS173" s="27" t="n">
        <f aca="false">SUM(AI173:AR173)</f>
        <v>0</v>
      </c>
      <c r="AT173" s="27" t="n">
        <f aca="false">SUMPRODUCT(AI172:AR172,$B$8:$K$8)</f>
        <v>0</v>
      </c>
      <c r="AU173" s="27" t="n">
        <f aca="false">MIN(AI172*(1+B$8),B$9)</f>
        <v>0</v>
      </c>
      <c r="AV173" s="27" t="n">
        <f aca="false">MIN(AJ172*(1+C$8),C$9)</f>
        <v>0</v>
      </c>
      <c r="AW173" s="27" t="n">
        <f aca="false">MIN(AK172*(1+D$8),D$9)</f>
        <v>0</v>
      </c>
      <c r="AX173" s="27" t="n">
        <f aca="false">MIN(AL172*(1+E$8),E$9)</f>
        <v>0</v>
      </c>
      <c r="AY173" s="27" t="n">
        <f aca="false">MIN(AM172*(1+F$8),F$9)</f>
        <v>0</v>
      </c>
      <c r="AZ173" s="27" t="n">
        <f aca="false">MIN(AN172*(1+G$8),G$9)</f>
        <v>0</v>
      </c>
      <c r="BA173" s="27" t="n">
        <f aca="false">MIN(AO172*(1+H$8),H$9)</f>
        <v>0</v>
      </c>
      <c r="BB173" s="27" t="n">
        <f aca="false">MIN(AP172*(1+I$8),I$9)</f>
        <v>0</v>
      </c>
      <c r="BC173" s="27" t="n">
        <f aca="false">MIN(AQ172*(1+J$8),J$9)</f>
        <v>0</v>
      </c>
      <c r="BD173" s="27" t="n">
        <f aca="false">MIN(AR172*(1+K$8),K$9)</f>
        <v>0</v>
      </c>
      <c r="BE173" s="27" t="n">
        <f aca="false">MIN(AI172*(1+B$8),MAX(AU173,$B$12-SUM(AV173:BD173)))</f>
        <v>0</v>
      </c>
      <c r="BF173" s="27" t="n">
        <f aca="false">MIN(AJ172*(1+C$8),MAX(AV173,$B$12-SUM(BE173:BE173)-SUM(AW173:BD173)))</f>
        <v>0</v>
      </c>
      <c r="BG173" s="27" t="n">
        <f aca="false">MIN(AK172*(1+D$8),MAX(AW173,$B$12-SUM(BE173:BF173)-SUM(AX173:BD173)))</f>
        <v>0</v>
      </c>
      <c r="BH173" s="27" t="n">
        <f aca="false">MIN(AL172*(1+E$8),MAX(AX173,$B$12-SUM(BE173:BG173)-SUM(AY173:BD173)))</f>
        <v>0</v>
      </c>
      <c r="BI173" s="27" t="n">
        <f aca="false">MIN(AM172*(1+F$8),MAX(AY173,$B$12-SUM(BE173:BH173)-SUM(AZ173:BD173)))</f>
        <v>0</v>
      </c>
      <c r="BJ173" s="27" t="n">
        <f aca="false">MIN(AN172*(1+G$8),MAX(AZ173,$B$12-SUM(BE173:BI173)-SUM(BA173:BD173)))</f>
        <v>0</v>
      </c>
      <c r="BK173" s="27" t="n">
        <f aca="false">MIN(AO172*(1+H$8),MAX(BA173,$B$12-SUM(BE173:BJ173)-SUM(BB173:BD173)))</f>
        <v>0</v>
      </c>
      <c r="BL173" s="27" t="n">
        <f aca="false">MIN(AP172*(1+I$8),MAX(BB173,$B$12-SUM(BE173:BK173)-SUM(BC173:BD173)))</f>
        <v>0</v>
      </c>
      <c r="BM173" s="27" t="n">
        <f aca="false">MIN(AQ172*(1+J$8),MAX(BC173,$B$12-SUM(BE173:BL173)-SUM(BD173:BD173)))</f>
        <v>0</v>
      </c>
      <c r="BN173" s="27" t="n">
        <f aca="false">MIN(AR172*(1+K$8),MAX(BD173,$B$12-SUM(BE173:BM173)))</f>
        <v>0</v>
      </c>
    </row>
    <row r="174" customFormat="false" ht="15" hidden="false" customHeight="false" outlineLevel="0" collapsed="false">
      <c r="A174" s="0" t="n">
        <v>160</v>
      </c>
      <c r="B174" s="27" t="n">
        <f aca="false">ROUND(MAX(0,B173*(1+B$8)-X174),2)</f>
        <v>0</v>
      </c>
      <c r="C174" s="27" t="n">
        <f aca="false">ROUND(MAX(0,C173*(1+C$8)-Y174),2)</f>
        <v>0</v>
      </c>
      <c r="D174" s="27" t="n">
        <f aca="false">ROUND(MAX(0,D173*(1+D$8)-Z174),2)</f>
        <v>0</v>
      </c>
      <c r="E174" s="27" t="n">
        <f aca="false">ROUND(MAX(0,E173*(1+E$8)-AA174),2)</f>
        <v>0</v>
      </c>
      <c r="F174" s="27" t="n">
        <f aca="false">ROUND(MAX(0,F173*(1+F$8)-AB174),2)</f>
        <v>0</v>
      </c>
      <c r="G174" s="27" t="n">
        <f aca="false">ROUND(MAX(0,G173*(1+G$8)-AC174),2)</f>
        <v>0</v>
      </c>
      <c r="H174" s="27" t="n">
        <f aca="false">ROUND(MAX(0,H173*(1+H$8)-AD174),2)</f>
        <v>0</v>
      </c>
      <c r="I174" s="27" t="n">
        <f aca="false">ROUND(MAX(0,I173*(1+I$8)-AE174),2)</f>
        <v>0</v>
      </c>
      <c r="J174" s="27" t="n">
        <f aca="false">ROUND(MAX(0,J173*(1+J$8)-AF174),2)</f>
        <v>0</v>
      </c>
      <c r="K174" s="27" t="n">
        <f aca="false">ROUND(MAX(0,K173*(1+K$8)-AG174),2)</f>
        <v>0</v>
      </c>
      <c r="L174" s="30" t="n">
        <f aca="false">SUM(B174:K174)</f>
        <v>0</v>
      </c>
      <c r="M174" s="27" t="n">
        <f aca="false">SUMPRODUCT(B173:K173,$B$8:$K$8)</f>
        <v>0</v>
      </c>
      <c r="N174" s="27" t="n">
        <f aca="false">MIN(B173*(1+B$8),B$9)</f>
        <v>0</v>
      </c>
      <c r="O174" s="27" t="n">
        <f aca="false">MIN(C173*(1+C$8),C$9)</f>
        <v>0</v>
      </c>
      <c r="P174" s="27" t="n">
        <f aca="false">MIN(D173*(1+D$8),D$9)</f>
        <v>0</v>
      </c>
      <c r="Q174" s="27" t="n">
        <f aca="false">MIN(E173*(1+E$8),E$9)</f>
        <v>0</v>
      </c>
      <c r="R174" s="27" t="n">
        <f aca="false">MIN(F173*(1+F$8),F$9)</f>
        <v>0</v>
      </c>
      <c r="S174" s="27" t="n">
        <f aca="false">MIN(G173*(1+G$8),G$9)</f>
        <v>0</v>
      </c>
      <c r="T174" s="27" t="n">
        <f aca="false">MIN(H173*(1+H$8),H$9)</f>
        <v>0</v>
      </c>
      <c r="U174" s="27" t="n">
        <f aca="false">MIN(I173*(1+I$8),I$9)</f>
        <v>0</v>
      </c>
      <c r="V174" s="27" t="n">
        <f aca="false">MIN(J173*(1+J$8),J$9)</f>
        <v>0</v>
      </c>
      <c r="W174" s="27" t="n">
        <f aca="false">MIN(K173*(1+K$8),K$9)</f>
        <v>0</v>
      </c>
      <c r="X174" s="27" t="n">
        <f aca="false">MIN(B173*(1+B$8),MAX(N174,$B$11-SUM(O174:W174)))</f>
        <v>0</v>
      </c>
      <c r="Y174" s="27" t="n">
        <f aca="false">MIN(C173*(1+C$8),MAX(O174,$B$11-SUM(X174:X174)-SUM(P174:W174)))</f>
        <v>0</v>
      </c>
      <c r="Z174" s="27" t="n">
        <f aca="false">MIN(D173*(1+D$8),MAX(P174,$B$11-SUM(X174:Y174)-SUM(Q174:W174)))</f>
        <v>0</v>
      </c>
      <c r="AA174" s="27" t="n">
        <f aca="false">MIN(E173*(1+E$8),MAX(Q174,$B$11-SUM(X174:Z174)-SUM(R174:W174)))</f>
        <v>0</v>
      </c>
      <c r="AB174" s="27" t="n">
        <f aca="false">MIN(F173*(1+F$8),MAX(R174,$B$11-SUM(X174:AA174)-SUM(S174:W174)))</f>
        <v>0</v>
      </c>
      <c r="AC174" s="27" t="n">
        <f aca="false">MIN(G173*(1+G$8),MAX(S174,$B$11-SUM(X174:AB174)-SUM(T174:W174)))</f>
        <v>0</v>
      </c>
      <c r="AD174" s="27" t="n">
        <f aca="false">MIN(H173*(1+H$8),MAX(T174,$B$11-SUM(X174:AC174)-SUM(U174:W174)))</f>
        <v>0</v>
      </c>
      <c r="AE174" s="27" t="n">
        <f aca="false">MIN(I173*(1+I$8),MAX(U174,$B$11-SUM(X174:AD174)-SUM(V174:W174)))</f>
        <v>0</v>
      </c>
      <c r="AF174" s="27" t="n">
        <f aca="false">MIN(J173*(1+J$8),MAX(V174,$B$11-SUM(X174:AE174)-SUM(W174:W174)))</f>
        <v>0</v>
      </c>
      <c r="AG174" s="27" t="n">
        <f aca="false">MIN(K173*(1+K$8),MAX(W174,$B$11-SUM(X174:AF174)))</f>
        <v>0</v>
      </c>
      <c r="AI174" s="27" t="n">
        <f aca="false">ROUND(MAX(0,AI173*(1+B$8)-BE174),2)</f>
        <v>0</v>
      </c>
      <c r="AJ174" s="27" t="n">
        <f aca="false">ROUND(MAX(0,AJ173*(1+C$8)-BF174),2)</f>
        <v>0</v>
      </c>
      <c r="AK174" s="27" t="n">
        <f aca="false">ROUND(MAX(0,AK173*(1+D$8)-BG174),2)</f>
        <v>0</v>
      </c>
      <c r="AL174" s="27" t="n">
        <f aca="false">ROUND(MAX(0,AL173*(1+E$8)-BH174),2)</f>
        <v>0</v>
      </c>
      <c r="AM174" s="27" t="n">
        <f aca="false">ROUND(MAX(0,AM173*(1+F$8)-BI174),2)</f>
        <v>0</v>
      </c>
      <c r="AN174" s="27" t="n">
        <f aca="false">ROUND(MAX(0,AN173*(1+G$8)-BJ174),2)</f>
        <v>0</v>
      </c>
      <c r="AO174" s="27" t="n">
        <f aca="false">ROUND(MAX(0,AO173*(1+H$8)-BK174),2)</f>
        <v>0</v>
      </c>
      <c r="AP174" s="27" t="n">
        <f aca="false">ROUND(MAX(0,AP173*(1+I$8)-BL174),2)</f>
        <v>0</v>
      </c>
      <c r="AQ174" s="27" t="n">
        <f aca="false">ROUND(MAX(0,AQ173*(1+J$8)-BM174),2)</f>
        <v>0</v>
      </c>
      <c r="AR174" s="27" t="n">
        <f aca="false">ROUND(MAX(0,AR173*(1+K$8)-BN174),2)</f>
        <v>0</v>
      </c>
      <c r="AS174" s="27" t="n">
        <f aca="false">SUM(AI174:AR174)</f>
        <v>0</v>
      </c>
      <c r="AT174" s="27" t="n">
        <f aca="false">SUMPRODUCT(AI173:AR173,$B$8:$K$8)</f>
        <v>0</v>
      </c>
      <c r="AU174" s="27" t="n">
        <f aca="false">MIN(AI173*(1+B$8),B$9)</f>
        <v>0</v>
      </c>
      <c r="AV174" s="27" t="n">
        <f aca="false">MIN(AJ173*(1+C$8),C$9)</f>
        <v>0</v>
      </c>
      <c r="AW174" s="27" t="n">
        <f aca="false">MIN(AK173*(1+D$8),D$9)</f>
        <v>0</v>
      </c>
      <c r="AX174" s="27" t="n">
        <f aca="false">MIN(AL173*(1+E$8),E$9)</f>
        <v>0</v>
      </c>
      <c r="AY174" s="27" t="n">
        <f aca="false">MIN(AM173*(1+F$8),F$9)</f>
        <v>0</v>
      </c>
      <c r="AZ174" s="27" t="n">
        <f aca="false">MIN(AN173*(1+G$8),G$9)</f>
        <v>0</v>
      </c>
      <c r="BA174" s="27" t="n">
        <f aca="false">MIN(AO173*(1+H$8),H$9)</f>
        <v>0</v>
      </c>
      <c r="BB174" s="27" t="n">
        <f aca="false">MIN(AP173*(1+I$8),I$9)</f>
        <v>0</v>
      </c>
      <c r="BC174" s="27" t="n">
        <f aca="false">MIN(AQ173*(1+J$8),J$9)</f>
        <v>0</v>
      </c>
      <c r="BD174" s="27" t="n">
        <f aca="false">MIN(AR173*(1+K$8),K$9)</f>
        <v>0</v>
      </c>
      <c r="BE174" s="27" t="n">
        <f aca="false">MIN(AI173*(1+B$8),MAX(AU174,$B$12-SUM(AV174:BD174)))</f>
        <v>0</v>
      </c>
      <c r="BF174" s="27" t="n">
        <f aca="false">MIN(AJ173*(1+C$8),MAX(AV174,$B$12-SUM(BE174:BE174)-SUM(AW174:BD174)))</f>
        <v>0</v>
      </c>
      <c r="BG174" s="27" t="n">
        <f aca="false">MIN(AK173*(1+D$8),MAX(AW174,$B$12-SUM(BE174:BF174)-SUM(AX174:BD174)))</f>
        <v>0</v>
      </c>
      <c r="BH174" s="27" t="n">
        <f aca="false">MIN(AL173*(1+E$8),MAX(AX174,$B$12-SUM(BE174:BG174)-SUM(AY174:BD174)))</f>
        <v>0</v>
      </c>
      <c r="BI174" s="27" t="n">
        <f aca="false">MIN(AM173*(1+F$8),MAX(AY174,$B$12-SUM(BE174:BH174)-SUM(AZ174:BD174)))</f>
        <v>0</v>
      </c>
      <c r="BJ174" s="27" t="n">
        <f aca="false">MIN(AN173*(1+G$8),MAX(AZ174,$B$12-SUM(BE174:BI174)-SUM(BA174:BD174)))</f>
        <v>0</v>
      </c>
      <c r="BK174" s="27" t="n">
        <f aca="false">MIN(AO173*(1+H$8),MAX(BA174,$B$12-SUM(BE174:BJ174)-SUM(BB174:BD174)))</f>
        <v>0</v>
      </c>
      <c r="BL174" s="27" t="n">
        <f aca="false">MIN(AP173*(1+I$8),MAX(BB174,$B$12-SUM(BE174:BK174)-SUM(BC174:BD174)))</f>
        <v>0</v>
      </c>
      <c r="BM174" s="27" t="n">
        <f aca="false">MIN(AQ173*(1+J$8),MAX(BC174,$B$12-SUM(BE174:BL174)-SUM(BD174:BD174)))</f>
        <v>0</v>
      </c>
      <c r="BN174" s="27" t="n">
        <f aca="false">MIN(AR173*(1+K$8),MAX(BD174,$B$12-SUM(BE174:BM174)))</f>
        <v>0</v>
      </c>
    </row>
    <row r="175" customFormat="false" ht="15" hidden="false" customHeight="false" outlineLevel="0" collapsed="false">
      <c r="A175" s="0" t="n">
        <v>161</v>
      </c>
      <c r="B175" s="27" t="n">
        <f aca="false">ROUND(MAX(0,B174*(1+B$8)-X175),2)</f>
        <v>0</v>
      </c>
      <c r="C175" s="27" t="n">
        <f aca="false">ROUND(MAX(0,C174*(1+C$8)-Y175),2)</f>
        <v>0</v>
      </c>
      <c r="D175" s="27" t="n">
        <f aca="false">ROUND(MAX(0,D174*(1+D$8)-Z175),2)</f>
        <v>0</v>
      </c>
      <c r="E175" s="27" t="n">
        <f aca="false">ROUND(MAX(0,E174*(1+E$8)-AA175),2)</f>
        <v>0</v>
      </c>
      <c r="F175" s="27" t="n">
        <f aca="false">ROUND(MAX(0,F174*(1+F$8)-AB175),2)</f>
        <v>0</v>
      </c>
      <c r="G175" s="27" t="n">
        <f aca="false">ROUND(MAX(0,G174*(1+G$8)-AC175),2)</f>
        <v>0</v>
      </c>
      <c r="H175" s="27" t="n">
        <f aca="false">ROUND(MAX(0,H174*(1+H$8)-AD175),2)</f>
        <v>0</v>
      </c>
      <c r="I175" s="27" t="n">
        <f aca="false">ROUND(MAX(0,I174*(1+I$8)-AE175),2)</f>
        <v>0</v>
      </c>
      <c r="J175" s="27" t="n">
        <f aca="false">ROUND(MAX(0,J174*(1+J$8)-AF175),2)</f>
        <v>0</v>
      </c>
      <c r="K175" s="27" t="n">
        <f aca="false">ROUND(MAX(0,K174*(1+K$8)-AG175),2)</f>
        <v>0</v>
      </c>
      <c r="L175" s="30" t="n">
        <f aca="false">SUM(B175:K175)</f>
        <v>0</v>
      </c>
      <c r="M175" s="27" t="n">
        <f aca="false">SUMPRODUCT(B174:K174,$B$8:$K$8)</f>
        <v>0</v>
      </c>
      <c r="N175" s="27" t="n">
        <f aca="false">MIN(B174*(1+B$8),B$9)</f>
        <v>0</v>
      </c>
      <c r="O175" s="27" t="n">
        <f aca="false">MIN(C174*(1+C$8),C$9)</f>
        <v>0</v>
      </c>
      <c r="P175" s="27" t="n">
        <f aca="false">MIN(D174*(1+D$8),D$9)</f>
        <v>0</v>
      </c>
      <c r="Q175" s="27" t="n">
        <f aca="false">MIN(E174*(1+E$8),E$9)</f>
        <v>0</v>
      </c>
      <c r="R175" s="27" t="n">
        <f aca="false">MIN(F174*(1+F$8),F$9)</f>
        <v>0</v>
      </c>
      <c r="S175" s="27" t="n">
        <f aca="false">MIN(G174*(1+G$8),G$9)</f>
        <v>0</v>
      </c>
      <c r="T175" s="27" t="n">
        <f aca="false">MIN(H174*(1+H$8),H$9)</f>
        <v>0</v>
      </c>
      <c r="U175" s="27" t="n">
        <f aca="false">MIN(I174*(1+I$8),I$9)</f>
        <v>0</v>
      </c>
      <c r="V175" s="27" t="n">
        <f aca="false">MIN(J174*(1+J$8),J$9)</f>
        <v>0</v>
      </c>
      <c r="W175" s="27" t="n">
        <f aca="false">MIN(K174*(1+K$8),K$9)</f>
        <v>0</v>
      </c>
      <c r="X175" s="27" t="n">
        <f aca="false">MIN(B174*(1+B$8),MAX(N175,$B$11-SUM(O175:W175)))</f>
        <v>0</v>
      </c>
      <c r="Y175" s="27" t="n">
        <f aca="false">MIN(C174*(1+C$8),MAX(O175,$B$11-SUM(X175:X175)-SUM(P175:W175)))</f>
        <v>0</v>
      </c>
      <c r="Z175" s="27" t="n">
        <f aca="false">MIN(D174*(1+D$8),MAX(P175,$B$11-SUM(X175:Y175)-SUM(Q175:W175)))</f>
        <v>0</v>
      </c>
      <c r="AA175" s="27" t="n">
        <f aca="false">MIN(E174*(1+E$8),MAX(Q175,$B$11-SUM(X175:Z175)-SUM(R175:W175)))</f>
        <v>0</v>
      </c>
      <c r="AB175" s="27" t="n">
        <f aca="false">MIN(F174*(1+F$8),MAX(R175,$B$11-SUM(X175:AA175)-SUM(S175:W175)))</f>
        <v>0</v>
      </c>
      <c r="AC175" s="27" t="n">
        <f aca="false">MIN(G174*(1+G$8),MAX(S175,$B$11-SUM(X175:AB175)-SUM(T175:W175)))</f>
        <v>0</v>
      </c>
      <c r="AD175" s="27" t="n">
        <f aca="false">MIN(H174*(1+H$8),MAX(T175,$B$11-SUM(X175:AC175)-SUM(U175:W175)))</f>
        <v>0</v>
      </c>
      <c r="AE175" s="27" t="n">
        <f aca="false">MIN(I174*(1+I$8),MAX(U175,$B$11-SUM(X175:AD175)-SUM(V175:W175)))</f>
        <v>0</v>
      </c>
      <c r="AF175" s="27" t="n">
        <f aca="false">MIN(J174*(1+J$8),MAX(V175,$B$11-SUM(X175:AE175)-SUM(W175:W175)))</f>
        <v>0</v>
      </c>
      <c r="AG175" s="27" t="n">
        <f aca="false">MIN(K174*(1+K$8),MAX(W175,$B$11-SUM(X175:AF175)))</f>
        <v>0</v>
      </c>
      <c r="AI175" s="27" t="n">
        <f aca="false">ROUND(MAX(0,AI174*(1+B$8)-BE175),2)</f>
        <v>0</v>
      </c>
      <c r="AJ175" s="27" t="n">
        <f aca="false">ROUND(MAX(0,AJ174*(1+C$8)-BF175),2)</f>
        <v>0</v>
      </c>
      <c r="AK175" s="27" t="n">
        <f aca="false">ROUND(MAX(0,AK174*(1+D$8)-BG175),2)</f>
        <v>0</v>
      </c>
      <c r="AL175" s="27" t="n">
        <f aca="false">ROUND(MAX(0,AL174*(1+E$8)-BH175),2)</f>
        <v>0</v>
      </c>
      <c r="AM175" s="27" t="n">
        <f aca="false">ROUND(MAX(0,AM174*(1+F$8)-BI175),2)</f>
        <v>0</v>
      </c>
      <c r="AN175" s="27" t="n">
        <f aca="false">ROUND(MAX(0,AN174*(1+G$8)-BJ175),2)</f>
        <v>0</v>
      </c>
      <c r="AO175" s="27" t="n">
        <f aca="false">ROUND(MAX(0,AO174*(1+H$8)-BK175),2)</f>
        <v>0</v>
      </c>
      <c r="AP175" s="27" t="n">
        <f aca="false">ROUND(MAX(0,AP174*(1+I$8)-BL175),2)</f>
        <v>0</v>
      </c>
      <c r="AQ175" s="27" t="n">
        <f aca="false">ROUND(MAX(0,AQ174*(1+J$8)-BM175),2)</f>
        <v>0</v>
      </c>
      <c r="AR175" s="27" t="n">
        <f aca="false">ROUND(MAX(0,AR174*(1+K$8)-BN175),2)</f>
        <v>0</v>
      </c>
      <c r="AS175" s="27" t="n">
        <f aca="false">SUM(AI175:AR175)</f>
        <v>0</v>
      </c>
      <c r="AT175" s="27" t="n">
        <f aca="false">SUMPRODUCT(AI174:AR174,$B$8:$K$8)</f>
        <v>0</v>
      </c>
      <c r="AU175" s="27" t="n">
        <f aca="false">MIN(AI174*(1+B$8),B$9)</f>
        <v>0</v>
      </c>
      <c r="AV175" s="27" t="n">
        <f aca="false">MIN(AJ174*(1+C$8),C$9)</f>
        <v>0</v>
      </c>
      <c r="AW175" s="27" t="n">
        <f aca="false">MIN(AK174*(1+D$8),D$9)</f>
        <v>0</v>
      </c>
      <c r="AX175" s="27" t="n">
        <f aca="false">MIN(AL174*(1+E$8),E$9)</f>
        <v>0</v>
      </c>
      <c r="AY175" s="27" t="n">
        <f aca="false">MIN(AM174*(1+F$8),F$9)</f>
        <v>0</v>
      </c>
      <c r="AZ175" s="27" t="n">
        <f aca="false">MIN(AN174*(1+G$8),G$9)</f>
        <v>0</v>
      </c>
      <c r="BA175" s="27" t="n">
        <f aca="false">MIN(AO174*(1+H$8),H$9)</f>
        <v>0</v>
      </c>
      <c r="BB175" s="27" t="n">
        <f aca="false">MIN(AP174*(1+I$8),I$9)</f>
        <v>0</v>
      </c>
      <c r="BC175" s="27" t="n">
        <f aca="false">MIN(AQ174*(1+J$8),J$9)</f>
        <v>0</v>
      </c>
      <c r="BD175" s="27" t="n">
        <f aca="false">MIN(AR174*(1+K$8),K$9)</f>
        <v>0</v>
      </c>
      <c r="BE175" s="27" t="n">
        <f aca="false">MIN(AI174*(1+B$8),MAX(AU175,$B$12-SUM(AV175:BD175)))</f>
        <v>0</v>
      </c>
      <c r="BF175" s="27" t="n">
        <f aca="false">MIN(AJ174*(1+C$8),MAX(AV175,$B$12-SUM(BE175:BE175)-SUM(AW175:BD175)))</f>
        <v>0</v>
      </c>
      <c r="BG175" s="27" t="n">
        <f aca="false">MIN(AK174*(1+D$8),MAX(AW175,$B$12-SUM(BE175:BF175)-SUM(AX175:BD175)))</f>
        <v>0</v>
      </c>
      <c r="BH175" s="27" t="n">
        <f aca="false">MIN(AL174*(1+E$8),MAX(AX175,$B$12-SUM(BE175:BG175)-SUM(AY175:BD175)))</f>
        <v>0</v>
      </c>
      <c r="BI175" s="27" t="n">
        <f aca="false">MIN(AM174*(1+F$8),MAX(AY175,$B$12-SUM(BE175:BH175)-SUM(AZ175:BD175)))</f>
        <v>0</v>
      </c>
      <c r="BJ175" s="27" t="n">
        <f aca="false">MIN(AN174*(1+G$8),MAX(AZ175,$B$12-SUM(BE175:BI175)-SUM(BA175:BD175)))</f>
        <v>0</v>
      </c>
      <c r="BK175" s="27" t="n">
        <f aca="false">MIN(AO174*(1+H$8),MAX(BA175,$B$12-SUM(BE175:BJ175)-SUM(BB175:BD175)))</f>
        <v>0</v>
      </c>
      <c r="BL175" s="27" t="n">
        <f aca="false">MIN(AP174*(1+I$8),MAX(BB175,$B$12-SUM(BE175:BK175)-SUM(BC175:BD175)))</f>
        <v>0</v>
      </c>
      <c r="BM175" s="27" t="n">
        <f aca="false">MIN(AQ174*(1+J$8),MAX(BC175,$B$12-SUM(BE175:BL175)-SUM(BD175:BD175)))</f>
        <v>0</v>
      </c>
      <c r="BN175" s="27" t="n">
        <f aca="false">MIN(AR174*(1+K$8),MAX(BD175,$B$12-SUM(BE175:BM175)))</f>
        <v>0</v>
      </c>
    </row>
    <row r="176" customFormat="false" ht="15" hidden="false" customHeight="false" outlineLevel="0" collapsed="false">
      <c r="A176" s="0" t="n">
        <v>162</v>
      </c>
      <c r="B176" s="27" t="n">
        <f aca="false">ROUND(MAX(0,B175*(1+B$8)-X176),2)</f>
        <v>0</v>
      </c>
      <c r="C176" s="27" t="n">
        <f aca="false">ROUND(MAX(0,C175*(1+C$8)-Y176),2)</f>
        <v>0</v>
      </c>
      <c r="D176" s="27" t="n">
        <f aca="false">ROUND(MAX(0,D175*(1+D$8)-Z176),2)</f>
        <v>0</v>
      </c>
      <c r="E176" s="27" t="n">
        <f aca="false">ROUND(MAX(0,E175*(1+E$8)-AA176),2)</f>
        <v>0</v>
      </c>
      <c r="F176" s="27" t="n">
        <f aca="false">ROUND(MAX(0,F175*(1+F$8)-AB176),2)</f>
        <v>0</v>
      </c>
      <c r="G176" s="27" t="n">
        <f aca="false">ROUND(MAX(0,G175*(1+G$8)-AC176),2)</f>
        <v>0</v>
      </c>
      <c r="H176" s="27" t="n">
        <f aca="false">ROUND(MAX(0,H175*(1+H$8)-AD176),2)</f>
        <v>0</v>
      </c>
      <c r="I176" s="27" t="n">
        <f aca="false">ROUND(MAX(0,I175*(1+I$8)-AE176),2)</f>
        <v>0</v>
      </c>
      <c r="J176" s="27" t="n">
        <f aca="false">ROUND(MAX(0,J175*(1+J$8)-AF176),2)</f>
        <v>0</v>
      </c>
      <c r="K176" s="27" t="n">
        <f aca="false">ROUND(MAX(0,K175*(1+K$8)-AG176),2)</f>
        <v>0</v>
      </c>
      <c r="L176" s="30" t="n">
        <f aca="false">SUM(B176:K176)</f>
        <v>0</v>
      </c>
      <c r="M176" s="27" t="n">
        <f aca="false">SUMPRODUCT(B175:K175,$B$8:$K$8)</f>
        <v>0</v>
      </c>
      <c r="N176" s="27" t="n">
        <f aca="false">MIN(B175*(1+B$8),B$9)</f>
        <v>0</v>
      </c>
      <c r="O176" s="27" t="n">
        <f aca="false">MIN(C175*(1+C$8),C$9)</f>
        <v>0</v>
      </c>
      <c r="P176" s="27" t="n">
        <f aca="false">MIN(D175*(1+D$8),D$9)</f>
        <v>0</v>
      </c>
      <c r="Q176" s="27" t="n">
        <f aca="false">MIN(E175*(1+E$8),E$9)</f>
        <v>0</v>
      </c>
      <c r="R176" s="27" t="n">
        <f aca="false">MIN(F175*(1+F$8),F$9)</f>
        <v>0</v>
      </c>
      <c r="S176" s="27" t="n">
        <f aca="false">MIN(G175*(1+G$8),G$9)</f>
        <v>0</v>
      </c>
      <c r="T176" s="27" t="n">
        <f aca="false">MIN(H175*(1+H$8),H$9)</f>
        <v>0</v>
      </c>
      <c r="U176" s="27" t="n">
        <f aca="false">MIN(I175*(1+I$8),I$9)</f>
        <v>0</v>
      </c>
      <c r="V176" s="27" t="n">
        <f aca="false">MIN(J175*(1+J$8),J$9)</f>
        <v>0</v>
      </c>
      <c r="W176" s="27" t="n">
        <f aca="false">MIN(K175*(1+K$8),K$9)</f>
        <v>0</v>
      </c>
      <c r="X176" s="27" t="n">
        <f aca="false">MIN(B175*(1+B$8),MAX(N176,$B$11-SUM(O176:W176)))</f>
        <v>0</v>
      </c>
      <c r="Y176" s="27" t="n">
        <f aca="false">MIN(C175*(1+C$8),MAX(O176,$B$11-SUM(X176:X176)-SUM(P176:W176)))</f>
        <v>0</v>
      </c>
      <c r="Z176" s="27" t="n">
        <f aca="false">MIN(D175*(1+D$8),MAX(P176,$B$11-SUM(X176:Y176)-SUM(Q176:W176)))</f>
        <v>0</v>
      </c>
      <c r="AA176" s="27" t="n">
        <f aca="false">MIN(E175*(1+E$8),MAX(Q176,$B$11-SUM(X176:Z176)-SUM(R176:W176)))</f>
        <v>0</v>
      </c>
      <c r="AB176" s="27" t="n">
        <f aca="false">MIN(F175*(1+F$8),MAX(R176,$B$11-SUM(X176:AA176)-SUM(S176:W176)))</f>
        <v>0</v>
      </c>
      <c r="AC176" s="27" t="n">
        <f aca="false">MIN(G175*(1+G$8),MAX(S176,$B$11-SUM(X176:AB176)-SUM(T176:W176)))</f>
        <v>0</v>
      </c>
      <c r="AD176" s="27" t="n">
        <f aca="false">MIN(H175*(1+H$8),MAX(T176,$B$11-SUM(X176:AC176)-SUM(U176:W176)))</f>
        <v>0</v>
      </c>
      <c r="AE176" s="27" t="n">
        <f aca="false">MIN(I175*(1+I$8),MAX(U176,$B$11-SUM(X176:AD176)-SUM(V176:W176)))</f>
        <v>0</v>
      </c>
      <c r="AF176" s="27" t="n">
        <f aca="false">MIN(J175*(1+J$8),MAX(V176,$B$11-SUM(X176:AE176)-SUM(W176:W176)))</f>
        <v>0</v>
      </c>
      <c r="AG176" s="27" t="n">
        <f aca="false">MIN(K175*(1+K$8),MAX(W176,$B$11-SUM(X176:AF176)))</f>
        <v>0</v>
      </c>
      <c r="AI176" s="27" t="n">
        <f aca="false">ROUND(MAX(0,AI175*(1+B$8)-BE176),2)</f>
        <v>0</v>
      </c>
      <c r="AJ176" s="27" t="n">
        <f aca="false">ROUND(MAX(0,AJ175*(1+C$8)-BF176),2)</f>
        <v>0</v>
      </c>
      <c r="AK176" s="27" t="n">
        <f aca="false">ROUND(MAX(0,AK175*(1+D$8)-BG176),2)</f>
        <v>0</v>
      </c>
      <c r="AL176" s="27" t="n">
        <f aca="false">ROUND(MAX(0,AL175*(1+E$8)-BH176),2)</f>
        <v>0</v>
      </c>
      <c r="AM176" s="27" t="n">
        <f aca="false">ROUND(MAX(0,AM175*(1+F$8)-BI176),2)</f>
        <v>0</v>
      </c>
      <c r="AN176" s="27" t="n">
        <f aca="false">ROUND(MAX(0,AN175*(1+G$8)-BJ176),2)</f>
        <v>0</v>
      </c>
      <c r="AO176" s="27" t="n">
        <f aca="false">ROUND(MAX(0,AO175*(1+H$8)-BK176),2)</f>
        <v>0</v>
      </c>
      <c r="AP176" s="27" t="n">
        <f aca="false">ROUND(MAX(0,AP175*(1+I$8)-BL176),2)</f>
        <v>0</v>
      </c>
      <c r="AQ176" s="27" t="n">
        <f aca="false">ROUND(MAX(0,AQ175*(1+J$8)-BM176),2)</f>
        <v>0</v>
      </c>
      <c r="AR176" s="27" t="n">
        <f aca="false">ROUND(MAX(0,AR175*(1+K$8)-BN176),2)</f>
        <v>0</v>
      </c>
      <c r="AS176" s="27" t="n">
        <f aca="false">SUM(AI176:AR176)</f>
        <v>0</v>
      </c>
      <c r="AT176" s="27" t="n">
        <f aca="false">SUMPRODUCT(AI175:AR175,$B$8:$K$8)</f>
        <v>0</v>
      </c>
      <c r="AU176" s="27" t="n">
        <f aca="false">MIN(AI175*(1+B$8),B$9)</f>
        <v>0</v>
      </c>
      <c r="AV176" s="27" t="n">
        <f aca="false">MIN(AJ175*(1+C$8),C$9)</f>
        <v>0</v>
      </c>
      <c r="AW176" s="27" t="n">
        <f aca="false">MIN(AK175*(1+D$8),D$9)</f>
        <v>0</v>
      </c>
      <c r="AX176" s="27" t="n">
        <f aca="false">MIN(AL175*(1+E$8),E$9)</f>
        <v>0</v>
      </c>
      <c r="AY176" s="27" t="n">
        <f aca="false">MIN(AM175*(1+F$8),F$9)</f>
        <v>0</v>
      </c>
      <c r="AZ176" s="27" t="n">
        <f aca="false">MIN(AN175*(1+G$8),G$9)</f>
        <v>0</v>
      </c>
      <c r="BA176" s="27" t="n">
        <f aca="false">MIN(AO175*(1+H$8),H$9)</f>
        <v>0</v>
      </c>
      <c r="BB176" s="27" t="n">
        <f aca="false">MIN(AP175*(1+I$8),I$9)</f>
        <v>0</v>
      </c>
      <c r="BC176" s="27" t="n">
        <f aca="false">MIN(AQ175*(1+J$8),J$9)</f>
        <v>0</v>
      </c>
      <c r="BD176" s="27" t="n">
        <f aca="false">MIN(AR175*(1+K$8),K$9)</f>
        <v>0</v>
      </c>
      <c r="BE176" s="27" t="n">
        <f aca="false">MIN(AI175*(1+B$8),MAX(AU176,$B$12-SUM(AV176:BD176)))</f>
        <v>0</v>
      </c>
      <c r="BF176" s="27" t="n">
        <f aca="false">MIN(AJ175*(1+C$8),MAX(AV176,$B$12-SUM(BE176:BE176)-SUM(AW176:BD176)))</f>
        <v>0</v>
      </c>
      <c r="BG176" s="27" t="n">
        <f aca="false">MIN(AK175*(1+D$8),MAX(AW176,$B$12-SUM(BE176:BF176)-SUM(AX176:BD176)))</f>
        <v>0</v>
      </c>
      <c r="BH176" s="27" t="n">
        <f aca="false">MIN(AL175*(1+E$8),MAX(AX176,$B$12-SUM(BE176:BG176)-SUM(AY176:BD176)))</f>
        <v>0</v>
      </c>
      <c r="BI176" s="27" t="n">
        <f aca="false">MIN(AM175*(1+F$8),MAX(AY176,$B$12-SUM(BE176:BH176)-SUM(AZ176:BD176)))</f>
        <v>0</v>
      </c>
      <c r="BJ176" s="27" t="n">
        <f aca="false">MIN(AN175*(1+G$8),MAX(AZ176,$B$12-SUM(BE176:BI176)-SUM(BA176:BD176)))</f>
        <v>0</v>
      </c>
      <c r="BK176" s="27" t="n">
        <f aca="false">MIN(AO175*(1+H$8),MAX(BA176,$B$12-SUM(BE176:BJ176)-SUM(BB176:BD176)))</f>
        <v>0</v>
      </c>
      <c r="BL176" s="27" t="n">
        <f aca="false">MIN(AP175*(1+I$8),MAX(BB176,$B$12-SUM(BE176:BK176)-SUM(BC176:BD176)))</f>
        <v>0</v>
      </c>
      <c r="BM176" s="27" t="n">
        <f aca="false">MIN(AQ175*(1+J$8),MAX(BC176,$B$12-SUM(BE176:BL176)-SUM(BD176:BD176)))</f>
        <v>0</v>
      </c>
      <c r="BN176" s="27" t="n">
        <f aca="false">MIN(AR175*(1+K$8),MAX(BD176,$B$12-SUM(BE176:BM176)))</f>
        <v>0</v>
      </c>
    </row>
    <row r="177" customFormat="false" ht="15" hidden="false" customHeight="false" outlineLevel="0" collapsed="false">
      <c r="A177" s="0" t="n">
        <v>163</v>
      </c>
      <c r="B177" s="27" t="n">
        <f aca="false">ROUND(MAX(0,B176*(1+B$8)-X177),2)</f>
        <v>0</v>
      </c>
      <c r="C177" s="27" t="n">
        <f aca="false">ROUND(MAX(0,C176*(1+C$8)-Y177),2)</f>
        <v>0</v>
      </c>
      <c r="D177" s="27" t="n">
        <f aca="false">ROUND(MAX(0,D176*(1+D$8)-Z177),2)</f>
        <v>0</v>
      </c>
      <c r="E177" s="27" t="n">
        <f aca="false">ROUND(MAX(0,E176*(1+E$8)-AA177),2)</f>
        <v>0</v>
      </c>
      <c r="F177" s="27" t="n">
        <f aca="false">ROUND(MAX(0,F176*(1+F$8)-AB177),2)</f>
        <v>0</v>
      </c>
      <c r="G177" s="27" t="n">
        <f aca="false">ROUND(MAX(0,G176*(1+G$8)-AC177),2)</f>
        <v>0</v>
      </c>
      <c r="H177" s="27" t="n">
        <f aca="false">ROUND(MAX(0,H176*(1+H$8)-AD177),2)</f>
        <v>0</v>
      </c>
      <c r="I177" s="27" t="n">
        <f aca="false">ROUND(MAX(0,I176*(1+I$8)-AE177),2)</f>
        <v>0</v>
      </c>
      <c r="J177" s="27" t="n">
        <f aca="false">ROUND(MAX(0,J176*(1+J$8)-AF177),2)</f>
        <v>0</v>
      </c>
      <c r="K177" s="27" t="n">
        <f aca="false">ROUND(MAX(0,K176*(1+K$8)-AG177),2)</f>
        <v>0</v>
      </c>
      <c r="L177" s="30" t="n">
        <f aca="false">SUM(B177:K177)</f>
        <v>0</v>
      </c>
      <c r="M177" s="27" t="n">
        <f aca="false">SUMPRODUCT(B176:K176,$B$8:$K$8)</f>
        <v>0</v>
      </c>
      <c r="N177" s="27" t="n">
        <f aca="false">MIN(B176*(1+B$8),B$9)</f>
        <v>0</v>
      </c>
      <c r="O177" s="27" t="n">
        <f aca="false">MIN(C176*(1+C$8),C$9)</f>
        <v>0</v>
      </c>
      <c r="P177" s="27" t="n">
        <f aca="false">MIN(D176*(1+D$8),D$9)</f>
        <v>0</v>
      </c>
      <c r="Q177" s="27" t="n">
        <f aca="false">MIN(E176*(1+E$8),E$9)</f>
        <v>0</v>
      </c>
      <c r="R177" s="27" t="n">
        <f aca="false">MIN(F176*(1+F$8),F$9)</f>
        <v>0</v>
      </c>
      <c r="S177" s="27" t="n">
        <f aca="false">MIN(G176*(1+G$8),G$9)</f>
        <v>0</v>
      </c>
      <c r="T177" s="27" t="n">
        <f aca="false">MIN(H176*(1+H$8),H$9)</f>
        <v>0</v>
      </c>
      <c r="U177" s="27" t="n">
        <f aca="false">MIN(I176*(1+I$8),I$9)</f>
        <v>0</v>
      </c>
      <c r="V177" s="27" t="n">
        <f aca="false">MIN(J176*(1+J$8),J$9)</f>
        <v>0</v>
      </c>
      <c r="W177" s="27" t="n">
        <f aca="false">MIN(K176*(1+K$8),K$9)</f>
        <v>0</v>
      </c>
      <c r="X177" s="27" t="n">
        <f aca="false">MIN(B176*(1+B$8),MAX(N177,$B$11-SUM(O177:W177)))</f>
        <v>0</v>
      </c>
      <c r="Y177" s="27" t="n">
        <f aca="false">MIN(C176*(1+C$8),MAX(O177,$B$11-SUM(X177:X177)-SUM(P177:W177)))</f>
        <v>0</v>
      </c>
      <c r="Z177" s="27" t="n">
        <f aca="false">MIN(D176*(1+D$8),MAX(P177,$B$11-SUM(X177:Y177)-SUM(Q177:W177)))</f>
        <v>0</v>
      </c>
      <c r="AA177" s="27" t="n">
        <f aca="false">MIN(E176*(1+E$8),MAX(Q177,$B$11-SUM(X177:Z177)-SUM(R177:W177)))</f>
        <v>0</v>
      </c>
      <c r="AB177" s="27" t="n">
        <f aca="false">MIN(F176*(1+F$8),MAX(R177,$B$11-SUM(X177:AA177)-SUM(S177:W177)))</f>
        <v>0</v>
      </c>
      <c r="AC177" s="27" t="n">
        <f aca="false">MIN(G176*(1+G$8),MAX(S177,$B$11-SUM(X177:AB177)-SUM(T177:W177)))</f>
        <v>0</v>
      </c>
      <c r="AD177" s="27" t="n">
        <f aca="false">MIN(H176*(1+H$8),MAX(T177,$B$11-SUM(X177:AC177)-SUM(U177:W177)))</f>
        <v>0</v>
      </c>
      <c r="AE177" s="27" t="n">
        <f aca="false">MIN(I176*(1+I$8),MAX(U177,$B$11-SUM(X177:AD177)-SUM(V177:W177)))</f>
        <v>0</v>
      </c>
      <c r="AF177" s="27" t="n">
        <f aca="false">MIN(J176*(1+J$8),MAX(V177,$B$11-SUM(X177:AE177)-SUM(W177:W177)))</f>
        <v>0</v>
      </c>
      <c r="AG177" s="27" t="n">
        <f aca="false">MIN(K176*(1+K$8),MAX(W177,$B$11-SUM(X177:AF177)))</f>
        <v>0</v>
      </c>
      <c r="AI177" s="27" t="n">
        <f aca="false">ROUND(MAX(0,AI176*(1+B$8)-BE177),2)</f>
        <v>0</v>
      </c>
      <c r="AJ177" s="27" t="n">
        <f aca="false">ROUND(MAX(0,AJ176*(1+C$8)-BF177),2)</f>
        <v>0</v>
      </c>
      <c r="AK177" s="27" t="n">
        <f aca="false">ROUND(MAX(0,AK176*(1+D$8)-BG177),2)</f>
        <v>0</v>
      </c>
      <c r="AL177" s="27" t="n">
        <f aca="false">ROUND(MAX(0,AL176*(1+E$8)-BH177),2)</f>
        <v>0</v>
      </c>
      <c r="AM177" s="27" t="n">
        <f aca="false">ROUND(MAX(0,AM176*(1+F$8)-BI177),2)</f>
        <v>0</v>
      </c>
      <c r="AN177" s="27" t="n">
        <f aca="false">ROUND(MAX(0,AN176*(1+G$8)-BJ177),2)</f>
        <v>0</v>
      </c>
      <c r="AO177" s="27" t="n">
        <f aca="false">ROUND(MAX(0,AO176*(1+H$8)-BK177),2)</f>
        <v>0</v>
      </c>
      <c r="AP177" s="27" t="n">
        <f aca="false">ROUND(MAX(0,AP176*(1+I$8)-BL177),2)</f>
        <v>0</v>
      </c>
      <c r="AQ177" s="27" t="n">
        <f aca="false">ROUND(MAX(0,AQ176*(1+J$8)-BM177),2)</f>
        <v>0</v>
      </c>
      <c r="AR177" s="27" t="n">
        <f aca="false">ROUND(MAX(0,AR176*(1+K$8)-BN177),2)</f>
        <v>0</v>
      </c>
      <c r="AS177" s="27" t="n">
        <f aca="false">SUM(AI177:AR177)</f>
        <v>0</v>
      </c>
      <c r="AT177" s="27" t="n">
        <f aca="false">SUMPRODUCT(AI176:AR176,$B$8:$K$8)</f>
        <v>0</v>
      </c>
      <c r="AU177" s="27" t="n">
        <f aca="false">MIN(AI176*(1+B$8),B$9)</f>
        <v>0</v>
      </c>
      <c r="AV177" s="27" t="n">
        <f aca="false">MIN(AJ176*(1+C$8),C$9)</f>
        <v>0</v>
      </c>
      <c r="AW177" s="27" t="n">
        <f aca="false">MIN(AK176*(1+D$8),D$9)</f>
        <v>0</v>
      </c>
      <c r="AX177" s="27" t="n">
        <f aca="false">MIN(AL176*(1+E$8),E$9)</f>
        <v>0</v>
      </c>
      <c r="AY177" s="27" t="n">
        <f aca="false">MIN(AM176*(1+F$8),F$9)</f>
        <v>0</v>
      </c>
      <c r="AZ177" s="27" t="n">
        <f aca="false">MIN(AN176*(1+G$8),G$9)</f>
        <v>0</v>
      </c>
      <c r="BA177" s="27" t="n">
        <f aca="false">MIN(AO176*(1+H$8),H$9)</f>
        <v>0</v>
      </c>
      <c r="BB177" s="27" t="n">
        <f aca="false">MIN(AP176*(1+I$8),I$9)</f>
        <v>0</v>
      </c>
      <c r="BC177" s="27" t="n">
        <f aca="false">MIN(AQ176*(1+J$8),J$9)</f>
        <v>0</v>
      </c>
      <c r="BD177" s="27" t="n">
        <f aca="false">MIN(AR176*(1+K$8),K$9)</f>
        <v>0</v>
      </c>
      <c r="BE177" s="27" t="n">
        <f aca="false">MIN(AI176*(1+B$8),MAX(AU177,$B$12-SUM(AV177:BD177)))</f>
        <v>0</v>
      </c>
      <c r="BF177" s="27" t="n">
        <f aca="false">MIN(AJ176*(1+C$8),MAX(AV177,$B$12-SUM(BE177:BE177)-SUM(AW177:BD177)))</f>
        <v>0</v>
      </c>
      <c r="BG177" s="27" t="n">
        <f aca="false">MIN(AK176*(1+D$8),MAX(AW177,$B$12-SUM(BE177:BF177)-SUM(AX177:BD177)))</f>
        <v>0</v>
      </c>
      <c r="BH177" s="27" t="n">
        <f aca="false">MIN(AL176*(1+E$8),MAX(AX177,$B$12-SUM(BE177:BG177)-SUM(AY177:BD177)))</f>
        <v>0</v>
      </c>
      <c r="BI177" s="27" t="n">
        <f aca="false">MIN(AM176*(1+F$8),MAX(AY177,$B$12-SUM(BE177:BH177)-SUM(AZ177:BD177)))</f>
        <v>0</v>
      </c>
      <c r="BJ177" s="27" t="n">
        <f aca="false">MIN(AN176*(1+G$8),MAX(AZ177,$B$12-SUM(BE177:BI177)-SUM(BA177:BD177)))</f>
        <v>0</v>
      </c>
      <c r="BK177" s="27" t="n">
        <f aca="false">MIN(AO176*(1+H$8),MAX(BA177,$B$12-SUM(BE177:BJ177)-SUM(BB177:BD177)))</f>
        <v>0</v>
      </c>
      <c r="BL177" s="27" t="n">
        <f aca="false">MIN(AP176*(1+I$8),MAX(BB177,$B$12-SUM(BE177:BK177)-SUM(BC177:BD177)))</f>
        <v>0</v>
      </c>
      <c r="BM177" s="27" t="n">
        <f aca="false">MIN(AQ176*(1+J$8),MAX(BC177,$B$12-SUM(BE177:BL177)-SUM(BD177:BD177)))</f>
        <v>0</v>
      </c>
      <c r="BN177" s="27" t="n">
        <f aca="false">MIN(AR176*(1+K$8),MAX(BD177,$B$12-SUM(BE177:BM177)))</f>
        <v>0</v>
      </c>
    </row>
    <row r="178" customFormat="false" ht="15" hidden="false" customHeight="false" outlineLevel="0" collapsed="false">
      <c r="A178" s="0" t="n">
        <v>164</v>
      </c>
      <c r="B178" s="27" t="n">
        <f aca="false">ROUND(MAX(0,B177*(1+B$8)-X178),2)</f>
        <v>0</v>
      </c>
      <c r="C178" s="27" t="n">
        <f aca="false">ROUND(MAX(0,C177*(1+C$8)-Y178),2)</f>
        <v>0</v>
      </c>
      <c r="D178" s="27" t="n">
        <f aca="false">ROUND(MAX(0,D177*(1+D$8)-Z178),2)</f>
        <v>0</v>
      </c>
      <c r="E178" s="27" t="n">
        <f aca="false">ROUND(MAX(0,E177*(1+E$8)-AA178),2)</f>
        <v>0</v>
      </c>
      <c r="F178" s="27" t="n">
        <f aca="false">ROUND(MAX(0,F177*(1+F$8)-AB178),2)</f>
        <v>0</v>
      </c>
      <c r="G178" s="27" t="n">
        <f aca="false">ROUND(MAX(0,G177*(1+G$8)-AC178),2)</f>
        <v>0</v>
      </c>
      <c r="H178" s="27" t="n">
        <f aca="false">ROUND(MAX(0,H177*(1+H$8)-AD178),2)</f>
        <v>0</v>
      </c>
      <c r="I178" s="27" t="n">
        <f aca="false">ROUND(MAX(0,I177*(1+I$8)-AE178),2)</f>
        <v>0</v>
      </c>
      <c r="J178" s="27" t="n">
        <f aca="false">ROUND(MAX(0,J177*(1+J$8)-AF178),2)</f>
        <v>0</v>
      </c>
      <c r="K178" s="27" t="n">
        <f aca="false">ROUND(MAX(0,K177*(1+K$8)-AG178),2)</f>
        <v>0</v>
      </c>
      <c r="L178" s="30" t="n">
        <f aca="false">SUM(B178:K178)</f>
        <v>0</v>
      </c>
      <c r="M178" s="27" t="n">
        <f aca="false">SUMPRODUCT(B177:K177,$B$8:$K$8)</f>
        <v>0</v>
      </c>
      <c r="N178" s="27" t="n">
        <f aca="false">MIN(B177*(1+B$8),B$9)</f>
        <v>0</v>
      </c>
      <c r="O178" s="27" t="n">
        <f aca="false">MIN(C177*(1+C$8),C$9)</f>
        <v>0</v>
      </c>
      <c r="P178" s="27" t="n">
        <f aca="false">MIN(D177*(1+D$8),D$9)</f>
        <v>0</v>
      </c>
      <c r="Q178" s="27" t="n">
        <f aca="false">MIN(E177*(1+E$8),E$9)</f>
        <v>0</v>
      </c>
      <c r="R178" s="27" t="n">
        <f aca="false">MIN(F177*(1+F$8),F$9)</f>
        <v>0</v>
      </c>
      <c r="S178" s="27" t="n">
        <f aca="false">MIN(G177*(1+G$8),G$9)</f>
        <v>0</v>
      </c>
      <c r="T178" s="27" t="n">
        <f aca="false">MIN(H177*(1+H$8),H$9)</f>
        <v>0</v>
      </c>
      <c r="U178" s="27" t="n">
        <f aca="false">MIN(I177*(1+I$8),I$9)</f>
        <v>0</v>
      </c>
      <c r="V178" s="27" t="n">
        <f aca="false">MIN(J177*(1+J$8),J$9)</f>
        <v>0</v>
      </c>
      <c r="W178" s="27" t="n">
        <f aca="false">MIN(K177*(1+K$8),K$9)</f>
        <v>0</v>
      </c>
      <c r="X178" s="27" t="n">
        <f aca="false">MIN(B177*(1+B$8),MAX(N178,$B$11-SUM(O178:W178)))</f>
        <v>0</v>
      </c>
      <c r="Y178" s="27" t="n">
        <f aca="false">MIN(C177*(1+C$8),MAX(O178,$B$11-SUM(X178:X178)-SUM(P178:W178)))</f>
        <v>0</v>
      </c>
      <c r="Z178" s="27" t="n">
        <f aca="false">MIN(D177*(1+D$8),MAX(P178,$B$11-SUM(X178:Y178)-SUM(Q178:W178)))</f>
        <v>0</v>
      </c>
      <c r="AA178" s="27" t="n">
        <f aca="false">MIN(E177*(1+E$8),MAX(Q178,$B$11-SUM(X178:Z178)-SUM(R178:W178)))</f>
        <v>0</v>
      </c>
      <c r="AB178" s="27" t="n">
        <f aca="false">MIN(F177*(1+F$8),MAX(R178,$B$11-SUM(X178:AA178)-SUM(S178:W178)))</f>
        <v>0</v>
      </c>
      <c r="AC178" s="27" t="n">
        <f aca="false">MIN(G177*(1+G$8),MAX(S178,$B$11-SUM(X178:AB178)-SUM(T178:W178)))</f>
        <v>0</v>
      </c>
      <c r="AD178" s="27" t="n">
        <f aca="false">MIN(H177*(1+H$8),MAX(T178,$B$11-SUM(X178:AC178)-SUM(U178:W178)))</f>
        <v>0</v>
      </c>
      <c r="AE178" s="27" t="n">
        <f aca="false">MIN(I177*(1+I$8),MAX(U178,$B$11-SUM(X178:AD178)-SUM(V178:W178)))</f>
        <v>0</v>
      </c>
      <c r="AF178" s="27" t="n">
        <f aca="false">MIN(J177*(1+J$8),MAX(V178,$B$11-SUM(X178:AE178)-SUM(W178:W178)))</f>
        <v>0</v>
      </c>
      <c r="AG178" s="27" t="n">
        <f aca="false">MIN(K177*(1+K$8),MAX(W178,$B$11-SUM(X178:AF178)))</f>
        <v>0</v>
      </c>
      <c r="AI178" s="27" t="n">
        <f aca="false">ROUND(MAX(0,AI177*(1+B$8)-BE178),2)</f>
        <v>0</v>
      </c>
      <c r="AJ178" s="27" t="n">
        <f aca="false">ROUND(MAX(0,AJ177*(1+C$8)-BF178),2)</f>
        <v>0</v>
      </c>
      <c r="AK178" s="27" t="n">
        <f aca="false">ROUND(MAX(0,AK177*(1+D$8)-BG178),2)</f>
        <v>0</v>
      </c>
      <c r="AL178" s="27" t="n">
        <f aca="false">ROUND(MAX(0,AL177*(1+E$8)-BH178),2)</f>
        <v>0</v>
      </c>
      <c r="AM178" s="27" t="n">
        <f aca="false">ROUND(MAX(0,AM177*(1+F$8)-BI178),2)</f>
        <v>0</v>
      </c>
      <c r="AN178" s="27" t="n">
        <f aca="false">ROUND(MAX(0,AN177*(1+G$8)-BJ178),2)</f>
        <v>0</v>
      </c>
      <c r="AO178" s="27" t="n">
        <f aca="false">ROUND(MAX(0,AO177*(1+H$8)-BK178),2)</f>
        <v>0</v>
      </c>
      <c r="AP178" s="27" t="n">
        <f aca="false">ROUND(MAX(0,AP177*(1+I$8)-BL178),2)</f>
        <v>0</v>
      </c>
      <c r="AQ178" s="27" t="n">
        <f aca="false">ROUND(MAX(0,AQ177*(1+J$8)-BM178),2)</f>
        <v>0</v>
      </c>
      <c r="AR178" s="27" t="n">
        <f aca="false">ROUND(MAX(0,AR177*(1+K$8)-BN178),2)</f>
        <v>0</v>
      </c>
      <c r="AS178" s="27" t="n">
        <f aca="false">SUM(AI178:AR178)</f>
        <v>0</v>
      </c>
      <c r="AT178" s="27" t="n">
        <f aca="false">SUMPRODUCT(AI177:AR177,$B$8:$K$8)</f>
        <v>0</v>
      </c>
      <c r="AU178" s="27" t="n">
        <f aca="false">MIN(AI177*(1+B$8),B$9)</f>
        <v>0</v>
      </c>
      <c r="AV178" s="27" t="n">
        <f aca="false">MIN(AJ177*(1+C$8),C$9)</f>
        <v>0</v>
      </c>
      <c r="AW178" s="27" t="n">
        <f aca="false">MIN(AK177*(1+D$8),D$9)</f>
        <v>0</v>
      </c>
      <c r="AX178" s="27" t="n">
        <f aca="false">MIN(AL177*(1+E$8),E$9)</f>
        <v>0</v>
      </c>
      <c r="AY178" s="27" t="n">
        <f aca="false">MIN(AM177*(1+F$8),F$9)</f>
        <v>0</v>
      </c>
      <c r="AZ178" s="27" t="n">
        <f aca="false">MIN(AN177*(1+G$8),G$9)</f>
        <v>0</v>
      </c>
      <c r="BA178" s="27" t="n">
        <f aca="false">MIN(AO177*(1+H$8),H$9)</f>
        <v>0</v>
      </c>
      <c r="BB178" s="27" t="n">
        <f aca="false">MIN(AP177*(1+I$8),I$9)</f>
        <v>0</v>
      </c>
      <c r="BC178" s="27" t="n">
        <f aca="false">MIN(AQ177*(1+J$8),J$9)</f>
        <v>0</v>
      </c>
      <c r="BD178" s="27" t="n">
        <f aca="false">MIN(AR177*(1+K$8),K$9)</f>
        <v>0</v>
      </c>
      <c r="BE178" s="27" t="n">
        <f aca="false">MIN(AI177*(1+B$8),MAX(AU178,$B$12-SUM(AV178:BD178)))</f>
        <v>0</v>
      </c>
      <c r="BF178" s="27" t="n">
        <f aca="false">MIN(AJ177*(1+C$8),MAX(AV178,$B$12-SUM(BE178:BE178)-SUM(AW178:BD178)))</f>
        <v>0</v>
      </c>
      <c r="BG178" s="27" t="n">
        <f aca="false">MIN(AK177*(1+D$8),MAX(AW178,$B$12-SUM(BE178:BF178)-SUM(AX178:BD178)))</f>
        <v>0</v>
      </c>
      <c r="BH178" s="27" t="n">
        <f aca="false">MIN(AL177*(1+E$8),MAX(AX178,$B$12-SUM(BE178:BG178)-SUM(AY178:BD178)))</f>
        <v>0</v>
      </c>
      <c r="BI178" s="27" t="n">
        <f aca="false">MIN(AM177*(1+F$8),MAX(AY178,$B$12-SUM(BE178:BH178)-SUM(AZ178:BD178)))</f>
        <v>0</v>
      </c>
      <c r="BJ178" s="27" t="n">
        <f aca="false">MIN(AN177*(1+G$8),MAX(AZ178,$B$12-SUM(BE178:BI178)-SUM(BA178:BD178)))</f>
        <v>0</v>
      </c>
      <c r="BK178" s="27" t="n">
        <f aca="false">MIN(AO177*(1+H$8),MAX(BA178,$B$12-SUM(BE178:BJ178)-SUM(BB178:BD178)))</f>
        <v>0</v>
      </c>
      <c r="BL178" s="27" t="n">
        <f aca="false">MIN(AP177*(1+I$8),MAX(BB178,$B$12-SUM(BE178:BK178)-SUM(BC178:BD178)))</f>
        <v>0</v>
      </c>
      <c r="BM178" s="27" t="n">
        <f aca="false">MIN(AQ177*(1+J$8),MAX(BC178,$B$12-SUM(BE178:BL178)-SUM(BD178:BD178)))</f>
        <v>0</v>
      </c>
      <c r="BN178" s="27" t="n">
        <f aca="false">MIN(AR177*(1+K$8),MAX(BD178,$B$12-SUM(BE178:BM178)))</f>
        <v>0</v>
      </c>
    </row>
    <row r="179" customFormat="false" ht="15" hidden="false" customHeight="false" outlineLevel="0" collapsed="false">
      <c r="A179" s="0" t="n">
        <v>165</v>
      </c>
      <c r="B179" s="27" t="n">
        <f aca="false">ROUND(MAX(0,B178*(1+B$8)-X179),2)</f>
        <v>0</v>
      </c>
      <c r="C179" s="27" t="n">
        <f aca="false">ROUND(MAX(0,C178*(1+C$8)-Y179),2)</f>
        <v>0</v>
      </c>
      <c r="D179" s="27" t="n">
        <f aca="false">ROUND(MAX(0,D178*(1+D$8)-Z179),2)</f>
        <v>0</v>
      </c>
      <c r="E179" s="27" t="n">
        <f aca="false">ROUND(MAX(0,E178*(1+E$8)-AA179),2)</f>
        <v>0</v>
      </c>
      <c r="F179" s="27" t="n">
        <f aca="false">ROUND(MAX(0,F178*(1+F$8)-AB179),2)</f>
        <v>0</v>
      </c>
      <c r="G179" s="27" t="n">
        <f aca="false">ROUND(MAX(0,G178*(1+G$8)-AC179),2)</f>
        <v>0</v>
      </c>
      <c r="H179" s="27" t="n">
        <f aca="false">ROUND(MAX(0,H178*(1+H$8)-AD179),2)</f>
        <v>0</v>
      </c>
      <c r="I179" s="27" t="n">
        <f aca="false">ROUND(MAX(0,I178*(1+I$8)-AE179),2)</f>
        <v>0</v>
      </c>
      <c r="J179" s="27" t="n">
        <f aca="false">ROUND(MAX(0,J178*(1+J$8)-AF179),2)</f>
        <v>0</v>
      </c>
      <c r="K179" s="27" t="n">
        <f aca="false">ROUND(MAX(0,K178*(1+K$8)-AG179),2)</f>
        <v>0</v>
      </c>
      <c r="L179" s="30" t="n">
        <f aca="false">SUM(B179:K179)</f>
        <v>0</v>
      </c>
      <c r="M179" s="27" t="n">
        <f aca="false">SUMPRODUCT(B178:K178,$B$8:$K$8)</f>
        <v>0</v>
      </c>
      <c r="N179" s="27" t="n">
        <f aca="false">MIN(B178*(1+B$8),B$9)</f>
        <v>0</v>
      </c>
      <c r="O179" s="27" t="n">
        <f aca="false">MIN(C178*(1+C$8),C$9)</f>
        <v>0</v>
      </c>
      <c r="P179" s="27" t="n">
        <f aca="false">MIN(D178*(1+D$8),D$9)</f>
        <v>0</v>
      </c>
      <c r="Q179" s="27" t="n">
        <f aca="false">MIN(E178*(1+E$8),E$9)</f>
        <v>0</v>
      </c>
      <c r="R179" s="27" t="n">
        <f aca="false">MIN(F178*(1+F$8),F$9)</f>
        <v>0</v>
      </c>
      <c r="S179" s="27" t="n">
        <f aca="false">MIN(G178*(1+G$8),G$9)</f>
        <v>0</v>
      </c>
      <c r="T179" s="27" t="n">
        <f aca="false">MIN(H178*(1+H$8),H$9)</f>
        <v>0</v>
      </c>
      <c r="U179" s="27" t="n">
        <f aca="false">MIN(I178*(1+I$8),I$9)</f>
        <v>0</v>
      </c>
      <c r="V179" s="27" t="n">
        <f aca="false">MIN(J178*(1+J$8),J$9)</f>
        <v>0</v>
      </c>
      <c r="W179" s="27" t="n">
        <f aca="false">MIN(K178*(1+K$8),K$9)</f>
        <v>0</v>
      </c>
      <c r="X179" s="27" t="n">
        <f aca="false">MIN(B178*(1+B$8),MAX(N179,$B$11-SUM(O179:W179)))</f>
        <v>0</v>
      </c>
      <c r="Y179" s="27" t="n">
        <f aca="false">MIN(C178*(1+C$8),MAX(O179,$B$11-SUM(X179:X179)-SUM(P179:W179)))</f>
        <v>0</v>
      </c>
      <c r="Z179" s="27" t="n">
        <f aca="false">MIN(D178*(1+D$8),MAX(P179,$B$11-SUM(X179:Y179)-SUM(Q179:W179)))</f>
        <v>0</v>
      </c>
      <c r="AA179" s="27" t="n">
        <f aca="false">MIN(E178*(1+E$8),MAX(Q179,$B$11-SUM(X179:Z179)-SUM(R179:W179)))</f>
        <v>0</v>
      </c>
      <c r="AB179" s="27" t="n">
        <f aca="false">MIN(F178*(1+F$8),MAX(R179,$B$11-SUM(X179:AA179)-SUM(S179:W179)))</f>
        <v>0</v>
      </c>
      <c r="AC179" s="27" t="n">
        <f aca="false">MIN(G178*(1+G$8),MAX(S179,$B$11-SUM(X179:AB179)-SUM(T179:W179)))</f>
        <v>0</v>
      </c>
      <c r="AD179" s="27" t="n">
        <f aca="false">MIN(H178*(1+H$8),MAX(T179,$B$11-SUM(X179:AC179)-SUM(U179:W179)))</f>
        <v>0</v>
      </c>
      <c r="AE179" s="27" t="n">
        <f aca="false">MIN(I178*(1+I$8),MAX(U179,$B$11-SUM(X179:AD179)-SUM(V179:W179)))</f>
        <v>0</v>
      </c>
      <c r="AF179" s="27" t="n">
        <f aca="false">MIN(J178*(1+J$8),MAX(V179,$B$11-SUM(X179:AE179)-SUM(W179:W179)))</f>
        <v>0</v>
      </c>
      <c r="AG179" s="27" t="n">
        <f aca="false">MIN(K178*(1+K$8),MAX(W179,$B$11-SUM(X179:AF179)))</f>
        <v>0</v>
      </c>
      <c r="AI179" s="27" t="n">
        <f aca="false">ROUND(MAX(0,AI178*(1+B$8)-BE179),2)</f>
        <v>0</v>
      </c>
      <c r="AJ179" s="27" t="n">
        <f aca="false">ROUND(MAX(0,AJ178*(1+C$8)-BF179),2)</f>
        <v>0</v>
      </c>
      <c r="AK179" s="27" t="n">
        <f aca="false">ROUND(MAX(0,AK178*(1+D$8)-BG179),2)</f>
        <v>0</v>
      </c>
      <c r="AL179" s="27" t="n">
        <f aca="false">ROUND(MAX(0,AL178*(1+E$8)-BH179),2)</f>
        <v>0</v>
      </c>
      <c r="AM179" s="27" t="n">
        <f aca="false">ROUND(MAX(0,AM178*(1+F$8)-BI179),2)</f>
        <v>0</v>
      </c>
      <c r="AN179" s="27" t="n">
        <f aca="false">ROUND(MAX(0,AN178*(1+G$8)-BJ179),2)</f>
        <v>0</v>
      </c>
      <c r="AO179" s="27" t="n">
        <f aca="false">ROUND(MAX(0,AO178*(1+H$8)-BK179),2)</f>
        <v>0</v>
      </c>
      <c r="AP179" s="27" t="n">
        <f aca="false">ROUND(MAX(0,AP178*(1+I$8)-BL179),2)</f>
        <v>0</v>
      </c>
      <c r="AQ179" s="27" t="n">
        <f aca="false">ROUND(MAX(0,AQ178*(1+J$8)-BM179),2)</f>
        <v>0</v>
      </c>
      <c r="AR179" s="27" t="n">
        <f aca="false">ROUND(MAX(0,AR178*(1+K$8)-BN179),2)</f>
        <v>0</v>
      </c>
      <c r="AS179" s="27" t="n">
        <f aca="false">SUM(AI179:AR179)</f>
        <v>0</v>
      </c>
      <c r="AT179" s="27" t="n">
        <f aca="false">SUMPRODUCT(AI178:AR178,$B$8:$K$8)</f>
        <v>0</v>
      </c>
      <c r="AU179" s="27" t="n">
        <f aca="false">MIN(AI178*(1+B$8),B$9)</f>
        <v>0</v>
      </c>
      <c r="AV179" s="27" t="n">
        <f aca="false">MIN(AJ178*(1+C$8),C$9)</f>
        <v>0</v>
      </c>
      <c r="AW179" s="27" t="n">
        <f aca="false">MIN(AK178*(1+D$8),D$9)</f>
        <v>0</v>
      </c>
      <c r="AX179" s="27" t="n">
        <f aca="false">MIN(AL178*(1+E$8),E$9)</f>
        <v>0</v>
      </c>
      <c r="AY179" s="27" t="n">
        <f aca="false">MIN(AM178*(1+F$8),F$9)</f>
        <v>0</v>
      </c>
      <c r="AZ179" s="27" t="n">
        <f aca="false">MIN(AN178*(1+G$8),G$9)</f>
        <v>0</v>
      </c>
      <c r="BA179" s="27" t="n">
        <f aca="false">MIN(AO178*(1+H$8),H$9)</f>
        <v>0</v>
      </c>
      <c r="BB179" s="27" t="n">
        <f aca="false">MIN(AP178*(1+I$8),I$9)</f>
        <v>0</v>
      </c>
      <c r="BC179" s="27" t="n">
        <f aca="false">MIN(AQ178*(1+J$8),J$9)</f>
        <v>0</v>
      </c>
      <c r="BD179" s="27" t="n">
        <f aca="false">MIN(AR178*(1+K$8),K$9)</f>
        <v>0</v>
      </c>
      <c r="BE179" s="27" t="n">
        <f aca="false">MIN(AI178*(1+B$8),MAX(AU179,$B$12-SUM(AV179:BD179)))</f>
        <v>0</v>
      </c>
      <c r="BF179" s="27" t="n">
        <f aca="false">MIN(AJ178*(1+C$8),MAX(AV179,$B$12-SUM(BE179:BE179)-SUM(AW179:BD179)))</f>
        <v>0</v>
      </c>
      <c r="BG179" s="27" t="n">
        <f aca="false">MIN(AK178*(1+D$8),MAX(AW179,$B$12-SUM(BE179:BF179)-SUM(AX179:BD179)))</f>
        <v>0</v>
      </c>
      <c r="BH179" s="27" t="n">
        <f aca="false">MIN(AL178*(1+E$8),MAX(AX179,$B$12-SUM(BE179:BG179)-SUM(AY179:BD179)))</f>
        <v>0</v>
      </c>
      <c r="BI179" s="27" t="n">
        <f aca="false">MIN(AM178*(1+F$8),MAX(AY179,$B$12-SUM(BE179:BH179)-SUM(AZ179:BD179)))</f>
        <v>0</v>
      </c>
      <c r="BJ179" s="27" t="n">
        <f aca="false">MIN(AN178*(1+G$8),MAX(AZ179,$B$12-SUM(BE179:BI179)-SUM(BA179:BD179)))</f>
        <v>0</v>
      </c>
      <c r="BK179" s="27" t="n">
        <f aca="false">MIN(AO178*(1+H$8),MAX(BA179,$B$12-SUM(BE179:BJ179)-SUM(BB179:BD179)))</f>
        <v>0</v>
      </c>
      <c r="BL179" s="27" t="n">
        <f aca="false">MIN(AP178*(1+I$8),MAX(BB179,$B$12-SUM(BE179:BK179)-SUM(BC179:BD179)))</f>
        <v>0</v>
      </c>
      <c r="BM179" s="27" t="n">
        <f aca="false">MIN(AQ178*(1+J$8),MAX(BC179,$B$12-SUM(BE179:BL179)-SUM(BD179:BD179)))</f>
        <v>0</v>
      </c>
      <c r="BN179" s="27" t="n">
        <f aca="false">MIN(AR178*(1+K$8),MAX(BD179,$B$12-SUM(BE179:BM179)))</f>
        <v>0</v>
      </c>
    </row>
    <row r="180" customFormat="false" ht="15" hidden="false" customHeight="false" outlineLevel="0" collapsed="false">
      <c r="A180" s="0" t="n">
        <v>166</v>
      </c>
      <c r="B180" s="27" t="n">
        <f aca="false">ROUND(MAX(0,B179*(1+B$8)-X180),2)</f>
        <v>0</v>
      </c>
      <c r="C180" s="27" t="n">
        <f aca="false">ROUND(MAX(0,C179*(1+C$8)-Y180),2)</f>
        <v>0</v>
      </c>
      <c r="D180" s="27" t="n">
        <f aca="false">ROUND(MAX(0,D179*(1+D$8)-Z180),2)</f>
        <v>0</v>
      </c>
      <c r="E180" s="27" t="n">
        <f aca="false">ROUND(MAX(0,E179*(1+E$8)-AA180),2)</f>
        <v>0</v>
      </c>
      <c r="F180" s="27" t="n">
        <f aca="false">ROUND(MAX(0,F179*(1+F$8)-AB180),2)</f>
        <v>0</v>
      </c>
      <c r="G180" s="27" t="n">
        <f aca="false">ROUND(MAX(0,G179*(1+G$8)-AC180),2)</f>
        <v>0</v>
      </c>
      <c r="H180" s="27" t="n">
        <f aca="false">ROUND(MAX(0,H179*(1+H$8)-AD180),2)</f>
        <v>0</v>
      </c>
      <c r="I180" s="27" t="n">
        <f aca="false">ROUND(MAX(0,I179*(1+I$8)-AE180),2)</f>
        <v>0</v>
      </c>
      <c r="J180" s="27" t="n">
        <f aca="false">ROUND(MAX(0,J179*(1+J$8)-AF180),2)</f>
        <v>0</v>
      </c>
      <c r="K180" s="27" t="n">
        <f aca="false">ROUND(MAX(0,K179*(1+K$8)-AG180),2)</f>
        <v>0</v>
      </c>
      <c r="L180" s="30" t="n">
        <f aca="false">SUM(B180:K180)</f>
        <v>0</v>
      </c>
      <c r="M180" s="27" t="n">
        <f aca="false">SUMPRODUCT(B179:K179,$B$8:$K$8)</f>
        <v>0</v>
      </c>
      <c r="N180" s="27" t="n">
        <f aca="false">MIN(B179*(1+B$8),B$9)</f>
        <v>0</v>
      </c>
      <c r="O180" s="27" t="n">
        <f aca="false">MIN(C179*(1+C$8),C$9)</f>
        <v>0</v>
      </c>
      <c r="P180" s="27" t="n">
        <f aca="false">MIN(D179*(1+D$8),D$9)</f>
        <v>0</v>
      </c>
      <c r="Q180" s="27" t="n">
        <f aca="false">MIN(E179*(1+E$8),E$9)</f>
        <v>0</v>
      </c>
      <c r="R180" s="27" t="n">
        <f aca="false">MIN(F179*(1+F$8),F$9)</f>
        <v>0</v>
      </c>
      <c r="S180" s="27" t="n">
        <f aca="false">MIN(G179*(1+G$8),G$9)</f>
        <v>0</v>
      </c>
      <c r="T180" s="27" t="n">
        <f aca="false">MIN(H179*(1+H$8),H$9)</f>
        <v>0</v>
      </c>
      <c r="U180" s="27" t="n">
        <f aca="false">MIN(I179*(1+I$8),I$9)</f>
        <v>0</v>
      </c>
      <c r="V180" s="27" t="n">
        <f aca="false">MIN(J179*(1+J$8),J$9)</f>
        <v>0</v>
      </c>
      <c r="W180" s="27" t="n">
        <f aca="false">MIN(K179*(1+K$8),K$9)</f>
        <v>0</v>
      </c>
      <c r="X180" s="27" t="n">
        <f aca="false">MIN(B179*(1+B$8),MAX(N180,$B$11-SUM(O180:W180)))</f>
        <v>0</v>
      </c>
      <c r="Y180" s="27" t="n">
        <f aca="false">MIN(C179*(1+C$8),MAX(O180,$B$11-SUM(X180:X180)-SUM(P180:W180)))</f>
        <v>0</v>
      </c>
      <c r="Z180" s="27" t="n">
        <f aca="false">MIN(D179*(1+D$8),MAX(P180,$B$11-SUM(X180:Y180)-SUM(Q180:W180)))</f>
        <v>0</v>
      </c>
      <c r="AA180" s="27" t="n">
        <f aca="false">MIN(E179*(1+E$8),MAX(Q180,$B$11-SUM(X180:Z180)-SUM(R180:W180)))</f>
        <v>0</v>
      </c>
      <c r="AB180" s="27" t="n">
        <f aca="false">MIN(F179*(1+F$8),MAX(R180,$B$11-SUM(X180:AA180)-SUM(S180:W180)))</f>
        <v>0</v>
      </c>
      <c r="AC180" s="27" t="n">
        <f aca="false">MIN(G179*(1+G$8),MAX(S180,$B$11-SUM(X180:AB180)-SUM(T180:W180)))</f>
        <v>0</v>
      </c>
      <c r="AD180" s="27" t="n">
        <f aca="false">MIN(H179*(1+H$8),MAX(T180,$B$11-SUM(X180:AC180)-SUM(U180:W180)))</f>
        <v>0</v>
      </c>
      <c r="AE180" s="27" t="n">
        <f aca="false">MIN(I179*(1+I$8),MAX(U180,$B$11-SUM(X180:AD180)-SUM(V180:W180)))</f>
        <v>0</v>
      </c>
      <c r="AF180" s="27" t="n">
        <f aca="false">MIN(J179*(1+J$8),MAX(V180,$B$11-SUM(X180:AE180)-SUM(W180:W180)))</f>
        <v>0</v>
      </c>
      <c r="AG180" s="27" t="n">
        <f aca="false">MIN(K179*(1+K$8),MAX(W180,$B$11-SUM(X180:AF180)))</f>
        <v>0</v>
      </c>
      <c r="AI180" s="27" t="n">
        <f aca="false">ROUND(MAX(0,AI179*(1+B$8)-BE180),2)</f>
        <v>0</v>
      </c>
      <c r="AJ180" s="27" t="n">
        <f aca="false">ROUND(MAX(0,AJ179*(1+C$8)-BF180),2)</f>
        <v>0</v>
      </c>
      <c r="AK180" s="27" t="n">
        <f aca="false">ROUND(MAX(0,AK179*(1+D$8)-BG180),2)</f>
        <v>0</v>
      </c>
      <c r="AL180" s="27" t="n">
        <f aca="false">ROUND(MAX(0,AL179*(1+E$8)-BH180),2)</f>
        <v>0</v>
      </c>
      <c r="AM180" s="27" t="n">
        <f aca="false">ROUND(MAX(0,AM179*(1+F$8)-BI180),2)</f>
        <v>0</v>
      </c>
      <c r="AN180" s="27" t="n">
        <f aca="false">ROUND(MAX(0,AN179*(1+G$8)-BJ180),2)</f>
        <v>0</v>
      </c>
      <c r="AO180" s="27" t="n">
        <f aca="false">ROUND(MAX(0,AO179*(1+H$8)-BK180),2)</f>
        <v>0</v>
      </c>
      <c r="AP180" s="27" t="n">
        <f aca="false">ROUND(MAX(0,AP179*(1+I$8)-BL180),2)</f>
        <v>0</v>
      </c>
      <c r="AQ180" s="27" t="n">
        <f aca="false">ROUND(MAX(0,AQ179*(1+J$8)-BM180),2)</f>
        <v>0</v>
      </c>
      <c r="AR180" s="27" t="n">
        <f aca="false">ROUND(MAX(0,AR179*(1+K$8)-BN180),2)</f>
        <v>0</v>
      </c>
      <c r="AS180" s="27" t="n">
        <f aca="false">SUM(AI180:AR180)</f>
        <v>0</v>
      </c>
      <c r="AT180" s="27" t="n">
        <f aca="false">SUMPRODUCT(AI179:AR179,$B$8:$K$8)</f>
        <v>0</v>
      </c>
      <c r="AU180" s="27" t="n">
        <f aca="false">MIN(AI179*(1+B$8),B$9)</f>
        <v>0</v>
      </c>
      <c r="AV180" s="27" t="n">
        <f aca="false">MIN(AJ179*(1+C$8),C$9)</f>
        <v>0</v>
      </c>
      <c r="AW180" s="27" t="n">
        <f aca="false">MIN(AK179*(1+D$8),D$9)</f>
        <v>0</v>
      </c>
      <c r="AX180" s="27" t="n">
        <f aca="false">MIN(AL179*(1+E$8),E$9)</f>
        <v>0</v>
      </c>
      <c r="AY180" s="27" t="n">
        <f aca="false">MIN(AM179*(1+F$8),F$9)</f>
        <v>0</v>
      </c>
      <c r="AZ180" s="27" t="n">
        <f aca="false">MIN(AN179*(1+G$8),G$9)</f>
        <v>0</v>
      </c>
      <c r="BA180" s="27" t="n">
        <f aca="false">MIN(AO179*(1+H$8),H$9)</f>
        <v>0</v>
      </c>
      <c r="BB180" s="27" t="n">
        <f aca="false">MIN(AP179*(1+I$8),I$9)</f>
        <v>0</v>
      </c>
      <c r="BC180" s="27" t="n">
        <f aca="false">MIN(AQ179*(1+J$8),J$9)</f>
        <v>0</v>
      </c>
      <c r="BD180" s="27" t="n">
        <f aca="false">MIN(AR179*(1+K$8),K$9)</f>
        <v>0</v>
      </c>
      <c r="BE180" s="27" t="n">
        <f aca="false">MIN(AI179*(1+B$8),MAX(AU180,$B$12-SUM(AV180:BD180)))</f>
        <v>0</v>
      </c>
      <c r="BF180" s="27" t="n">
        <f aca="false">MIN(AJ179*(1+C$8),MAX(AV180,$B$12-SUM(BE180:BE180)-SUM(AW180:BD180)))</f>
        <v>0</v>
      </c>
      <c r="BG180" s="27" t="n">
        <f aca="false">MIN(AK179*(1+D$8),MAX(AW180,$B$12-SUM(BE180:BF180)-SUM(AX180:BD180)))</f>
        <v>0</v>
      </c>
      <c r="BH180" s="27" t="n">
        <f aca="false">MIN(AL179*(1+E$8),MAX(AX180,$B$12-SUM(BE180:BG180)-SUM(AY180:BD180)))</f>
        <v>0</v>
      </c>
      <c r="BI180" s="27" t="n">
        <f aca="false">MIN(AM179*(1+F$8),MAX(AY180,$B$12-SUM(BE180:BH180)-SUM(AZ180:BD180)))</f>
        <v>0</v>
      </c>
      <c r="BJ180" s="27" t="n">
        <f aca="false">MIN(AN179*(1+G$8),MAX(AZ180,$B$12-SUM(BE180:BI180)-SUM(BA180:BD180)))</f>
        <v>0</v>
      </c>
      <c r="BK180" s="27" t="n">
        <f aca="false">MIN(AO179*(1+H$8),MAX(BA180,$B$12-SUM(BE180:BJ180)-SUM(BB180:BD180)))</f>
        <v>0</v>
      </c>
      <c r="BL180" s="27" t="n">
        <f aca="false">MIN(AP179*(1+I$8),MAX(BB180,$B$12-SUM(BE180:BK180)-SUM(BC180:BD180)))</f>
        <v>0</v>
      </c>
      <c r="BM180" s="27" t="n">
        <f aca="false">MIN(AQ179*(1+J$8),MAX(BC180,$B$12-SUM(BE180:BL180)-SUM(BD180:BD180)))</f>
        <v>0</v>
      </c>
      <c r="BN180" s="27" t="n">
        <f aca="false">MIN(AR179*(1+K$8),MAX(BD180,$B$12-SUM(BE180:BM180)))</f>
        <v>0</v>
      </c>
    </row>
    <row r="181" customFormat="false" ht="15" hidden="false" customHeight="false" outlineLevel="0" collapsed="false">
      <c r="A181" s="0" t="n">
        <v>167</v>
      </c>
      <c r="B181" s="27" t="n">
        <f aca="false">ROUND(MAX(0,B180*(1+B$8)-X181),2)</f>
        <v>0</v>
      </c>
      <c r="C181" s="27" t="n">
        <f aca="false">ROUND(MAX(0,C180*(1+C$8)-Y181),2)</f>
        <v>0</v>
      </c>
      <c r="D181" s="27" t="n">
        <f aca="false">ROUND(MAX(0,D180*(1+D$8)-Z181),2)</f>
        <v>0</v>
      </c>
      <c r="E181" s="27" t="n">
        <f aca="false">ROUND(MAX(0,E180*(1+E$8)-AA181),2)</f>
        <v>0</v>
      </c>
      <c r="F181" s="27" t="n">
        <f aca="false">ROUND(MAX(0,F180*(1+F$8)-AB181),2)</f>
        <v>0</v>
      </c>
      <c r="G181" s="27" t="n">
        <f aca="false">ROUND(MAX(0,G180*(1+G$8)-AC181),2)</f>
        <v>0</v>
      </c>
      <c r="H181" s="27" t="n">
        <f aca="false">ROUND(MAX(0,H180*(1+H$8)-AD181),2)</f>
        <v>0</v>
      </c>
      <c r="I181" s="27" t="n">
        <f aca="false">ROUND(MAX(0,I180*(1+I$8)-AE181),2)</f>
        <v>0</v>
      </c>
      <c r="J181" s="27" t="n">
        <f aca="false">ROUND(MAX(0,J180*(1+J$8)-AF181),2)</f>
        <v>0</v>
      </c>
      <c r="K181" s="27" t="n">
        <f aca="false">ROUND(MAX(0,K180*(1+K$8)-AG181),2)</f>
        <v>0</v>
      </c>
      <c r="L181" s="30" t="n">
        <f aca="false">SUM(B181:K181)</f>
        <v>0</v>
      </c>
      <c r="M181" s="27" t="n">
        <f aca="false">SUMPRODUCT(B180:K180,$B$8:$K$8)</f>
        <v>0</v>
      </c>
      <c r="N181" s="27" t="n">
        <f aca="false">MIN(B180*(1+B$8),B$9)</f>
        <v>0</v>
      </c>
      <c r="O181" s="27" t="n">
        <f aca="false">MIN(C180*(1+C$8),C$9)</f>
        <v>0</v>
      </c>
      <c r="P181" s="27" t="n">
        <f aca="false">MIN(D180*(1+D$8),D$9)</f>
        <v>0</v>
      </c>
      <c r="Q181" s="27" t="n">
        <f aca="false">MIN(E180*(1+E$8),E$9)</f>
        <v>0</v>
      </c>
      <c r="R181" s="27" t="n">
        <f aca="false">MIN(F180*(1+F$8),F$9)</f>
        <v>0</v>
      </c>
      <c r="S181" s="27" t="n">
        <f aca="false">MIN(G180*(1+G$8),G$9)</f>
        <v>0</v>
      </c>
      <c r="T181" s="27" t="n">
        <f aca="false">MIN(H180*(1+H$8),H$9)</f>
        <v>0</v>
      </c>
      <c r="U181" s="27" t="n">
        <f aca="false">MIN(I180*(1+I$8),I$9)</f>
        <v>0</v>
      </c>
      <c r="V181" s="27" t="n">
        <f aca="false">MIN(J180*(1+J$8),J$9)</f>
        <v>0</v>
      </c>
      <c r="W181" s="27" t="n">
        <f aca="false">MIN(K180*(1+K$8),K$9)</f>
        <v>0</v>
      </c>
      <c r="X181" s="27" t="n">
        <f aca="false">MIN(B180*(1+B$8),MAX(N181,$B$11-SUM(O181:W181)))</f>
        <v>0</v>
      </c>
      <c r="Y181" s="27" t="n">
        <f aca="false">MIN(C180*(1+C$8),MAX(O181,$B$11-SUM(X181:X181)-SUM(P181:W181)))</f>
        <v>0</v>
      </c>
      <c r="Z181" s="27" t="n">
        <f aca="false">MIN(D180*(1+D$8),MAX(P181,$B$11-SUM(X181:Y181)-SUM(Q181:W181)))</f>
        <v>0</v>
      </c>
      <c r="AA181" s="27" t="n">
        <f aca="false">MIN(E180*(1+E$8),MAX(Q181,$B$11-SUM(X181:Z181)-SUM(R181:W181)))</f>
        <v>0</v>
      </c>
      <c r="AB181" s="27" t="n">
        <f aca="false">MIN(F180*(1+F$8),MAX(R181,$B$11-SUM(X181:AA181)-SUM(S181:W181)))</f>
        <v>0</v>
      </c>
      <c r="AC181" s="27" t="n">
        <f aca="false">MIN(G180*(1+G$8),MAX(S181,$B$11-SUM(X181:AB181)-SUM(T181:W181)))</f>
        <v>0</v>
      </c>
      <c r="AD181" s="27" t="n">
        <f aca="false">MIN(H180*(1+H$8),MAX(T181,$B$11-SUM(X181:AC181)-SUM(U181:W181)))</f>
        <v>0</v>
      </c>
      <c r="AE181" s="27" t="n">
        <f aca="false">MIN(I180*(1+I$8),MAX(U181,$B$11-SUM(X181:AD181)-SUM(V181:W181)))</f>
        <v>0</v>
      </c>
      <c r="AF181" s="27" t="n">
        <f aca="false">MIN(J180*(1+J$8),MAX(V181,$B$11-SUM(X181:AE181)-SUM(W181:W181)))</f>
        <v>0</v>
      </c>
      <c r="AG181" s="27" t="n">
        <f aca="false">MIN(K180*(1+K$8),MAX(W181,$B$11-SUM(X181:AF181)))</f>
        <v>0</v>
      </c>
      <c r="AI181" s="27" t="n">
        <f aca="false">ROUND(MAX(0,AI180*(1+B$8)-BE181),2)</f>
        <v>0</v>
      </c>
      <c r="AJ181" s="27" t="n">
        <f aca="false">ROUND(MAX(0,AJ180*(1+C$8)-BF181),2)</f>
        <v>0</v>
      </c>
      <c r="AK181" s="27" t="n">
        <f aca="false">ROUND(MAX(0,AK180*(1+D$8)-BG181),2)</f>
        <v>0</v>
      </c>
      <c r="AL181" s="27" t="n">
        <f aca="false">ROUND(MAX(0,AL180*(1+E$8)-BH181),2)</f>
        <v>0</v>
      </c>
      <c r="AM181" s="27" t="n">
        <f aca="false">ROUND(MAX(0,AM180*(1+F$8)-BI181),2)</f>
        <v>0</v>
      </c>
      <c r="AN181" s="27" t="n">
        <f aca="false">ROUND(MAX(0,AN180*(1+G$8)-BJ181),2)</f>
        <v>0</v>
      </c>
      <c r="AO181" s="27" t="n">
        <f aca="false">ROUND(MAX(0,AO180*(1+H$8)-BK181),2)</f>
        <v>0</v>
      </c>
      <c r="AP181" s="27" t="n">
        <f aca="false">ROUND(MAX(0,AP180*(1+I$8)-BL181),2)</f>
        <v>0</v>
      </c>
      <c r="AQ181" s="27" t="n">
        <f aca="false">ROUND(MAX(0,AQ180*(1+J$8)-BM181),2)</f>
        <v>0</v>
      </c>
      <c r="AR181" s="27" t="n">
        <f aca="false">ROUND(MAX(0,AR180*(1+K$8)-BN181),2)</f>
        <v>0</v>
      </c>
      <c r="AS181" s="27" t="n">
        <f aca="false">SUM(AI181:AR181)</f>
        <v>0</v>
      </c>
      <c r="AT181" s="27" t="n">
        <f aca="false">SUMPRODUCT(AI180:AR180,$B$8:$K$8)</f>
        <v>0</v>
      </c>
      <c r="AU181" s="27" t="n">
        <f aca="false">MIN(AI180*(1+B$8),B$9)</f>
        <v>0</v>
      </c>
      <c r="AV181" s="27" t="n">
        <f aca="false">MIN(AJ180*(1+C$8),C$9)</f>
        <v>0</v>
      </c>
      <c r="AW181" s="27" t="n">
        <f aca="false">MIN(AK180*(1+D$8),D$9)</f>
        <v>0</v>
      </c>
      <c r="AX181" s="27" t="n">
        <f aca="false">MIN(AL180*(1+E$8),E$9)</f>
        <v>0</v>
      </c>
      <c r="AY181" s="27" t="n">
        <f aca="false">MIN(AM180*(1+F$8),F$9)</f>
        <v>0</v>
      </c>
      <c r="AZ181" s="27" t="n">
        <f aca="false">MIN(AN180*(1+G$8),G$9)</f>
        <v>0</v>
      </c>
      <c r="BA181" s="27" t="n">
        <f aca="false">MIN(AO180*(1+H$8),H$9)</f>
        <v>0</v>
      </c>
      <c r="BB181" s="27" t="n">
        <f aca="false">MIN(AP180*(1+I$8),I$9)</f>
        <v>0</v>
      </c>
      <c r="BC181" s="27" t="n">
        <f aca="false">MIN(AQ180*(1+J$8),J$9)</f>
        <v>0</v>
      </c>
      <c r="BD181" s="27" t="n">
        <f aca="false">MIN(AR180*(1+K$8),K$9)</f>
        <v>0</v>
      </c>
      <c r="BE181" s="27" t="n">
        <f aca="false">MIN(AI180*(1+B$8),MAX(AU181,$B$12-SUM(AV181:BD181)))</f>
        <v>0</v>
      </c>
      <c r="BF181" s="27" t="n">
        <f aca="false">MIN(AJ180*(1+C$8),MAX(AV181,$B$12-SUM(BE181:BE181)-SUM(AW181:BD181)))</f>
        <v>0</v>
      </c>
      <c r="BG181" s="27" t="n">
        <f aca="false">MIN(AK180*(1+D$8),MAX(AW181,$B$12-SUM(BE181:BF181)-SUM(AX181:BD181)))</f>
        <v>0</v>
      </c>
      <c r="BH181" s="27" t="n">
        <f aca="false">MIN(AL180*(1+E$8),MAX(AX181,$B$12-SUM(BE181:BG181)-SUM(AY181:BD181)))</f>
        <v>0</v>
      </c>
      <c r="BI181" s="27" t="n">
        <f aca="false">MIN(AM180*(1+F$8),MAX(AY181,$B$12-SUM(BE181:BH181)-SUM(AZ181:BD181)))</f>
        <v>0</v>
      </c>
      <c r="BJ181" s="27" t="n">
        <f aca="false">MIN(AN180*(1+G$8),MAX(AZ181,$B$12-SUM(BE181:BI181)-SUM(BA181:BD181)))</f>
        <v>0</v>
      </c>
      <c r="BK181" s="27" t="n">
        <f aca="false">MIN(AO180*(1+H$8),MAX(BA181,$B$12-SUM(BE181:BJ181)-SUM(BB181:BD181)))</f>
        <v>0</v>
      </c>
      <c r="BL181" s="27" t="n">
        <f aca="false">MIN(AP180*(1+I$8),MAX(BB181,$B$12-SUM(BE181:BK181)-SUM(BC181:BD181)))</f>
        <v>0</v>
      </c>
      <c r="BM181" s="27" t="n">
        <f aca="false">MIN(AQ180*(1+J$8),MAX(BC181,$B$12-SUM(BE181:BL181)-SUM(BD181:BD181)))</f>
        <v>0</v>
      </c>
      <c r="BN181" s="27" t="n">
        <f aca="false">MIN(AR180*(1+K$8),MAX(BD181,$B$12-SUM(BE181:BM181)))</f>
        <v>0</v>
      </c>
    </row>
    <row r="182" customFormat="false" ht="15" hidden="false" customHeight="false" outlineLevel="0" collapsed="false">
      <c r="A182" s="0" t="n">
        <v>168</v>
      </c>
      <c r="B182" s="27" t="n">
        <f aca="false">ROUND(MAX(0,B181*(1+B$8)-X182),2)</f>
        <v>0</v>
      </c>
      <c r="C182" s="27" t="n">
        <f aca="false">ROUND(MAX(0,C181*(1+C$8)-Y182),2)</f>
        <v>0</v>
      </c>
      <c r="D182" s="27" t="n">
        <f aca="false">ROUND(MAX(0,D181*(1+D$8)-Z182),2)</f>
        <v>0</v>
      </c>
      <c r="E182" s="27" t="n">
        <f aca="false">ROUND(MAX(0,E181*(1+E$8)-AA182),2)</f>
        <v>0</v>
      </c>
      <c r="F182" s="27" t="n">
        <f aca="false">ROUND(MAX(0,F181*(1+F$8)-AB182),2)</f>
        <v>0</v>
      </c>
      <c r="G182" s="27" t="n">
        <f aca="false">ROUND(MAX(0,G181*(1+G$8)-AC182),2)</f>
        <v>0</v>
      </c>
      <c r="H182" s="27" t="n">
        <f aca="false">ROUND(MAX(0,H181*(1+H$8)-AD182),2)</f>
        <v>0</v>
      </c>
      <c r="I182" s="27" t="n">
        <f aca="false">ROUND(MAX(0,I181*(1+I$8)-AE182),2)</f>
        <v>0</v>
      </c>
      <c r="J182" s="27" t="n">
        <f aca="false">ROUND(MAX(0,J181*(1+J$8)-AF182),2)</f>
        <v>0</v>
      </c>
      <c r="K182" s="27" t="n">
        <f aca="false">ROUND(MAX(0,K181*(1+K$8)-AG182),2)</f>
        <v>0</v>
      </c>
      <c r="L182" s="30" t="n">
        <f aca="false">SUM(B182:K182)</f>
        <v>0</v>
      </c>
      <c r="M182" s="27" t="n">
        <f aca="false">SUMPRODUCT(B181:K181,$B$8:$K$8)</f>
        <v>0</v>
      </c>
      <c r="N182" s="27" t="n">
        <f aca="false">MIN(B181*(1+B$8),B$9)</f>
        <v>0</v>
      </c>
      <c r="O182" s="27" t="n">
        <f aca="false">MIN(C181*(1+C$8),C$9)</f>
        <v>0</v>
      </c>
      <c r="P182" s="27" t="n">
        <f aca="false">MIN(D181*(1+D$8),D$9)</f>
        <v>0</v>
      </c>
      <c r="Q182" s="27" t="n">
        <f aca="false">MIN(E181*(1+E$8),E$9)</f>
        <v>0</v>
      </c>
      <c r="R182" s="27" t="n">
        <f aca="false">MIN(F181*(1+F$8),F$9)</f>
        <v>0</v>
      </c>
      <c r="S182" s="27" t="n">
        <f aca="false">MIN(G181*(1+G$8),G$9)</f>
        <v>0</v>
      </c>
      <c r="T182" s="27" t="n">
        <f aca="false">MIN(H181*(1+H$8),H$9)</f>
        <v>0</v>
      </c>
      <c r="U182" s="27" t="n">
        <f aca="false">MIN(I181*(1+I$8),I$9)</f>
        <v>0</v>
      </c>
      <c r="V182" s="27" t="n">
        <f aca="false">MIN(J181*(1+J$8),J$9)</f>
        <v>0</v>
      </c>
      <c r="W182" s="27" t="n">
        <f aca="false">MIN(K181*(1+K$8),K$9)</f>
        <v>0</v>
      </c>
      <c r="X182" s="27" t="n">
        <f aca="false">MIN(B181*(1+B$8),MAX(N182,$B$11-SUM(O182:W182)))</f>
        <v>0</v>
      </c>
      <c r="Y182" s="27" t="n">
        <f aca="false">MIN(C181*(1+C$8),MAX(O182,$B$11-SUM(X182:X182)-SUM(P182:W182)))</f>
        <v>0</v>
      </c>
      <c r="Z182" s="27" t="n">
        <f aca="false">MIN(D181*(1+D$8),MAX(P182,$B$11-SUM(X182:Y182)-SUM(Q182:W182)))</f>
        <v>0</v>
      </c>
      <c r="AA182" s="27" t="n">
        <f aca="false">MIN(E181*(1+E$8),MAX(Q182,$B$11-SUM(X182:Z182)-SUM(R182:W182)))</f>
        <v>0</v>
      </c>
      <c r="AB182" s="27" t="n">
        <f aca="false">MIN(F181*(1+F$8),MAX(R182,$B$11-SUM(X182:AA182)-SUM(S182:W182)))</f>
        <v>0</v>
      </c>
      <c r="AC182" s="27" t="n">
        <f aca="false">MIN(G181*(1+G$8),MAX(S182,$B$11-SUM(X182:AB182)-SUM(T182:W182)))</f>
        <v>0</v>
      </c>
      <c r="AD182" s="27" t="n">
        <f aca="false">MIN(H181*(1+H$8),MAX(T182,$B$11-SUM(X182:AC182)-SUM(U182:W182)))</f>
        <v>0</v>
      </c>
      <c r="AE182" s="27" t="n">
        <f aca="false">MIN(I181*(1+I$8),MAX(U182,$B$11-SUM(X182:AD182)-SUM(V182:W182)))</f>
        <v>0</v>
      </c>
      <c r="AF182" s="27" t="n">
        <f aca="false">MIN(J181*(1+J$8),MAX(V182,$B$11-SUM(X182:AE182)-SUM(W182:W182)))</f>
        <v>0</v>
      </c>
      <c r="AG182" s="27" t="n">
        <f aca="false">MIN(K181*(1+K$8),MAX(W182,$B$11-SUM(X182:AF182)))</f>
        <v>0</v>
      </c>
      <c r="AI182" s="27" t="n">
        <f aca="false">ROUND(MAX(0,AI181*(1+B$8)-BE182),2)</f>
        <v>0</v>
      </c>
      <c r="AJ182" s="27" t="n">
        <f aca="false">ROUND(MAX(0,AJ181*(1+C$8)-BF182),2)</f>
        <v>0</v>
      </c>
      <c r="AK182" s="27" t="n">
        <f aca="false">ROUND(MAX(0,AK181*(1+D$8)-BG182),2)</f>
        <v>0</v>
      </c>
      <c r="AL182" s="27" t="n">
        <f aca="false">ROUND(MAX(0,AL181*(1+E$8)-BH182),2)</f>
        <v>0</v>
      </c>
      <c r="AM182" s="27" t="n">
        <f aca="false">ROUND(MAX(0,AM181*(1+F$8)-BI182),2)</f>
        <v>0</v>
      </c>
      <c r="AN182" s="27" t="n">
        <f aca="false">ROUND(MAX(0,AN181*(1+G$8)-BJ182),2)</f>
        <v>0</v>
      </c>
      <c r="AO182" s="27" t="n">
        <f aca="false">ROUND(MAX(0,AO181*(1+H$8)-BK182),2)</f>
        <v>0</v>
      </c>
      <c r="AP182" s="27" t="n">
        <f aca="false">ROUND(MAX(0,AP181*(1+I$8)-BL182),2)</f>
        <v>0</v>
      </c>
      <c r="AQ182" s="27" t="n">
        <f aca="false">ROUND(MAX(0,AQ181*(1+J$8)-BM182),2)</f>
        <v>0</v>
      </c>
      <c r="AR182" s="27" t="n">
        <f aca="false">ROUND(MAX(0,AR181*(1+K$8)-BN182),2)</f>
        <v>0</v>
      </c>
      <c r="AS182" s="27" t="n">
        <f aca="false">SUM(AI182:AR182)</f>
        <v>0</v>
      </c>
      <c r="AT182" s="27" t="n">
        <f aca="false">SUMPRODUCT(AI181:AR181,$B$8:$K$8)</f>
        <v>0</v>
      </c>
      <c r="AU182" s="27" t="n">
        <f aca="false">MIN(AI181*(1+B$8),B$9)</f>
        <v>0</v>
      </c>
      <c r="AV182" s="27" t="n">
        <f aca="false">MIN(AJ181*(1+C$8),C$9)</f>
        <v>0</v>
      </c>
      <c r="AW182" s="27" t="n">
        <f aca="false">MIN(AK181*(1+D$8),D$9)</f>
        <v>0</v>
      </c>
      <c r="AX182" s="27" t="n">
        <f aca="false">MIN(AL181*(1+E$8),E$9)</f>
        <v>0</v>
      </c>
      <c r="AY182" s="27" t="n">
        <f aca="false">MIN(AM181*(1+F$8),F$9)</f>
        <v>0</v>
      </c>
      <c r="AZ182" s="27" t="n">
        <f aca="false">MIN(AN181*(1+G$8),G$9)</f>
        <v>0</v>
      </c>
      <c r="BA182" s="27" t="n">
        <f aca="false">MIN(AO181*(1+H$8),H$9)</f>
        <v>0</v>
      </c>
      <c r="BB182" s="27" t="n">
        <f aca="false">MIN(AP181*(1+I$8),I$9)</f>
        <v>0</v>
      </c>
      <c r="BC182" s="27" t="n">
        <f aca="false">MIN(AQ181*(1+J$8),J$9)</f>
        <v>0</v>
      </c>
      <c r="BD182" s="27" t="n">
        <f aca="false">MIN(AR181*(1+K$8),K$9)</f>
        <v>0</v>
      </c>
      <c r="BE182" s="27" t="n">
        <f aca="false">MIN(AI181*(1+B$8),MAX(AU182,$B$12-SUM(AV182:BD182)))</f>
        <v>0</v>
      </c>
      <c r="BF182" s="27" t="n">
        <f aca="false">MIN(AJ181*(1+C$8),MAX(AV182,$B$12-SUM(BE182:BE182)-SUM(AW182:BD182)))</f>
        <v>0</v>
      </c>
      <c r="BG182" s="27" t="n">
        <f aca="false">MIN(AK181*(1+D$8),MAX(AW182,$B$12-SUM(BE182:BF182)-SUM(AX182:BD182)))</f>
        <v>0</v>
      </c>
      <c r="BH182" s="27" t="n">
        <f aca="false">MIN(AL181*(1+E$8),MAX(AX182,$B$12-SUM(BE182:BG182)-SUM(AY182:BD182)))</f>
        <v>0</v>
      </c>
      <c r="BI182" s="27" t="n">
        <f aca="false">MIN(AM181*(1+F$8),MAX(AY182,$B$12-SUM(BE182:BH182)-SUM(AZ182:BD182)))</f>
        <v>0</v>
      </c>
      <c r="BJ182" s="27" t="n">
        <f aca="false">MIN(AN181*(1+G$8),MAX(AZ182,$B$12-SUM(BE182:BI182)-SUM(BA182:BD182)))</f>
        <v>0</v>
      </c>
      <c r="BK182" s="27" t="n">
        <f aca="false">MIN(AO181*(1+H$8),MAX(BA182,$B$12-SUM(BE182:BJ182)-SUM(BB182:BD182)))</f>
        <v>0</v>
      </c>
      <c r="BL182" s="27" t="n">
        <f aca="false">MIN(AP181*(1+I$8),MAX(BB182,$B$12-SUM(BE182:BK182)-SUM(BC182:BD182)))</f>
        <v>0</v>
      </c>
      <c r="BM182" s="27" t="n">
        <f aca="false">MIN(AQ181*(1+J$8),MAX(BC182,$B$12-SUM(BE182:BL182)-SUM(BD182:BD182)))</f>
        <v>0</v>
      </c>
      <c r="BN182" s="27" t="n">
        <f aca="false">MIN(AR181*(1+K$8),MAX(BD182,$B$12-SUM(BE182:BM182)))</f>
        <v>0</v>
      </c>
    </row>
    <row r="183" customFormat="false" ht="15" hidden="false" customHeight="false" outlineLevel="0" collapsed="false">
      <c r="A183" s="0" t="n">
        <v>169</v>
      </c>
      <c r="B183" s="27" t="n">
        <f aca="false">ROUND(MAX(0,B182*(1+B$8)-X183),2)</f>
        <v>0</v>
      </c>
      <c r="C183" s="27" t="n">
        <f aca="false">ROUND(MAX(0,C182*(1+C$8)-Y183),2)</f>
        <v>0</v>
      </c>
      <c r="D183" s="27" t="n">
        <f aca="false">ROUND(MAX(0,D182*(1+D$8)-Z183),2)</f>
        <v>0</v>
      </c>
      <c r="E183" s="27" t="n">
        <f aca="false">ROUND(MAX(0,E182*(1+E$8)-AA183),2)</f>
        <v>0</v>
      </c>
      <c r="F183" s="27" t="n">
        <f aca="false">ROUND(MAX(0,F182*(1+F$8)-AB183),2)</f>
        <v>0</v>
      </c>
      <c r="G183" s="27" t="n">
        <f aca="false">ROUND(MAX(0,G182*(1+G$8)-AC183),2)</f>
        <v>0</v>
      </c>
      <c r="H183" s="27" t="n">
        <f aca="false">ROUND(MAX(0,H182*(1+H$8)-AD183),2)</f>
        <v>0</v>
      </c>
      <c r="I183" s="27" t="n">
        <f aca="false">ROUND(MAX(0,I182*(1+I$8)-AE183),2)</f>
        <v>0</v>
      </c>
      <c r="J183" s="27" t="n">
        <f aca="false">ROUND(MAX(0,J182*(1+J$8)-AF183),2)</f>
        <v>0</v>
      </c>
      <c r="K183" s="27" t="n">
        <f aca="false">ROUND(MAX(0,K182*(1+K$8)-AG183),2)</f>
        <v>0</v>
      </c>
      <c r="L183" s="30" t="n">
        <f aca="false">SUM(B183:K183)</f>
        <v>0</v>
      </c>
      <c r="M183" s="27" t="n">
        <f aca="false">SUMPRODUCT(B182:K182,$B$8:$K$8)</f>
        <v>0</v>
      </c>
      <c r="N183" s="27" t="n">
        <f aca="false">MIN(B182*(1+B$8),B$9)</f>
        <v>0</v>
      </c>
      <c r="O183" s="27" t="n">
        <f aca="false">MIN(C182*(1+C$8),C$9)</f>
        <v>0</v>
      </c>
      <c r="P183" s="27" t="n">
        <f aca="false">MIN(D182*(1+D$8),D$9)</f>
        <v>0</v>
      </c>
      <c r="Q183" s="27" t="n">
        <f aca="false">MIN(E182*(1+E$8),E$9)</f>
        <v>0</v>
      </c>
      <c r="R183" s="27" t="n">
        <f aca="false">MIN(F182*(1+F$8),F$9)</f>
        <v>0</v>
      </c>
      <c r="S183" s="27" t="n">
        <f aca="false">MIN(G182*(1+G$8),G$9)</f>
        <v>0</v>
      </c>
      <c r="T183" s="27" t="n">
        <f aca="false">MIN(H182*(1+H$8),H$9)</f>
        <v>0</v>
      </c>
      <c r="U183" s="27" t="n">
        <f aca="false">MIN(I182*(1+I$8),I$9)</f>
        <v>0</v>
      </c>
      <c r="V183" s="27" t="n">
        <f aca="false">MIN(J182*(1+J$8),J$9)</f>
        <v>0</v>
      </c>
      <c r="W183" s="27" t="n">
        <f aca="false">MIN(K182*(1+K$8),K$9)</f>
        <v>0</v>
      </c>
      <c r="X183" s="27" t="n">
        <f aca="false">MIN(B182*(1+B$8),MAX(N183,$B$11-SUM(O183:W183)))</f>
        <v>0</v>
      </c>
      <c r="Y183" s="27" t="n">
        <f aca="false">MIN(C182*(1+C$8),MAX(O183,$B$11-SUM(X183:X183)-SUM(P183:W183)))</f>
        <v>0</v>
      </c>
      <c r="Z183" s="27" t="n">
        <f aca="false">MIN(D182*(1+D$8),MAX(P183,$B$11-SUM(X183:Y183)-SUM(Q183:W183)))</f>
        <v>0</v>
      </c>
      <c r="AA183" s="27" t="n">
        <f aca="false">MIN(E182*(1+E$8),MAX(Q183,$B$11-SUM(X183:Z183)-SUM(R183:W183)))</f>
        <v>0</v>
      </c>
      <c r="AB183" s="27" t="n">
        <f aca="false">MIN(F182*(1+F$8),MAX(R183,$B$11-SUM(X183:AA183)-SUM(S183:W183)))</f>
        <v>0</v>
      </c>
      <c r="AC183" s="27" t="n">
        <f aca="false">MIN(G182*(1+G$8),MAX(S183,$B$11-SUM(X183:AB183)-SUM(T183:W183)))</f>
        <v>0</v>
      </c>
      <c r="AD183" s="27" t="n">
        <f aca="false">MIN(H182*(1+H$8),MAX(T183,$B$11-SUM(X183:AC183)-SUM(U183:W183)))</f>
        <v>0</v>
      </c>
      <c r="AE183" s="27" t="n">
        <f aca="false">MIN(I182*(1+I$8),MAX(U183,$B$11-SUM(X183:AD183)-SUM(V183:W183)))</f>
        <v>0</v>
      </c>
      <c r="AF183" s="27" t="n">
        <f aca="false">MIN(J182*(1+J$8),MAX(V183,$B$11-SUM(X183:AE183)-SUM(W183:W183)))</f>
        <v>0</v>
      </c>
      <c r="AG183" s="27" t="n">
        <f aca="false">MIN(K182*(1+K$8),MAX(W183,$B$11-SUM(X183:AF183)))</f>
        <v>0</v>
      </c>
      <c r="AI183" s="27" t="n">
        <f aca="false">ROUND(MAX(0,AI182*(1+B$8)-BE183),2)</f>
        <v>0</v>
      </c>
      <c r="AJ183" s="27" t="n">
        <f aca="false">ROUND(MAX(0,AJ182*(1+C$8)-BF183),2)</f>
        <v>0</v>
      </c>
      <c r="AK183" s="27" t="n">
        <f aca="false">ROUND(MAX(0,AK182*(1+D$8)-BG183),2)</f>
        <v>0</v>
      </c>
      <c r="AL183" s="27" t="n">
        <f aca="false">ROUND(MAX(0,AL182*(1+E$8)-BH183),2)</f>
        <v>0</v>
      </c>
      <c r="AM183" s="27" t="n">
        <f aca="false">ROUND(MAX(0,AM182*(1+F$8)-BI183),2)</f>
        <v>0</v>
      </c>
      <c r="AN183" s="27" t="n">
        <f aca="false">ROUND(MAX(0,AN182*(1+G$8)-BJ183),2)</f>
        <v>0</v>
      </c>
      <c r="AO183" s="27" t="n">
        <f aca="false">ROUND(MAX(0,AO182*(1+H$8)-BK183),2)</f>
        <v>0</v>
      </c>
      <c r="AP183" s="27" t="n">
        <f aca="false">ROUND(MAX(0,AP182*(1+I$8)-BL183),2)</f>
        <v>0</v>
      </c>
      <c r="AQ183" s="27" t="n">
        <f aca="false">ROUND(MAX(0,AQ182*(1+J$8)-BM183),2)</f>
        <v>0</v>
      </c>
      <c r="AR183" s="27" t="n">
        <f aca="false">ROUND(MAX(0,AR182*(1+K$8)-BN183),2)</f>
        <v>0</v>
      </c>
      <c r="AS183" s="27" t="n">
        <f aca="false">SUM(AI183:AR183)</f>
        <v>0</v>
      </c>
      <c r="AT183" s="27" t="n">
        <f aca="false">SUMPRODUCT(AI182:AR182,$B$8:$K$8)</f>
        <v>0</v>
      </c>
      <c r="AU183" s="27" t="n">
        <f aca="false">MIN(AI182*(1+B$8),B$9)</f>
        <v>0</v>
      </c>
      <c r="AV183" s="27" t="n">
        <f aca="false">MIN(AJ182*(1+C$8),C$9)</f>
        <v>0</v>
      </c>
      <c r="AW183" s="27" t="n">
        <f aca="false">MIN(AK182*(1+D$8),D$9)</f>
        <v>0</v>
      </c>
      <c r="AX183" s="27" t="n">
        <f aca="false">MIN(AL182*(1+E$8),E$9)</f>
        <v>0</v>
      </c>
      <c r="AY183" s="27" t="n">
        <f aca="false">MIN(AM182*(1+F$8),F$9)</f>
        <v>0</v>
      </c>
      <c r="AZ183" s="27" t="n">
        <f aca="false">MIN(AN182*(1+G$8),G$9)</f>
        <v>0</v>
      </c>
      <c r="BA183" s="27" t="n">
        <f aca="false">MIN(AO182*(1+H$8),H$9)</f>
        <v>0</v>
      </c>
      <c r="BB183" s="27" t="n">
        <f aca="false">MIN(AP182*(1+I$8),I$9)</f>
        <v>0</v>
      </c>
      <c r="BC183" s="27" t="n">
        <f aca="false">MIN(AQ182*(1+J$8),J$9)</f>
        <v>0</v>
      </c>
      <c r="BD183" s="27" t="n">
        <f aca="false">MIN(AR182*(1+K$8),K$9)</f>
        <v>0</v>
      </c>
      <c r="BE183" s="27" t="n">
        <f aca="false">MIN(AI182*(1+B$8),MAX(AU183,$B$12-SUM(AV183:BD183)))</f>
        <v>0</v>
      </c>
      <c r="BF183" s="27" t="n">
        <f aca="false">MIN(AJ182*(1+C$8),MAX(AV183,$B$12-SUM(BE183:BE183)-SUM(AW183:BD183)))</f>
        <v>0</v>
      </c>
      <c r="BG183" s="27" t="n">
        <f aca="false">MIN(AK182*(1+D$8),MAX(AW183,$B$12-SUM(BE183:BF183)-SUM(AX183:BD183)))</f>
        <v>0</v>
      </c>
      <c r="BH183" s="27" t="n">
        <f aca="false">MIN(AL182*(1+E$8),MAX(AX183,$B$12-SUM(BE183:BG183)-SUM(AY183:BD183)))</f>
        <v>0</v>
      </c>
      <c r="BI183" s="27" t="n">
        <f aca="false">MIN(AM182*(1+F$8),MAX(AY183,$B$12-SUM(BE183:BH183)-SUM(AZ183:BD183)))</f>
        <v>0</v>
      </c>
      <c r="BJ183" s="27" t="n">
        <f aca="false">MIN(AN182*(1+G$8),MAX(AZ183,$B$12-SUM(BE183:BI183)-SUM(BA183:BD183)))</f>
        <v>0</v>
      </c>
      <c r="BK183" s="27" t="n">
        <f aca="false">MIN(AO182*(1+H$8),MAX(BA183,$B$12-SUM(BE183:BJ183)-SUM(BB183:BD183)))</f>
        <v>0</v>
      </c>
      <c r="BL183" s="27" t="n">
        <f aca="false">MIN(AP182*(1+I$8),MAX(BB183,$B$12-SUM(BE183:BK183)-SUM(BC183:BD183)))</f>
        <v>0</v>
      </c>
      <c r="BM183" s="27" t="n">
        <f aca="false">MIN(AQ182*(1+J$8),MAX(BC183,$B$12-SUM(BE183:BL183)-SUM(BD183:BD183)))</f>
        <v>0</v>
      </c>
      <c r="BN183" s="27" t="n">
        <f aca="false">MIN(AR182*(1+K$8),MAX(BD183,$B$12-SUM(BE183:BM183)))</f>
        <v>0</v>
      </c>
    </row>
    <row r="184" customFormat="false" ht="15" hidden="false" customHeight="false" outlineLevel="0" collapsed="false">
      <c r="A184" s="0" t="n">
        <v>170</v>
      </c>
      <c r="B184" s="27" t="n">
        <f aca="false">ROUND(MAX(0,B183*(1+B$8)-X184),2)</f>
        <v>0</v>
      </c>
      <c r="C184" s="27" t="n">
        <f aca="false">ROUND(MAX(0,C183*(1+C$8)-Y184),2)</f>
        <v>0</v>
      </c>
      <c r="D184" s="27" t="n">
        <f aca="false">ROUND(MAX(0,D183*(1+D$8)-Z184),2)</f>
        <v>0</v>
      </c>
      <c r="E184" s="27" t="n">
        <f aca="false">ROUND(MAX(0,E183*(1+E$8)-AA184),2)</f>
        <v>0</v>
      </c>
      <c r="F184" s="27" t="n">
        <f aca="false">ROUND(MAX(0,F183*(1+F$8)-AB184),2)</f>
        <v>0</v>
      </c>
      <c r="G184" s="27" t="n">
        <f aca="false">ROUND(MAX(0,G183*(1+G$8)-AC184),2)</f>
        <v>0</v>
      </c>
      <c r="H184" s="27" t="n">
        <f aca="false">ROUND(MAX(0,H183*(1+H$8)-AD184),2)</f>
        <v>0</v>
      </c>
      <c r="I184" s="27" t="n">
        <f aca="false">ROUND(MAX(0,I183*(1+I$8)-AE184),2)</f>
        <v>0</v>
      </c>
      <c r="J184" s="27" t="n">
        <f aca="false">ROUND(MAX(0,J183*(1+J$8)-AF184),2)</f>
        <v>0</v>
      </c>
      <c r="K184" s="27" t="n">
        <f aca="false">ROUND(MAX(0,K183*(1+K$8)-AG184),2)</f>
        <v>0</v>
      </c>
      <c r="L184" s="30" t="n">
        <f aca="false">SUM(B184:K184)</f>
        <v>0</v>
      </c>
      <c r="M184" s="27" t="n">
        <f aca="false">SUMPRODUCT(B183:K183,$B$8:$K$8)</f>
        <v>0</v>
      </c>
      <c r="N184" s="27" t="n">
        <f aca="false">MIN(B183*(1+B$8),B$9)</f>
        <v>0</v>
      </c>
      <c r="O184" s="27" t="n">
        <f aca="false">MIN(C183*(1+C$8),C$9)</f>
        <v>0</v>
      </c>
      <c r="P184" s="27" t="n">
        <f aca="false">MIN(D183*(1+D$8),D$9)</f>
        <v>0</v>
      </c>
      <c r="Q184" s="27" t="n">
        <f aca="false">MIN(E183*(1+E$8),E$9)</f>
        <v>0</v>
      </c>
      <c r="R184" s="27" t="n">
        <f aca="false">MIN(F183*(1+F$8),F$9)</f>
        <v>0</v>
      </c>
      <c r="S184" s="27" t="n">
        <f aca="false">MIN(G183*(1+G$8),G$9)</f>
        <v>0</v>
      </c>
      <c r="T184" s="27" t="n">
        <f aca="false">MIN(H183*(1+H$8),H$9)</f>
        <v>0</v>
      </c>
      <c r="U184" s="27" t="n">
        <f aca="false">MIN(I183*(1+I$8),I$9)</f>
        <v>0</v>
      </c>
      <c r="V184" s="27" t="n">
        <f aca="false">MIN(J183*(1+J$8),J$9)</f>
        <v>0</v>
      </c>
      <c r="W184" s="27" t="n">
        <f aca="false">MIN(K183*(1+K$8),K$9)</f>
        <v>0</v>
      </c>
      <c r="X184" s="27" t="n">
        <f aca="false">MIN(B183*(1+B$8),MAX(N184,$B$11-SUM(O184:W184)))</f>
        <v>0</v>
      </c>
      <c r="Y184" s="27" t="n">
        <f aca="false">MIN(C183*(1+C$8),MAX(O184,$B$11-SUM(X184:X184)-SUM(P184:W184)))</f>
        <v>0</v>
      </c>
      <c r="Z184" s="27" t="n">
        <f aca="false">MIN(D183*(1+D$8),MAX(P184,$B$11-SUM(X184:Y184)-SUM(Q184:W184)))</f>
        <v>0</v>
      </c>
      <c r="AA184" s="27" t="n">
        <f aca="false">MIN(E183*(1+E$8),MAX(Q184,$B$11-SUM(X184:Z184)-SUM(R184:W184)))</f>
        <v>0</v>
      </c>
      <c r="AB184" s="27" t="n">
        <f aca="false">MIN(F183*(1+F$8),MAX(R184,$B$11-SUM(X184:AA184)-SUM(S184:W184)))</f>
        <v>0</v>
      </c>
      <c r="AC184" s="27" t="n">
        <f aca="false">MIN(G183*(1+G$8),MAX(S184,$B$11-SUM(X184:AB184)-SUM(T184:W184)))</f>
        <v>0</v>
      </c>
      <c r="AD184" s="27" t="n">
        <f aca="false">MIN(H183*(1+H$8),MAX(T184,$B$11-SUM(X184:AC184)-SUM(U184:W184)))</f>
        <v>0</v>
      </c>
      <c r="AE184" s="27" t="n">
        <f aca="false">MIN(I183*(1+I$8),MAX(U184,$B$11-SUM(X184:AD184)-SUM(V184:W184)))</f>
        <v>0</v>
      </c>
      <c r="AF184" s="27" t="n">
        <f aca="false">MIN(J183*(1+J$8),MAX(V184,$B$11-SUM(X184:AE184)-SUM(W184:W184)))</f>
        <v>0</v>
      </c>
      <c r="AG184" s="27" t="n">
        <f aca="false">MIN(K183*(1+K$8),MAX(W184,$B$11-SUM(X184:AF184)))</f>
        <v>0</v>
      </c>
      <c r="AI184" s="27" t="n">
        <f aca="false">ROUND(MAX(0,AI183*(1+B$8)-BE184),2)</f>
        <v>0</v>
      </c>
      <c r="AJ184" s="27" t="n">
        <f aca="false">ROUND(MAX(0,AJ183*(1+C$8)-BF184),2)</f>
        <v>0</v>
      </c>
      <c r="AK184" s="27" t="n">
        <f aca="false">ROUND(MAX(0,AK183*(1+D$8)-BG184),2)</f>
        <v>0</v>
      </c>
      <c r="AL184" s="27" t="n">
        <f aca="false">ROUND(MAX(0,AL183*(1+E$8)-BH184),2)</f>
        <v>0</v>
      </c>
      <c r="AM184" s="27" t="n">
        <f aca="false">ROUND(MAX(0,AM183*(1+F$8)-BI184),2)</f>
        <v>0</v>
      </c>
      <c r="AN184" s="27" t="n">
        <f aca="false">ROUND(MAX(0,AN183*(1+G$8)-BJ184),2)</f>
        <v>0</v>
      </c>
      <c r="AO184" s="27" t="n">
        <f aca="false">ROUND(MAX(0,AO183*(1+H$8)-BK184),2)</f>
        <v>0</v>
      </c>
      <c r="AP184" s="27" t="n">
        <f aca="false">ROUND(MAX(0,AP183*(1+I$8)-BL184),2)</f>
        <v>0</v>
      </c>
      <c r="AQ184" s="27" t="n">
        <f aca="false">ROUND(MAX(0,AQ183*(1+J$8)-BM184),2)</f>
        <v>0</v>
      </c>
      <c r="AR184" s="27" t="n">
        <f aca="false">ROUND(MAX(0,AR183*(1+K$8)-BN184),2)</f>
        <v>0</v>
      </c>
      <c r="AS184" s="27" t="n">
        <f aca="false">SUM(AI184:AR184)</f>
        <v>0</v>
      </c>
      <c r="AT184" s="27" t="n">
        <f aca="false">SUMPRODUCT(AI183:AR183,$B$8:$K$8)</f>
        <v>0</v>
      </c>
      <c r="AU184" s="27" t="n">
        <f aca="false">MIN(AI183*(1+B$8),B$9)</f>
        <v>0</v>
      </c>
      <c r="AV184" s="27" t="n">
        <f aca="false">MIN(AJ183*(1+C$8),C$9)</f>
        <v>0</v>
      </c>
      <c r="AW184" s="27" t="n">
        <f aca="false">MIN(AK183*(1+D$8),D$9)</f>
        <v>0</v>
      </c>
      <c r="AX184" s="27" t="n">
        <f aca="false">MIN(AL183*(1+E$8),E$9)</f>
        <v>0</v>
      </c>
      <c r="AY184" s="27" t="n">
        <f aca="false">MIN(AM183*(1+F$8),F$9)</f>
        <v>0</v>
      </c>
      <c r="AZ184" s="27" t="n">
        <f aca="false">MIN(AN183*(1+G$8),G$9)</f>
        <v>0</v>
      </c>
      <c r="BA184" s="27" t="n">
        <f aca="false">MIN(AO183*(1+H$8),H$9)</f>
        <v>0</v>
      </c>
      <c r="BB184" s="27" t="n">
        <f aca="false">MIN(AP183*(1+I$8),I$9)</f>
        <v>0</v>
      </c>
      <c r="BC184" s="27" t="n">
        <f aca="false">MIN(AQ183*(1+J$8),J$9)</f>
        <v>0</v>
      </c>
      <c r="BD184" s="27" t="n">
        <f aca="false">MIN(AR183*(1+K$8),K$9)</f>
        <v>0</v>
      </c>
      <c r="BE184" s="27" t="n">
        <f aca="false">MIN(AI183*(1+B$8),MAX(AU184,$B$12-SUM(AV184:BD184)))</f>
        <v>0</v>
      </c>
      <c r="BF184" s="27" t="n">
        <f aca="false">MIN(AJ183*(1+C$8),MAX(AV184,$B$12-SUM(BE184:BE184)-SUM(AW184:BD184)))</f>
        <v>0</v>
      </c>
      <c r="BG184" s="27" t="n">
        <f aca="false">MIN(AK183*(1+D$8),MAX(AW184,$B$12-SUM(BE184:BF184)-SUM(AX184:BD184)))</f>
        <v>0</v>
      </c>
      <c r="BH184" s="27" t="n">
        <f aca="false">MIN(AL183*(1+E$8),MAX(AX184,$B$12-SUM(BE184:BG184)-SUM(AY184:BD184)))</f>
        <v>0</v>
      </c>
      <c r="BI184" s="27" t="n">
        <f aca="false">MIN(AM183*(1+F$8),MAX(AY184,$B$12-SUM(BE184:BH184)-SUM(AZ184:BD184)))</f>
        <v>0</v>
      </c>
      <c r="BJ184" s="27" t="n">
        <f aca="false">MIN(AN183*(1+G$8),MAX(AZ184,$B$12-SUM(BE184:BI184)-SUM(BA184:BD184)))</f>
        <v>0</v>
      </c>
      <c r="BK184" s="27" t="n">
        <f aca="false">MIN(AO183*(1+H$8),MAX(BA184,$B$12-SUM(BE184:BJ184)-SUM(BB184:BD184)))</f>
        <v>0</v>
      </c>
      <c r="BL184" s="27" t="n">
        <f aca="false">MIN(AP183*(1+I$8),MAX(BB184,$B$12-SUM(BE184:BK184)-SUM(BC184:BD184)))</f>
        <v>0</v>
      </c>
      <c r="BM184" s="27" t="n">
        <f aca="false">MIN(AQ183*(1+J$8),MAX(BC184,$B$12-SUM(BE184:BL184)-SUM(BD184:BD184)))</f>
        <v>0</v>
      </c>
      <c r="BN184" s="27" t="n">
        <f aca="false">MIN(AR183*(1+K$8),MAX(BD184,$B$12-SUM(BE184:BM184)))</f>
        <v>0</v>
      </c>
    </row>
    <row r="185" customFormat="false" ht="15" hidden="false" customHeight="false" outlineLevel="0" collapsed="false">
      <c r="A185" s="0" t="n">
        <v>171</v>
      </c>
      <c r="B185" s="27" t="n">
        <f aca="false">ROUND(MAX(0,B184*(1+B$8)-X185),2)</f>
        <v>0</v>
      </c>
      <c r="C185" s="27" t="n">
        <f aca="false">ROUND(MAX(0,C184*(1+C$8)-Y185),2)</f>
        <v>0</v>
      </c>
      <c r="D185" s="27" t="n">
        <f aca="false">ROUND(MAX(0,D184*(1+D$8)-Z185),2)</f>
        <v>0</v>
      </c>
      <c r="E185" s="27" t="n">
        <f aca="false">ROUND(MAX(0,E184*(1+E$8)-AA185),2)</f>
        <v>0</v>
      </c>
      <c r="F185" s="27" t="n">
        <f aca="false">ROUND(MAX(0,F184*(1+F$8)-AB185),2)</f>
        <v>0</v>
      </c>
      <c r="G185" s="27" t="n">
        <f aca="false">ROUND(MAX(0,G184*(1+G$8)-AC185),2)</f>
        <v>0</v>
      </c>
      <c r="H185" s="27" t="n">
        <f aca="false">ROUND(MAX(0,H184*(1+H$8)-AD185),2)</f>
        <v>0</v>
      </c>
      <c r="I185" s="27" t="n">
        <f aca="false">ROUND(MAX(0,I184*(1+I$8)-AE185),2)</f>
        <v>0</v>
      </c>
      <c r="J185" s="27" t="n">
        <f aca="false">ROUND(MAX(0,J184*(1+J$8)-AF185),2)</f>
        <v>0</v>
      </c>
      <c r="K185" s="27" t="n">
        <f aca="false">ROUND(MAX(0,K184*(1+K$8)-AG185),2)</f>
        <v>0</v>
      </c>
      <c r="L185" s="30" t="n">
        <f aca="false">SUM(B185:K185)</f>
        <v>0</v>
      </c>
      <c r="M185" s="27" t="n">
        <f aca="false">SUMPRODUCT(B184:K184,$B$8:$K$8)</f>
        <v>0</v>
      </c>
      <c r="N185" s="27" t="n">
        <f aca="false">MIN(B184*(1+B$8),B$9)</f>
        <v>0</v>
      </c>
      <c r="O185" s="27" t="n">
        <f aca="false">MIN(C184*(1+C$8),C$9)</f>
        <v>0</v>
      </c>
      <c r="P185" s="27" t="n">
        <f aca="false">MIN(D184*(1+D$8),D$9)</f>
        <v>0</v>
      </c>
      <c r="Q185" s="27" t="n">
        <f aca="false">MIN(E184*(1+E$8),E$9)</f>
        <v>0</v>
      </c>
      <c r="R185" s="27" t="n">
        <f aca="false">MIN(F184*(1+F$8),F$9)</f>
        <v>0</v>
      </c>
      <c r="S185" s="27" t="n">
        <f aca="false">MIN(G184*(1+G$8),G$9)</f>
        <v>0</v>
      </c>
      <c r="T185" s="27" t="n">
        <f aca="false">MIN(H184*(1+H$8),H$9)</f>
        <v>0</v>
      </c>
      <c r="U185" s="27" t="n">
        <f aca="false">MIN(I184*(1+I$8),I$9)</f>
        <v>0</v>
      </c>
      <c r="V185" s="27" t="n">
        <f aca="false">MIN(J184*(1+J$8),J$9)</f>
        <v>0</v>
      </c>
      <c r="W185" s="27" t="n">
        <f aca="false">MIN(K184*(1+K$8),K$9)</f>
        <v>0</v>
      </c>
      <c r="X185" s="27" t="n">
        <f aca="false">MIN(B184*(1+B$8),MAX(N185,$B$11-SUM(O185:W185)))</f>
        <v>0</v>
      </c>
      <c r="Y185" s="27" t="n">
        <f aca="false">MIN(C184*(1+C$8),MAX(O185,$B$11-SUM(X185:X185)-SUM(P185:W185)))</f>
        <v>0</v>
      </c>
      <c r="Z185" s="27" t="n">
        <f aca="false">MIN(D184*(1+D$8),MAX(P185,$B$11-SUM(X185:Y185)-SUM(Q185:W185)))</f>
        <v>0</v>
      </c>
      <c r="AA185" s="27" t="n">
        <f aca="false">MIN(E184*(1+E$8),MAX(Q185,$B$11-SUM(X185:Z185)-SUM(R185:W185)))</f>
        <v>0</v>
      </c>
      <c r="AB185" s="27" t="n">
        <f aca="false">MIN(F184*(1+F$8),MAX(R185,$B$11-SUM(X185:AA185)-SUM(S185:W185)))</f>
        <v>0</v>
      </c>
      <c r="AC185" s="27" t="n">
        <f aca="false">MIN(G184*(1+G$8),MAX(S185,$B$11-SUM(X185:AB185)-SUM(T185:W185)))</f>
        <v>0</v>
      </c>
      <c r="AD185" s="27" t="n">
        <f aca="false">MIN(H184*(1+H$8),MAX(T185,$B$11-SUM(X185:AC185)-SUM(U185:W185)))</f>
        <v>0</v>
      </c>
      <c r="AE185" s="27" t="n">
        <f aca="false">MIN(I184*(1+I$8),MAX(U185,$B$11-SUM(X185:AD185)-SUM(V185:W185)))</f>
        <v>0</v>
      </c>
      <c r="AF185" s="27" t="n">
        <f aca="false">MIN(J184*(1+J$8),MAX(V185,$B$11-SUM(X185:AE185)-SUM(W185:W185)))</f>
        <v>0</v>
      </c>
      <c r="AG185" s="27" t="n">
        <f aca="false">MIN(K184*(1+K$8),MAX(W185,$B$11-SUM(X185:AF185)))</f>
        <v>0</v>
      </c>
      <c r="AI185" s="27" t="n">
        <f aca="false">ROUND(MAX(0,AI184*(1+B$8)-BE185),2)</f>
        <v>0</v>
      </c>
      <c r="AJ185" s="27" t="n">
        <f aca="false">ROUND(MAX(0,AJ184*(1+C$8)-BF185),2)</f>
        <v>0</v>
      </c>
      <c r="AK185" s="27" t="n">
        <f aca="false">ROUND(MAX(0,AK184*(1+D$8)-BG185),2)</f>
        <v>0</v>
      </c>
      <c r="AL185" s="27" t="n">
        <f aca="false">ROUND(MAX(0,AL184*(1+E$8)-BH185),2)</f>
        <v>0</v>
      </c>
      <c r="AM185" s="27" t="n">
        <f aca="false">ROUND(MAX(0,AM184*(1+F$8)-BI185),2)</f>
        <v>0</v>
      </c>
      <c r="AN185" s="27" t="n">
        <f aca="false">ROUND(MAX(0,AN184*(1+G$8)-BJ185),2)</f>
        <v>0</v>
      </c>
      <c r="AO185" s="27" t="n">
        <f aca="false">ROUND(MAX(0,AO184*(1+H$8)-BK185),2)</f>
        <v>0</v>
      </c>
      <c r="AP185" s="27" t="n">
        <f aca="false">ROUND(MAX(0,AP184*(1+I$8)-BL185),2)</f>
        <v>0</v>
      </c>
      <c r="AQ185" s="27" t="n">
        <f aca="false">ROUND(MAX(0,AQ184*(1+J$8)-BM185),2)</f>
        <v>0</v>
      </c>
      <c r="AR185" s="27" t="n">
        <f aca="false">ROUND(MAX(0,AR184*(1+K$8)-BN185),2)</f>
        <v>0</v>
      </c>
      <c r="AS185" s="27" t="n">
        <f aca="false">SUM(AI185:AR185)</f>
        <v>0</v>
      </c>
      <c r="AT185" s="27" t="n">
        <f aca="false">SUMPRODUCT(AI184:AR184,$B$8:$K$8)</f>
        <v>0</v>
      </c>
      <c r="AU185" s="27" t="n">
        <f aca="false">MIN(AI184*(1+B$8),B$9)</f>
        <v>0</v>
      </c>
      <c r="AV185" s="27" t="n">
        <f aca="false">MIN(AJ184*(1+C$8),C$9)</f>
        <v>0</v>
      </c>
      <c r="AW185" s="27" t="n">
        <f aca="false">MIN(AK184*(1+D$8),D$9)</f>
        <v>0</v>
      </c>
      <c r="AX185" s="27" t="n">
        <f aca="false">MIN(AL184*(1+E$8),E$9)</f>
        <v>0</v>
      </c>
      <c r="AY185" s="27" t="n">
        <f aca="false">MIN(AM184*(1+F$8),F$9)</f>
        <v>0</v>
      </c>
      <c r="AZ185" s="27" t="n">
        <f aca="false">MIN(AN184*(1+G$8),G$9)</f>
        <v>0</v>
      </c>
      <c r="BA185" s="27" t="n">
        <f aca="false">MIN(AO184*(1+H$8),H$9)</f>
        <v>0</v>
      </c>
      <c r="BB185" s="27" t="n">
        <f aca="false">MIN(AP184*(1+I$8),I$9)</f>
        <v>0</v>
      </c>
      <c r="BC185" s="27" t="n">
        <f aca="false">MIN(AQ184*(1+J$8),J$9)</f>
        <v>0</v>
      </c>
      <c r="BD185" s="27" t="n">
        <f aca="false">MIN(AR184*(1+K$8),K$9)</f>
        <v>0</v>
      </c>
      <c r="BE185" s="27" t="n">
        <f aca="false">MIN(AI184*(1+B$8),MAX(AU185,$B$12-SUM(AV185:BD185)))</f>
        <v>0</v>
      </c>
      <c r="BF185" s="27" t="n">
        <f aca="false">MIN(AJ184*(1+C$8),MAX(AV185,$B$12-SUM(BE185:BE185)-SUM(AW185:BD185)))</f>
        <v>0</v>
      </c>
      <c r="BG185" s="27" t="n">
        <f aca="false">MIN(AK184*(1+D$8),MAX(AW185,$B$12-SUM(BE185:BF185)-SUM(AX185:BD185)))</f>
        <v>0</v>
      </c>
      <c r="BH185" s="27" t="n">
        <f aca="false">MIN(AL184*(1+E$8),MAX(AX185,$B$12-SUM(BE185:BG185)-SUM(AY185:BD185)))</f>
        <v>0</v>
      </c>
      <c r="BI185" s="27" t="n">
        <f aca="false">MIN(AM184*(1+F$8),MAX(AY185,$B$12-SUM(BE185:BH185)-SUM(AZ185:BD185)))</f>
        <v>0</v>
      </c>
      <c r="BJ185" s="27" t="n">
        <f aca="false">MIN(AN184*(1+G$8),MAX(AZ185,$B$12-SUM(BE185:BI185)-SUM(BA185:BD185)))</f>
        <v>0</v>
      </c>
      <c r="BK185" s="27" t="n">
        <f aca="false">MIN(AO184*(1+H$8),MAX(BA185,$B$12-SUM(BE185:BJ185)-SUM(BB185:BD185)))</f>
        <v>0</v>
      </c>
      <c r="BL185" s="27" t="n">
        <f aca="false">MIN(AP184*(1+I$8),MAX(BB185,$B$12-SUM(BE185:BK185)-SUM(BC185:BD185)))</f>
        <v>0</v>
      </c>
      <c r="BM185" s="27" t="n">
        <f aca="false">MIN(AQ184*(1+J$8),MAX(BC185,$B$12-SUM(BE185:BL185)-SUM(BD185:BD185)))</f>
        <v>0</v>
      </c>
      <c r="BN185" s="27" t="n">
        <f aca="false">MIN(AR184*(1+K$8),MAX(BD185,$B$12-SUM(BE185:BM185)))</f>
        <v>0</v>
      </c>
    </row>
    <row r="186" customFormat="false" ht="15" hidden="false" customHeight="false" outlineLevel="0" collapsed="false">
      <c r="A186" s="0" t="n">
        <v>172</v>
      </c>
      <c r="B186" s="27" t="n">
        <f aca="false">ROUND(MAX(0,B185*(1+B$8)-X186),2)</f>
        <v>0</v>
      </c>
      <c r="C186" s="27" t="n">
        <f aca="false">ROUND(MAX(0,C185*(1+C$8)-Y186),2)</f>
        <v>0</v>
      </c>
      <c r="D186" s="27" t="n">
        <f aca="false">ROUND(MAX(0,D185*(1+D$8)-Z186),2)</f>
        <v>0</v>
      </c>
      <c r="E186" s="27" t="n">
        <f aca="false">ROUND(MAX(0,E185*(1+E$8)-AA186),2)</f>
        <v>0</v>
      </c>
      <c r="F186" s="27" t="n">
        <f aca="false">ROUND(MAX(0,F185*(1+F$8)-AB186),2)</f>
        <v>0</v>
      </c>
      <c r="G186" s="27" t="n">
        <f aca="false">ROUND(MAX(0,G185*(1+G$8)-AC186),2)</f>
        <v>0</v>
      </c>
      <c r="H186" s="27" t="n">
        <f aca="false">ROUND(MAX(0,H185*(1+H$8)-AD186),2)</f>
        <v>0</v>
      </c>
      <c r="I186" s="27" t="n">
        <f aca="false">ROUND(MAX(0,I185*(1+I$8)-AE186),2)</f>
        <v>0</v>
      </c>
      <c r="J186" s="27" t="n">
        <f aca="false">ROUND(MAX(0,J185*(1+J$8)-AF186),2)</f>
        <v>0</v>
      </c>
      <c r="K186" s="27" t="n">
        <f aca="false">ROUND(MAX(0,K185*(1+K$8)-AG186),2)</f>
        <v>0</v>
      </c>
      <c r="L186" s="30" t="n">
        <f aca="false">SUM(B186:K186)</f>
        <v>0</v>
      </c>
      <c r="M186" s="27" t="n">
        <f aca="false">SUMPRODUCT(B185:K185,$B$8:$K$8)</f>
        <v>0</v>
      </c>
      <c r="N186" s="27" t="n">
        <f aca="false">MIN(B185*(1+B$8),B$9)</f>
        <v>0</v>
      </c>
      <c r="O186" s="27" t="n">
        <f aca="false">MIN(C185*(1+C$8),C$9)</f>
        <v>0</v>
      </c>
      <c r="P186" s="27" t="n">
        <f aca="false">MIN(D185*(1+D$8),D$9)</f>
        <v>0</v>
      </c>
      <c r="Q186" s="27" t="n">
        <f aca="false">MIN(E185*(1+E$8),E$9)</f>
        <v>0</v>
      </c>
      <c r="R186" s="27" t="n">
        <f aca="false">MIN(F185*(1+F$8),F$9)</f>
        <v>0</v>
      </c>
      <c r="S186" s="27" t="n">
        <f aca="false">MIN(G185*(1+G$8),G$9)</f>
        <v>0</v>
      </c>
      <c r="T186" s="27" t="n">
        <f aca="false">MIN(H185*(1+H$8),H$9)</f>
        <v>0</v>
      </c>
      <c r="U186" s="27" t="n">
        <f aca="false">MIN(I185*(1+I$8),I$9)</f>
        <v>0</v>
      </c>
      <c r="V186" s="27" t="n">
        <f aca="false">MIN(J185*(1+J$8),J$9)</f>
        <v>0</v>
      </c>
      <c r="W186" s="27" t="n">
        <f aca="false">MIN(K185*(1+K$8),K$9)</f>
        <v>0</v>
      </c>
      <c r="X186" s="27" t="n">
        <f aca="false">MIN(B185*(1+B$8),MAX(N186,$B$11-SUM(O186:W186)))</f>
        <v>0</v>
      </c>
      <c r="Y186" s="27" t="n">
        <f aca="false">MIN(C185*(1+C$8),MAX(O186,$B$11-SUM(X186:X186)-SUM(P186:W186)))</f>
        <v>0</v>
      </c>
      <c r="Z186" s="27" t="n">
        <f aca="false">MIN(D185*(1+D$8),MAX(P186,$B$11-SUM(X186:Y186)-SUM(Q186:W186)))</f>
        <v>0</v>
      </c>
      <c r="AA186" s="27" t="n">
        <f aca="false">MIN(E185*(1+E$8),MAX(Q186,$B$11-SUM(X186:Z186)-SUM(R186:W186)))</f>
        <v>0</v>
      </c>
      <c r="AB186" s="27" t="n">
        <f aca="false">MIN(F185*(1+F$8),MAX(R186,$B$11-SUM(X186:AA186)-SUM(S186:W186)))</f>
        <v>0</v>
      </c>
      <c r="AC186" s="27" t="n">
        <f aca="false">MIN(G185*(1+G$8),MAX(S186,$B$11-SUM(X186:AB186)-SUM(T186:W186)))</f>
        <v>0</v>
      </c>
      <c r="AD186" s="27" t="n">
        <f aca="false">MIN(H185*(1+H$8),MAX(T186,$B$11-SUM(X186:AC186)-SUM(U186:W186)))</f>
        <v>0</v>
      </c>
      <c r="AE186" s="27" t="n">
        <f aca="false">MIN(I185*(1+I$8),MAX(U186,$B$11-SUM(X186:AD186)-SUM(V186:W186)))</f>
        <v>0</v>
      </c>
      <c r="AF186" s="27" t="n">
        <f aca="false">MIN(J185*(1+J$8),MAX(V186,$B$11-SUM(X186:AE186)-SUM(W186:W186)))</f>
        <v>0</v>
      </c>
      <c r="AG186" s="27" t="n">
        <f aca="false">MIN(K185*(1+K$8),MAX(W186,$B$11-SUM(X186:AF186)))</f>
        <v>0</v>
      </c>
      <c r="AI186" s="27" t="n">
        <f aca="false">ROUND(MAX(0,AI185*(1+B$8)-BE186),2)</f>
        <v>0</v>
      </c>
      <c r="AJ186" s="27" t="n">
        <f aca="false">ROUND(MAX(0,AJ185*(1+C$8)-BF186),2)</f>
        <v>0</v>
      </c>
      <c r="AK186" s="27" t="n">
        <f aca="false">ROUND(MAX(0,AK185*(1+D$8)-BG186),2)</f>
        <v>0</v>
      </c>
      <c r="AL186" s="27" t="n">
        <f aca="false">ROUND(MAX(0,AL185*(1+E$8)-BH186),2)</f>
        <v>0</v>
      </c>
      <c r="AM186" s="27" t="n">
        <f aca="false">ROUND(MAX(0,AM185*(1+F$8)-BI186),2)</f>
        <v>0</v>
      </c>
      <c r="AN186" s="27" t="n">
        <f aca="false">ROUND(MAX(0,AN185*(1+G$8)-BJ186),2)</f>
        <v>0</v>
      </c>
      <c r="AO186" s="27" t="n">
        <f aca="false">ROUND(MAX(0,AO185*(1+H$8)-BK186),2)</f>
        <v>0</v>
      </c>
      <c r="AP186" s="27" t="n">
        <f aca="false">ROUND(MAX(0,AP185*(1+I$8)-BL186),2)</f>
        <v>0</v>
      </c>
      <c r="AQ186" s="27" t="n">
        <f aca="false">ROUND(MAX(0,AQ185*(1+J$8)-BM186),2)</f>
        <v>0</v>
      </c>
      <c r="AR186" s="27" t="n">
        <f aca="false">ROUND(MAX(0,AR185*(1+K$8)-BN186),2)</f>
        <v>0</v>
      </c>
      <c r="AS186" s="27" t="n">
        <f aca="false">SUM(AI186:AR186)</f>
        <v>0</v>
      </c>
      <c r="AT186" s="27" t="n">
        <f aca="false">SUMPRODUCT(AI185:AR185,$B$8:$K$8)</f>
        <v>0</v>
      </c>
      <c r="AU186" s="27" t="n">
        <f aca="false">MIN(AI185*(1+B$8),B$9)</f>
        <v>0</v>
      </c>
      <c r="AV186" s="27" t="n">
        <f aca="false">MIN(AJ185*(1+C$8),C$9)</f>
        <v>0</v>
      </c>
      <c r="AW186" s="27" t="n">
        <f aca="false">MIN(AK185*(1+D$8),D$9)</f>
        <v>0</v>
      </c>
      <c r="AX186" s="27" t="n">
        <f aca="false">MIN(AL185*(1+E$8),E$9)</f>
        <v>0</v>
      </c>
      <c r="AY186" s="27" t="n">
        <f aca="false">MIN(AM185*(1+F$8),F$9)</f>
        <v>0</v>
      </c>
      <c r="AZ186" s="27" t="n">
        <f aca="false">MIN(AN185*(1+G$8),G$9)</f>
        <v>0</v>
      </c>
      <c r="BA186" s="27" t="n">
        <f aca="false">MIN(AO185*(1+H$8),H$9)</f>
        <v>0</v>
      </c>
      <c r="BB186" s="27" t="n">
        <f aca="false">MIN(AP185*(1+I$8),I$9)</f>
        <v>0</v>
      </c>
      <c r="BC186" s="27" t="n">
        <f aca="false">MIN(AQ185*(1+J$8),J$9)</f>
        <v>0</v>
      </c>
      <c r="BD186" s="27" t="n">
        <f aca="false">MIN(AR185*(1+K$8),K$9)</f>
        <v>0</v>
      </c>
      <c r="BE186" s="27" t="n">
        <f aca="false">MIN(AI185*(1+B$8),MAX(AU186,$B$12-SUM(AV186:BD186)))</f>
        <v>0</v>
      </c>
      <c r="BF186" s="27" t="n">
        <f aca="false">MIN(AJ185*(1+C$8),MAX(AV186,$B$12-SUM(BE186:BE186)-SUM(AW186:BD186)))</f>
        <v>0</v>
      </c>
      <c r="BG186" s="27" t="n">
        <f aca="false">MIN(AK185*(1+D$8),MAX(AW186,$B$12-SUM(BE186:BF186)-SUM(AX186:BD186)))</f>
        <v>0</v>
      </c>
      <c r="BH186" s="27" t="n">
        <f aca="false">MIN(AL185*(1+E$8),MAX(AX186,$B$12-SUM(BE186:BG186)-SUM(AY186:BD186)))</f>
        <v>0</v>
      </c>
      <c r="BI186" s="27" t="n">
        <f aca="false">MIN(AM185*(1+F$8),MAX(AY186,$B$12-SUM(BE186:BH186)-SUM(AZ186:BD186)))</f>
        <v>0</v>
      </c>
      <c r="BJ186" s="27" t="n">
        <f aca="false">MIN(AN185*(1+G$8),MAX(AZ186,$B$12-SUM(BE186:BI186)-SUM(BA186:BD186)))</f>
        <v>0</v>
      </c>
      <c r="BK186" s="27" t="n">
        <f aca="false">MIN(AO185*(1+H$8),MAX(BA186,$B$12-SUM(BE186:BJ186)-SUM(BB186:BD186)))</f>
        <v>0</v>
      </c>
      <c r="BL186" s="27" t="n">
        <f aca="false">MIN(AP185*(1+I$8),MAX(BB186,$B$12-SUM(BE186:BK186)-SUM(BC186:BD186)))</f>
        <v>0</v>
      </c>
      <c r="BM186" s="27" t="n">
        <f aca="false">MIN(AQ185*(1+J$8),MAX(BC186,$B$12-SUM(BE186:BL186)-SUM(BD186:BD186)))</f>
        <v>0</v>
      </c>
      <c r="BN186" s="27" t="n">
        <f aca="false">MIN(AR185*(1+K$8),MAX(BD186,$B$12-SUM(BE186:BM186)))</f>
        <v>0</v>
      </c>
    </row>
    <row r="187" customFormat="false" ht="15" hidden="false" customHeight="false" outlineLevel="0" collapsed="false">
      <c r="A187" s="0" t="n">
        <v>173</v>
      </c>
      <c r="B187" s="27" t="n">
        <f aca="false">ROUND(MAX(0,B186*(1+B$8)-X187),2)</f>
        <v>0</v>
      </c>
      <c r="C187" s="27" t="n">
        <f aca="false">ROUND(MAX(0,C186*(1+C$8)-Y187),2)</f>
        <v>0</v>
      </c>
      <c r="D187" s="27" t="n">
        <f aca="false">ROUND(MAX(0,D186*(1+D$8)-Z187),2)</f>
        <v>0</v>
      </c>
      <c r="E187" s="27" t="n">
        <f aca="false">ROUND(MAX(0,E186*(1+E$8)-AA187),2)</f>
        <v>0</v>
      </c>
      <c r="F187" s="27" t="n">
        <f aca="false">ROUND(MAX(0,F186*(1+F$8)-AB187),2)</f>
        <v>0</v>
      </c>
      <c r="G187" s="27" t="n">
        <f aca="false">ROUND(MAX(0,G186*(1+G$8)-AC187),2)</f>
        <v>0</v>
      </c>
      <c r="H187" s="27" t="n">
        <f aca="false">ROUND(MAX(0,H186*(1+H$8)-AD187),2)</f>
        <v>0</v>
      </c>
      <c r="I187" s="27" t="n">
        <f aca="false">ROUND(MAX(0,I186*(1+I$8)-AE187),2)</f>
        <v>0</v>
      </c>
      <c r="J187" s="27" t="n">
        <f aca="false">ROUND(MAX(0,J186*(1+J$8)-AF187),2)</f>
        <v>0</v>
      </c>
      <c r="K187" s="27" t="n">
        <f aca="false">ROUND(MAX(0,K186*(1+K$8)-AG187),2)</f>
        <v>0</v>
      </c>
      <c r="L187" s="30" t="n">
        <f aca="false">SUM(B187:K187)</f>
        <v>0</v>
      </c>
      <c r="M187" s="27" t="n">
        <f aca="false">SUMPRODUCT(B186:K186,$B$8:$K$8)</f>
        <v>0</v>
      </c>
      <c r="N187" s="27" t="n">
        <f aca="false">MIN(B186*(1+B$8),B$9)</f>
        <v>0</v>
      </c>
      <c r="O187" s="27" t="n">
        <f aca="false">MIN(C186*(1+C$8),C$9)</f>
        <v>0</v>
      </c>
      <c r="P187" s="27" t="n">
        <f aca="false">MIN(D186*(1+D$8),D$9)</f>
        <v>0</v>
      </c>
      <c r="Q187" s="27" t="n">
        <f aca="false">MIN(E186*(1+E$8),E$9)</f>
        <v>0</v>
      </c>
      <c r="R187" s="27" t="n">
        <f aca="false">MIN(F186*(1+F$8),F$9)</f>
        <v>0</v>
      </c>
      <c r="S187" s="27" t="n">
        <f aca="false">MIN(G186*(1+G$8),G$9)</f>
        <v>0</v>
      </c>
      <c r="T187" s="27" t="n">
        <f aca="false">MIN(H186*(1+H$8),H$9)</f>
        <v>0</v>
      </c>
      <c r="U187" s="27" t="n">
        <f aca="false">MIN(I186*(1+I$8),I$9)</f>
        <v>0</v>
      </c>
      <c r="V187" s="27" t="n">
        <f aca="false">MIN(J186*(1+J$8),J$9)</f>
        <v>0</v>
      </c>
      <c r="W187" s="27" t="n">
        <f aca="false">MIN(K186*(1+K$8),K$9)</f>
        <v>0</v>
      </c>
      <c r="X187" s="27" t="n">
        <f aca="false">MIN(B186*(1+B$8),MAX(N187,$B$11-SUM(O187:W187)))</f>
        <v>0</v>
      </c>
      <c r="Y187" s="27" t="n">
        <f aca="false">MIN(C186*(1+C$8),MAX(O187,$B$11-SUM(X187:X187)-SUM(P187:W187)))</f>
        <v>0</v>
      </c>
      <c r="Z187" s="27" t="n">
        <f aca="false">MIN(D186*(1+D$8),MAX(P187,$B$11-SUM(X187:Y187)-SUM(Q187:W187)))</f>
        <v>0</v>
      </c>
      <c r="AA187" s="27" t="n">
        <f aca="false">MIN(E186*(1+E$8),MAX(Q187,$B$11-SUM(X187:Z187)-SUM(R187:W187)))</f>
        <v>0</v>
      </c>
      <c r="AB187" s="27" t="n">
        <f aca="false">MIN(F186*(1+F$8),MAX(R187,$B$11-SUM(X187:AA187)-SUM(S187:W187)))</f>
        <v>0</v>
      </c>
      <c r="AC187" s="27" t="n">
        <f aca="false">MIN(G186*(1+G$8),MAX(S187,$B$11-SUM(X187:AB187)-SUM(T187:W187)))</f>
        <v>0</v>
      </c>
      <c r="AD187" s="27" t="n">
        <f aca="false">MIN(H186*(1+H$8),MAX(T187,$B$11-SUM(X187:AC187)-SUM(U187:W187)))</f>
        <v>0</v>
      </c>
      <c r="AE187" s="27" t="n">
        <f aca="false">MIN(I186*(1+I$8),MAX(U187,$B$11-SUM(X187:AD187)-SUM(V187:W187)))</f>
        <v>0</v>
      </c>
      <c r="AF187" s="27" t="n">
        <f aca="false">MIN(J186*(1+J$8),MAX(V187,$B$11-SUM(X187:AE187)-SUM(W187:W187)))</f>
        <v>0</v>
      </c>
      <c r="AG187" s="27" t="n">
        <f aca="false">MIN(K186*(1+K$8),MAX(W187,$B$11-SUM(X187:AF187)))</f>
        <v>0</v>
      </c>
      <c r="AI187" s="27" t="n">
        <f aca="false">ROUND(MAX(0,AI186*(1+B$8)-BE187),2)</f>
        <v>0</v>
      </c>
      <c r="AJ187" s="27" t="n">
        <f aca="false">ROUND(MAX(0,AJ186*(1+C$8)-BF187),2)</f>
        <v>0</v>
      </c>
      <c r="AK187" s="27" t="n">
        <f aca="false">ROUND(MAX(0,AK186*(1+D$8)-BG187),2)</f>
        <v>0</v>
      </c>
      <c r="AL187" s="27" t="n">
        <f aca="false">ROUND(MAX(0,AL186*(1+E$8)-BH187),2)</f>
        <v>0</v>
      </c>
      <c r="AM187" s="27" t="n">
        <f aca="false">ROUND(MAX(0,AM186*(1+F$8)-BI187),2)</f>
        <v>0</v>
      </c>
      <c r="AN187" s="27" t="n">
        <f aca="false">ROUND(MAX(0,AN186*(1+G$8)-BJ187),2)</f>
        <v>0</v>
      </c>
      <c r="AO187" s="27" t="n">
        <f aca="false">ROUND(MAX(0,AO186*(1+H$8)-BK187),2)</f>
        <v>0</v>
      </c>
      <c r="AP187" s="27" t="n">
        <f aca="false">ROUND(MAX(0,AP186*(1+I$8)-BL187),2)</f>
        <v>0</v>
      </c>
      <c r="AQ187" s="27" t="n">
        <f aca="false">ROUND(MAX(0,AQ186*(1+J$8)-BM187),2)</f>
        <v>0</v>
      </c>
      <c r="AR187" s="27" t="n">
        <f aca="false">ROUND(MAX(0,AR186*(1+K$8)-BN187),2)</f>
        <v>0</v>
      </c>
      <c r="AS187" s="27" t="n">
        <f aca="false">SUM(AI187:AR187)</f>
        <v>0</v>
      </c>
      <c r="AT187" s="27" t="n">
        <f aca="false">SUMPRODUCT(AI186:AR186,$B$8:$K$8)</f>
        <v>0</v>
      </c>
      <c r="AU187" s="27" t="n">
        <f aca="false">MIN(AI186*(1+B$8),B$9)</f>
        <v>0</v>
      </c>
      <c r="AV187" s="27" t="n">
        <f aca="false">MIN(AJ186*(1+C$8),C$9)</f>
        <v>0</v>
      </c>
      <c r="AW187" s="27" t="n">
        <f aca="false">MIN(AK186*(1+D$8),D$9)</f>
        <v>0</v>
      </c>
      <c r="AX187" s="27" t="n">
        <f aca="false">MIN(AL186*(1+E$8),E$9)</f>
        <v>0</v>
      </c>
      <c r="AY187" s="27" t="n">
        <f aca="false">MIN(AM186*(1+F$8),F$9)</f>
        <v>0</v>
      </c>
      <c r="AZ187" s="27" t="n">
        <f aca="false">MIN(AN186*(1+G$8),G$9)</f>
        <v>0</v>
      </c>
      <c r="BA187" s="27" t="n">
        <f aca="false">MIN(AO186*(1+H$8),H$9)</f>
        <v>0</v>
      </c>
      <c r="BB187" s="27" t="n">
        <f aca="false">MIN(AP186*(1+I$8),I$9)</f>
        <v>0</v>
      </c>
      <c r="BC187" s="27" t="n">
        <f aca="false">MIN(AQ186*(1+J$8),J$9)</f>
        <v>0</v>
      </c>
      <c r="BD187" s="27" t="n">
        <f aca="false">MIN(AR186*(1+K$8),K$9)</f>
        <v>0</v>
      </c>
      <c r="BE187" s="27" t="n">
        <f aca="false">MIN(AI186*(1+B$8),MAX(AU187,$B$12-SUM(AV187:BD187)))</f>
        <v>0</v>
      </c>
      <c r="BF187" s="27" t="n">
        <f aca="false">MIN(AJ186*(1+C$8),MAX(AV187,$B$12-SUM(BE187:BE187)-SUM(AW187:BD187)))</f>
        <v>0</v>
      </c>
      <c r="BG187" s="27" t="n">
        <f aca="false">MIN(AK186*(1+D$8),MAX(AW187,$B$12-SUM(BE187:BF187)-SUM(AX187:BD187)))</f>
        <v>0</v>
      </c>
      <c r="BH187" s="27" t="n">
        <f aca="false">MIN(AL186*(1+E$8),MAX(AX187,$B$12-SUM(BE187:BG187)-SUM(AY187:BD187)))</f>
        <v>0</v>
      </c>
      <c r="BI187" s="27" t="n">
        <f aca="false">MIN(AM186*(1+F$8),MAX(AY187,$B$12-SUM(BE187:BH187)-SUM(AZ187:BD187)))</f>
        <v>0</v>
      </c>
      <c r="BJ187" s="27" t="n">
        <f aca="false">MIN(AN186*(1+G$8),MAX(AZ187,$B$12-SUM(BE187:BI187)-SUM(BA187:BD187)))</f>
        <v>0</v>
      </c>
      <c r="BK187" s="27" t="n">
        <f aca="false">MIN(AO186*(1+H$8),MAX(BA187,$B$12-SUM(BE187:BJ187)-SUM(BB187:BD187)))</f>
        <v>0</v>
      </c>
      <c r="BL187" s="27" t="n">
        <f aca="false">MIN(AP186*(1+I$8),MAX(BB187,$B$12-SUM(BE187:BK187)-SUM(BC187:BD187)))</f>
        <v>0</v>
      </c>
      <c r="BM187" s="27" t="n">
        <f aca="false">MIN(AQ186*(1+J$8),MAX(BC187,$B$12-SUM(BE187:BL187)-SUM(BD187:BD187)))</f>
        <v>0</v>
      </c>
      <c r="BN187" s="27" t="n">
        <f aca="false">MIN(AR186*(1+K$8),MAX(BD187,$B$12-SUM(BE187:BM187)))</f>
        <v>0</v>
      </c>
    </row>
    <row r="188" customFormat="false" ht="15" hidden="false" customHeight="false" outlineLevel="0" collapsed="false">
      <c r="A188" s="0" t="n">
        <v>174</v>
      </c>
      <c r="B188" s="27" t="n">
        <f aca="false">ROUND(MAX(0,B187*(1+B$8)-X188),2)</f>
        <v>0</v>
      </c>
      <c r="C188" s="27" t="n">
        <f aca="false">ROUND(MAX(0,C187*(1+C$8)-Y188),2)</f>
        <v>0</v>
      </c>
      <c r="D188" s="27" t="n">
        <f aca="false">ROUND(MAX(0,D187*(1+D$8)-Z188),2)</f>
        <v>0</v>
      </c>
      <c r="E188" s="27" t="n">
        <f aca="false">ROUND(MAX(0,E187*(1+E$8)-AA188),2)</f>
        <v>0</v>
      </c>
      <c r="F188" s="27" t="n">
        <f aca="false">ROUND(MAX(0,F187*(1+F$8)-AB188),2)</f>
        <v>0</v>
      </c>
      <c r="G188" s="27" t="n">
        <f aca="false">ROUND(MAX(0,G187*(1+G$8)-AC188),2)</f>
        <v>0</v>
      </c>
      <c r="H188" s="27" t="n">
        <f aca="false">ROUND(MAX(0,H187*(1+H$8)-AD188),2)</f>
        <v>0</v>
      </c>
      <c r="I188" s="27" t="n">
        <f aca="false">ROUND(MAX(0,I187*(1+I$8)-AE188),2)</f>
        <v>0</v>
      </c>
      <c r="J188" s="27" t="n">
        <f aca="false">ROUND(MAX(0,J187*(1+J$8)-AF188),2)</f>
        <v>0</v>
      </c>
      <c r="K188" s="27" t="n">
        <f aca="false">ROUND(MAX(0,K187*(1+K$8)-AG188),2)</f>
        <v>0</v>
      </c>
      <c r="L188" s="30" t="n">
        <f aca="false">SUM(B188:K188)</f>
        <v>0</v>
      </c>
      <c r="M188" s="27" t="n">
        <f aca="false">SUMPRODUCT(B187:K187,$B$8:$K$8)</f>
        <v>0</v>
      </c>
      <c r="N188" s="27" t="n">
        <f aca="false">MIN(B187*(1+B$8),B$9)</f>
        <v>0</v>
      </c>
      <c r="O188" s="27" t="n">
        <f aca="false">MIN(C187*(1+C$8),C$9)</f>
        <v>0</v>
      </c>
      <c r="P188" s="27" t="n">
        <f aca="false">MIN(D187*(1+D$8),D$9)</f>
        <v>0</v>
      </c>
      <c r="Q188" s="27" t="n">
        <f aca="false">MIN(E187*(1+E$8),E$9)</f>
        <v>0</v>
      </c>
      <c r="R188" s="27" t="n">
        <f aca="false">MIN(F187*(1+F$8),F$9)</f>
        <v>0</v>
      </c>
      <c r="S188" s="27" t="n">
        <f aca="false">MIN(G187*(1+G$8),G$9)</f>
        <v>0</v>
      </c>
      <c r="T188" s="27" t="n">
        <f aca="false">MIN(H187*(1+H$8),H$9)</f>
        <v>0</v>
      </c>
      <c r="U188" s="27" t="n">
        <f aca="false">MIN(I187*(1+I$8),I$9)</f>
        <v>0</v>
      </c>
      <c r="V188" s="27" t="n">
        <f aca="false">MIN(J187*(1+J$8),J$9)</f>
        <v>0</v>
      </c>
      <c r="W188" s="27" t="n">
        <f aca="false">MIN(K187*(1+K$8),K$9)</f>
        <v>0</v>
      </c>
      <c r="X188" s="27" t="n">
        <f aca="false">MIN(B187*(1+B$8),MAX(N188,$B$11-SUM(O188:W188)))</f>
        <v>0</v>
      </c>
      <c r="Y188" s="27" t="n">
        <f aca="false">MIN(C187*(1+C$8),MAX(O188,$B$11-SUM(X188:X188)-SUM(P188:W188)))</f>
        <v>0</v>
      </c>
      <c r="Z188" s="27" t="n">
        <f aca="false">MIN(D187*(1+D$8),MAX(P188,$B$11-SUM(X188:Y188)-SUM(Q188:W188)))</f>
        <v>0</v>
      </c>
      <c r="AA188" s="27" t="n">
        <f aca="false">MIN(E187*(1+E$8),MAX(Q188,$B$11-SUM(X188:Z188)-SUM(R188:W188)))</f>
        <v>0</v>
      </c>
      <c r="AB188" s="27" t="n">
        <f aca="false">MIN(F187*(1+F$8),MAX(R188,$B$11-SUM(X188:AA188)-SUM(S188:W188)))</f>
        <v>0</v>
      </c>
      <c r="AC188" s="27" t="n">
        <f aca="false">MIN(G187*(1+G$8),MAX(S188,$B$11-SUM(X188:AB188)-SUM(T188:W188)))</f>
        <v>0</v>
      </c>
      <c r="AD188" s="27" t="n">
        <f aca="false">MIN(H187*(1+H$8),MAX(T188,$B$11-SUM(X188:AC188)-SUM(U188:W188)))</f>
        <v>0</v>
      </c>
      <c r="AE188" s="27" t="n">
        <f aca="false">MIN(I187*(1+I$8),MAX(U188,$B$11-SUM(X188:AD188)-SUM(V188:W188)))</f>
        <v>0</v>
      </c>
      <c r="AF188" s="27" t="n">
        <f aca="false">MIN(J187*(1+J$8),MAX(V188,$B$11-SUM(X188:AE188)-SUM(W188:W188)))</f>
        <v>0</v>
      </c>
      <c r="AG188" s="27" t="n">
        <f aca="false">MIN(K187*(1+K$8),MAX(W188,$B$11-SUM(X188:AF188)))</f>
        <v>0</v>
      </c>
      <c r="AI188" s="27" t="n">
        <f aca="false">ROUND(MAX(0,AI187*(1+B$8)-BE188),2)</f>
        <v>0</v>
      </c>
      <c r="AJ188" s="27" t="n">
        <f aca="false">ROUND(MAX(0,AJ187*(1+C$8)-BF188),2)</f>
        <v>0</v>
      </c>
      <c r="AK188" s="27" t="n">
        <f aca="false">ROUND(MAX(0,AK187*(1+D$8)-BG188),2)</f>
        <v>0</v>
      </c>
      <c r="AL188" s="27" t="n">
        <f aca="false">ROUND(MAX(0,AL187*(1+E$8)-BH188),2)</f>
        <v>0</v>
      </c>
      <c r="AM188" s="27" t="n">
        <f aca="false">ROUND(MAX(0,AM187*(1+F$8)-BI188),2)</f>
        <v>0</v>
      </c>
      <c r="AN188" s="27" t="n">
        <f aca="false">ROUND(MAX(0,AN187*(1+G$8)-BJ188),2)</f>
        <v>0</v>
      </c>
      <c r="AO188" s="27" t="n">
        <f aca="false">ROUND(MAX(0,AO187*(1+H$8)-BK188),2)</f>
        <v>0</v>
      </c>
      <c r="AP188" s="27" t="n">
        <f aca="false">ROUND(MAX(0,AP187*(1+I$8)-BL188),2)</f>
        <v>0</v>
      </c>
      <c r="AQ188" s="27" t="n">
        <f aca="false">ROUND(MAX(0,AQ187*(1+J$8)-BM188),2)</f>
        <v>0</v>
      </c>
      <c r="AR188" s="27" t="n">
        <f aca="false">ROUND(MAX(0,AR187*(1+K$8)-BN188),2)</f>
        <v>0</v>
      </c>
      <c r="AS188" s="27" t="n">
        <f aca="false">SUM(AI188:AR188)</f>
        <v>0</v>
      </c>
      <c r="AT188" s="27" t="n">
        <f aca="false">SUMPRODUCT(AI187:AR187,$B$8:$K$8)</f>
        <v>0</v>
      </c>
      <c r="AU188" s="27" t="n">
        <f aca="false">MIN(AI187*(1+B$8),B$9)</f>
        <v>0</v>
      </c>
      <c r="AV188" s="27" t="n">
        <f aca="false">MIN(AJ187*(1+C$8),C$9)</f>
        <v>0</v>
      </c>
      <c r="AW188" s="27" t="n">
        <f aca="false">MIN(AK187*(1+D$8),D$9)</f>
        <v>0</v>
      </c>
      <c r="AX188" s="27" t="n">
        <f aca="false">MIN(AL187*(1+E$8),E$9)</f>
        <v>0</v>
      </c>
      <c r="AY188" s="27" t="n">
        <f aca="false">MIN(AM187*(1+F$8),F$9)</f>
        <v>0</v>
      </c>
      <c r="AZ188" s="27" t="n">
        <f aca="false">MIN(AN187*(1+G$8),G$9)</f>
        <v>0</v>
      </c>
      <c r="BA188" s="27" t="n">
        <f aca="false">MIN(AO187*(1+H$8),H$9)</f>
        <v>0</v>
      </c>
      <c r="BB188" s="27" t="n">
        <f aca="false">MIN(AP187*(1+I$8),I$9)</f>
        <v>0</v>
      </c>
      <c r="BC188" s="27" t="n">
        <f aca="false">MIN(AQ187*(1+J$8),J$9)</f>
        <v>0</v>
      </c>
      <c r="BD188" s="27" t="n">
        <f aca="false">MIN(AR187*(1+K$8),K$9)</f>
        <v>0</v>
      </c>
      <c r="BE188" s="27" t="n">
        <f aca="false">MIN(AI187*(1+B$8),MAX(AU188,$B$12-SUM(AV188:BD188)))</f>
        <v>0</v>
      </c>
      <c r="BF188" s="27" t="n">
        <f aca="false">MIN(AJ187*(1+C$8),MAX(AV188,$B$12-SUM(BE188:BE188)-SUM(AW188:BD188)))</f>
        <v>0</v>
      </c>
      <c r="BG188" s="27" t="n">
        <f aca="false">MIN(AK187*(1+D$8),MAX(AW188,$B$12-SUM(BE188:BF188)-SUM(AX188:BD188)))</f>
        <v>0</v>
      </c>
      <c r="BH188" s="27" t="n">
        <f aca="false">MIN(AL187*(1+E$8),MAX(AX188,$B$12-SUM(BE188:BG188)-SUM(AY188:BD188)))</f>
        <v>0</v>
      </c>
      <c r="BI188" s="27" t="n">
        <f aca="false">MIN(AM187*(1+F$8),MAX(AY188,$B$12-SUM(BE188:BH188)-SUM(AZ188:BD188)))</f>
        <v>0</v>
      </c>
      <c r="BJ188" s="27" t="n">
        <f aca="false">MIN(AN187*(1+G$8),MAX(AZ188,$B$12-SUM(BE188:BI188)-SUM(BA188:BD188)))</f>
        <v>0</v>
      </c>
      <c r="BK188" s="27" t="n">
        <f aca="false">MIN(AO187*(1+H$8),MAX(BA188,$B$12-SUM(BE188:BJ188)-SUM(BB188:BD188)))</f>
        <v>0</v>
      </c>
      <c r="BL188" s="27" t="n">
        <f aca="false">MIN(AP187*(1+I$8),MAX(BB188,$B$12-SUM(BE188:BK188)-SUM(BC188:BD188)))</f>
        <v>0</v>
      </c>
      <c r="BM188" s="27" t="n">
        <f aca="false">MIN(AQ187*(1+J$8),MAX(BC188,$B$12-SUM(BE188:BL188)-SUM(BD188:BD188)))</f>
        <v>0</v>
      </c>
      <c r="BN188" s="27" t="n">
        <f aca="false">MIN(AR187*(1+K$8),MAX(BD188,$B$12-SUM(BE188:BM188)))</f>
        <v>0</v>
      </c>
    </row>
    <row r="189" customFormat="false" ht="15" hidden="false" customHeight="false" outlineLevel="0" collapsed="false">
      <c r="A189" s="0" t="n">
        <v>175</v>
      </c>
      <c r="B189" s="27" t="n">
        <f aca="false">ROUND(MAX(0,B188*(1+B$8)-X189),2)</f>
        <v>0</v>
      </c>
      <c r="C189" s="27" t="n">
        <f aca="false">ROUND(MAX(0,C188*(1+C$8)-Y189),2)</f>
        <v>0</v>
      </c>
      <c r="D189" s="27" t="n">
        <f aca="false">ROUND(MAX(0,D188*(1+D$8)-Z189),2)</f>
        <v>0</v>
      </c>
      <c r="E189" s="27" t="n">
        <f aca="false">ROUND(MAX(0,E188*(1+E$8)-AA189),2)</f>
        <v>0</v>
      </c>
      <c r="F189" s="27" t="n">
        <f aca="false">ROUND(MAX(0,F188*(1+F$8)-AB189),2)</f>
        <v>0</v>
      </c>
      <c r="G189" s="27" t="n">
        <f aca="false">ROUND(MAX(0,G188*(1+G$8)-AC189),2)</f>
        <v>0</v>
      </c>
      <c r="H189" s="27" t="n">
        <f aca="false">ROUND(MAX(0,H188*(1+H$8)-AD189),2)</f>
        <v>0</v>
      </c>
      <c r="I189" s="27" t="n">
        <f aca="false">ROUND(MAX(0,I188*(1+I$8)-AE189),2)</f>
        <v>0</v>
      </c>
      <c r="J189" s="27" t="n">
        <f aca="false">ROUND(MAX(0,J188*(1+J$8)-AF189),2)</f>
        <v>0</v>
      </c>
      <c r="K189" s="27" t="n">
        <f aca="false">ROUND(MAX(0,K188*(1+K$8)-AG189),2)</f>
        <v>0</v>
      </c>
      <c r="L189" s="30" t="n">
        <f aca="false">SUM(B189:K189)</f>
        <v>0</v>
      </c>
      <c r="M189" s="27" t="n">
        <f aca="false">SUMPRODUCT(B188:K188,$B$8:$K$8)</f>
        <v>0</v>
      </c>
      <c r="N189" s="27" t="n">
        <f aca="false">MIN(B188*(1+B$8),B$9)</f>
        <v>0</v>
      </c>
      <c r="O189" s="27" t="n">
        <f aca="false">MIN(C188*(1+C$8),C$9)</f>
        <v>0</v>
      </c>
      <c r="P189" s="27" t="n">
        <f aca="false">MIN(D188*(1+D$8),D$9)</f>
        <v>0</v>
      </c>
      <c r="Q189" s="27" t="n">
        <f aca="false">MIN(E188*(1+E$8),E$9)</f>
        <v>0</v>
      </c>
      <c r="R189" s="27" t="n">
        <f aca="false">MIN(F188*(1+F$8),F$9)</f>
        <v>0</v>
      </c>
      <c r="S189" s="27" t="n">
        <f aca="false">MIN(G188*(1+G$8),G$9)</f>
        <v>0</v>
      </c>
      <c r="T189" s="27" t="n">
        <f aca="false">MIN(H188*(1+H$8),H$9)</f>
        <v>0</v>
      </c>
      <c r="U189" s="27" t="n">
        <f aca="false">MIN(I188*(1+I$8),I$9)</f>
        <v>0</v>
      </c>
      <c r="V189" s="27" t="n">
        <f aca="false">MIN(J188*(1+J$8),J$9)</f>
        <v>0</v>
      </c>
      <c r="W189" s="27" t="n">
        <f aca="false">MIN(K188*(1+K$8),K$9)</f>
        <v>0</v>
      </c>
      <c r="X189" s="27" t="n">
        <f aca="false">MIN(B188*(1+B$8),MAX(N189,$B$11-SUM(O189:W189)))</f>
        <v>0</v>
      </c>
      <c r="Y189" s="27" t="n">
        <f aca="false">MIN(C188*(1+C$8),MAX(O189,$B$11-SUM(X189:X189)-SUM(P189:W189)))</f>
        <v>0</v>
      </c>
      <c r="Z189" s="27" t="n">
        <f aca="false">MIN(D188*(1+D$8),MAX(P189,$B$11-SUM(X189:Y189)-SUM(Q189:W189)))</f>
        <v>0</v>
      </c>
      <c r="AA189" s="27" t="n">
        <f aca="false">MIN(E188*(1+E$8),MAX(Q189,$B$11-SUM(X189:Z189)-SUM(R189:W189)))</f>
        <v>0</v>
      </c>
      <c r="AB189" s="27" t="n">
        <f aca="false">MIN(F188*(1+F$8),MAX(R189,$B$11-SUM(X189:AA189)-SUM(S189:W189)))</f>
        <v>0</v>
      </c>
      <c r="AC189" s="27" t="n">
        <f aca="false">MIN(G188*(1+G$8),MAX(S189,$B$11-SUM(X189:AB189)-SUM(T189:W189)))</f>
        <v>0</v>
      </c>
      <c r="AD189" s="27" t="n">
        <f aca="false">MIN(H188*(1+H$8),MAX(T189,$B$11-SUM(X189:AC189)-SUM(U189:W189)))</f>
        <v>0</v>
      </c>
      <c r="AE189" s="27" t="n">
        <f aca="false">MIN(I188*(1+I$8),MAX(U189,$B$11-SUM(X189:AD189)-SUM(V189:W189)))</f>
        <v>0</v>
      </c>
      <c r="AF189" s="27" t="n">
        <f aca="false">MIN(J188*(1+J$8),MAX(V189,$B$11-SUM(X189:AE189)-SUM(W189:W189)))</f>
        <v>0</v>
      </c>
      <c r="AG189" s="27" t="n">
        <f aca="false">MIN(K188*(1+K$8),MAX(W189,$B$11-SUM(X189:AF189)))</f>
        <v>0</v>
      </c>
      <c r="AI189" s="27" t="n">
        <f aca="false">ROUND(MAX(0,AI188*(1+B$8)-BE189),2)</f>
        <v>0</v>
      </c>
      <c r="AJ189" s="27" t="n">
        <f aca="false">ROUND(MAX(0,AJ188*(1+C$8)-BF189),2)</f>
        <v>0</v>
      </c>
      <c r="AK189" s="27" t="n">
        <f aca="false">ROUND(MAX(0,AK188*(1+D$8)-BG189),2)</f>
        <v>0</v>
      </c>
      <c r="AL189" s="27" t="n">
        <f aca="false">ROUND(MAX(0,AL188*(1+E$8)-BH189),2)</f>
        <v>0</v>
      </c>
      <c r="AM189" s="27" t="n">
        <f aca="false">ROUND(MAX(0,AM188*(1+F$8)-BI189),2)</f>
        <v>0</v>
      </c>
      <c r="AN189" s="27" t="n">
        <f aca="false">ROUND(MAX(0,AN188*(1+G$8)-BJ189),2)</f>
        <v>0</v>
      </c>
      <c r="AO189" s="27" t="n">
        <f aca="false">ROUND(MAX(0,AO188*(1+H$8)-BK189),2)</f>
        <v>0</v>
      </c>
      <c r="AP189" s="27" t="n">
        <f aca="false">ROUND(MAX(0,AP188*(1+I$8)-BL189),2)</f>
        <v>0</v>
      </c>
      <c r="AQ189" s="27" t="n">
        <f aca="false">ROUND(MAX(0,AQ188*(1+J$8)-BM189),2)</f>
        <v>0</v>
      </c>
      <c r="AR189" s="27" t="n">
        <f aca="false">ROUND(MAX(0,AR188*(1+K$8)-BN189),2)</f>
        <v>0</v>
      </c>
      <c r="AS189" s="27" t="n">
        <f aca="false">SUM(AI189:AR189)</f>
        <v>0</v>
      </c>
      <c r="AT189" s="27" t="n">
        <f aca="false">SUMPRODUCT(AI188:AR188,$B$8:$K$8)</f>
        <v>0</v>
      </c>
      <c r="AU189" s="27" t="n">
        <f aca="false">MIN(AI188*(1+B$8),B$9)</f>
        <v>0</v>
      </c>
      <c r="AV189" s="27" t="n">
        <f aca="false">MIN(AJ188*(1+C$8),C$9)</f>
        <v>0</v>
      </c>
      <c r="AW189" s="27" t="n">
        <f aca="false">MIN(AK188*(1+D$8),D$9)</f>
        <v>0</v>
      </c>
      <c r="AX189" s="27" t="n">
        <f aca="false">MIN(AL188*(1+E$8),E$9)</f>
        <v>0</v>
      </c>
      <c r="AY189" s="27" t="n">
        <f aca="false">MIN(AM188*(1+F$8),F$9)</f>
        <v>0</v>
      </c>
      <c r="AZ189" s="27" t="n">
        <f aca="false">MIN(AN188*(1+G$8),G$9)</f>
        <v>0</v>
      </c>
      <c r="BA189" s="27" t="n">
        <f aca="false">MIN(AO188*(1+H$8),H$9)</f>
        <v>0</v>
      </c>
      <c r="BB189" s="27" t="n">
        <f aca="false">MIN(AP188*(1+I$8),I$9)</f>
        <v>0</v>
      </c>
      <c r="BC189" s="27" t="n">
        <f aca="false">MIN(AQ188*(1+J$8),J$9)</f>
        <v>0</v>
      </c>
      <c r="BD189" s="27" t="n">
        <f aca="false">MIN(AR188*(1+K$8),K$9)</f>
        <v>0</v>
      </c>
      <c r="BE189" s="27" t="n">
        <f aca="false">MIN(AI188*(1+B$8),MAX(AU189,$B$12-SUM(AV189:BD189)))</f>
        <v>0</v>
      </c>
      <c r="BF189" s="27" t="n">
        <f aca="false">MIN(AJ188*(1+C$8),MAX(AV189,$B$12-SUM(BE189:BE189)-SUM(AW189:BD189)))</f>
        <v>0</v>
      </c>
      <c r="BG189" s="27" t="n">
        <f aca="false">MIN(AK188*(1+D$8),MAX(AW189,$B$12-SUM(BE189:BF189)-SUM(AX189:BD189)))</f>
        <v>0</v>
      </c>
      <c r="BH189" s="27" t="n">
        <f aca="false">MIN(AL188*(1+E$8),MAX(AX189,$B$12-SUM(BE189:BG189)-SUM(AY189:BD189)))</f>
        <v>0</v>
      </c>
      <c r="BI189" s="27" t="n">
        <f aca="false">MIN(AM188*(1+F$8),MAX(AY189,$B$12-SUM(BE189:BH189)-SUM(AZ189:BD189)))</f>
        <v>0</v>
      </c>
      <c r="BJ189" s="27" t="n">
        <f aca="false">MIN(AN188*(1+G$8),MAX(AZ189,$B$12-SUM(BE189:BI189)-SUM(BA189:BD189)))</f>
        <v>0</v>
      </c>
      <c r="BK189" s="27" t="n">
        <f aca="false">MIN(AO188*(1+H$8),MAX(BA189,$B$12-SUM(BE189:BJ189)-SUM(BB189:BD189)))</f>
        <v>0</v>
      </c>
      <c r="BL189" s="27" t="n">
        <f aca="false">MIN(AP188*(1+I$8),MAX(BB189,$B$12-SUM(BE189:BK189)-SUM(BC189:BD189)))</f>
        <v>0</v>
      </c>
      <c r="BM189" s="27" t="n">
        <f aca="false">MIN(AQ188*(1+J$8),MAX(BC189,$B$12-SUM(BE189:BL189)-SUM(BD189:BD189)))</f>
        <v>0</v>
      </c>
      <c r="BN189" s="27" t="n">
        <f aca="false">MIN(AR188*(1+K$8),MAX(BD189,$B$12-SUM(BE189:BM189)))</f>
        <v>0</v>
      </c>
    </row>
    <row r="190" customFormat="false" ht="15" hidden="false" customHeight="false" outlineLevel="0" collapsed="false">
      <c r="A190" s="0" t="n">
        <v>176</v>
      </c>
      <c r="B190" s="27" t="n">
        <f aca="false">ROUND(MAX(0,B189*(1+B$8)-X190),2)</f>
        <v>0</v>
      </c>
      <c r="C190" s="27" t="n">
        <f aca="false">ROUND(MAX(0,C189*(1+C$8)-Y190),2)</f>
        <v>0</v>
      </c>
      <c r="D190" s="27" t="n">
        <f aca="false">ROUND(MAX(0,D189*(1+D$8)-Z190),2)</f>
        <v>0</v>
      </c>
      <c r="E190" s="27" t="n">
        <f aca="false">ROUND(MAX(0,E189*(1+E$8)-AA190),2)</f>
        <v>0</v>
      </c>
      <c r="F190" s="27" t="n">
        <f aca="false">ROUND(MAX(0,F189*(1+F$8)-AB190),2)</f>
        <v>0</v>
      </c>
      <c r="G190" s="27" t="n">
        <f aca="false">ROUND(MAX(0,G189*(1+G$8)-AC190),2)</f>
        <v>0</v>
      </c>
      <c r="H190" s="27" t="n">
        <f aca="false">ROUND(MAX(0,H189*(1+H$8)-AD190),2)</f>
        <v>0</v>
      </c>
      <c r="I190" s="27" t="n">
        <f aca="false">ROUND(MAX(0,I189*(1+I$8)-AE190),2)</f>
        <v>0</v>
      </c>
      <c r="J190" s="27" t="n">
        <f aca="false">ROUND(MAX(0,J189*(1+J$8)-AF190),2)</f>
        <v>0</v>
      </c>
      <c r="K190" s="27" t="n">
        <f aca="false">ROUND(MAX(0,K189*(1+K$8)-AG190),2)</f>
        <v>0</v>
      </c>
      <c r="L190" s="30" t="n">
        <f aca="false">SUM(B190:K190)</f>
        <v>0</v>
      </c>
      <c r="M190" s="27" t="n">
        <f aca="false">SUMPRODUCT(B189:K189,$B$8:$K$8)</f>
        <v>0</v>
      </c>
      <c r="N190" s="27" t="n">
        <f aca="false">MIN(B189*(1+B$8),B$9)</f>
        <v>0</v>
      </c>
      <c r="O190" s="27" t="n">
        <f aca="false">MIN(C189*(1+C$8),C$9)</f>
        <v>0</v>
      </c>
      <c r="P190" s="27" t="n">
        <f aca="false">MIN(D189*(1+D$8),D$9)</f>
        <v>0</v>
      </c>
      <c r="Q190" s="27" t="n">
        <f aca="false">MIN(E189*(1+E$8),E$9)</f>
        <v>0</v>
      </c>
      <c r="R190" s="27" t="n">
        <f aca="false">MIN(F189*(1+F$8),F$9)</f>
        <v>0</v>
      </c>
      <c r="S190" s="27" t="n">
        <f aca="false">MIN(G189*(1+G$8),G$9)</f>
        <v>0</v>
      </c>
      <c r="T190" s="27" t="n">
        <f aca="false">MIN(H189*(1+H$8),H$9)</f>
        <v>0</v>
      </c>
      <c r="U190" s="27" t="n">
        <f aca="false">MIN(I189*(1+I$8),I$9)</f>
        <v>0</v>
      </c>
      <c r="V190" s="27" t="n">
        <f aca="false">MIN(J189*(1+J$8),J$9)</f>
        <v>0</v>
      </c>
      <c r="W190" s="27" t="n">
        <f aca="false">MIN(K189*(1+K$8),K$9)</f>
        <v>0</v>
      </c>
      <c r="X190" s="27" t="n">
        <f aca="false">MIN(B189*(1+B$8),MAX(N190,$B$11-SUM(O190:W190)))</f>
        <v>0</v>
      </c>
      <c r="Y190" s="27" t="n">
        <f aca="false">MIN(C189*(1+C$8),MAX(O190,$B$11-SUM(X190:X190)-SUM(P190:W190)))</f>
        <v>0</v>
      </c>
      <c r="Z190" s="27" t="n">
        <f aca="false">MIN(D189*(1+D$8),MAX(P190,$B$11-SUM(X190:Y190)-SUM(Q190:W190)))</f>
        <v>0</v>
      </c>
      <c r="AA190" s="27" t="n">
        <f aca="false">MIN(E189*(1+E$8),MAX(Q190,$B$11-SUM(X190:Z190)-SUM(R190:W190)))</f>
        <v>0</v>
      </c>
      <c r="AB190" s="27" t="n">
        <f aca="false">MIN(F189*(1+F$8),MAX(R190,$B$11-SUM(X190:AA190)-SUM(S190:W190)))</f>
        <v>0</v>
      </c>
      <c r="AC190" s="27" t="n">
        <f aca="false">MIN(G189*(1+G$8),MAX(S190,$B$11-SUM(X190:AB190)-SUM(T190:W190)))</f>
        <v>0</v>
      </c>
      <c r="AD190" s="27" t="n">
        <f aca="false">MIN(H189*(1+H$8),MAX(T190,$B$11-SUM(X190:AC190)-SUM(U190:W190)))</f>
        <v>0</v>
      </c>
      <c r="AE190" s="27" t="n">
        <f aca="false">MIN(I189*(1+I$8),MAX(U190,$B$11-SUM(X190:AD190)-SUM(V190:W190)))</f>
        <v>0</v>
      </c>
      <c r="AF190" s="27" t="n">
        <f aca="false">MIN(J189*(1+J$8),MAX(V190,$B$11-SUM(X190:AE190)-SUM(W190:W190)))</f>
        <v>0</v>
      </c>
      <c r="AG190" s="27" t="n">
        <f aca="false">MIN(K189*(1+K$8),MAX(W190,$B$11-SUM(X190:AF190)))</f>
        <v>0</v>
      </c>
      <c r="AI190" s="27" t="n">
        <f aca="false">ROUND(MAX(0,AI189*(1+B$8)-BE190),2)</f>
        <v>0</v>
      </c>
      <c r="AJ190" s="27" t="n">
        <f aca="false">ROUND(MAX(0,AJ189*(1+C$8)-BF190),2)</f>
        <v>0</v>
      </c>
      <c r="AK190" s="27" t="n">
        <f aca="false">ROUND(MAX(0,AK189*(1+D$8)-BG190),2)</f>
        <v>0</v>
      </c>
      <c r="AL190" s="27" t="n">
        <f aca="false">ROUND(MAX(0,AL189*(1+E$8)-BH190),2)</f>
        <v>0</v>
      </c>
      <c r="AM190" s="27" t="n">
        <f aca="false">ROUND(MAX(0,AM189*(1+F$8)-BI190),2)</f>
        <v>0</v>
      </c>
      <c r="AN190" s="27" t="n">
        <f aca="false">ROUND(MAX(0,AN189*(1+G$8)-BJ190),2)</f>
        <v>0</v>
      </c>
      <c r="AO190" s="27" t="n">
        <f aca="false">ROUND(MAX(0,AO189*(1+H$8)-BK190),2)</f>
        <v>0</v>
      </c>
      <c r="AP190" s="27" t="n">
        <f aca="false">ROUND(MAX(0,AP189*(1+I$8)-BL190),2)</f>
        <v>0</v>
      </c>
      <c r="AQ190" s="27" t="n">
        <f aca="false">ROUND(MAX(0,AQ189*(1+J$8)-BM190),2)</f>
        <v>0</v>
      </c>
      <c r="AR190" s="27" t="n">
        <f aca="false">ROUND(MAX(0,AR189*(1+K$8)-BN190),2)</f>
        <v>0</v>
      </c>
      <c r="AS190" s="27" t="n">
        <f aca="false">SUM(AI190:AR190)</f>
        <v>0</v>
      </c>
      <c r="AT190" s="27" t="n">
        <f aca="false">SUMPRODUCT(AI189:AR189,$B$8:$K$8)</f>
        <v>0</v>
      </c>
      <c r="AU190" s="27" t="n">
        <f aca="false">MIN(AI189*(1+B$8),B$9)</f>
        <v>0</v>
      </c>
      <c r="AV190" s="27" t="n">
        <f aca="false">MIN(AJ189*(1+C$8),C$9)</f>
        <v>0</v>
      </c>
      <c r="AW190" s="27" t="n">
        <f aca="false">MIN(AK189*(1+D$8),D$9)</f>
        <v>0</v>
      </c>
      <c r="AX190" s="27" t="n">
        <f aca="false">MIN(AL189*(1+E$8),E$9)</f>
        <v>0</v>
      </c>
      <c r="AY190" s="27" t="n">
        <f aca="false">MIN(AM189*(1+F$8),F$9)</f>
        <v>0</v>
      </c>
      <c r="AZ190" s="27" t="n">
        <f aca="false">MIN(AN189*(1+G$8),G$9)</f>
        <v>0</v>
      </c>
      <c r="BA190" s="27" t="n">
        <f aca="false">MIN(AO189*(1+H$8),H$9)</f>
        <v>0</v>
      </c>
      <c r="BB190" s="27" t="n">
        <f aca="false">MIN(AP189*(1+I$8),I$9)</f>
        <v>0</v>
      </c>
      <c r="BC190" s="27" t="n">
        <f aca="false">MIN(AQ189*(1+J$8),J$9)</f>
        <v>0</v>
      </c>
      <c r="BD190" s="27" t="n">
        <f aca="false">MIN(AR189*(1+K$8),K$9)</f>
        <v>0</v>
      </c>
      <c r="BE190" s="27" t="n">
        <f aca="false">MIN(AI189*(1+B$8),MAX(AU190,$B$12-SUM(AV190:BD190)))</f>
        <v>0</v>
      </c>
      <c r="BF190" s="27" t="n">
        <f aca="false">MIN(AJ189*(1+C$8),MAX(AV190,$B$12-SUM(BE190:BE190)-SUM(AW190:BD190)))</f>
        <v>0</v>
      </c>
      <c r="BG190" s="27" t="n">
        <f aca="false">MIN(AK189*(1+D$8),MAX(AW190,$B$12-SUM(BE190:BF190)-SUM(AX190:BD190)))</f>
        <v>0</v>
      </c>
      <c r="BH190" s="27" t="n">
        <f aca="false">MIN(AL189*(1+E$8),MAX(AX190,$B$12-SUM(BE190:BG190)-SUM(AY190:BD190)))</f>
        <v>0</v>
      </c>
      <c r="BI190" s="27" t="n">
        <f aca="false">MIN(AM189*(1+F$8),MAX(AY190,$B$12-SUM(BE190:BH190)-SUM(AZ190:BD190)))</f>
        <v>0</v>
      </c>
      <c r="BJ190" s="27" t="n">
        <f aca="false">MIN(AN189*(1+G$8),MAX(AZ190,$B$12-SUM(BE190:BI190)-SUM(BA190:BD190)))</f>
        <v>0</v>
      </c>
      <c r="BK190" s="27" t="n">
        <f aca="false">MIN(AO189*(1+H$8),MAX(BA190,$B$12-SUM(BE190:BJ190)-SUM(BB190:BD190)))</f>
        <v>0</v>
      </c>
      <c r="BL190" s="27" t="n">
        <f aca="false">MIN(AP189*(1+I$8),MAX(BB190,$B$12-SUM(BE190:BK190)-SUM(BC190:BD190)))</f>
        <v>0</v>
      </c>
      <c r="BM190" s="27" t="n">
        <f aca="false">MIN(AQ189*(1+J$8),MAX(BC190,$B$12-SUM(BE190:BL190)-SUM(BD190:BD190)))</f>
        <v>0</v>
      </c>
      <c r="BN190" s="27" t="n">
        <f aca="false">MIN(AR189*(1+K$8),MAX(BD190,$B$12-SUM(BE190:BM190)))</f>
        <v>0</v>
      </c>
    </row>
    <row r="191" customFormat="false" ht="15" hidden="false" customHeight="false" outlineLevel="0" collapsed="false">
      <c r="A191" s="0" t="n">
        <v>177</v>
      </c>
      <c r="B191" s="27" t="n">
        <f aca="false">ROUND(MAX(0,B190*(1+B$8)-X191),2)</f>
        <v>0</v>
      </c>
      <c r="C191" s="27" t="n">
        <f aca="false">ROUND(MAX(0,C190*(1+C$8)-Y191),2)</f>
        <v>0</v>
      </c>
      <c r="D191" s="27" t="n">
        <f aca="false">ROUND(MAX(0,D190*(1+D$8)-Z191),2)</f>
        <v>0</v>
      </c>
      <c r="E191" s="27" t="n">
        <f aca="false">ROUND(MAX(0,E190*(1+E$8)-AA191),2)</f>
        <v>0</v>
      </c>
      <c r="F191" s="27" t="n">
        <f aca="false">ROUND(MAX(0,F190*(1+F$8)-AB191),2)</f>
        <v>0</v>
      </c>
      <c r="G191" s="27" t="n">
        <f aca="false">ROUND(MAX(0,G190*(1+G$8)-AC191),2)</f>
        <v>0</v>
      </c>
      <c r="H191" s="27" t="n">
        <f aca="false">ROUND(MAX(0,H190*(1+H$8)-AD191),2)</f>
        <v>0</v>
      </c>
      <c r="I191" s="27" t="n">
        <f aca="false">ROUND(MAX(0,I190*(1+I$8)-AE191),2)</f>
        <v>0</v>
      </c>
      <c r="J191" s="27" t="n">
        <f aca="false">ROUND(MAX(0,J190*(1+J$8)-AF191),2)</f>
        <v>0</v>
      </c>
      <c r="K191" s="27" t="n">
        <f aca="false">ROUND(MAX(0,K190*(1+K$8)-AG191),2)</f>
        <v>0</v>
      </c>
      <c r="L191" s="30" t="n">
        <f aca="false">SUM(B191:K191)</f>
        <v>0</v>
      </c>
      <c r="M191" s="27" t="n">
        <f aca="false">SUMPRODUCT(B190:K190,$B$8:$K$8)</f>
        <v>0</v>
      </c>
      <c r="N191" s="27" t="n">
        <f aca="false">MIN(B190*(1+B$8),B$9)</f>
        <v>0</v>
      </c>
      <c r="O191" s="27" t="n">
        <f aca="false">MIN(C190*(1+C$8),C$9)</f>
        <v>0</v>
      </c>
      <c r="P191" s="27" t="n">
        <f aca="false">MIN(D190*(1+D$8),D$9)</f>
        <v>0</v>
      </c>
      <c r="Q191" s="27" t="n">
        <f aca="false">MIN(E190*(1+E$8),E$9)</f>
        <v>0</v>
      </c>
      <c r="R191" s="27" t="n">
        <f aca="false">MIN(F190*(1+F$8),F$9)</f>
        <v>0</v>
      </c>
      <c r="S191" s="27" t="n">
        <f aca="false">MIN(G190*(1+G$8),G$9)</f>
        <v>0</v>
      </c>
      <c r="T191" s="27" t="n">
        <f aca="false">MIN(H190*(1+H$8),H$9)</f>
        <v>0</v>
      </c>
      <c r="U191" s="27" t="n">
        <f aca="false">MIN(I190*(1+I$8),I$9)</f>
        <v>0</v>
      </c>
      <c r="V191" s="27" t="n">
        <f aca="false">MIN(J190*(1+J$8),J$9)</f>
        <v>0</v>
      </c>
      <c r="W191" s="27" t="n">
        <f aca="false">MIN(K190*(1+K$8),K$9)</f>
        <v>0</v>
      </c>
      <c r="X191" s="27" t="n">
        <f aca="false">MIN(B190*(1+B$8),MAX(N191,$B$11-SUM(O191:W191)))</f>
        <v>0</v>
      </c>
      <c r="Y191" s="27" t="n">
        <f aca="false">MIN(C190*(1+C$8),MAX(O191,$B$11-SUM(X191:X191)-SUM(P191:W191)))</f>
        <v>0</v>
      </c>
      <c r="Z191" s="27" t="n">
        <f aca="false">MIN(D190*(1+D$8),MAX(P191,$B$11-SUM(X191:Y191)-SUM(Q191:W191)))</f>
        <v>0</v>
      </c>
      <c r="AA191" s="27" t="n">
        <f aca="false">MIN(E190*(1+E$8),MAX(Q191,$B$11-SUM(X191:Z191)-SUM(R191:W191)))</f>
        <v>0</v>
      </c>
      <c r="AB191" s="27" t="n">
        <f aca="false">MIN(F190*(1+F$8),MAX(R191,$B$11-SUM(X191:AA191)-SUM(S191:W191)))</f>
        <v>0</v>
      </c>
      <c r="AC191" s="27" t="n">
        <f aca="false">MIN(G190*(1+G$8),MAX(S191,$B$11-SUM(X191:AB191)-SUM(T191:W191)))</f>
        <v>0</v>
      </c>
      <c r="AD191" s="27" t="n">
        <f aca="false">MIN(H190*(1+H$8),MAX(T191,$B$11-SUM(X191:AC191)-SUM(U191:W191)))</f>
        <v>0</v>
      </c>
      <c r="AE191" s="27" t="n">
        <f aca="false">MIN(I190*(1+I$8),MAX(U191,$B$11-SUM(X191:AD191)-SUM(V191:W191)))</f>
        <v>0</v>
      </c>
      <c r="AF191" s="27" t="n">
        <f aca="false">MIN(J190*(1+J$8),MAX(V191,$B$11-SUM(X191:AE191)-SUM(W191:W191)))</f>
        <v>0</v>
      </c>
      <c r="AG191" s="27" t="n">
        <f aca="false">MIN(K190*(1+K$8),MAX(W191,$B$11-SUM(X191:AF191)))</f>
        <v>0</v>
      </c>
      <c r="AI191" s="27" t="n">
        <f aca="false">ROUND(MAX(0,AI190*(1+B$8)-BE191),2)</f>
        <v>0</v>
      </c>
      <c r="AJ191" s="27" t="n">
        <f aca="false">ROUND(MAX(0,AJ190*(1+C$8)-BF191),2)</f>
        <v>0</v>
      </c>
      <c r="AK191" s="27" t="n">
        <f aca="false">ROUND(MAX(0,AK190*(1+D$8)-BG191),2)</f>
        <v>0</v>
      </c>
      <c r="AL191" s="27" t="n">
        <f aca="false">ROUND(MAX(0,AL190*(1+E$8)-BH191),2)</f>
        <v>0</v>
      </c>
      <c r="AM191" s="27" t="n">
        <f aca="false">ROUND(MAX(0,AM190*(1+F$8)-BI191),2)</f>
        <v>0</v>
      </c>
      <c r="AN191" s="27" t="n">
        <f aca="false">ROUND(MAX(0,AN190*(1+G$8)-BJ191),2)</f>
        <v>0</v>
      </c>
      <c r="AO191" s="27" t="n">
        <f aca="false">ROUND(MAX(0,AO190*(1+H$8)-BK191),2)</f>
        <v>0</v>
      </c>
      <c r="AP191" s="27" t="n">
        <f aca="false">ROUND(MAX(0,AP190*(1+I$8)-BL191),2)</f>
        <v>0</v>
      </c>
      <c r="AQ191" s="27" t="n">
        <f aca="false">ROUND(MAX(0,AQ190*(1+J$8)-BM191),2)</f>
        <v>0</v>
      </c>
      <c r="AR191" s="27" t="n">
        <f aca="false">ROUND(MAX(0,AR190*(1+K$8)-BN191),2)</f>
        <v>0</v>
      </c>
      <c r="AS191" s="27" t="n">
        <f aca="false">SUM(AI191:AR191)</f>
        <v>0</v>
      </c>
      <c r="AT191" s="27" t="n">
        <f aca="false">SUMPRODUCT(AI190:AR190,$B$8:$K$8)</f>
        <v>0</v>
      </c>
      <c r="AU191" s="27" t="n">
        <f aca="false">MIN(AI190*(1+B$8),B$9)</f>
        <v>0</v>
      </c>
      <c r="AV191" s="27" t="n">
        <f aca="false">MIN(AJ190*(1+C$8),C$9)</f>
        <v>0</v>
      </c>
      <c r="AW191" s="27" t="n">
        <f aca="false">MIN(AK190*(1+D$8),D$9)</f>
        <v>0</v>
      </c>
      <c r="AX191" s="27" t="n">
        <f aca="false">MIN(AL190*(1+E$8),E$9)</f>
        <v>0</v>
      </c>
      <c r="AY191" s="27" t="n">
        <f aca="false">MIN(AM190*(1+F$8),F$9)</f>
        <v>0</v>
      </c>
      <c r="AZ191" s="27" t="n">
        <f aca="false">MIN(AN190*(1+G$8),G$9)</f>
        <v>0</v>
      </c>
      <c r="BA191" s="27" t="n">
        <f aca="false">MIN(AO190*(1+H$8),H$9)</f>
        <v>0</v>
      </c>
      <c r="BB191" s="27" t="n">
        <f aca="false">MIN(AP190*(1+I$8),I$9)</f>
        <v>0</v>
      </c>
      <c r="BC191" s="27" t="n">
        <f aca="false">MIN(AQ190*(1+J$8),J$9)</f>
        <v>0</v>
      </c>
      <c r="BD191" s="27" t="n">
        <f aca="false">MIN(AR190*(1+K$8),K$9)</f>
        <v>0</v>
      </c>
      <c r="BE191" s="27" t="n">
        <f aca="false">MIN(AI190*(1+B$8),MAX(AU191,$B$12-SUM(AV191:BD191)))</f>
        <v>0</v>
      </c>
      <c r="BF191" s="27" t="n">
        <f aca="false">MIN(AJ190*(1+C$8),MAX(AV191,$B$12-SUM(BE191:BE191)-SUM(AW191:BD191)))</f>
        <v>0</v>
      </c>
      <c r="BG191" s="27" t="n">
        <f aca="false">MIN(AK190*(1+D$8),MAX(AW191,$B$12-SUM(BE191:BF191)-SUM(AX191:BD191)))</f>
        <v>0</v>
      </c>
      <c r="BH191" s="27" t="n">
        <f aca="false">MIN(AL190*(1+E$8),MAX(AX191,$B$12-SUM(BE191:BG191)-SUM(AY191:BD191)))</f>
        <v>0</v>
      </c>
      <c r="BI191" s="27" t="n">
        <f aca="false">MIN(AM190*(1+F$8),MAX(AY191,$B$12-SUM(BE191:BH191)-SUM(AZ191:BD191)))</f>
        <v>0</v>
      </c>
      <c r="BJ191" s="27" t="n">
        <f aca="false">MIN(AN190*(1+G$8),MAX(AZ191,$B$12-SUM(BE191:BI191)-SUM(BA191:BD191)))</f>
        <v>0</v>
      </c>
      <c r="BK191" s="27" t="n">
        <f aca="false">MIN(AO190*(1+H$8),MAX(BA191,$B$12-SUM(BE191:BJ191)-SUM(BB191:BD191)))</f>
        <v>0</v>
      </c>
      <c r="BL191" s="27" t="n">
        <f aca="false">MIN(AP190*(1+I$8),MAX(BB191,$B$12-SUM(BE191:BK191)-SUM(BC191:BD191)))</f>
        <v>0</v>
      </c>
      <c r="BM191" s="27" t="n">
        <f aca="false">MIN(AQ190*(1+J$8),MAX(BC191,$B$12-SUM(BE191:BL191)-SUM(BD191:BD191)))</f>
        <v>0</v>
      </c>
      <c r="BN191" s="27" t="n">
        <f aca="false">MIN(AR190*(1+K$8),MAX(BD191,$B$12-SUM(BE191:BM191)))</f>
        <v>0</v>
      </c>
    </row>
    <row r="192" customFormat="false" ht="15" hidden="false" customHeight="false" outlineLevel="0" collapsed="false">
      <c r="A192" s="0" t="n">
        <v>178</v>
      </c>
      <c r="B192" s="27" t="n">
        <f aca="false">ROUND(MAX(0,B191*(1+B$8)-X192),2)</f>
        <v>0</v>
      </c>
      <c r="C192" s="27" t="n">
        <f aca="false">ROUND(MAX(0,C191*(1+C$8)-Y192),2)</f>
        <v>0</v>
      </c>
      <c r="D192" s="27" t="n">
        <f aca="false">ROUND(MAX(0,D191*(1+D$8)-Z192),2)</f>
        <v>0</v>
      </c>
      <c r="E192" s="27" t="n">
        <f aca="false">ROUND(MAX(0,E191*(1+E$8)-AA192),2)</f>
        <v>0</v>
      </c>
      <c r="F192" s="27" t="n">
        <f aca="false">ROUND(MAX(0,F191*(1+F$8)-AB192),2)</f>
        <v>0</v>
      </c>
      <c r="G192" s="27" t="n">
        <f aca="false">ROUND(MAX(0,G191*(1+G$8)-AC192),2)</f>
        <v>0</v>
      </c>
      <c r="H192" s="27" t="n">
        <f aca="false">ROUND(MAX(0,H191*(1+H$8)-AD192),2)</f>
        <v>0</v>
      </c>
      <c r="I192" s="27" t="n">
        <f aca="false">ROUND(MAX(0,I191*(1+I$8)-AE192),2)</f>
        <v>0</v>
      </c>
      <c r="J192" s="27" t="n">
        <f aca="false">ROUND(MAX(0,J191*(1+J$8)-AF192),2)</f>
        <v>0</v>
      </c>
      <c r="K192" s="27" t="n">
        <f aca="false">ROUND(MAX(0,K191*(1+K$8)-AG192),2)</f>
        <v>0</v>
      </c>
      <c r="L192" s="30" t="n">
        <f aca="false">SUM(B192:K192)</f>
        <v>0</v>
      </c>
      <c r="M192" s="27" t="n">
        <f aca="false">SUMPRODUCT(B191:K191,$B$8:$K$8)</f>
        <v>0</v>
      </c>
      <c r="N192" s="27" t="n">
        <f aca="false">MIN(B191*(1+B$8),B$9)</f>
        <v>0</v>
      </c>
      <c r="O192" s="27" t="n">
        <f aca="false">MIN(C191*(1+C$8),C$9)</f>
        <v>0</v>
      </c>
      <c r="P192" s="27" t="n">
        <f aca="false">MIN(D191*(1+D$8),D$9)</f>
        <v>0</v>
      </c>
      <c r="Q192" s="27" t="n">
        <f aca="false">MIN(E191*(1+E$8),E$9)</f>
        <v>0</v>
      </c>
      <c r="R192" s="27" t="n">
        <f aca="false">MIN(F191*(1+F$8),F$9)</f>
        <v>0</v>
      </c>
      <c r="S192" s="27" t="n">
        <f aca="false">MIN(G191*(1+G$8),G$9)</f>
        <v>0</v>
      </c>
      <c r="T192" s="27" t="n">
        <f aca="false">MIN(H191*(1+H$8),H$9)</f>
        <v>0</v>
      </c>
      <c r="U192" s="27" t="n">
        <f aca="false">MIN(I191*(1+I$8),I$9)</f>
        <v>0</v>
      </c>
      <c r="V192" s="27" t="n">
        <f aca="false">MIN(J191*(1+J$8),J$9)</f>
        <v>0</v>
      </c>
      <c r="W192" s="27" t="n">
        <f aca="false">MIN(K191*(1+K$8),K$9)</f>
        <v>0</v>
      </c>
      <c r="X192" s="27" t="n">
        <f aca="false">MIN(B191*(1+B$8),MAX(N192,$B$11-SUM(O192:W192)))</f>
        <v>0</v>
      </c>
      <c r="Y192" s="27" t="n">
        <f aca="false">MIN(C191*(1+C$8),MAX(O192,$B$11-SUM(X192:X192)-SUM(P192:W192)))</f>
        <v>0</v>
      </c>
      <c r="Z192" s="27" t="n">
        <f aca="false">MIN(D191*(1+D$8),MAX(P192,$B$11-SUM(X192:Y192)-SUM(Q192:W192)))</f>
        <v>0</v>
      </c>
      <c r="AA192" s="27" t="n">
        <f aca="false">MIN(E191*(1+E$8),MAX(Q192,$B$11-SUM(X192:Z192)-SUM(R192:W192)))</f>
        <v>0</v>
      </c>
      <c r="AB192" s="27" t="n">
        <f aca="false">MIN(F191*(1+F$8),MAX(R192,$B$11-SUM(X192:AA192)-SUM(S192:W192)))</f>
        <v>0</v>
      </c>
      <c r="AC192" s="27" t="n">
        <f aca="false">MIN(G191*(1+G$8),MAX(S192,$B$11-SUM(X192:AB192)-SUM(T192:W192)))</f>
        <v>0</v>
      </c>
      <c r="AD192" s="27" t="n">
        <f aca="false">MIN(H191*(1+H$8),MAX(T192,$B$11-SUM(X192:AC192)-SUM(U192:W192)))</f>
        <v>0</v>
      </c>
      <c r="AE192" s="27" t="n">
        <f aca="false">MIN(I191*(1+I$8),MAX(U192,$B$11-SUM(X192:AD192)-SUM(V192:W192)))</f>
        <v>0</v>
      </c>
      <c r="AF192" s="27" t="n">
        <f aca="false">MIN(J191*(1+J$8),MAX(V192,$B$11-SUM(X192:AE192)-SUM(W192:W192)))</f>
        <v>0</v>
      </c>
      <c r="AG192" s="27" t="n">
        <f aca="false">MIN(K191*(1+K$8),MAX(W192,$B$11-SUM(X192:AF192)))</f>
        <v>0</v>
      </c>
      <c r="AI192" s="27" t="n">
        <f aca="false">ROUND(MAX(0,AI191*(1+B$8)-BE192),2)</f>
        <v>0</v>
      </c>
      <c r="AJ192" s="27" t="n">
        <f aca="false">ROUND(MAX(0,AJ191*(1+C$8)-BF192),2)</f>
        <v>0</v>
      </c>
      <c r="AK192" s="27" t="n">
        <f aca="false">ROUND(MAX(0,AK191*(1+D$8)-BG192),2)</f>
        <v>0</v>
      </c>
      <c r="AL192" s="27" t="n">
        <f aca="false">ROUND(MAX(0,AL191*(1+E$8)-BH192),2)</f>
        <v>0</v>
      </c>
      <c r="AM192" s="27" t="n">
        <f aca="false">ROUND(MAX(0,AM191*(1+F$8)-BI192),2)</f>
        <v>0</v>
      </c>
      <c r="AN192" s="27" t="n">
        <f aca="false">ROUND(MAX(0,AN191*(1+G$8)-BJ192),2)</f>
        <v>0</v>
      </c>
      <c r="AO192" s="27" t="n">
        <f aca="false">ROUND(MAX(0,AO191*(1+H$8)-BK192),2)</f>
        <v>0</v>
      </c>
      <c r="AP192" s="27" t="n">
        <f aca="false">ROUND(MAX(0,AP191*(1+I$8)-BL192),2)</f>
        <v>0</v>
      </c>
      <c r="AQ192" s="27" t="n">
        <f aca="false">ROUND(MAX(0,AQ191*(1+J$8)-BM192),2)</f>
        <v>0</v>
      </c>
      <c r="AR192" s="27" t="n">
        <f aca="false">ROUND(MAX(0,AR191*(1+K$8)-BN192),2)</f>
        <v>0</v>
      </c>
      <c r="AS192" s="27" t="n">
        <f aca="false">SUM(AI192:AR192)</f>
        <v>0</v>
      </c>
      <c r="AT192" s="27" t="n">
        <f aca="false">SUMPRODUCT(AI191:AR191,$B$8:$K$8)</f>
        <v>0</v>
      </c>
      <c r="AU192" s="27" t="n">
        <f aca="false">MIN(AI191*(1+B$8),B$9)</f>
        <v>0</v>
      </c>
      <c r="AV192" s="27" t="n">
        <f aca="false">MIN(AJ191*(1+C$8),C$9)</f>
        <v>0</v>
      </c>
      <c r="AW192" s="27" t="n">
        <f aca="false">MIN(AK191*(1+D$8),D$9)</f>
        <v>0</v>
      </c>
      <c r="AX192" s="27" t="n">
        <f aca="false">MIN(AL191*(1+E$8),E$9)</f>
        <v>0</v>
      </c>
      <c r="AY192" s="27" t="n">
        <f aca="false">MIN(AM191*(1+F$8),F$9)</f>
        <v>0</v>
      </c>
      <c r="AZ192" s="27" t="n">
        <f aca="false">MIN(AN191*(1+G$8),G$9)</f>
        <v>0</v>
      </c>
      <c r="BA192" s="27" t="n">
        <f aca="false">MIN(AO191*(1+H$8),H$9)</f>
        <v>0</v>
      </c>
      <c r="BB192" s="27" t="n">
        <f aca="false">MIN(AP191*(1+I$8),I$9)</f>
        <v>0</v>
      </c>
      <c r="BC192" s="27" t="n">
        <f aca="false">MIN(AQ191*(1+J$8),J$9)</f>
        <v>0</v>
      </c>
      <c r="BD192" s="27" t="n">
        <f aca="false">MIN(AR191*(1+K$8),K$9)</f>
        <v>0</v>
      </c>
      <c r="BE192" s="27" t="n">
        <f aca="false">MIN(AI191*(1+B$8),MAX(AU192,$B$12-SUM(AV192:BD192)))</f>
        <v>0</v>
      </c>
      <c r="BF192" s="27" t="n">
        <f aca="false">MIN(AJ191*(1+C$8),MAX(AV192,$B$12-SUM(BE192:BE192)-SUM(AW192:BD192)))</f>
        <v>0</v>
      </c>
      <c r="BG192" s="27" t="n">
        <f aca="false">MIN(AK191*(1+D$8),MAX(AW192,$B$12-SUM(BE192:BF192)-SUM(AX192:BD192)))</f>
        <v>0</v>
      </c>
      <c r="BH192" s="27" t="n">
        <f aca="false">MIN(AL191*(1+E$8),MAX(AX192,$B$12-SUM(BE192:BG192)-SUM(AY192:BD192)))</f>
        <v>0</v>
      </c>
      <c r="BI192" s="27" t="n">
        <f aca="false">MIN(AM191*(1+F$8),MAX(AY192,$B$12-SUM(BE192:BH192)-SUM(AZ192:BD192)))</f>
        <v>0</v>
      </c>
      <c r="BJ192" s="27" t="n">
        <f aca="false">MIN(AN191*(1+G$8),MAX(AZ192,$B$12-SUM(BE192:BI192)-SUM(BA192:BD192)))</f>
        <v>0</v>
      </c>
      <c r="BK192" s="27" t="n">
        <f aca="false">MIN(AO191*(1+H$8),MAX(BA192,$B$12-SUM(BE192:BJ192)-SUM(BB192:BD192)))</f>
        <v>0</v>
      </c>
      <c r="BL192" s="27" t="n">
        <f aca="false">MIN(AP191*(1+I$8),MAX(BB192,$B$12-SUM(BE192:BK192)-SUM(BC192:BD192)))</f>
        <v>0</v>
      </c>
      <c r="BM192" s="27" t="n">
        <f aca="false">MIN(AQ191*(1+J$8),MAX(BC192,$B$12-SUM(BE192:BL192)-SUM(BD192:BD192)))</f>
        <v>0</v>
      </c>
      <c r="BN192" s="27" t="n">
        <f aca="false">MIN(AR191*(1+K$8),MAX(BD192,$B$12-SUM(BE192:BM192)))</f>
        <v>0</v>
      </c>
    </row>
    <row r="193" customFormat="false" ht="15" hidden="false" customHeight="false" outlineLevel="0" collapsed="false">
      <c r="A193" s="0" t="n">
        <v>179</v>
      </c>
      <c r="B193" s="27" t="n">
        <f aca="false">ROUND(MAX(0,B192*(1+B$8)-X193),2)</f>
        <v>0</v>
      </c>
      <c r="C193" s="27" t="n">
        <f aca="false">ROUND(MAX(0,C192*(1+C$8)-Y193),2)</f>
        <v>0</v>
      </c>
      <c r="D193" s="27" t="n">
        <f aca="false">ROUND(MAX(0,D192*(1+D$8)-Z193),2)</f>
        <v>0</v>
      </c>
      <c r="E193" s="27" t="n">
        <f aca="false">ROUND(MAX(0,E192*(1+E$8)-AA193),2)</f>
        <v>0</v>
      </c>
      <c r="F193" s="27" t="n">
        <f aca="false">ROUND(MAX(0,F192*(1+F$8)-AB193),2)</f>
        <v>0</v>
      </c>
      <c r="G193" s="27" t="n">
        <f aca="false">ROUND(MAX(0,G192*(1+G$8)-AC193),2)</f>
        <v>0</v>
      </c>
      <c r="H193" s="27" t="n">
        <f aca="false">ROUND(MAX(0,H192*(1+H$8)-AD193),2)</f>
        <v>0</v>
      </c>
      <c r="I193" s="27" t="n">
        <f aca="false">ROUND(MAX(0,I192*(1+I$8)-AE193),2)</f>
        <v>0</v>
      </c>
      <c r="J193" s="27" t="n">
        <f aca="false">ROUND(MAX(0,J192*(1+J$8)-AF193),2)</f>
        <v>0</v>
      </c>
      <c r="K193" s="27" t="n">
        <f aca="false">ROUND(MAX(0,K192*(1+K$8)-AG193),2)</f>
        <v>0</v>
      </c>
      <c r="L193" s="30" t="n">
        <f aca="false">SUM(B193:K193)</f>
        <v>0</v>
      </c>
      <c r="M193" s="27" t="n">
        <f aca="false">SUMPRODUCT(B192:K192,$B$8:$K$8)</f>
        <v>0</v>
      </c>
      <c r="N193" s="27" t="n">
        <f aca="false">MIN(B192*(1+B$8),B$9)</f>
        <v>0</v>
      </c>
      <c r="O193" s="27" t="n">
        <f aca="false">MIN(C192*(1+C$8),C$9)</f>
        <v>0</v>
      </c>
      <c r="P193" s="27" t="n">
        <f aca="false">MIN(D192*(1+D$8),D$9)</f>
        <v>0</v>
      </c>
      <c r="Q193" s="27" t="n">
        <f aca="false">MIN(E192*(1+E$8),E$9)</f>
        <v>0</v>
      </c>
      <c r="R193" s="27" t="n">
        <f aca="false">MIN(F192*(1+F$8),F$9)</f>
        <v>0</v>
      </c>
      <c r="S193" s="27" t="n">
        <f aca="false">MIN(G192*(1+G$8),G$9)</f>
        <v>0</v>
      </c>
      <c r="T193" s="27" t="n">
        <f aca="false">MIN(H192*(1+H$8),H$9)</f>
        <v>0</v>
      </c>
      <c r="U193" s="27" t="n">
        <f aca="false">MIN(I192*(1+I$8),I$9)</f>
        <v>0</v>
      </c>
      <c r="V193" s="27" t="n">
        <f aca="false">MIN(J192*(1+J$8),J$9)</f>
        <v>0</v>
      </c>
      <c r="W193" s="27" t="n">
        <f aca="false">MIN(K192*(1+K$8),K$9)</f>
        <v>0</v>
      </c>
      <c r="X193" s="27" t="n">
        <f aca="false">MIN(B192*(1+B$8),MAX(N193,$B$11-SUM(O193:W193)))</f>
        <v>0</v>
      </c>
      <c r="Y193" s="27" t="n">
        <f aca="false">MIN(C192*(1+C$8),MAX(O193,$B$11-SUM(X193:X193)-SUM(P193:W193)))</f>
        <v>0</v>
      </c>
      <c r="Z193" s="27" t="n">
        <f aca="false">MIN(D192*(1+D$8),MAX(P193,$B$11-SUM(X193:Y193)-SUM(Q193:W193)))</f>
        <v>0</v>
      </c>
      <c r="AA193" s="27" t="n">
        <f aca="false">MIN(E192*(1+E$8),MAX(Q193,$B$11-SUM(X193:Z193)-SUM(R193:W193)))</f>
        <v>0</v>
      </c>
      <c r="AB193" s="27" t="n">
        <f aca="false">MIN(F192*(1+F$8),MAX(R193,$B$11-SUM(X193:AA193)-SUM(S193:W193)))</f>
        <v>0</v>
      </c>
      <c r="AC193" s="27" t="n">
        <f aca="false">MIN(G192*(1+G$8),MAX(S193,$B$11-SUM(X193:AB193)-SUM(T193:W193)))</f>
        <v>0</v>
      </c>
      <c r="AD193" s="27" t="n">
        <f aca="false">MIN(H192*(1+H$8),MAX(T193,$B$11-SUM(X193:AC193)-SUM(U193:W193)))</f>
        <v>0</v>
      </c>
      <c r="AE193" s="27" t="n">
        <f aca="false">MIN(I192*(1+I$8),MAX(U193,$B$11-SUM(X193:AD193)-SUM(V193:W193)))</f>
        <v>0</v>
      </c>
      <c r="AF193" s="27" t="n">
        <f aca="false">MIN(J192*(1+J$8),MAX(V193,$B$11-SUM(X193:AE193)-SUM(W193:W193)))</f>
        <v>0</v>
      </c>
      <c r="AG193" s="27" t="n">
        <f aca="false">MIN(K192*(1+K$8),MAX(W193,$B$11-SUM(X193:AF193)))</f>
        <v>0</v>
      </c>
      <c r="AI193" s="27" t="n">
        <f aca="false">ROUND(MAX(0,AI192*(1+B$8)-BE193),2)</f>
        <v>0</v>
      </c>
      <c r="AJ193" s="27" t="n">
        <f aca="false">ROUND(MAX(0,AJ192*(1+C$8)-BF193),2)</f>
        <v>0</v>
      </c>
      <c r="AK193" s="27" t="n">
        <f aca="false">ROUND(MAX(0,AK192*(1+D$8)-BG193),2)</f>
        <v>0</v>
      </c>
      <c r="AL193" s="27" t="n">
        <f aca="false">ROUND(MAX(0,AL192*(1+E$8)-BH193),2)</f>
        <v>0</v>
      </c>
      <c r="AM193" s="27" t="n">
        <f aca="false">ROUND(MAX(0,AM192*(1+F$8)-BI193),2)</f>
        <v>0</v>
      </c>
      <c r="AN193" s="27" t="n">
        <f aca="false">ROUND(MAX(0,AN192*(1+G$8)-BJ193),2)</f>
        <v>0</v>
      </c>
      <c r="AO193" s="27" t="n">
        <f aca="false">ROUND(MAX(0,AO192*(1+H$8)-BK193),2)</f>
        <v>0</v>
      </c>
      <c r="AP193" s="27" t="n">
        <f aca="false">ROUND(MAX(0,AP192*(1+I$8)-BL193),2)</f>
        <v>0</v>
      </c>
      <c r="AQ193" s="27" t="n">
        <f aca="false">ROUND(MAX(0,AQ192*(1+J$8)-BM193),2)</f>
        <v>0</v>
      </c>
      <c r="AR193" s="27" t="n">
        <f aca="false">ROUND(MAX(0,AR192*(1+K$8)-BN193),2)</f>
        <v>0</v>
      </c>
      <c r="AS193" s="27" t="n">
        <f aca="false">SUM(AI193:AR193)</f>
        <v>0</v>
      </c>
      <c r="AT193" s="27" t="n">
        <f aca="false">SUMPRODUCT(AI192:AR192,$B$8:$K$8)</f>
        <v>0</v>
      </c>
      <c r="AU193" s="27" t="n">
        <f aca="false">MIN(AI192*(1+B$8),B$9)</f>
        <v>0</v>
      </c>
      <c r="AV193" s="27" t="n">
        <f aca="false">MIN(AJ192*(1+C$8),C$9)</f>
        <v>0</v>
      </c>
      <c r="AW193" s="27" t="n">
        <f aca="false">MIN(AK192*(1+D$8),D$9)</f>
        <v>0</v>
      </c>
      <c r="AX193" s="27" t="n">
        <f aca="false">MIN(AL192*(1+E$8),E$9)</f>
        <v>0</v>
      </c>
      <c r="AY193" s="27" t="n">
        <f aca="false">MIN(AM192*(1+F$8),F$9)</f>
        <v>0</v>
      </c>
      <c r="AZ193" s="27" t="n">
        <f aca="false">MIN(AN192*(1+G$8),G$9)</f>
        <v>0</v>
      </c>
      <c r="BA193" s="27" t="n">
        <f aca="false">MIN(AO192*(1+H$8),H$9)</f>
        <v>0</v>
      </c>
      <c r="BB193" s="27" t="n">
        <f aca="false">MIN(AP192*(1+I$8),I$9)</f>
        <v>0</v>
      </c>
      <c r="BC193" s="27" t="n">
        <f aca="false">MIN(AQ192*(1+J$8),J$9)</f>
        <v>0</v>
      </c>
      <c r="BD193" s="27" t="n">
        <f aca="false">MIN(AR192*(1+K$8),K$9)</f>
        <v>0</v>
      </c>
      <c r="BE193" s="27" t="n">
        <f aca="false">MIN(AI192*(1+B$8),MAX(AU193,$B$12-SUM(AV193:BD193)))</f>
        <v>0</v>
      </c>
      <c r="BF193" s="27" t="n">
        <f aca="false">MIN(AJ192*(1+C$8),MAX(AV193,$B$12-SUM(BE193:BE193)-SUM(AW193:BD193)))</f>
        <v>0</v>
      </c>
      <c r="BG193" s="27" t="n">
        <f aca="false">MIN(AK192*(1+D$8),MAX(AW193,$B$12-SUM(BE193:BF193)-SUM(AX193:BD193)))</f>
        <v>0</v>
      </c>
      <c r="BH193" s="27" t="n">
        <f aca="false">MIN(AL192*(1+E$8),MAX(AX193,$B$12-SUM(BE193:BG193)-SUM(AY193:BD193)))</f>
        <v>0</v>
      </c>
      <c r="BI193" s="27" t="n">
        <f aca="false">MIN(AM192*(1+F$8),MAX(AY193,$B$12-SUM(BE193:BH193)-SUM(AZ193:BD193)))</f>
        <v>0</v>
      </c>
      <c r="BJ193" s="27" t="n">
        <f aca="false">MIN(AN192*(1+G$8),MAX(AZ193,$B$12-SUM(BE193:BI193)-SUM(BA193:BD193)))</f>
        <v>0</v>
      </c>
      <c r="BK193" s="27" t="n">
        <f aca="false">MIN(AO192*(1+H$8),MAX(BA193,$B$12-SUM(BE193:BJ193)-SUM(BB193:BD193)))</f>
        <v>0</v>
      </c>
      <c r="BL193" s="27" t="n">
        <f aca="false">MIN(AP192*(1+I$8),MAX(BB193,$B$12-SUM(BE193:BK193)-SUM(BC193:BD193)))</f>
        <v>0</v>
      </c>
      <c r="BM193" s="27" t="n">
        <f aca="false">MIN(AQ192*(1+J$8),MAX(BC193,$B$12-SUM(BE193:BL193)-SUM(BD193:BD193)))</f>
        <v>0</v>
      </c>
      <c r="BN193" s="27" t="n">
        <f aca="false">MIN(AR192*(1+K$8),MAX(BD193,$B$12-SUM(BE193:BM193)))</f>
        <v>0</v>
      </c>
    </row>
    <row r="194" customFormat="false" ht="15" hidden="false" customHeight="false" outlineLevel="0" collapsed="false">
      <c r="A194" s="0" t="n">
        <v>180</v>
      </c>
      <c r="B194" s="27" t="n">
        <f aca="false">ROUND(MAX(0,B193*(1+B$8)-X194),2)</f>
        <v>0</v>
      </c>
      <c r="C194" s="27" t="n">
        <f aca="false">ROUND(MAX(0,C193*(1+C$8)-Y194),2)</f>
        <v>0</v>
      </c>
      <c r="D194" s="27" t="n">
        <f aca="false">ROUND(MAX(0,D193*(1+D$8)-Z194),2)</f>
        <v>0</v>
      </c>
      <c r="E194" s="27" t="n">
        <f aca="false">ROUND(MAX(0,E193*(1+E$8)-AA194),2)</f>
        <v>0</v>
      </c>
      <c r="F194" s="27" t="n">
        <f aca="false">ROUND(MAX(0,F193*(1+F$8)-AB194),2)</f>
        <v>0</v>
      </c>
      <c r="G194" s="27" t="n">
        <f aca="false">ROUND(MAX(0,G193*(1+G$8)-AC194),2)</f>
        <v>0</v>
      </c>
      <c r="H194" s="27" t="n">
        <f aca="false">ROUND(MAX(0,H193*(1+H$8)-AD194),2)</f>
        <v>0</v>
      </c>
      <c r="I194" s="27" t="n">
        <f aca="false">ROUND(MAX(0,I193*(1+I$8)-AE194),2)</f>
        <v>0</v>
      </c>
      <c r="J194" s="27" t="n">
        <f aca="false">ROUND(MAX(0,J193*(1+J$8)-AF194),2)</f>
        <v>0</v>
      </c>
      <c r="K194" s="27" t="n">
        <f aca="false">ROUND(MAX(0,K193*(1+K$8)-AG194),2)</f>
        <v>0</v>
      </c>
      <c r="L194" s="30" t="n">
        <f aca="false">SUM(B194:K194)</f>
        <v>0</v>
      </c>
      <c r="M194" s="27" t="n">
        <f aca="false">SUMPRODUCT(B193:K193,$B$8:$K$8)</f>
        <v>0</v>
      </c>
      <c r="N194" s="27" t="n">
        <f aca="false">MIN(B193*(1+B$8),B$9)</f>
        <v>0</v>
      </c>
      <c r="O194" s="27" t="n">
        <f aca="false">MIN(C193*(1+C$8),C$9)</f>
        <v>0</v>
      </c>
      <c r="P194" s="27" t="n">
        <f aca="false">MIN(D193*(1+D$8),D$9)</f>
        <v>0</v>
      </c>
      <c r="Q194" s="27" t="n">
        <f aca="false">MIN(E193*(1+E$8),E$9)</f>
        <v>0</v>
      </c>
      <c r="R194" s="27" t="n">
        <f aca="false">MIN(F193*(1+F$8),F$9)</f>
        <v>0</v>
      </c>
      <c r="S194" s="27" t="n">
        <f aca="false">MIN(G193*(1+G$8),G$9)</f>
        <v>0</v>
      </c>
      <c r="T194" s="27" t="n">
        <f aca="false">MIN(H193*(1+H$8),H$9)</f>
        <v>0</v>
      </c>
      <c r="U194" s="27" t="n">
        <f aca="false">MIN(I193*(1+I$8),I$9)</f>
        <v>0</v>
      </c>
      <c r="V194" s="27" t="n">
        <f aca="false">MIN(J193*(1+J$8),J$9)</f>
        <v>0</v>
      </c>
      <c r="W194" s="27" t="n">
        <f aca="false">MIN(K193*(1+K$8),K$9)</f>
        <v>0</v>
      </c>
      <c r="X194" s="27" t="n">
        <f aca="false">MIN(B193*(1+B$8),MAX(N194,$B$11-SUM(O194:W194)))</f>
        <v>0</v>
      </c>
      <c r="Y194" s="27" t="n">
        <f aca="false">MIN(C193*(1+C$8),MAX(O194,$B$11-SUM(X194:X194)-SUM(P194:W194)))</f>
        <v>0</v>
      </c>
      <c r="Z194" s="27" t="n">
        <f aca="false">MIN(D193*(1+D$8),MAX(P194,$B$11-SUM(X194:Y194)-SUM(Q194:W194)))</f>
        <v>0</v>
      </c>
      <c r="AA194" s="27" t="n">
        <f aca="false">MIN(E193*(1+E$8),MAX(Q194,$B$11-SUM(X194:Z194)-SUM(R194:W194)))</f>
        <v>0</v>
      </c>
      <c r="AB194" s="27" t="n">
        <f aca="false">MIN(F193*(1+F$8),MAX(R194,$B$11-SUM(X194:AA194)-SUM(S194:W194)))</f>
        <v>0</v>
      </c>
      <c r="AC194" s="27" t="n">
        <f aca="false">MIN(G193*(1+G$8),MAX(S194,$B$11-SUM(X194:AB194)-SUM(T194:W194)))</f>
        <v>0</v>
      </c>
      <c r="AD194" s="27" t="n">
        <f aca="false">MIN(H193*(1+H$8),MAX(T194,$B$11-SUM(X194:AC194)-SUM(U194:W194)))</f>
        <v>0</v>
      </c>
      <c r="AE194" s="27" t="n">
        <f aca="false">MIN(I193*(1+I$8),MAX(U194,$B$11-SUM(X194:AD194)-SUM(V194:W194)))</f>
        <v>0</v>
      </c>
      <c r="AF194" s="27" t="n">
        <f aca="false">MIN(J193*(1+J$8),MAX(V194,$B$11-SUM(X194:AE194)-SUM(W194:W194)))</f>
        <v>0</v>
      </c>
      <c r="AG194" s="27" t="n">
        <f aca="false">MIN(K193*(1+K$8),MAX(W194,$B$11-SUM(X194:AF194)))</f>
        <v>0</v>
      </c>
      <c r="AI194" s="27" t="n">
        <f aca="false">ROUND(MAX(0,AI193*(1+B$8)-BE194),2)</f>
        <v>0</v>
      </c>
      <c r="AJ194" s="27" t="n">
        <f aca="false">ROUND(MAX(0,AJ193*(1+C$8)-BF194),2)</f>
        <v>0</v>
      </c>
      <c r="AK194" s="27" t="n">
        <f aca="false">ROUND(MAX(0,AK193*(1+D$8)-BG194),2)</f>
        <v>0</v>
      </c>
      <c r="AL194" s="27" t="n">
        <f aca="false">ROUND(MAX(0,AL193*(1+E$8)-BH194),2)</f>
        <v>0</v>
      </c>
      <c r="AM194" s="27" t="n">
        <f aca="false">ROUND(MAX(0,AM193*(1+F$8)-BI194),2)</f>
        <v>0</v>
      </c>
      <c r="AN194" s="27" t="n">
        <f aca="false">ROUND(MAX(0,AN193*(1+G$8)-BJ194),2)</f>
        <v>0</v>
      </c>
      <c r="AO194" s="27" t="n">
        <f aca="false">ROUND(MAX(0,AO193*(1+H$8)-BK194),2)</f>
        <v>0</v>
      </c>
      <c r="AP194" s="27" t="n">
        <f aca="false">ROUND(MAX(0,AP193*(1+I$8)-BL194),2)</f>
        <v>0</v>
      </c>
      <c r="AQ194" s="27" t="n">
        <f aca="false">ROUND(MAX(0,AQ193*(1+J$8)-BM194),2)</f>
        <v>0</v>
      </c>
      <c r="AR194" s="27" t="n">
        <f aca="false">ROUND(MAX(0,AR193*(1+K$8)-BN194),2)</f>
        <v>0</v>
      </c>
      <c r="AS194" s="27" t="n">
        <f aca="false">SUM(AI194:AR194)</f>
        <v>0</v>
      </c>
      <c r="AT194" s="27" t="n">
        <f aca="false">SUMPRODUCT(AI193:AR193,$B$8:$K$8)</f>
        <v>0</v>
      </c>
      <c r="AU194" s="27" t="n">
        <f aca="false">MIN(AI193*(1+B$8),B$9)</f>
        <v>0</v>
      </c>
      <c r="AV194" s="27" t="n">
        <f aca="false">MIN(AJ193*(1+C$8),C$9)</f>
        <v>0</v>
      </c>
      <c r="AW194" s="27" t="n">
        <f aca="false">MIN(AK193*(1+D$8),D$9)</f>
        <v>0</v>
      </c>
      <c r="AX194" s="27" t="n">
        <f aca="false">MIN(AL193*(1+E$8),E$9)</f>
        <v>0</v>
      </c>
      <c r="AY194" s="27" t="n">
        <f aca="false">MIN(AM193*(1+F$8),F$9)</f>
        <v>0</v>
      </c>
      <c r="AZ194" s="27" t="n">
        <f aca="false">MIN(AN193*(1+G$8),G$9)</f>
        <v>0</v>
      </c>
      <c r="BA194" s="27" t="n">
        <f aca="false">MIN(AO193*(1+H$8),H$9)</f>
        <v>0</v>
      </c>
      <c r="BB194" s="27" t="n">
        <f aca="false">MIN(AP193*(1+I$8),I$9)</f>
        <v>0</v>
      </c>
      <c r="BC194" s="27" t="n">
        <f aca="false">MIN(AQ193*(1+J$8),J$9)</f>
        <v>0</v>
      </c>
      <c r="BD194" s="27" t="n">
        <f aca="false">MIN(AR193*(1+K$8),K$9)</f>
        <v>0</v>
      </c>
      <c r="BE194" s="27" t="n">
        <f aca="false">MIN(AI193*(1+B$8),MAX(AU194,$B$12-SUM(AV194:BD194)))</f>
        <v>0</v>
      </c>
      <c r="BF194" s="27" t="n">
        <f aca="false">MIN(AJ193*(1+C$8),MAX(AV194,$B$12-SUM(BE194:BE194)-SUM(AW194:BD194)))</f>
        <v>0</v>
      </c>
      <c r="BG194" s="27" t="n">
        <f aca="false">MIN(AK193*(1+D$8),MAX(AW194,$B$12-SUM(BE194:BF194)-SUM(AX194:BD194)))</f>
        <v>0</v>
      </c>
      <c r="BH194" s="27" t="n">
        <f aca="false">MIN(AL193*(1+E$8),MAX(AX194,$B$12-SUM(BE194:BG194)-SUM(AY194:BD194)))</f>
        <v>0</v>
      </c>
      <c r="BI194" s="27" t="n">
        <f aca="false">MIN(AM193*(1+F$8),MAX(AY194,$B$12-SUM(BE194:BH194)-SUM(AZ194:BD194)))</f>
        <v>0</v>
      </c>
      <c r="BJ194" s="27" t="n">
        <f aca="false">MIN(AN193*(1+G$8),MAX(AZ194,$B$12-SUM(BE194:BI194)-SUM(BA194:BD194)))</f>
        <v>0</v>
      </c>
      <c r="BK194" s="27" t="n">
        <f aca="false">MIN(AO193*(1+H$8),MAX(BA194,$B$12-SUM(BE194:BJ194)-SUM(BB194:BD194)))</f>
        <v>0</v>
      </c>
      <c r="BL194" s="27" t="n">
        <f aca="false">MIN(AP193*(1+I$8),MAX(BB194,$B$12-SUM(BE194:BK194)-SUM(BC194:BD194)))</f>
        <v>0</v>
      </c>
      <c r="BM194" s="27" t="n">
        <f aca="false">MIN(AQ193*(1+J$8),MAX(BC194,$B$12-SUM(BE194:BL194)-SUM(BD194:BD194)))</f>
        <v>0</v>
      </c>
      <c r="BN194" s="27" t="n">
        <f aca="false">MIN(AR193*(1+K$8),MAX(BD194,$B$12-SUM(BE194:BM194)))</f>
        <v>0</v>
      </c>
    </row>
    <row r="195" customFormat="false" ht="15" hidden="false" customHeight="false" outlineLevel="0" collapsed="false">
      <c r="A195" s="0" t="n">
        <v>181</v>
      </c>
      <c r="B195" s="27" t="n">
        <f aca="false">ROUND(MAX(0,B194*(1+B$8)-X195),2)</f>
        <v>0</v>
      </c>
      <c r="C195" s="27" t="n">
        <f aca="false">ROUND(MAX(0,C194*(1+C$8)-Y195),2)</f>
        <v>0</v>
      </c>
      <c r="D195" s="27" t="n">
        <f aca="false">ROUND(MAX(0,D194*(1+D$8)-Z195),2)</f>
        <v>0</v>
      </c>
      <c r="E195" s="27" t="n">
        <f aca="false">ROUND(MAX(0,E194*(1+E$8)-AA195),2)</f>
        <v>0</v>
      </c>
      <c r="F195" s="27" t="n">
        <f aca="false">ROUND(MAX(0,F194*(1+F$8)-AB195),2)</f>
        <v>0</v>
      </c>
      <c r="G195" s="27" t="n">
        <f aca="false">ROUND(MAX(0,G194*(1+G$8)-AC195),2)</f>
        <v>0</v>
      </c>
      <c r="H195" s="27" t="n">
        <f aca="false">ROUND(MAX(0,H194*(1+H$8)-AD195),2)</f>
        <v>0</v>
      </c>
      <c r="I195" s="27" t="n">
        <f aca="false">ROUND(MAX(0,I194*(1+I$8)-AE195),2)</f>
        <v>0</v>
      </c>
      <c r="J195" s="27" t="n">
        <f aca="false">ROUND(MAX(0,J194*(1+J$8)-AF195),2)</f>
        <v>0</v>
      </c>
      <c r="K195" s="27" t="n">
        <f aca="false">ROUND(MAX(0,K194*(1+K$8)-AG195),2)</f>
        <v>0</v>
      </c>
      <c r="L195" s="30" t="n">
        <f aca="false">SUM(B195:K195)</f>
        <v>0</v>
      </c>
      <c r="M195" s="27" t="n">
        <f aca="false">SUMPRODUCT(B194:K194,$B$8:$K$8)</f>
        <v>0</v>
      </c>
      <c r="N195" s="27" t="n">
        <f aca="false">MIN(B194*(1+B$8),B$9)</f>
        <v>0</v>
      </c>
      <c r="O195" s="27" t="n">
        <f aca="false">MIN(C194*(1+C$8),C$9)</f>
        <v>0</v>
      </c>
      <c r="P195" s="27" t="n">
        <f aca="false">MIN(D194*(1+D$8),D$9)</f>
        <v>0</v>
      </c>
      <c r="Q195" s="27" t="n">
        <f aca="false">MIN(E194*(1+E$8),E$9)</f>
        <v>0</v>
      </c>
      <c r="R195" s="27" t="n">
        <f aca="false">MIN(F194*(1+F$8),F$9)</f>
        <v>0</v>
      </c>
      <c r="S195" s="27" t="n">
        <f aca="false">MIN(G194*(1+G$8),G$9)</f>
        <v>0</v>
      </c>
      <c r="T195" s="27" t="n">
        <f aca="false">MIN(H194*(1+H$8),H$9)</f>
        <v>0</v>
      </c>
      <c r="U195" s="27" t="n">
        <f aca="false">MIN(I194*(1+I$8),I$9)</f>
        <v>0</v>
      </c>
      <c r="V195" s="27" t="n">
        <f aca="false">MIN(J194*(1+J$8),J$9)</f>
        <v>0</v>
      </c>
      <c r="W195" s="27" t="n">
        <f aca="false">MIN(K194*(1+K$8),K$9)</f>
        <v>0</v>
      </c>
      <c r="X195" s="27" t="n">
        <f aca="false">MIN(B194*(1+B$8),MAX(N195,$B$11-SUM(O195:W195)))</f>
        <v>0</v>
      </c>
      <c r="Y195" s="27" t="n">
        <f aca="false">MIN(C194*(1+C$8),MAX(O195,$B$11-SUM(X195:X195)-SUM(P195:W195)))</f>
        <v>0</v>
      </c>
      <c r="Z195" s="27" t="n">
        <f aca="false">MIN(D194*(1+D$8),MAX(P195,$B$11-SUM(X195:Y195)-SUM(Q195:W195)))</f>
        <v>0</v>
      </c>
      <c r="AA195" s="27" t="n">
        <f aca="false">MIN(E194*(1+E$8),MAX(Q195,$B$11-SUM(X195:Z195)-SUM(R195:W195)))</f>
        <v>0</v>
      </c>
      <c r="AB195" s="27" t="n">
        <f aca="false">MIN(F194*(1+F$8),MAX(R195,$B$11-SUM(X195:AA195)-SUM(S195:W195)))</f>
        <v>0</v>
      </c>
      <c r="AC195" s="27" t="n">
        <f aca="false">MIN(G194*(1+G$8),MAX(S195,$B$11-SUM(X195:AB195)-SUM(T195:W195)))</f>
        <v>0</v>
      </c>
      <c r="AD195" s="27" t="n">
        <f aca="false">MIN(H194*(1+H$8),MAX(T195,$B$11-SUM(X195:AC195)-SUM(U195:W195)))</f>
        <v>0</v>
      </c>
      <c r="AE195" s="27" t="n">
        <f aca="false">MIN(I194*(1+I$8),MAX(U195,$B$11-SUM(X195:AD195)-SUM(V195:W195)))</f>
        <v>0</v>
      </c>
      <c r="AF195" s="27" t="n">
        <f aca="false">MIN(J194*(1+J$8),MAX(V195,$B$11-SUM(X195:AE195)-SUM(W195:W195)))</f>
        <v>0</v>
      </c>
      <c r="AG195" s="27" t="n">
        <f aca="false">MIN(K194*(1+K$8),MAX(W195,$B$11-SUM(X195:AF195)))</f>
        <v>0</v>
      </c>
      <c r="AI195" s="27" t="n">
        <f aca="false">ROUND(MAX(0,AI194*(1+B$8)-BE195),2)</f>
        <v>0</v>
      </c>
      <c r="AJ195" s="27" t="n">
        <f aca="false">ROUND(MAX(0,AJ194*(1+C$8)-BF195),2)</f>
        <v>0</v>
      </c>
      <c r="AK195" s="27" t="n">
        <f aca="false">ROUND(MAX(0,AK194*(1+D$8)-BG195),2)</f>
        <v>0</v>
      </c>
      <c r="AL195" s="27" t="n">
        <f aca="false">ROUND(MAX(0,AL194*(1+E$8)-BH195),2)</f>
        <v>0</v>
      </c>
      <c r="AM195" s="27" t="n">
        <f aca="false">ROUND(MAX(0,AM194*(1+F$8)-BI195),2)</f>
        <v>0</v>
      </c>
      <c r="AN195" s="27" t="n">
        <f aca="false">ROUND(MAX(0,AN194*(1+G$8)-BJ195),2)</f>
        <v>0</v>
      </c>
      <c r="AO195" s="27" t="n">
        <f aca="false">ROUND(MAX(0,AO194*(1+H$8)-BK195),2)</f>
        <v>0</v>
      </c>
      <c r="AP195" s="27" t="n">
        <f aca="false">ROUND(MAX(0,AP194*(1+I$8)-BL195),2)</f>
        <v>0</v>
      </c>
      <c r="AQ195" s="27" t="n">
        <f aca="false">ROUND(MAX(0,AQ194*(1+J$8)-BM195),2)</f>
        <v>0</v>
      </c>
      <c r="AR195" s="27" t="n">
        <f aca="false">ROUND(MAX(0,AR194*(1+K$8)-BN195),2)</f>
        <v>0</v>
      </c>
      <c r="AS195" s="27" t="n">
        <f aca="false">SUM(AI195:AR195)</f>
        <v>0</v>
      </c>
      <c r="AT195" s="27" t="n">
        <f aca="false">SUMPRODUCT(AI194:AR194,$B$8:$K$8)</f>
        <v>0</v>
      </c>
      <c r="AU195" s="27" t="n">
        <f aca="false">MIN(AI194*(1+B$8),B$9)</f>
        <v>0</v>
      </c>
      <c r="AV195" s="27" t="n">
        <f aca="false">MIN(AJ194*(1+C$8),C$9)</f>
        <v>0</v>
      </c>
      <c r="AW195" s="27" t="n">
        <f aca="false">MIN(AK194*(1+D$8),D$9)</f>
        <v>0</v>
      </c>
      <c r="AX195" s="27" t="n">
        <f aca="false">MIN(AL194*(1+E$8),E$9)</f>
        <v>0</v>
      </c>
      <c r="AY195" s="27" t="n">
        <f aca="false">MIN(AM194*(1+F$8),F$9)</f>
        <v>0</v>
      </c>
      <c r="AZ195" s="27" t="n">
        <f aca="false">MIN(AN194*(1+G$8),G$9)</f>
        <v>0</v>
      </c>
      <c r="BA195" s="27" t="n">
        <f aca="false">MIN(AO194*(1+H$8),H$9)</f>
        <v>0</v>
      </c>
      <c r="BB195" s="27" t="n">
        <f aca="false">MIN(AP194*(1+I$8),I$9)</f>
        <v>0</v>
      </c>
      <c r="BC195" s="27" t="n">
        <f aca="false">MIN(AQ194*(1+J$8),J$9)</f>
        <v>0</v>
      </c>
      <c r="BD195" s="27" t="n">
        <f aca="false">MIN(AR194*(1+K$8),K$9)</f>
        <v>0</v>
      </c>
      <c r="BE195" s="27" t="n">
        <f aca="false">MIN(AI194*(1+B$8),MAX(AU195,$B$12-SUM(AV195:BD195)))</f>
        <v>0</v>
      </c>
      <c r="BF195" s="27" t="n">
        <f aca="false">MIN(AJ194*(1+C$8),MAX(AV195,$B$12-SUM(BE195:BE195)-SUM(AW195:BD195)))</f>
        <v>0</v>
      </c>
      <c r="BG195" s="27" t="n">
        <f aca="false">MIN(AK194*(1+D$8),MAX(AW195,$B$12-SUM(BE195:BF195)-SUM(AX195:BD195)))</f>
        <v>0</v>
      </c>
      <c r="BH195" s="27" t="n">
        <f aca="false">MIN(AL194*(1+E$8),MAX(AX195,$B$12-SUM(BE195:BG195)-SUM(AY195:BD195)))</f>
        <v>0</v>
      </c>
      <c r="BI195" s="27" t="n">
        <f aca="false">MIN(AM194*(1+F$8),MAX(AY195,$B$12-SUM(BE195:BH195)-SUM(AZ195:BD195)))</f>
        <v>0</v>
      </c>
      <c r="BJ195" s="27" t="n">
        <f aca="false">MIN(AN194*(1+G$8),MAX(AZ195,$B$12-SUM(BE195:BI195)-SUM(BA195:BD195)))</f>
        <v>0</v>
      </c>
      <c r="BK195" s="27" t="n">
        <f aca="false">MIN(AO194*(1+H$8),MAX(BA195,$B$12-SUM(BE195:BJ195)-SUM(BB195:BD195)))</f>
        <v>0</v>
      </c>
      <c r="BL195" s="27" t="n">
        <f aca="false">MIN(AP194*(1+I$8),MAX(BB195,$B$12-SUM(BE195:BK195)-SUM(BC195:BD195)))</f>
        <v>0</v>
      </c>
      <c r="BM195" s="27" t="n">
        <f aca="false">MIN(AQ194*(1+J$8),MAX(BC195,$B$12-SUM(BE195:BL195)-SUM(BD195:BD195)))</f>
        <v>0</v>
      </c>
      <c r="BN195" s="27" t="n">
        <f aca="false">MIN(AR194*(1+K$8),MAX(BD195,$B$12-SUM(BE195:BM195)))</f>
        <v>0</v>
      </c>
    </row>
    <row r="196" customFormat="false" ht="15" hidden="false" customHeight="false" outlineLevel="0" collapsed="false">
      <c r="A196" s="0" t="n">
        <v>182</v>
      </c>
      <c r="B196" s="27" t="n">
        <f aca="false">ROUND(MAX(0,B195*(1+B$8)-X196),2)</f>
        <v>0</v>
      </c>
      <c r="C196" s="27" t="n">
        <f aca="false">ROUND(MAX(0,C195*(1+C$8)-Y196),2)</f>
        <v>0</v>
      </c>
      <c r="D196" s="27" t="n">
        <f aca="false">ROUND(MAX(0,D195*(1+D$8)-Z196),2)</f>
        <v>0</v>
      </c>
      <c r="E196" s="27" t="n">
        <f aca="false">ROUND(MAX(0,E195*(1+E$8)-AA196),2)</f>
        <v>0</v>
      </c>
      <c r="F196" s="27" t="n">
        <f aca="false">ROUND(MAX(0,F195*(1+F$8)-AB196),2)</f>
        <v>0</v>
      </c>
      <c r="G196" s="27" t="n">
        <f aca="false">ROUND(MAX(0,G195*(1+G$8)-AC196),2)</f>
        <v>0</v>
      </c>
      <c r="H196" s="27" t="n">
        <f aca="false">ROUND(MAX(0,H195*(1+H$8)-AD196),2)</f>
        <v>0</v>
      </c>
      <c r="I196" s="27" t="n">
        <f aca="false">ROUND(MAX(0,I195*(1+I$8)-AE196),2)</f>
        <v>0</v>
      </c>
      <c r="J196" s="27" t="n">
        <f aca="false">ROUND(MAX(0,J195*(1+J$8)-AF196),2)</f>
        <v>0</v>
      </c>
      <c r="K196" s="27" t="n">
        <f aca="false">ROUND(MAX(0,K195*(1+K$8)-AG196),2)</f>
        <v>0</v>
      </c>
      <c r="L196" s="30" t="n">
        <f aca="false">SUM(B196:K196)</f>
        <v>0</v>
      </c>
      <c r="M196" s="27" t="n">
        <f aca="false">SUMPRODUCT(B195:K195,$B$8:$K$8)</f>
        <v>0</v>
      </c>
      <c r="N196" s="27" t="n">
        <f aca="false">MIN(B195*(1+B$8),B$9)</f>
        <v>0</v>
      </c>
      <c r="O196" s="27" t="n">
        <f aca="false">MIN(C195*(1+C$8),C$9)</f>
        <v>0</v>
      </c>
      <c r="P196" s="27" t="n">
        <f aca="false">MIN(D195*(1+D$8),D$9)</f>
        <v>0</v>
      </c>
      <c r="Q196" s="27" t="n">
        <f aca="false">MIN(E195*(1+E$8),E$9)</f>
        <v>0</v>
      </c>
      <c r="R196" s="27" t="n">
        <f aca="false">MIN(F195*(1+F$8),F$9)</f>
        <v>0</v>
      </c>
      <c r="S196" s="27" t="n">
        <f aca="false">MIN(G195*(1+G$8),G$9)</f>
        <v>0</v>
      </c>
      <c r="T196" s="27" t="n">
        <f aca="false">MIN(H195*(1+H$8),H$9)</f>
        <v>0</v>
      </c>
      <c r="U196" s="27" t="n">
        <f aca="false">MIN(I195*(1+I$8),I$9)</f>
        <v>0</v>
      </c>
      <c r="V196" s="27" t="n">
        <f aca="false">MIN(J195*(1+J$8),J$9)</f>
        <v>0</v>
      </c>
      <c r="W196" s="27" t="n">
        <f aca="false">MIN(K195*(1+K$8),K$9)</f>
        <v>0</v>
      </c>
      <c r="X196" s="27" t="n">
        <f aca="false">MIN(B195*(1+B$8),MAX(N196,$B$11-SUM(O196:W196)))</f>
        <v>0</v>
      </c>
      <c r="Y196" s="27" t="n">
        <f aca="false">MIN(C195*(1+C$8),MAX(O196,$B$11-SUM(X196:X196)-SUM(P196:W196)))</f>
        <v>0</v>
      </c>
      <c r="Z196" s="27" t="n">
        <f aca="false">MIN(D195*(1+D$8),MAX(P196,$B$11-SUM(X196:Y196)-SUM(Q196:W196)))</f>
        <v>0</v>
      </c>
      <c r="AA196" s="27" t="n">
        <f aca="false">MIN(E195*(1+E$8),MAX(Q196,$B$11-SUM(X196:Z196)-SUM(R196:W196)))</f>
        <v>0</v>
      </c>
      <c r="AB196" s="27" t="n">
        <f aca="false">MIN(F195*(1+F$8),MAX(R196,$B$11-SUM(X196:AA196)-SUM(S196:W196)))</f>
        <v>0</v>
      </c>
      <c r="AC196" s="27" t="n">
        <f aca="false">MIN(G195*(1+G$8),MAX(S196,$B$11-SUM(X196:AB196)-SUM(T196:W196)))</f>
        <v>0</v>
      </c>
      <c r="AD196" s="27" t="n">
        <f aca="false">MIN(H195*(1+H$8),MAX(T196,$B$11-SUM(X196:AC196)-SUM(U196:W196)))</f>
        <v>0</v>
      </c>
      <c r="AE196" s="27" t="n">
        <f aca="false">MIN(I195*(1+I$8),MAX(U196,$B$11-SUM(X196:AD196)-SUM(V196:W196)))</f>
        <v>0</v>
      </c>
      <c r="AF196" s="27" t="n">
        <f aca="false">MIN(J195*(1+J$8),MAX(V196,$B$11-SUM(X196:AE196)-SUM(W196:W196)))</f>
        <v>0</v>
      </c>
      <c r="AG196" s="27" t="n">
        <f aca="false">MIN(K195*(1+K$8),MAX(W196,$B$11-SUM(X196:AF196)))</f>
        <v>0</v>
      </c>
      <c r="AI196" s="27" t="n">
        <f aca="false">ROUND(MAX(0,AI195*(1+B$8)-BE196),2)</f>
        <v>0</v>
      </c>
      <c r="AJ196" s="27" t="n">
        <f aca="false">ROUND(MAX(0,AJ195*(1+C$8)-BF196),2)</f>
        <v>0</v>
      </c>
      <c r="AK196" s="27" t="n">
        <f aca="false">ROUND(MAX(0,AK195*(1+D$8)-BG196),2)</f>
        <v>0</v>
      </c>
      <c r="AL196" s="27" t="n">
        <f aca="false">ROUND(MAX(0,AL195*(1+E$8)-BH196),2)</f>
        <v>0</v>
      </c>
      <c r="AM196" s="27" t="n">
        <f aca="false">ROUND(MAX(0,AM195*(1+F$8)-BI196),2)</f>
        <v>0</v>
      </c>
      <c r="AN196" s="27" t="n">
        <f aca="false">ROUND(MAX(0,AN195*(1+G$8)-BJ196),2)</f>
        <v>0</v>
      </c>
      <c r="AO196" s="27" t="n">
        <f aca="false">ROUND(MAX(0,AO195*(1+H$8)-BK196),2)</f>
        <v>0</v>
      </c>
      <c r="AP196" s="27" t="n">
        <f aca="false">ROUND(MAX(0,AP195*(1+I$8)-BL196),2)</f>
        <v>0</v>
      </c>
      <c r="AQ196" s="27" t="n">
        <f aca="false">ROUND(MAX(0,AQ195*(1+J$8)-BM196),2)</f>
        <v>0</v>
      </c>
      <c r="AR196" s="27" t="n">
        <f aca="false">ROUND(MAX(0,AR195*(1+K$8)-BN196),2)</f>
        <v>0</v>
      </c>
      <c r="AS196" s="27" t="n">
        <f aca="false">SUM(AI196:AR196)</f>
        <v>0</v>
      </c>
      <c r="AT196" s="27" t="n">
        <f aca="false">SUMPRODUCT(AI195:AR195,$B$8:$K$8)</f>
        <v>0</v>
      </c>
      <c r="AU196" s="27" t="n">
        <f aca="false">MIN(AI195*(1+B$8),B$9)</f>
        <v>0</v>
      </c>
      <c r="AV196" s="27" t="n">
        <f aca="false">MIN(AJ195*(1+C$8),C$9)</f>
        <v>0</v>
      </c>
      <c r="AW196" s="27" t="n">
        <f aca="false">MIN(AK195*(1+D$8),D$9)</f>
        <v>0</v>
      </c>
      <c r="AX196" s="27" t="n">
        <f aca="false">MIN(AL195*(1+E$8),E$9)</f>
        <v>0</v>
      </c>
      <c r="AY196" s="27" t="n">
        <f aca="false">MIN(AM195*(1+F$8),F$9)</f>
        <v>0</v>
      </c>
      <c r="AZ196" s="27" t="n">
        <f aca="false">MIN(AN195*(1+G$8),G$9)</f>
        <v>0</v>
      </c>
      <c r="BA196" s="27" t="n">
        <f aca="false">MIN(AO195*(1+H$8),H$9)</f>
        <v>0</v>
      </c>
      <c r="BB196" s="27" t="n">
        <f aca="false">MIN(AP195*(1+I$8),I$9)</f>
        <v>0</v>
      </c>
      <c r="BC196" s="27" t="n">
        <f aca="false">MIN(AQ195*(1+J$8),J$9)</f>
        <v>0</v>
      </c>
      <c r="BD196" s="27" t="n">
        <f aca="false">MIN(AR195*(1+K$8),K$9)</f>
        <v>0</v>
      </c>
      <c r="BE196" s="27" t="n">
        <f aca="false">MIN(AI195*(1+B$8),MAX(AU196,$B$12-SUM(AV196:BD196)))</f>
        <v>0</v>
      </c>
      <c r="BF196" s="27" t="n">
        <f aca="false">MIN(AJ195*(1+C$8),MAX(AV196,$B$12-SUM(BE196:BE196)-SUM(AW196:BD196)))</f>
        <v>0</v>
      </c>
      <c r="BG196" s="27" t="n">
        <f aca="false">MIN(AK195*(1+D$8),MAX(AW196,$B$12-SUM(BE196:BF196)-SUM(AX196:BD196)))</f>
        <v>0</v>
      </c>
      <c r="BH196" s="27" t="n">
        <f aca="false">MIN(AL195*(1+E$8),MAX(AX196,$B$12-SUM(BE196:BG196)-SUM(AY196:BD196)))</f>
        <v>0</v>
      </c>
      <c r="BI196" s="27" t="n">
        <f aca="false">MIN(AM195*(1+F$8),MAX(AY196,$B$12-SUM(BE196:BH196)-SUM(AZ196:BD196)))</f>
        <v>0</v>
      </c>
      <c r="BJ196" s="27" t="n">
        <f aca="false">MIN(AN195*(1+G$8),MAX(AZ196,$B$12-SUM(BE196:BI196)-SUM(BA196:BD196)))</f>
        <v>0</v>
      </c>
      <c r="BK196" s="27" t="n">
        <f aca="false">MIN(AO195*(1+H$8),MAX(BA196,$B$12-SUM(BE196:BJ196)-SUM(BB196:BD196)))</f>
        <v>0</v>
      </c>
      <c r="BL196" s="27" t="n">
        <f aca="false">MIN(AP195*(1+I$8),MAX(BB196,$B$12-SUM(BE196:BK196)-SUM(BC196:BD196)))</f>
        <v>0</v>
      </c>
      <c r="BM196" s="27" t="n">
        <f aca="false">MIN(AQ195*(1+J$8),MAX(BC196,$B$12-SUM(BE196:BL196)-SUM(BD196:BD196)))</f>
        <v>0</v>
      </c>
      <c r="BN196" s="27" t="n">
        <f aca="false">MIN(AR195*(1+K$8),MAX(BD196,$B$12-SUM(BE196:BM196)))</f>
        <v>0</v>
      </c>
    </row>
    <row r="197" customFormat="false" ht="15" hidden="false" customHeight="false" outlineLevel="0" collapsed="false">
      <c r="A197" s="0" t="n">
        <v>183</v>
      </c>
      <c r="B197" s="27" t="n">
        <f aca="false">ROUND(MAX(0,B196*(1+B$8)-X197),2)</f>
        <v>0</v>
      </c>
      <c r="C197" s="27" t="n">
        <f aca="false">ROUND(MAX(0,C196*(1+C$8)-Y197),2)</f>
        <v>0</v>
      </c>
      <c r="D197" s="27" t="n">
        <f aca="false">ROUND(MAX(0,D196*(1+D$8)-Z197),2)</f>
        <v>0</v>
      </c>
      <c r="E197" s="27" t="n">
        <f aca="false">ROUND(MAX(0,E196*(1+E$8)-AA197),2)</f>
        <v>0</v>
      </c>
      <c r="F197" s="27" t="n">
        <f aca="false">ROUND(MAX(0,F196*(1+F$8)-AB197),2)</f>
        <v>0</v>
      </c>
      <c r="G197" s="27" t="n">
        <f aca="false">ROUND(MAX(0,G196*(1+G$8)-AC197),2)</f>
        <v>0</v>
      </c>
      <c r="H197" s="27" t="n">
        <f aca="false">ROUND(MAX(0,H196*(1+H$8)-AD197),2)</f>
        <v>0</v>
      </c>
      <c r="I197" s="27" t="n">
        <f aca="false">ROUND(MAX(0,I196*(1+I$8)-AE197),2)</f>
        <v>0</v>
      </c>
      <c r="J197" s="27" t="n">
        <f aca="false">ROUND(MAX(0,J196*(1+J$8)-AF197),2)</f>
        <v>0</v>
      </c>
      <c r="K197" s="27" t="n">
        <f aca="false">ROUND(MAX(0,K196*(1+K$8)-AG197),2)</f>
        <v>0</v>
      </c>
      <c r="L197" s="30" t="n">
        <f aca="false">SUM(B197:K197)</f>
        <v>0</v>
      </c>
      <c r="M197" s="27" t="n">
        <f aca="false">SUMPRODUCT(B196:K196,$B$8:$K$8)</f>
        <v>0</v>
      </c>
      <c r="N197" s="27" t="n">
        <f aca="false">MIN(B196*(1+B$8),B$9)</f>
        <v>0</v>
      </c>
      <c r="O197" s="27" t="n">
        <f aca="false">MIN(C196*(1+C$8),C$9)</f>
        <v>0</v>
      </c>
      <c r="P197" s="27" t="n">
        <f aca="false">MIN(D196*(1+D$8),D$9)</f>
        <v>0</v>
      </c>
      <c r="Q197" s="27" t="n">
        <f aca="false">MIN(E196*(1+E$8),E$9)</f>
        <v>0</v>
      </c>
      <c r="R197" s="27" t="n">
        <f aca="false">MIN(F196*(1+F$8),F$9)</f>
        <v>0</v>
      </c>
      <c r="S197" s="27" t="n">
        <f aca="false">MIN(G196*(1+G$8),G$9)</f>
        <v>0</v>
      </c>
      <c r="T197" s="27" t="n">
        <f aca="false">MIN(H196*(1+H$8),H$9)</f>
        <v>0</v>
      </c>
      <c r="U197" s="27" t="n">
        <f aca="false">MIN(I196*(1+I$8),I$9)</f>
        <v>0</v>
      </c>
      <c r="V197" s="27" t="n">
        <f aca="false">MIN(J196*(1+J$8),J$9)</f>
        <v>0</v>
      </c>
      <c r="W197" s="27" t="n">
        <f aca="false">MIN(K196*(1+K$8),K$9)</f>
        <v>0</v>
      </c>
      <c r="X197" s="27" t="n">
        <f aca="false">MIN(B196*(1+B$8),MAX(N197,$B$11-SUM(O197:W197)))</f>
        <v>0</v>
      </c>
      <c r="Y197" s="27" t="n">
        <f aca="false">MIN(C196*(1+C$8),MAX(O197,$B$11-SUM(X197:X197)-SUM(P197:W197)))</f>
        <v>0</v>
      </c>
      <c r="Z197" s="27" t="n">
        <f aca="false">MIN(D196*(1+D$8),MAX(P197,$B$11-SUM(X197:Y197)-SUM(Q197:W197)))</f>
        <v>0</v>
      </c>
      <c r="AA197" s="27" t="n">
        <f aca="false">MIN(E196*(1+E$8),MAX(Q197,$B$11-SUM(X197:Z197)-SUM(R197:W197)))</f>
        <v>0</v>
      </c>
      <c r="AB197" s="27" t="n">
        <f aca="false">MIN(F196*(1+F$8),MAX(R197,$B$11-SUM(X197:AA197)-SUM(S197:W197)))</f>
        <v>0</v>
      </c>
      <c r="AC197" s="27" t="n">
        <f aca="false">MIN(G196*(1+G$8),MAX(S197,$B$11-SUM(X197:AB197)-SUM(T197:W197)))</f>
        <v>0</v>
      </c>
      <c r="AD197" s="27" t="n">
        <f aca="false">MIN(H196*(1+H$8),MAX(T197,$B$11-SUM(X197:AC197)-SUM(U197:W197)))</f>
        <v>0</v>
      </c>
      <c r="AE197" s="27" t="n">
        <f aca="false">MIN(I196*(1+I$8),MAX(U197,$B$11-SUM(X197:AD197)-SUM(V197:W197)))</f>
        <v>0</v>
      </c>
      <c r="AF197" s="27" t="n">
        <f aca="false">MIN(J196*(1+J$8),MAX(V197,$B$11-SUM(X197:AE197)-SUM(W197:W197)))</f>
        <v>0</v>
      </c>
      <c r="AG197" s="27" t="n">
        <f aca="false">MIN(K196*(1+K$8),MAX(W197,$B$11-SUM(X197:AF197)))</f>
        <v>0</v>
      </c>
      <c r="AI197" s="27" t="n">
        <f aca="false">ROUND(MAX(0,AI196*(1+B$8)-BE197),2)</f>
        <v>0</v>
      </c>
      <c r="AJ197" s="27" t="n">
        <f aca="false">ROUND(MAX(0,AJ196*(1+C$8)-BF197),2)</f>
        <v>0</v>
      </c>
      <c r="AK197" s="27" t="n">
        <f aca="false">ROUND(MAX(0,AK196*(1+D$8)-BG197),2)</f>
        <v>0</v>
      </c>
      <c r="AL197" s="27" t="n">
        <f aca="false">ROUND(MAX(0,AL196*(1+E$8)-BH197),2)</f>
        <v>0</v>
      </c>
      <c r="AM197" s="27" t="n">
        <f aca="false">ROUND(MAX(0,AM196*(1+F$8)-BI197),2)</f>
        <v>0</v>
      </c>
      <c r="AN197" s="27" t="n">
        <f aca="false">ROUND(MAX(0,AN196*(1+G$8)-BJ197),2)</f>
        <v>0</v>
      </c>
      <c r="AO197" s="27" t="n">
        <f aca="false">ROUND(MAX(0,AO196*(1+H$8)-BK197),2)</f>
        <v>0</v>
      </c>
      <c r="AP197" s="27" t="n">
        <f aca="false">ROUND(MAX(0,AP196*(1+I$8)-BL197),2)</f>
        <v>0</v>
      </c>
      <c r="AQ197" s="27" t="n">
        <f aca="false">ROUND(MAX(0,AQ196*(1+J$8)-BM197),2)</f>
        <v>0</v>
      </c>
      <c r="AR197" s="27" t="n">
        <f aca="false">ROUND(MAX(0,AR196*(1+K$8)-BN197),2)</f>
        <v>0</v>
      </c>
      <c r="AS197" s="27" t="n">
        <f aca="false">SUM(AI197:AR197)</f>
        <v>0</v>
      </c>
      <c r="AT197" s="27" t="n">
        <f aca="false">SUMPRODUCT(AI196:AR196,$B$8:$K$8)</f>
        <v>0</v>
      </c>
      <c r="AU197" s="27" t="n">
        <f aca="false">MIN(AI196*(1+B$8),B$9)</f>
        <v>0</v>
      </c>
      <c r="AV197" s="27" t="n">
        <f aca="false">MIN(AJ196*(1+C$8),C$9)</f>
        <v>0</v>
      </c>
      <c r="AW197" s="27" t="n">
        <f aca="false">MIN(AK196*(1+D$8),D$9)</f>
        <v>0</v>
      </c>
      <c r="AX197" s="27" t="n">
        <f aca="false">MIN(AL196*(1+E$8),E$9)</f>
        <v>0</v>
      </c>
      <c r="AY197" s="27" t="n">
        <f aca="false">MIN(AM196*(1+F$8),F$9)</f>
        <v>0</v>
      </c>
      <c r="AZ197" s="27" t="n">
        <f aca="false">MIN(AN196*(1+G$8),G$9)</f>
        <v>0</v>
      </c>
      <c r="BA197" s="27" t="n">
        <f aca="false">MIN(AO196*(1+H$8),H$9)</f>
        <v>0</v>
      </c>
      <c r="BB197" s="27" t="n">
        <f aca="false">MIN(AP196*(1+I$8),I$9)</f>
        <v>0</v>
      </c>
      <c r="BC197" s="27" t="n">
        <f aca="false">MIN(AQ196*(1+J$8),J$9)</f>
        <v>0</v>
      </c>
      <c r="BD197" s="27" t="n">
        <f aca="false">MIN(AR196*(1+K$8),K$9)</f>
        <v>0</v>
      </c>
      <c r="BE197" s="27" t="n">
        <f aca="false">MIN(AI196*(1+B$8),MAX(AU197,$B$12-SUM(AV197:BD197)))</f>
        <v>0</v>
      </c>
      <c r="BF197" s="27" t="n">
        <f aca="false">MIN(AJ196*(1+C$8),MAX(AV197,$B$12-SUM(BE197:BE197)-SUM(AW197:BD197)))</f>
        <v>0</v>
      </c>
      <c r="BG197" s="27" t="n">
        <f aca="false">MIN(AK196*(1+D$8),MAX(AW197,$B$12-SUM(BE197:BF197)-SUM(AX197:BD197)))</f>
        <v>0</v>
      </c>
      <c r="BH197" s="27" t="n">
        <f aca="false">MIN(AL196*(1+E$8),MAX(AX197,$B$12-SUM(BE197:BG197)-SUM(AY197:BD197)))</f>
        <v>0</v>
      </c>
      <c r="BI197" s="27" t="n">
        <f aca="false">MIN(AM196*(1+F$8),MAX(AY197,$B$12-SUM(BE197:BH197)-SUM(AZ197:BD197)))</f>
        <v>0</v>
      </c>
      <c r="BJ197" s="27" t="n">
        <f aca="false">MIN(AN196*(1+G$8),MAX(AZ197,$B$12-SUM(BE197:BI197)-SUM(BA197:BD197)))</f>
        <v>0</v>
      </c>
      <c r="BK197" s="27" t="n">
        <f aca="false">MIN(AO196*(1+H$8),MAX(BA197,$B$12-SUM(BE197:BJ197)-SUM(BB197:BD197)))</f>
        <v>0</v>
      </c>
      <c r="BL197" s="27" t="n">
        <f aca="false">MIN(AP196*(1+I$8),MAX(BB197,$B$12-SUM(BE197:BK197)-SUM(BC197:BD197)))</f>
        <v>0</v>
      </c>
      <c r="BM197" s="27" t="n">
        <f aca="false">MIN(AQ196*(1+J$8),MAX(BC197,$B$12-SUM(BE197:BL197)-SUM(BD197:BD197)))</f>
        <v>0</v>
      </c>
      <c r="BN197" s="27" t="n">
        <f aca="false">MIN(AR196*(1+K$8),MAX(BD197,$B$12-SUM(BE197:BM197)))</f>
        <v>0</v>
      </c>
    </row>
    <row r="198" customFormat="false" ht="15" hidden="false" customHeight="false" outlineLevel="0" collapsed="false">
      <c r="A198" s="0" t="n">
        <v>184</v>
      </c>
      <c r="B198" s="27" t="n">
        <f aca="false">ROUND(MAX(0,B197*(1+B$8)-X198),2)</f>
        <v>0</v>
      </c>
      <c r="C198" s="27" t="n">
        <f aca="false">ROUND(MAX(0,C197*(1+C$8)-Y198),2)</f>
        <v>0</v>
      </c>
      <c r="D198" s="27" t="n">
        <f aca="false">ROUND(MAX(0,D197*(1+D$8)-Z198),2)</f>
        <v>0</v>
      </c>
      <c r="E198" s="27" t="n">
        <f aca="false">ROUND(MAX(0,E197*(1+E$8)-AA198),2)</f>
        <v>0</v>
      </c>
      <c r="F198" s="27" t="n">
        <f aca="false">ROUND(MAX(0,F197*(1+F$8)-AB198),2)</f>
        <v>0</v>
      </c>
      <c r="G198" s="27" t="n">
        <f aca="false">ROUND(MAX(0,G197*(1+G$8)-AC198),2)</f>
        <v>0</v>
      </c>
      <c r="H198" s="27" t="n">
        <f aca="false">ROUND(MAX(0,H197*(1+H$8)-AD198),2)</f>
        <v>0</v>
      </c>
      <c r="I198" s="27" t="n">
        <f aca="false">ROUND(MAX(0,I197*(1+I$8)-AE198),2)</f>
        <v>0</v>
      </c>
      <c r="J198" s="27" t="n">
        <f aca="false">ROUND(MAX(0,J197*(1+J$8)-AF198),2)</f>
        <v>0</v>
      </c>
      <c r="K198" s="27" t="n">
        <f aca="false">ROUND(MAX(0,K197*(1+K$8)-AG198),2)</f>
        <v>0</v>
      </c>
      <c r="L198" s="30" t="n">
        <f aca="false">SUM(B198:K198)</f>
        <v>0</v>
      </c>
      <c r="M198" s="27" t="n">
        <f aca="false">SUMPRODUCT(B197:K197,$B$8:$K$8)</f>
        <v>0</v>
      </c>
      <c r="N198" s="27" t="n">
        <f aca="false">MIN(B197*(1+B$8),B$9)</f>
        <v>0</v>
      </c>
      <c r="O198" s="27" t="n">
        <f aca="false">MIN(C197*(1+C$8),C$9)</f>
        <v>0</v>
      </c>
      <c r="P198" s="27" t="n">
        <f aca="false">MIN(D197*(1+D$8),D$9)</f>
        <v>0</v>
      </c>
      <c r="Q198" s="27" t="n">
        <f aca="false">MIN(E197*(1+E$8),E$9)</f>
        <v>0</v>
      </c>
      <c r="R198" s="27" t="n">
        <f aca="false">MIN(F197*(1+F$8),F$9)</f>
        <v>0</v>
      </c>
      <c r="S198" s="27" t="n">
        <f aca="false">MIN(G197*(1+G$8),G$9)</f>
        <v>0</v>
      </c>
      <c r="T198" s="27" t="n">
        <f aca="false">MIN(H197*(1+H$8),H$9)</f>
        <v>0</v>
      </c>
      <c r="U198" s="27" t="n">
        <f aca="false">MIN(I197*(1+I$8),I$9)</f>
        <v>0</v>
      </c>
      <c r="V198" s="27" t="n">
        <f aca="false">MIN(J197*(1+J$8),J$9)</f>
        <v>0</v>
      </c>
      <c r="W198" s="27" t="n">
        <f aca="false">MIN(K197*(1+K$8),K$9)</f>
        <v>0</v>
      </c>
      <c r="X198" s="27" t="n">
        <f aca="false">MIN(B197*(1+B$8),MAX(N198,$B$11-SUM(O198:W198)))</f>
        <v>0</v>
      </c>
      <c r="Y198" s="27" t="n">
        <f aca="false">MIN(C197*(1+C$8),MAX(O198,$B$11-SUM(X198:X198)-SUM(P198:W198)))</f>
        <v>0</v>
      </c>
      <c r="Z198" s="27" t="n">
        <f aca="false">MIN(D197*(1+D$8),MAX(P198,$B$11-SUM(X198:Y198)-SUM(Q198:W198)))</f>
        <v>0</v>
      </c>
      <c r="AA198" s="27" t="n">
        <f aca="false">MIN(E197*(1+E$8),MAX(Q198,$B$11-SUM(X198:Z198)-SUM(R198:W198)))</f>
        <v>0</v>
      </c>
      <c r="AB198" s="27" t="n">
        <f aca="false">MIN(F197*(1+F$8),MAX(R198,$B$11-SUM(X198:AA198)-SUM(S198:W198)))</f>
        <v>0</v>
      </c>
      <c r="AC198" s="27" t="n">
        <f aca="false">MIN(G197*(1+G$8),MAX(S198,$B$11-SUM(X198:AB198)-SUM(T198:W198)))</f>
        <v>0</v>
      </c>
      <c r="AD198" s="27" t="n">
        <f aca="false">MIN(H197*(1+H$8),MAX(T198,$B$11-SUM(X198:AC198)-SUM(U198:W198)))</f>
        <v>0</v>
      </c>
      <c r="AE198" s="27" t="n">
        <f aca="false">MIN(I197*(1+I$8),MAX(U198,$B$11-SUM(X198:AD198)-SUM(V198:W198)))</f>
        <v>0</v>
      </c>
      <c r="AF198" s="27" t="n">
        <f aca="false">MIN(J197*(1+J$8),MAX(V198,$B$11-SUM(X198:AE198)-SUM(W198:W198)))</f>
        <v>0</v>
      </c>
      <c r="AG198" s="27" t="n">
        <f aca="false">MIN(K197*(1+K$8),MAX(W198,$B$11-SUM(X198:AF198)))</f>
        <v>0</v>
      </c>
      <c r="AI198" s="27" t="n">
        <f aca="false">ROUND(MAX(0,AI197*(1+B$8)-BE198),2)</f>
        <v>0</v>
      </c>
      <c r="AJ198" s="27" t="n">
        <f aca="false">ROUND(MAX(0,AJ197*(1+C$8)-BF198),2)</f>
        <v>0</v>
      </c>
      <c r="AK198" s="27" t="n">
        <f aca="false">ROUND(MAX(0,AK197*(1+D$8)-BG198),2)</f>
        <v>0</v>
      </c>
      <c r="AL198" s="27" t="n">
        <f aca="false">ROUND(MAX(0,AL197*(1+E$8)-BH198),2)</f>
        <v>0</v>
      </c>
      <c r="AM198" s="27" t="n">
        <f aca="false">ROUND(MAX(0,AM197*(1+F$8)-BI198),2)</f>
        <v>0</v>
      </c>
      <c r="AN198" s="27" t="n">
        <f aca="false">ROUND(MAX(0,AN197*(1+G$8)-BJ198),2)</f>
        <v>0</v>
      </c>
      <c r="AO198" s="27" t="n">
        <f aca="false">ROUND(MAX(0,AO197*(1+H$8)-BK198),2)</f>
        <v>0</v>
      </c>
      <c r="AP198" s="27" t="n">
        <f aca="false">ROUND(MAX(0,AP197*(1+I$8)-BL198),2)</f>
        <v>0</v>
      </c>
      <c r="AQ198" s="27" t="n">
        <f aca="false">ROUND(MAX(0,AQ197*(1+J$8)-BM198),2)</f>
        <v>0</v>
      </c>
      <c r="AR198" s="27" t="n">
        <f aca="false">ROUND(MAX(0,AR197*(1+K$8)-BN198),2)</f>
        <v>0</v>
      </c>
      <c r="AS198" s="27" t="n">
        <f aca="false">SUM(AI198:AR198)</f>
        <v>0</v>
      </c>
      <c r="AT198" s="27" t="n">
        <f aca="false">SUMPRODUCT(AI197:AR197,$B$8:$K$8)</f>
        <v>0</v>
      </c>
      <c r="AU198" s="27" t="n">
        <f aca="false">MIN(AI197*(1+B$8),B$9)</f>
        <v>0</v>
      </c>
      <c r="AV198" s="27" t="n">
        <f aca="false">MIN(AJ197*(1+C$8),C$9)</f>
        <v>0</v>
      </c>
      <c r="AW198" s="27" t="n">
        <f aca="false">MIN(AK197*(1+D$8),D$9)</f>
        <v>0</v>
      </c>
      <c r="AX198" s="27" t="n">
        <f aca="false">MIN(AL197*(1+E$8),E$9)</f>
        <v>0</v>
      </c>
      <c r="AY198" s="27" t="n">
        <f aca="false">MIN(AM197*(1+F$8),F$9)</f>
        <v>0</v>
      </c>
      <c r="AZ198" s="27" t="n">
        <f aca="false">MIN(AN197*(1+G$8),G$9)</f>
        <v>0</v>
      </c>
      <c r="BA198" s="27" t="n">
        <f aca="false">MIN(AO197*(1+H$8),H$9)</f>
        <v>0</v>
      </c>
      <c r="BB198" s="27" t="n">
        <f aca="false">MIN(AP197*(1+I$8),I$9)</f>
        <v>0</v>
      </c>
      <c r="BC198" s="27" t="n">
        <f aca="false">MIN(AQ197*(1+J$8),J$9)</f>
        <v>0</v>
      </c>
      <c r="BD198" s="27" t="n">
        <f aca="false">MIN(AR197*(1+K$8),K$9)</f>
        <v>0</v>
      </c>
      <c r="BE198" s="27" t="n">
        <f aca="false">MIN(AI197*(1+B$8),MAX(AU198,$B$12-SUM(AV198:BD198)))</f>
        <v>0</v>
      </c>
      <c r="BF198" s="27" t="n">
        <f aca="false">MIN(AJ197*(1+C$8),MAX(AV198,$B$12-SUM(BE198:BE198)-SUM(AW198:BD198)))</f>
        <v>0</v>
      </c>
      <c r="BG198" s="27" t="n">
        <f aca="false">MIN(AK197*(1+D$8),MAX(AW198,$B$12-SUM(BE198:BF198)-SUM(AX198:BD198)))</f>
        <v>0</v>
      </c>
      <c r="BH198" s="27" t="n">
        <f aca="false">MIN(AL197*(1+E$8),MAX(AX198,$B$12-SUM(BE198:BG198)-SUM(AY198:BD198)))</f>
        <v>0</v>
      </c>
      <c r="BI198" s="27" t="n">
        <f aca="false">MIN(AM197*(1+F$8),MAX(AY198,$B$12-SUM(BE198:BH198)-SUM(AZ198:BD198)))</f>
        <v>0</v>
      </c>
      <c r="BJ198" s="27" t="n">
        <f aca="false">MIN(AN197*(1+G$8),MAX(AZ198,$B$12-SUM(BE198:BI198)-SUM(BA198:BD198)))</f>
        <v>0</v>
      </c>
      <c r="BK198" s="27" t="n">
        <f aca="false">MIN(AO197*(1+H$8),MAX(BA198,$B$12-SUM(BE198:BJ198)-SUM(BB198:BD198)))</f>
        <v>0</v>
      </c>
      <c r="BL198" s="27" t="n">
        <f aca="false">MIN(AP197*(1+I$8),MAX(BB198,$B$12-SUM(BE198:BK198)-SUM(BC198:BD198)))</f>
        <v>0</v>
      </c>
      <c r="BM198" s="27" t="n">
        <f aca="false">MIN(AQ197*(1+J$8),MAX(BC198,$B$12-SUM(BE198:BL198)-SUM(BD198:BD198)))</f>
        <v>0</v>
      </c>
      <c r="BN198" s="27" t="n">
        <f aca="false">MIN(AR197*(1+K$8),MAX(BD198,$B$12-SUM(BE198:BM198)))</f>
        <v>0</v>
      </c>
    </row>
    <row r="199" customFormat="false" ht="15" hidden="false" customHeight="false" outlineLevel="0" collapsed="false">
      <c r="A199" s="0" t="n">
        <v>185</v>
      </c>
      <c r="B199" s="27" t="n">
        <f aca="false">ROUND(MAX(0,B198*(1+B$8)-X199),2)</f>
        <v>0</v>
      </c>
      <c r="C199" s="27" t="n">
        <f aca="false">ROUND(MAX(0,C198*(1+C$8)-Y199),2)</f>
        <v>0</v>
      </c>
      <c r="D199" s="27" t="n">
        <f aca="false">ROUND(MAX(0,D198*(1+D$8)-Z199),2)</f>
        <v>0</v>
      </c>
      <c r="E199" s="27" t="n">
        <f aca="false">ROUND(MAX(0,E198*(1+E$8)-AA199),2)</f>
        <v>0</v>
      </c>
      <c r="F199" s="27" t="n">
        <f aca="false">ROUND(MAX(0,F198*(1+F$8)-AB199),2)</f>
        <v>0</v>
      </c>
      <c r="G199" s="27" t="n">
        <f aca="false">ROUND(MAX(0,G198*(1+G$8)-AC199),2)</f>
        <v>0</v>
      </c>
      <c r="H199" s="27" t="n">
        <f aca="false">ROUND(MAX(0,H198*(1+H$8)-AD199),2)</f>
        <v>0</v>
      </c>
      <c r="I199" s="27" t="n">
        <f aca="false">ROUND(MAX(0,I198*(1+I$8)-AE199),2)</f>
        <v>0</v>
      </c>
      <c r="J199" s="27" t="n">
        <f aca="false">ROUND(MAX(0,J198*(1+J$8)-AF199),2)</f>
        <v>0</v>
      </c>
      <c r="K199" s="27" t="n">
        <f aca="false">ROUND(MAX(0,K198*(1+K$8)-AG199),2)</f>
        <v>0</v>
      </c>
      <c r="L199" s="30" t="n">
        <f aca="false">SUM(B199:K199)</f>
        <v>0</v>
      </c>
      <c r="M199" s="27" t="n">
        <f aca="false">SUMPRODUCT(B198:K198,$B$8:$K$8)</f>
        <v>0</v>
      </c>
      <c r="N199" s="27" t="n">
        <f aca="false">MIN(B198*(1+B$8),B$9)</f>
        <v>0</v>
      </c>
      <c r="O199" s="27" t="n">
        <f aca="false">MIN(C198*(1+C$8),C$9)</f>
        <v>0</v>
      </c>
      <c r="P199" s="27" t="n">
        <f aca="false">MIN(D198*(1+D$8),D$9)</f>
        <v>0</v>
      </c>
      <c r="Q199" s="27" t="n">
        <f aca="false">MIN(E198*(1+E$8),E$9)</f>
        <v>0</v>
      </c>
      <c r="R199" s="27" t="n">
        <f aca="false">MIN(F198*(1+F$8),F$9)</f>
        <v>0</v>
      </c>
      <c r="S199" s="27" t="n">
        <f aca="false">MIN(G198*(1+G$8),G$9)</f>
        <v>0</v>
      </c>
      <c r="T199" s="27" t="n">
        <f aca="false">MIN(H198*(1+H$8),H$9)</f>
        <v>0</v>
      </c>
      <c r="U199" s="27" t="n">
        <f aca="false">MIN(I198*(1+I$8),I$9)</f>
        <v>0</v>
      </c>
      <c r="V199" s="27" t="n">
        <f aca="false">MIN(J198*(1+J$8),J$9)</f>
        <v>0</v>
      </c>
      <c r="W199" s="27" t="n">
        <f aca="false">MIN(K198*(1+K$8),K$9)</f>
        <v>0</v>
      </c>
      <c r="X199" s="27" t="n">
        <f aca="false">MIN(B198*(1+B$8),MAX(N199,$B$11-SUM(O199:W199)))</f>
        <v>0</v>
      </c>
      <c r="Y199" s="27" t="n">
        <f aca="false">MIN(C198*(1+C$8),MAX(O199,$B$11-SUM(X199:X199)-SUM(P199:W199)))</f>
        <v>0</v>
      </c>
      <c r="Z199" s="27" t="n">
        <f aca="false">MIN(D198*(1+D$8),MAX(P199,$B$11-SUM(X199:Y199)-SUM(Q199:W199)))</f>
        <v>0</v>
      </c>
      <c r="AA199" s="27" t="n">
        <f aca="false">MIN(E198*(1+E$8),MAX(Q199,$B$11-SUM(X199:Z199)-SUM(R199:W199)))</f>
        <v>0</v>
      </c>
      <c r="AB199" s="27" t="n">
        <f aca="false">MIN(F198*(1+F$8),MAX(R199,$B$11-SUM(X199:AA199)-SUM(S199:W199)))</f>
        <v>0</v>
      </c>
      <c r="AC199" s="27" t="n">
        <f aca="false">MIN(G198*(1+G$8),MAX(S199,$B$11-SUM(X199:AB199)-SUM(T199:W199)))</f>
        <v>0</v>
      </c>
      <c r="AD199" s="27" t="n">
        <f aca="false">MIN(H198*(1+H$8),MAX(T199,$B$11-SUM(X199:AC199)-SUM(U199:W199)))</f>
        <v>0</v>
      </c>
      <c r="AE199" s="27" t="n">
        <f aca="false">MIN(I198*(1+I$8),MAX(U199,$B$11-SUM(X199:AD199)-SUM(V199:W199)))</f>
        <v>0</v>
      </c>
      <c r="AF199" s="27" t="n">
        <f aca="false">MIN(J198*(1+J$8),MAX(V199,$B$11-SUM(X199:AE199)-SUM(W199:W199)))</f>
        <v>0</v>
      </c>
      <c r="AG199" s="27" t="n">
        <f aca="false">MIN(K198*(1+K$8),MAX(W199,$B$11-SUM(X199:AF199)))</f>
        <v>0</v>
      </c>
      <c r="AI199" s="27" t="n">
        <f aca="false">ROUND(MAX(0,AI198*(1+B$8)-BE199),2)</f>
        <v>0</v>
      </c>
      <c r="AJ199" s="27" t="n">
        <f aca="false">ROUND(MAX(0,AJ198*(1+C$8)-BF199),2)</f>
        <v>0</v>
      </c>
      <c r="AK199" s="27" t="n">
        <f aca="false">ROUND(MAX(0,AK198*(1+D$8)-BG199),2)</f>
        <v>0</v>
      </c>
      <c r="AL199" s="27" t="n">
        <f aca="false">ROUND(MAX(0,AL198*(1+E$8)-BH199),2)</f>
        <v>0</v>
      </c>
      <c r="AM199" s="27" t="n">
        <f aca="false">ROUND(MAX(0,AM198*(1+F$8)-BI199),2)</f>
        <v>0</v>
      </c>
      <c r="AN199" s="27" t="n">
        <f aca="false">ROUND(MAX(0,AN198*(1+G$8)-BJ199),2)</f>
        <v>0</v>
      </c>
      <c r="AO199" s="27" t="n">
        <f aca="false">ROUND(MAX(0,AO198*(1+H$8)-BK199),2)</f>
        <v>0</v>
      </c>
      <c r="AP199" s="27" t="n">
        <f aca="false">ROUND(MAX(0,AP198*(1+I$8)-BL199),2)</f>
        <v>0</v>
      </c>
      <c r="AQ199" s="27" t="n">
        <f aca="false">ROUND(MAX(0,AQ198*(1+J$8)-BM199),2)</f>
        <v>0</v>
      </c>
      <c r="AR199" s="27" t="n">
        <f aca="false">ROUND(MAX(0,AR198*(1+K$8)-BN199),2)</f>
        <v>0</v>
      </c>
      <c r="AS199" s="27" t="n">
        <f aca="false">SUM(AI199:AR199)</f>
        <v>0</v>
      </c>
      <c r="AT199" s="27" t="n">
        <f aca="false">SUMPRODUCT(AI198:AR198,$B$8:$K$8)</f>
        <v>0</v>
      </c>
      <c r="AU199" s="27" t="n">
        <f aca="false">MIN(AI198*(1+B$8),B$9)</f>
        <v>0</v>
      </c>
      <c r="AV199" s="27" t="n">
        <f aca="false">MIN(AJ198*(1+C$8),C$9)</f>
        <v>0</v>
      </c>
      <c r="AW199" s="27" t="n">
        <f aca="false">MIN(AK198*(1+D$8),D$9)</f>
        <v>0</v>
      </c>
      <c r="AX199" s="27" t="n">
        <f aca="false">MIN(AL198*(1+E$8),E$9)</f>
        <v>0</v>
      </c>
      <c r="AY199" s="27" t="n">
        <f aca="false">MIN(AM198*(1+F$8),F$9)</f>
        <v>0</v>
      </c>
      <c r="AZ199" s="27" t="n">
        <f aca="false">MIN(AN198*(1+G$8),G$9)</f>
        <v>0</v>
      </c>
      <c r="BA199" s="27" t="n">
        <f aca="false">MIN(AO198*(1+H$8),H$9)</f>
        <v>0</v>
      </c>
      <c r="BB199" s="27" t="n">
        <f aca="false">MIN(AP198*(1+I$8),I$9)</f>
        <v>0</v>
      </c>
      <c r="BC199" s="27" t="n">
        <f aca="false">MIN(AQ198*(1+J$8),J$9)</f>
        <v>0</v>
      </c>
      <c r="BD199" s="27" t="n">
        <f aca="false">MIN(AR198*(1+K$8),K$9)</f>
        <v>0</v>
      </c>
      <c r="BE199" s="27" t="n">
        <f aca="false">MIN(AI198*(1+B$8),MAX(AU199,$B$12-SUM(AV199:BD199)))</f>
        <v>0</v>
      </c>
      <c r="BF199" s="27" t="n">
        <f aca="false">MIN(AJ198*(1+C$8),MAX(AV199,$B$12-SUM(BE199:BE199)-SUM(AW199:BD199)))</f>
        <v>0</v>
      </c>
      <c r="BG199" s="27" t="n">
        <f aca="false">MIN(AK198*(1+D$8),MAX(AW199,$B$12-SUM(BE199:BF199)-SUM(AX199:BD199)))</f>
        <v>0</v>
      </c>
      <c r="BH199" s="27" t="n">
        <f aca="false">MIN(AL198*(1+E$8),MAX(AX199,$B$12-SUM(BE199:BG199)-SUM(AY199:BD199)))</f>
        <v>0</v>
      </c>
      <c r="BI199" s="27" t="n">
        <f aca="false">MIN(AM198*(1+F$8),MAX(AY199,$B$12-SUM(BE199:BH199)-SUM(AZ199:BD199)))</f>
        <v>0</v>
      </c>
      <c r="BJ199" s="27" t="n">
        <f aca="false">MIN(AN198*(1+G$8),MAX(AZ199,$B$12-SUM(BE199:BI199)-SUM(BA199:BD199)))</f>
        <v>0</v>
      </c>
      <c r="BK199" s="27" t="n">
        <f aca="false">MIN(AO198*(1+H$8),MAX(BA199,$B$12-SUM(BE199:BJ199)-SUM(BB199:BD199)))</f>
        <v>0</v>
      </c>
      <c r="BL199" s="27" t="n">
        <f aca="false">MIN(AP198*(1+I$8),MAX(BB199,$B$12-SUM(BE199:BK199)-SUM(BC199:BD199)))</f>
        <v>0</v>
      </c>
      <c r="BM199" s="27" t="n">
        <f aca="false">MIN(AQ198*(1+J$8),MAX(BC199,$B$12-SUM(BE199:BL199)-SUM(BD199:BD199)))</f>
        <v>0</v>
      </c>
      <c r="BN199" s="27" t="n">
        <f aca="false">MIN(AR198*(1+K$8),MAX(BD199,$B$12-SUM(BE199:BM199)))</f>
        <v>0</v>
      </c>
    </row>
    <row r="200" customFormat="false" ht="15" hidden="false" customHeight="false" outlineLevel="0" collapsed="false">
      <c r="A200" s="0" t="n">
        <v>186</v>
      </c>
      <c r="B200" s="27" t="n">
        <f aca="false">ROUND(MAX(0,B199*(1+B$8)-X200),2)</f>
        <v>0</v>
      </c>
      <c r="C200" s="27" t="n">
        <f aca="false">ROUND(MAX(0,C199*(1+C$8)-Y200),2)</f>
        <v>0</v>
      </c>
      <c r="D200" s="27" t="n">
        <f aca="false">ROUND(MAX(0,D199*(1+D$8)-Z200),2)</f>
        <v>0</v>
      </c>
      <c r="E200" s="27" t="n">
        <f aca="false">ROUND(MAX(0,E199*(1+E$8)-AA200),2)</f>
        <v>0</v>
      </c>
      <c r="F200" s="27" t="n">
        <f aca="false">ROUND(MAX(0,F199*(1+F$8)-AB200),2)</f>
        <v>0</v>
      </c>
      <c r="G200" s="27" t="n">
        <f aca="false">ROUND(MAX(0,G199*(1+G$8)-AC200),2)</f>
        <v>0</v>
      </c>
      <c r="H200" s="27" t="n">
        <f aca="false">ROUND(MAX(0,H199*(1+H$8)-AD200),2)</f>
        <v>0</v>
      </c>
      <c r="I200" s="27" t="n">
        <f aca="false">ROUND(MAX(0,I199*(1+I$8)-AE200),2)</f>
        <v>0</v>
      </c>
      <c r="J200" s="27" t="n">
        <f aca="false">ROUND(MAX(0,J199*(1+J$8)-AF200),2)</f>
        <v>0</v>
      </c>
      <c r="K200" s="27" t="n">
        <f aca="false">ROUND(MAX(0,K199*(1+K$8)-AG200),2)</f>
        <v>0</v>
      </c>
      <c r="L200" s="30" t="n">
        <f aca="false">SUM(B200:K200)</f>
        <v>0</v>
      </c>
      <c r="M200" s="27" t="n">
        <f aca="false">SUMPRODUCT(B199:K199,$B$8:$K$8)</f>
        <v>0</v>
      </c>
      <c r="N200" s="27" t="n">
        <f aca="false">MIN(B199*(1+B$8),B$9)</f>
        <v>0</v>
      </c>
      <c r="O200" s="27" t="n">
        <f aca="false">MIN(C199*(1+C$8),C$9)</f>
        <v>0</v>
      </c>
      <c r="P200" s="27" t="n">
        <f aca="false">MIN(D199*(1+D$8),D$9)</f>
        <v>0</v>
      </c>
      <c r="Q200" s="27" t="n">
        <f aca="false">MIN(E199*(1+E$8),E$9)</f>
        <v>0</v>
      </c>
      <c r="R200" s="27" t="n">
        <f aca="false">MIN(F199*(1+F$8),F$9)</f>
        <v>0</v>
      </c>
      <c r="S200" s="27" t="n">
        <f aca="false">MIN(G199*(1+G$8),G$9)</f>
        <v>0</v>
      </c>
      <c r="T200" s="27" t="n">
        <f aca="false">MIN(H199*(1+H$8),H$9)</f>
        <v>0</v>
      </c>
      <c r="U200" s="27" t="n">
        <f aca="false">MIN(I199*(1+I$8),I$9)</f>
        <v>0</v>
      </c>
      <c r="V200" s="27" t="n">
        <f aca="false">MIN(J199*(1+J$8),J$9)</f>
        <v>0</v>
      </c>
      <c r="W200" s="27" t="n">
        <f aca="false">MIN(K199*(1+K$8),K$9)</f>
        <v>0</v>
      </c>
      <c r="X200" s="27" t="n">
        <f aca="false">MIN(B199*(1+B$8),MAX(N200,$B$11-SUM(O200:W200)))</f>
        <v>0</v>
      </c>
      <c r="Y200" s="27" t="n">
        <f aca="false">MIN(C199*(1+C$8),MAX(O200,$B$11-SUM(X200:X200)-SUM(P200:W200)))</f>
        <v>0</v>
      </c>
      <c r="Z200" s="27" t="n">
        <f aca="false">MIN(D199*(1+D$8),MAX(P200,$B$11-SUM(X200:Y200)-SUM(Q200:W200)))</f>
        <v>0</v>
      </c>
      <c r="AA200" s="27" t="n">
        <f aca="false">MIN(E199*(1+E$8),MAX(Q200,$B$11-SUM(X200:Z200)-SUM(R200:W200)))</f>
        <v>0</v>
      </c>
      <c r="AB200" s="27" t="n">
        <f aca="false">MIN(F199*(1+F$8),MAX(R200,$B$11-SUM(X200:AA200)-SUM(S200:W200)))</f>
        <v>0</v>
      </c>
      <c r="AC200" s="27" t="n">
        <f aca="false">MIN(G199*(1+G$8),MAX(S200,$B$11-SUM(X200:AB200)-SUM(T200:W200)))</f>
        <v>0</v>
      </c>
      <c r="AD200" s="27" t="n">
        <f aca="false">MIN(H199*(1+H$8),MAX(T200,$B$11-SUM(X200:AC200)-SUM(U200:W200)))</f>
        <v>0</v>
      </c>
      <c r="AE200" s="27" t="n">
        <f aca="false">MIN(I199*(1+I$8),MAX(U200,$B$11-SUM(X200:AD200)-SUM(V200:W200)))</f>
        <v>0</v>
      </c>
      <c r="AF200" s="27" t="n">
        <f aca="false">MIN(J199*(1+J$8),MAX(V200,$B$11-SUM(X200:AE200)-SUM(W200:W200)))</f>
        <v>0</v>
      </c>
      <c r="AG200" s="27" t="n">
        <f aca="false">MIN(K199*(1+K$8),MAX(W200,$B$11-SUM(X200:AF200)))</f>
        <v>0</v>
      </c>
      <c r="AI200" s="27" t="n">
        <f aca="false">ROUND(MAX(0,AI199*(1+B$8)-BE200),2)</f>
        <v>0</v>
      </c>
      <c r="AJ200" s="27" t="n">
        <f aca="false">ROUND(MAX(0,AJ199*(1+C$8)-BF200),2)</f>
        <v>0</v>
      </c>
      <c r="AK200" s="27" t="n">
        <f aca="false">ROUND(MAX(0,AK199*(1+D$8)-BG200),2)</f>
        <v>0</v>
      </c>
      <c r="AL200" s="27" t="n">
        <f aca="false">ROUND(MAX(0,AL199*(1+E$8)-BH200),2)</f>
        <v>0</v>
      </c>
      <c r="AM200" s="27" t="n">
        <f aca="false">ROUND(MAX(0,AM199*(1+F$8)-BI200),2)</f>
        <v>0</v>
      </c>
      <c r="AN200" s="27" t="n">
        <f aca="false">ROUND(MAX(0,AN199*(1+G$8)-BJ200),2)</f>
        <v>0</v>
      </c>
      <c r="AO200" s="27" t="n">
        <f aca="false">ROUND(MAX(0,AO199*(1+H$8)-BK200),2)</f>
        <v>0</v>
      </c>
      <c r="AP200" s="27" t="n">
        <f aca="false">ROUND(MAX(0,AP199*(1+I$8)-BL200),2)</f>
        <v>0</v>
      </c>
      <c r="AQ200" s="27" t="n">
        <f aca="false">ROUND(MAX(0,AQ199*(1+J$8)-BM200),2)</f>
        <v>0</v>
      </c>
      <c r="AR200" s="27" t="n">
        <f aca="false">ROUND(MAX(0,AR199*(1+K$8)-BN200),2)</f>
        <v>0</v>
      </c>
      <c r="AS200" s="27" t="n">
        <f aca="false">SUM(AI200:AR200)</f>
        <v>0</v>
      </c>
      <c r="AT200" s="27" t="n">
        <f aca="false">SUMPRODUCT(AI199:AR199,$B$8:$K$8)</f>
        <v>0</v>
      </c>
      <c r="AU200" s="27" t="n">
        <f aca="false">MIN(AI199*(1+B$8),B$9)</f>
        <v>0</v>
      </c>
      <c r="AV200" s="27" t="n">
        <f aca="false">MIN(AJ199*(1+C$8),C$9)</f>
        <v>0</v>
      </c>
      <c r="AW200" s="27" t="n">
        <f aca="false">MIN(AK199*(1+D$8),D$9)</f>
        <v>0</v>
      </c>
      <c r="AX200" s="27" t="n">
        <f aca="false">MIN(AL199*(1+E$8),E$9)</f>
        <v>0</v>
      </c>
      <c r="AY200" s="27" t="n">
        <f aca="false">MIN(AM199*(1+F$8),F$9)</f>
        <v>0</v>
      </c>
      <c r="AZ200" s="27" t="n">
        <f aca="false">MIN(AN199*(1+G$8),G$9)</f>
        <v>0</v>
      </c>
      <c r="BA200" s="27" t="n">
        <f aca="false">MIN(AO199*(1+H$8),H$9)</f>
        <v>0</v>
      </c>
      <c r="BB200" s="27" t="n">
        <f aca="false">MIN(AP199*(1+I$8),I$9)</f>
        <v>0</v>
      </c>
      <c r="BC200" s="27" t="n">
        <f aca="false">MIN(AQ199*(1+J$8),J$9)</f>
        <v>0</v>
      </c>
      <c r="BD200" s="27" t="n">
        <f aca="false">MIN(AR199*(1+K$8),K$9)</f>
        <v>0</v>
      </c>
      <c r="BE200" s="27" t="n">
        <f aca="false">MIN(AI199*(1+B$8),MAX(AU200,$B$12-SUM(AV200:BD200)))</f>
        <v>0</v>
      </c>
      <c r="BF200" s="27" t="n">
        <f aca="false">MIN(AJ199*(1+C$8),MAX(AV200,$B$12-SUM(BE200:BE200)-SUM(AW200:BD200)))</f>
        <v>0</v>
      </c>
      <c r="BG200" s="27" t="n">
        <f aca="false">MIN(AK199*(1+D$8),MAX(AW200,$B$12-SUM(BE200:BF200)-SUM(AX200:BD200)))</f>
        <v>0</v>
      </c>
      <c r="BH200" s="27" t="n">
        <f aca="false">MIN(AL199*(1+E$8),MAX(AX200,$B$12-SUM(BE200:BG200)-SUM(AY200:BD200)))</f>
        <v>0</v>
      </c>
      <c r="BI200" s="27" t="n">
        <f aca="false">MIN(AM199*(1+F$8),MAX(AY200,$B$12-SUM(BE200:BH200)-SUM(AZ200:BD200)))</f>
        <v>0</v>
      </c>
      <c r="BJ200" s="27" t="n">
        <f aca="false">MIN(AN199*(1+G$8),MAX(AZ200,$B$12-SUM(BE200:BI200)-SUM(BA200:BD200)))</f>
        <v>0</v>
      </c>
      <c r="BK200" s="27" t="n">
        <f aca="false">MIN(AO199*(1+H$8),MAX(BA200,$B$12-SUM(BE200:BJ200)-SUM(BB200:BD200)))</f>
        <v>0</v>
      </c>
      <c r="BL200" s="27" t="n">
        <f aca="false">MIN(AP199*(1+I$8),MAX(BB200,$B$12-SUM(BE200:BK200)-SUM(BC200:BD200)))</f>
        <v>0</v>
      </c>
      <c r="BM200" s="27" t="n">
        <f aca="false">MIN(AQ199*(1+J$8),MAX(BC200,$B$12-SUM(BE200:BL200)-SUM(BD200:BD200)))</f>
        <v>0</v>
      </c>
      <c r="BN200" s="27" t="n">
        <f aca="false">MIN(AR199*(1+K$8),MAX(BD200,$B$12-SUM(BE200:BM200)))</f>
        <v>0</v>
      </c>
    </row>
    <row r="201" customFormat="false" ht="15" hidden="false" customHeight="false" outlineLevel="0" collapsed="false">
      <c r="A201" s="0" t="n">
        <v>187</v>
      </c>
      <c r="B201" s="27" t="n">
        <f aca="false">ROUND(MAX(0,B200*(1+B$8)-X201),2)</f>
        <v>0</v>
      </c>
      <c r="C201" s="27" t="n">
        <f aca="false">ROUND(MAX(0,C200*(1+C$8)-Y201),2)</f>
        <v>0</v>
      </c>
      <c r="D201" s="27" t="n">
        <f aca="false">ROUND(MAX(0,D200*(1+D$8)-Z201),2)</f>
        <v>0</v>
      </c>
      <c r="E201" s="27" t="n">
        <f aca="false">ROUND(MAX(0,E200*(1+E$8)-AA201),2)</f>
        <v>0</v>
      </c>
      <c r="F201" s="27" t="n">
        <f aca="false">ROUND(MAX(0,F200*(1+F$8)-AB201),2)</f>
        <v>0</v>
      </c>
      <c r="G201" s="27" t="n">
        <f aca="false">ROUND(MAX(0,G200*(1+G$8)-AC201),2)</f>
        <v>0</v>
      </c>
      <c r="H201" s="27" t="n">
        <f aca="false">ROUND(MAX(0,H200*(1+H$8)-AD201),2)</f>
        <v>0</v>
      </c>
      <c r="I201" s="27" t="n">
        <f aca="false">ROUND(MAX(0,I200*(1+I$8)-AE201),2)</f>
        <v>0</v>
      </c>
      <c r="J201" s="27" t="n">
        <f aca="false">ROUND(MAX(0,J200*(1+J$8)-AF201),2)</f>
        <v>0</v>
      </c>
      <c r="K201" s="27" t="n">
        <f aca="false">ROUND(MAX(0,K200*(1+K$8)-AG201),2)</f>
        <v>0</v>
      </c>
      <c r="L201" s="30" t="n">
        <f aca="false">SUM(B201:K201)</f>
        <v>0</v>
      </c>
      <c r="M201" s="27" t="n">
        <f aca="false">SUMPRODUCT(B200:K200,$B$8:$K$8)</f>
        <v>0</v>
      </c>
      <c r="N201" s="27" t="n">
        <f aca="false">MIN(B200*(1+B$8),B$9)</f>
        <v>0</v>
      </c>
      <c r="O201" s="27" t="n">
        <f aca="false">MIN(C200*(1+C$8),C$9)</f>
        <v>0</v>
      </c>
      <c r="P201" s="27" t="n">
        <f aca="false">MIN(D200*(1+D$8),D$9)</f>
        <v>0</v>
      </c>
      <c r="Q201" s="27" t="n">
        <f aca="false">MIN(E200*(1+E$8),E$9)</f>
        <v>0</v>
      </c>
      <c r="R201" s="27" t="n">
        <f aca="false">MIN(F200*(1+F$8),F$9)</f>
        <v>0</v>
      </c>
      <c r="S201" s="27" t="n">
        <f aca="false">MIN(G200*(1+G$8),G$9)</f>
        <v>0</v>
      </c>
      <c r="T201" s="27" t="n">
        <f aca="false">MIN(H200*(1+H$8),H$9)</f>
        <v>0</v>
      </c>
      <c r="U201" s="27" t="n">
        <f aca="false">MIN(I200*(1+I$8),I$9)</f>
        <v>0</v>
      </c>
      <c r="V201" s="27" t="n">
        <f aca="false">MIN(J200*(1+J$8),J$9)</f>
        <v>0</v>
      </c>
      <c r="W201" s="27" t="n">
        <f aca="false">MIN(K200*(1+K$8),K$9)</f>
        <v>0</v>
      </c>
      <c r="X201" s="27" t="n">
        <f aca="false">MIN(B200*(1+B$8),MAX(N201,$B$11-SUM(O201:W201)))</f>
        <v>0</v>
      </c>
      <c r="Y201" s="27" t="n">
        <f aca="false">MIN(C200*(1+C$8),MAX(O201,$B$11-SUM(X201:X201)-SUM(P201:W201)))</f>
        <v>0</v>
      </c>
      <c r="Z201" s="27" t="n">
        <f aca="false">MIN(D200*(1+D$8),MAX(P201,$B$11-SUM(X201:Y201)-SUM(Q201:W201)))</f>
        <v>0</v>
      </c>
      <c r="AA201" s="27" t="n">
        <f aca="false">MIN(E200*(1+E$8),MAX(Q201,$B$11-SUM(X201:Z201)-SUM(R201:W201)))</f>
        <v>0</v>
      </c>
      <c r="AB201" s="27" t="n">
        <f aca="false">MIN(F200*(1+F$8),MAX(R201,$B$11-SUM(X201:AA201)-SUM(S201:W201)))</f>
        <v>0</v>
      </c>
      <c r="AC201" s="27" t="n">
        <f aca="false">MIN(G200*(1+G$8),MAX(S201,$B$11-SUM(X201:AB201)-SUM(T201:W201)))</f>
        <v>0</v>
      </c>
      <c r="AD201" s="27" t="n">
        <f aca="false">MIN(H200*(1+H$8),MAX(T201,$B$11-SUM(X201:AC201)-SUM(U201:W201)))</f>
        <v>0</v>
      </c>
      <c r="AE201" s="27" t="n">
        <f aca="false">MIN(I200*(1+I$8),MAX(U201,$B$11-SUM(X201:AD201)-SUM(V201:W201)))</f>
        <v>0</v>
      </c>
      <c r="AF201" s="27" t="n">
        <f aca="false">MIN(J200*(1+J$8),MAX(V201,$B$11-SUM(X201:AE201)-SUM(W201:W201)))</f>
        <v>0</v>
      </c>
      <c r="AG201" s="27" t="n">
        <f aca="false">MIN(K200*(1+K$8),MAX(W201,$B$11-SUM(X201:AF201)))</f>
        <v>0</v>
      </c>
      <c r="AI201" s="27" t="n">
        <f aca="false">ROUND(MAX(0,AI200*(1+B$8)-BE201),2)</f>
        <v>0</v>
      </c>
      <c r="AJ201" s="27" t="n">
        <f aca="false">ROUND(MAX(0,AJ200*(1+C$8)-BF201),2)</f>
        <v>0</v>
      </c>
      <c r="AK201" s="27" t="n">
        <f aca="false">ROUND(MAX(0,AK200*(1+D$8)-BG201),2)</f>
        <v>0</v>
      </c>
      <c r="AL201" s="27" t="n">
        <f aca="false">ROUND(MAX(0,AL200*(1+E$8)-BH201),2)</f>
        <v>0</v>
      </c>
      <c r="AM201" s="27" t="n">
        <f aca="false">ROUND(MAX(0,AM200*(1+F$8)-BI201),2)</f>
        <v>0</v>
      </c>
      <c r="AN201" s="27" t="n">
        <f aca="false">ROUND(MAX(0,AN200*(1+G$8)-BJ201),2)</f>
        <v>0</v>
      </c>
      <c r="AO201" s="27" t="n">
        <f aca="false">ROUND(MAX(0,AO200*(1+H$8)-BK201),2)</f>
        <v>0</v>
      </c>
      <c r="AP201" s="27" t="n">
        <f aca="false">ROUND(MAX(0,AP200*(1+I$8)-BL201),2)</f>
        <v>0</v>
      </c>
      <c r="AQ201" s="27" t="n">
        <f aca="false">ROUND(MAX(0,AQ200*(1+J$8)-BM201),2)</f>
        <v>0</v>
      </c>
      <c r="AR201" s="27" t="n">
        <f aca="false">ROUND(MAX(0,AR200*(1+K$8)-BN201),2)</f>
        <v>0</v>
      </c>
      <c r="AS201" s="27" t="n">
        <f aca="false">SUM(AI201:AR201)</f>
        <v>0</v>
      </c>
      <c r="AT201" s="27" t="n">
        <f aca="false">SUMPRODUCT(AI200:AR200,$B$8:$K$8)</f>
        <v>0</v>
      </c>
      <c r="AU201" s="27" t="n">
        <f aca="false">MIN(AI200*(1+B$8),B$9)</f>
        <v>0</v>
      </c>
      <c r="AV201" s="27" t="n">
        <f aca="false">MIN(AJ200*(1+C$8),C$9)</f>
        <v>0</v>
      </c>
      <c r="AW201" s="27" t="n">
        <f aca="false">MIN(AK200*(1+D$8),D$9)</f>
        <v>0</v>
      </c>
      <c r="AX201" s="27" t="n">
        <f aca="false">MIN(AL200*(1+E$8),E$9)</f>
        <v>0</v>
      </c>
      <c r="AY201" s="27" t="n">
        <f aca="false">MIN(AM200*(1+F$8),F$9)</f>
        <v>0</v>
      </c>
      <c r="AZ201" s="27" t="n">
        <f aca="false">MIN(AN200*(1+G$8),G$9)</f>
        <v>0</v>
      </c>
      <c r="BA201" s="27" t="n">
        <f aca="false">MIN(AO200*(1+H$8),H$9)</f>
        <v>0</v>
      </c>
      <c r="BB201" s="27" t="n">
        <f aca="false">MIN(AP200*(1+I$8),I$9)</f>
        <v>0</v>
      </c>
      <c r="BC201" s="27" t="n">
        <f aca="false">MIN(AQ200*(1+J$8),J$9)</f>
        <v>0</v>
      </c>
      <c r="BD201" s="27" t="n">
        <f aca="false">MIN(AR200*(1+K$8),K$9)</f>
        <v>0</v>
      </c>
      <c r="BE201" s="27" t="n">
        <f aca="false">MIN(AI200*(1+B$8),MAX(AU201,$B$12-SUM(AV201:BD201)))</f>
        <v>0</v>
      </c>
      <c r="BF201" s="27" t="n">
        <f aca="false">MIN(AJ200*(1+C$8),MAX(AV201,$B$12-SUM(BE201:BE201)-SUM(AW201:BD201)))</f>
        <v>0</v>
      </c>
      <c r="BG201" s="27" t="n">
        <f aca="false">MIN(AK200*(1+D$8),MAX(AW201,$B$12-SUM(BE201:BF201)-SUM(AX201:BD201)))</f>
        <v>0</v>
      </c>
      <c r="BH201" s="27" t="n">
        <f aca="false">MIN(AL200*(1+E$8),MAX(AX201,$B$12-SUM(BE201:BG201)-SUM(AY201:BD201)))</f>
        <v>0</v>
      </c>
      <c r="BI201" s="27" t="n">
        <f aca="false">MIN(AM200*(1+F$8),MAX(AY201,$B$12-SUM(BE201:BH201)-SUM(AZ201:BD201)))</f>
        <v>0</v>
      </c>
      <c r="BJ201" s="27" t="n">
        <f aca="false">MIN(AN200*(1+G$8),MAX(AZ201,$B$12-SUM(BE201:BI201)-SUM(BA201:BD201)))</f>
        <v>0</v>
      </c>
      <c r="BK201" s="27" t="n">
        <f aca="false">MIN(AO200*(1+H$8),MAX(BA201,$B$12-SUM(BE201:BJ201)-SUM(BB201:BD201)))</f>
        <v>0</v>
      </c>
      <c r="BL201" s="27" t="n">
        <f aca="false">MIN(AP200*(1+I$8),MAX(BB201,$B$12-SUM(BE201:BK201)-SUM(BC201:BD201)))</f>
        <v>0</v>
      </c>
      <c r="BM201" s="27" t="n">
        <f aca="false">MIN(AQ200*(1+J$8),MAX(BC201,$B$12-SUM(BE201:BL201)-SUM(BD201:BD201)))</f>
        <v>0</v>
      </c>
      <c r="BN201" s="27" t="n">
        <f aca="false">MIN(AR200*(1+K$8),MAX(BD201,$B$12-SUM(BE201:BM201)))</f>
        <v>0</v>
      </c>
    </row>
    <row r="202" customFormat="false" ht="15" hidden="false" customHeight="false" outlineLevel="0" collapsed="false">
      <c r="A202" s="0" t="n">
        <v>188</v>
      </c>
      <c r="B202" s="27" t="n">
        <f aca="false">ROUND(MAX(0,B201*(1+B$8)-X202),2)</f>
        <v>0</v>
      </c>
      <c r="C202" s="27" t="n">
        <f aca="false">ROUND(MAX(0,C201*(1+C$8)-Y202),2)</f>
        <v>0</v>
      </c>
      <c r="D202" s="27" t="n">
        <f aca="false">ROUND(MAX(0,D201*(1+D$8)-Z202),2)</f>
        <v>0</v>
      </c>
      <c r="E202" s="27" t="n">
        <f aca="false">ROUND(MAX(0,E201*(1+E$8)-AA202),2)</f>
        <v>0</v>
      </c>
      <c r="F202" s="27" t="n">
        <f aca="false">ROUND(MAX(0,F201*(1+F$8)-AB202),2)</f>
        <v>0</v>
      </c>
      <c r="G202" s="27" t="n">
        <f aca="false">ROUND(MAX(0,G201*(1+G$8)-AC202),2)</f>
        <v>0</v>
      </c>
      <c r="H202" s="27" t="n">
        <f aca="false">ROUND(MAX(0,H201*(1+H$8)-AD202),2)</f>
        <v>0</v>
      </c>
      <c r="I202" s="27" t="n">
        <f aca="false">ROUND(MAX(0,I201*(1+I$8)-AE202),2)</f>
        <v>0</v>
      </c>
      <c r="J202" s="27" t="n">
        <f aca="false">ROUND(MAX(0,J201*(1+J$8)-AF202),2)</f>
        <v>0</v>
      </c>
      <c r="K202" s="27" t="n">
        <f aca="false">ROUND(MAX(0,K201*(1+K$8)-AG202),2)</f>
        <v>0</v>
      </c>
      <c r="L202" s="30" t="n">
        <f aca="false">SUM(B202:K202)</f>
        <v>0</v>
      </c>
      <c r="M202" s="27" t="n">
        <f aca="false">SUMPRODUCT(B201:K201,$B$8:$K$8)</f>
        <v>0</v>
      </c>
      <c r="N202" s="27" t="n">
        <f aca="false">MIN(B201*(1+B$8),B$9)</f>
        <v>0</v>
      </c>
      <c r="O202" s="27" t="n">
        <f aca="false">MIN(C201*(1+C$8),C$9)</f>
        <v>0</v>
      </c>
      <c r="P202" s="27" t="n">
        <f aca="false">MIN(D201*(1+D$8),D$9)</f>
        <v>0</v>
      </c>
      <c r="Q202" s="27" t="n">
        <f aca="false">MIN(E201*(1+E$8),E$9)</f>
        <v>0</v>
      </c>
      <c r="R202" s="27" t="n">
        <f aca="false">MIN(F201*(1+F$8),F$9)</f>
        <v>0</v>
      </c>
      <c r="S202" s="27" t="n">
        <f aca="false">MIN(G201*(1+G$8),G$9)</f>
        <v>0</v>
      </c>
      <c r="T202" s="27" t="n">
        <f aca="false">MIN(H201*(1+H$8),H$9)</f>
        <v>0</v>
      </c>
      <c r="U202" s="27" t="n">
        <f aca="false">MIN(I201*(1+I$8),I$9)</f>
        <v>0</v>
      </c>
      <c r="V202" s="27" t="n">
        <f aca="false">MIN(J201*(1+J$8),J$9)</f>
        <v>0</v>
      </c>
      <c r="W202" s="27" t="n">
        <f aca="false">MIN(K201*(1+K$8),K$9)</f>
        <v>0</v>
      </c>
      <c r="X202" s="27" t="n">
        <f aca="false">MIN(B201*(1+B$8),MAX(N202,$B$11-SUM(O202:W202)))</f>
        <v>0</v>
      </c>
      <c r="Y202" s="27" t="n">
        <f aca="false">MIN(C201*(1+C$8),MAX(O202,$B$11-SUM(X202:X202)-SUM(P202:W202)))</f>
        <v>0</v>
      </c>
      <c r="Z202" s="27" t="n">
        <f aca="false">MIN(D201*(1+D$8),MAX(P202,$B$11-SUM(X202:Y202)-SUM(Q202:W202)))</f>
        <v>0</v>
      </c>
      <c r="AA202" s="27" t="n">
        <f aca="false">MIN(E201*(1+E$8),MAX(Q202,$B$11-SUM(X202:Z202)-SUM(R202:W202)))</f>
        <v>0</v>
      </c>
      <c r="AB202" s="27" t="n">
        <f aca="false">MIN(F201*(1+F$8),MAX(R202,$B$11-SUM(X202:AA202)-SUM(S202:W202)))</f>
        <v>0</v>
      </c>
      <c r="AC202" s="27" t="n">
        <f aca="false">MIN(G201*(1+G$8),MAX(S202,$B$11-SUM(X202:AB202)-SUM(T202:W202)))</f>
        <v>0</v>
      </c>
      <c r="AD202" s="27" t="n">
        <f aca="false">MIN(H201*(1+H$8),MAX(T202,$B$11-SUM(X202:AC202)-SUM(U202:W202)))</f>
        <v>0</v>
      </c>
      <c r="AE202" s="27" t="n">
        <f aca="false">MIN(I201*(1+I$8),MAX(U202,$B$11-SUM(X202:AD202)-SUM(V202:W202)))</f>
        <v>0</v>
      </c>
      <c r="AF202" s="27" t="n">
        <f aca="false">MIN(J201*(1+J$8),MAX(V202,$B$11-SUM(X202:AE202)-SUM(W202:W202)))</f>
        <v>0</v>
      </c>
      <c r="AG202" s="27" t="n">
        <f aca="false">MIN(K201*(1+K$8),MAX(W202,$B$11-SUM(X202:AF202)))</f>
        <v>0</v>
      </c>
      <c r="AI202" s="27" t="n">
        <f aca="false">ROUND(MAX(0,AI201*(1+B$8)-BE202),2)</f>
        <v>0</v>
      </c>
      <c r="AJ202" s="27" t="n">
        <f aca="false">ROUND(MAX(0,AJ201*(1+C$8)-BF202),2)</f>
        <v>0</v>
      </c>
      <c r="AK202" s="27" t="n">
        <f aca="false">ROUND(MAX(0,AK201*(1+D$8)-BG202),2)</f>
        <v>0</v>
      </c>
      <c r="AL202" s="27" t="n">
        <f aca="false">ROUND(MAX(0,AL201*(1+E$8)-BH202),2)</f>
        <v>0</v>
      </c>
      <c r="AM202" s="27" t="n">
        <f aca="false">ROUND(MAX(0,AM201*(1+F$8)-BI202),2)</f>
        <v>0</v>
      </c>
      <c r="AN202" s="27" t="n">
        <f aca="false">ROUND(MAX(0,AN201*(1+G$8)-BJ202),2)</f>
        <v>0</v>
      </c>
      <c r="AO202" s="27" t="n">
        <f aca="false">ROUND(MAX(0,AO201*(1+H$8)-BK202),2)</f>
        <v>0</v>
      </c>
      <c r="AP202" s="27" t="n">
        <f aca="false">ROUND(MAX(0,AP201*(1+I$8)-BL202),2)</f>
        <v>0</v>
      </c>
      <c r="AQ202" s="27" t="n">
        <f aca="false">ROUND(MAX(0,AQ201*(1+J$8)-BM202),2)</f>
        <v>0</v>
      </c>
      <c r="AR202" s="27" t="n">
        <f aca="false">ROUND(MAX(0,AR201*(1+K$8)-BN202),2)</f>
        <v>0</v>
      </c>
      <c r="AS202" s="27" t="n">
        <f aca="false">SUM(AI202:AR202)</f>
        <v>0</v>
      </c>
      <c r="AT202" s="27" t="n">
        <f aca="false">SUMPRODUCT(AI201:AR201,$B$8:$K$8)</f>
        <v>0</v>
      </c>
      <c r="AU202" s="27" t="n">
        <f aca="false">MIN(AI201*(1+B$8),B$9)</f>
        <v>0</v>
      </c>
      <c r="AV202" s="27" t="n">
        <f aca="false">MIN(AJ201*(1+C$8),C$9)</f>
        <v>0</v>
      </c>
      <c r="AW202" s="27" t="n">
        <f aca="false">MIN(AK201*(1+D$8),D$9)</f>
        <v>0</v>
      </c>
      <c r="AX202" s="27" t="n">
        <f aca="false">MIN(AL201*(1+E$8),E$9)</f>
        <v>0</v>
      </c>
      <c r="AY202" s="27" t="n">
        <f aca="false">MIN(AM201*(1+F$8),F$9)</f>
        <v>0</v>
      </c>
      <c r="AZ202" s="27" t="n">
        <f aca="false">MIN(AN201*(1+G$8),G$9)</f>
        <v>0</v>
      </c>
      <c r="BA202" s="27" t="n">
        <f aca="false">MIN(AO201*(1+H$8),H$9)</f>
        <v>0</v>
      </c>
      <c r="BB202" s="27" t="n">
        <f aca="false">MIN(AP201*(1+I$8),I$9)</f>
        <v>0</v>
      </c>
      <c r="BC202" s="27" t="n">
        <f aca="false">MIN(AQ201*(1+J$8),J$9)</f>
        <v>0</v>
      </c>
      <c r="BD202" s="27" t="n">
        <f aca="false">MIN(AR201*(1+K$8),K$9)</f>
        <v>0</v>
      </c>
      <c r="BE202" s="27" t="n">
        <f aca="false">MIN(AI201*(1+B$8),MAX(AU202,$B$12-SUM(AV202:BD202)))</f>
        <v>0</v>
      </c>
      <c r="BF202" s="27" t="n">
        <f aca="false">MIN(AJ201*(1+C$8),MAX(AV202,$B$12-SUM(BE202:BE202)-SUM(AW202:BD202)))</f>
        <v>0</v>
      </c>
      <c r="BG202" s="27" t="n">
        <f aca="false">MIN(AK201*(1+D$8),MAX(AW202,$B$12-SUM(BE202:BF202)-SUM(AX202:BD202)))</f>
        <v>0</v>
      </c>
      <c r="BH202" s="27" t="n">
        <f aca="false">MIN(AL201*(1+E$8),MAX(AX202,$B$12-SUM(BE202:BG202)-SUM(AY202:BD202)))</f>
        <v>0</v>
      </c>
      <c r="BI202" s="27" t="n">
        <f aca="false">MIN(AM201*(1+F$8),MAX(AY202,$B$12-SUM(BE202:BH202)-SUM(AZ202:BD202)))</f>
        <v>0</v>
      </c>
      <c r="BJ202" s="27" t="n">
        <f aca="false">MIN(AN201*(1+G$8),MAX(AZ202,$B$12-SUM(BE202:BI202)-SUM(BA202:BD202)))</f>
        <v>0</v>
      </c>
      <c r="BK202" s="27" t="n">
        <f aca="false">MIN(AO201*(1+H$8),MAX(BA202,$B$12-SUM(BE202:BJ202)-SUM(BB202:BD202)))</f>
        <v>0</v>
      </c>
      <c r="BL202" s="27" t="n">
        <f aca="false">MIN(AP201*(1+I$8),MAX(BB202,$B$12-SUM(BE202:BK202)-SUM(BC202:BD202)))</f>
        <v>0</v>
      </c>
      <c r="BM202" s="27" t="n">
        <f aca="false">MIN(AQ201*(1+J$8),MAX(BC202,$B$12-SUM(BE202:BL202)-SUM(BD202:BD202)))</f>
        <v>0</v>
      </c>
      <c r="BN202" s="27" t="n">
        <f aca="false">MIN(AR201*(1+K$8),MAX(BD202,$B$12-SUM(BE202:BM202)))</f>
        <v>0</v>
      </c>
    </row>
    <row r="203" customFormat="false" ht="15" hidden="false" customHeight="false" outlineLevel="0" collapsed="false">
      <c r="A203" s="0" t="n">
        <v>189</v>
      </c>
      <c r="B203" s="27" t="n">
        <f aca="false">ROUND(MAX(0,B202*(1+B$8)-X203),2)</f>
        <v>0</v>
      </c>
      <c r="C203" s="27" t="n">
        <f aca="false">ROUND(MAX(0,C202*(1+C$8)-Y203),2)</f>
        <v>0</v>
      </c>
      <c r="D203" s="27" t="n">
        <f aca="false">ROUND(MAX(0,D202*(1+D$8)-Z203),2)</f>
        <v>0</v>
      </c>
      <c r="E203" s="27" t="n">
        <f aca="false">ROUND(MAX(0,E202*(1+E$8)-AA203),2)</f>
        <v>0</v>
      </c>
      <c r="F203" s="27" t="n">
        <f aca="false">ROUND(MAX(0,F202*(1+F$8)-AB203),2)</f>
        <v>0</v>
      </c>
      <c r="G203" s="27" t="n">
        <f aca="false">ROUND(MAX(0,G202*(1+G$8)-AC203),2)</f>
        <v>0</v>
      </c>
      <c r="H203" s="27" t="n">
        <f aca="false">ROUND(MAX(0,H202*(1+H$8)-AD203),2)</f>
        <v>0</v>
      </c>
      <c r="I203" s="27" t="n">
        <f aca="false">ROUND(MAX(0,I202*(1+I$8)-AE203),2)</f>
        <v>0</v>
      </c>
      <c r="J203" s="27" t="n">
        <f aca="false">ROUND(MAX(0,J202*(1+J$8)-AF203),2)</f>
        <v>0</v>
      </c>
      <c r="K203" s="27" t="n">
        <f aca="false">ROUND(MAX(0,K202*(1+K$8)-AG203),2)</f>
        <v>0</v>
      </c>
      <c r="L203" s="30" t="n">
        <f aca="false">SUM(B203:K203)</f>
        <v>0</v>
      </c>
      <c r="M203" s="27" t="n">
        <f aca="false">SUMPRODUCT(B202:K202,$B$8:$K$8)</f>
        <v>0</v>
      </c>
      <c r="N203" s="27" t="n">
        <f aca="false">MIN(B202*(1+B$8),B$9)</f>
        <v>0</v>
      </c>
      <c r="O203" s="27" t="n">
        <f aca="false">MIN(C202*(1+C$8),C$9)</f>
        <v>0</v>
      </c>
      <c r="P203" s="27" t="n">
        <f aca="false">MIN(D202*(1+D$8),D$9)</f>
        <v>0</v>
      </c>
      <c r="Q203" s="27" t="n">
        <f aca="false">MIN(E202*(1+E$8),E$9)</f>
        <v>0</v>
      </c>
      <c r="R203" s="27" t="n">
        <f aca="false">MIN(F202*(1+F$8),F$9)</f>
        <v>0</v>
      </c>
      <c r="S203" s="27" t="n">
        <f aca="false">MIN(G202*(1+G$8),G$9)</f>
        <v>0</v>
      </c>
      <c r="T203" s="27" t="n">
        <f aca="false">MIN(H202*(1+H$8),H$9)</f>
        <v>0</v>
      </c>
      <c r="U203" s="27" t="n">
        <f aca="false">MIN(I202*(1+I$8),I$9)</f>
        <v>0</v>
      </c>
      <c r="V203" s="27" t="n">
        <f aca="false">MIN(J202*(1+J$8),J$9)</f>
        <v>0</v>
      </c>
      <c r="W203" s="27" t="n">
        <f aca="false">MIN(K202*(1+K$8),K$9)</f>
        <v>0</v>
      </c>
      <c r="X203" s="27" t="n">
        <f aca="false">MIN(B202*(1+B$8),MAX(N203,$B$11-SUM(O203:W203)))</f>
        <v>0</v>
      </c>
      <c r="Y203" s="27" t="n">
        <f aca="false">MIN(C202*(1+C$8),MAX(O203,$B$11-SUM(X203:X203)-SUM(P203:W203)))</f>
        <v>0</v>
      </c>
      <c r="Z203" s="27" t="n">
        <f aca="false">MIN(D202*(1+D$8),MAX(P203,$B$11-SUM(X203:Y203)-SUM(Q203:W203)))</f>
        <v>0</v>
      </c>
      <c r="AA203" s="27" t="n">
        <f aca="false">MIN(E202*(1+E$8),MAX(Q203,$B$11-SUM(X203:Z203)-SUM(R203:W203)))</f>
        <v>0</v>
      </c>
      <c r="AB203" s="27" t="n">
        <f aca="false">MIN(F202*(1+F$8),MAX(R203,$B$11-SUM(X203:AA203)-SUM(S203:W203)))</f>
        <v>0</v>
      </c>
      <c r="AC203" s="27" t="n">
        <f aca="false">MIN(G202*(1+G$8),MAX(S203,$B$11-SUM(X203:AB203)-SUM(T203:W203)))</f>
        <v>0</v>
      </c>
      <c r="AD203" s="27" t="n">
        <f aca="false">MIN(H202*(1+H$8),MAX(T203,$B$11-SUM(X203:AC203)-SUM(U203:W203)))</f>
        <v>0</v>
      </c>
      <c r="AE203" s="27" t="n">
        <f aca="false">MIN(I202*(1+I$8),MAX(U203,$B$11-SUM(X203:AD203)-SUM(V203:W203)))</f>
        <v>0</v>
      </c>
      <c r="AF203" s="27" t="n">
        <f aca="false">MIN(J202*(1+J$8),MAX(V203,$B$11-SUM(X203:AE203)-SUM(W203:W203)))</f>
        <v>0</v>
      </c>
      <c r="AG203" s="27" t="n">
        <f aca="false">MIN(K202*(1+K$8),MAX(W203,$B$11-SUM(X203:AF203)))</f>
        <v>0</v>
      </c>
      <c r="AI203" s="27" t="n">
        <f aca="false">ROUND(MAX(0,AI202*(1+B$8)-BE203),2)</f>
        <v>0</v>
      </c>
      <c r="AJ203" s="27" t="n">
        <f aca="false">ROUND(MAX(0,AJ202*(1+C$8)-BF203),2)</f>
        <v>0</v>
      </c>
      <c r="AK203" s="27" t="n">
        <f aca="false">ROUND(MAX(0,AK202*(1+D$8)-BG203),2)</f>
        <v>0</v>
      </c>
      <c r="AL203" s="27" t="n">
        <f aca="false">ROUND(MAX(0,AL202*(1+E$8)-BH203),2)</f>
        <v>0</v>
      </c>
      <c r="AM203" s="27" t="n">
        <f aca="false">ROUND(MAX(0,AM202*(1+F$8)-BI203),2)</f>
        <v>0</v>
      </c>
      <c r="AN203" s="27" t="n">
        <f aca="false">ROUND(MAX(0,AN202*(1+G$8)-BJ203),2)</f>
        <v>0</v>
      </c>
      <c r="AO203" s="27" t="n">
        <f aca="false">ROUND(MAX(0,AO202*(1+H$8)-BK203),2)</f>
        <v>0</v>
      </c>
      <c r="AP203" s="27" t="n">
        <f aca="false">ROUND(MAX(0,AP202*(1+I$8)-BL203),2)</f>
        <v>0</v>
      </c>
      <c r="AQ203" s="27" t="n">
        <f aca="false">ROUND(MAX(0,AQ202*(1+J$8)-BM203),2)</f>
        <v>0</v>
      </c>
      <c r="AR203" s="27" t="n">
        <f aca="false">ROUND(MAX(0,AR202*(1+K$8)-BN203),2)</f>
        <v>0</v>
      </c>
      <c r="AS203" s="27" t="n">
        <f aca="false">SUM(AI203:AR203)</f>
        <v>0</v>
      </c>
      <c r="AT203" s="27" t="n">
        <f aca="false">SUMPRODUCT(AI202:AR202,$B$8:$K$8)</f>
        <v>0</v>
      </c>
      <c r="AU203" s="27" t="n">
        <f aca="false">MIN(AI202*(1+B$8),B$9)</f>
        <v>0</v>
      </c>
      <c r="AV203" s="27" t="n">
        <f aca="false">MIN(AJ202*(1+C$8),C$9)</f>
        <v>0</v>
      </c>
      <c r="AW203" s="27" t="n">
        <f aca="false">MIN(AK202*(1+D$8),D$9)</f>
        <v>0</v>
      </c>
      <c r="AX203" s="27" t="n">
        <f aca="false">MIN(AL202*(1+E$8),E$9)</f>
        <v>0</v>
      </c>
      <c r="AY203" s="27" t="n">
        <f aca="false">MIN(AM202*(1+F$8),F$9)</f>
        <v>0</v>
      </c>
      <c r="AZ203" s="27" t="n">
        <f aca="false">MIN(AN202*(1+G$8),G$9)</f>
        <v>0</v>
      </c>
      <c r="BA203" s="27" t="n">
        <f aca="false">MIN(AO202*(1+H$8),H$9)</f>
        <v>0</v>
      </c>
      <c r="BB203" s="27" t="n">
        <f aca="false">MIN(AP202*(1+I$8),I$9)</f>
        <v>0</v>
      </c>
      <c r="BC203" s="27" t="n">
        <f aca="false">MIN(AQ202*(1+J$8),J$9)</f>
        <v>0</v>
      </c>
      <c r="BD203" s="27" t="n">
        <f aca="false">MIN(AR202*(1+K$8),K$9)</f>
        <v>0</v>
      </c>
      <c r="BE203" s="27" t="n">
        <f aca="false">MIN(AI202*(1+B$8),MAX(AU203,$B$12-SUM(AV203:BD203)))</f>
        <v>0</v>
      </c>
      <c r="BF203" s="27" t="n">
        <f aca="false">MIN(AJ202*(1+C$8),MAX(AV203,$B$12-SUM(BE203:BE203)-SUM(AW203:BD203)))</f>
        <v>0</v>
      </c>
      <c r="BG203" s="27" t="n">
        <f aca="false">MIN(AK202*(1+D$8),MAX(AW203,$B$12-SUM(BE203:BF203)-SUM(AX203:BD203)))</f>
        <v>0</v>
      </c>
      <c r="BH203" s="27" t="n">
        <f aca="false">MIN(AL202*(1+E$8),MAX(AX203,$B$12-SUM(BE203:BG203)-SUM(AY203:BD203)))</f>
        <v>0</v>
      </c>
      <c r="BI203" s="27" t="n">
        <f aca="false">MIN(AM202*(1+F$8),MAX(AY203,$B$12-SUM(BE203:BH203)-SUM(AZ203:BD203)))</f>
        <v>0</v>
      </c>
      <c r="BJ203" s="27" t="n">
        <f aca="false">MIN(AN202*(1+G$8),MAX(AZ203,$B$12-SUM(BE203:BI203)-SUM(BA203:BD203)))</f>
        <v>0</v>
      </c>
      <c r="BK203" s="27" t="n">
        <f aca="false">MIN(AO202*(1+H$8),MAX(BA203,$B$12-SUM(BE203:BJ203)-SUM(BB203:BD203)))</f>
        <v>0</v>
      </c>
      <c r="BL203" s="27" t="n">
        <f aca="false">MIN(AP202*(1+I$8),MAX(BB203,$B$12-SUM(BE203:BK203)-SUM(BC203:BD203)))</f>
        <v>0</v>
      </c>
      <c r="BM203" s="27" t="n">
        <f aca="false">MIN(AQ202*(1+J$8),MAX(BC203,$B$12-SUM(BE203:BL203)-SUM(BD203:BD203)))</f>
        <v>0</v>
      </c>
      <c r="BN203" s="27" t="n">
        <f aca="false">MIN(AR202*(1+K$8),MAX(BD203,$B$12-SUM(BE203:BM203)))</f>
        <v>0</v>
      </c>
    </row>
    <row r="204" customFormat="false" ht="15" hidden="false" customHeight="false" outlineLevel="0" collapsed="false">
      <c r="A204" s="0" t="n">
        <v>190</v>
      </c>
      <c r="B204" s="27" t="n">
        <f aca="false">ROUND(MAX(0,B203*(1+B$8)-X204),2)</f>
        <v>0</v>
      </c>
      <c r="C204" s="27" t="n">
        <f aca="false">ROUND(MAX(0,C203*(1+C$8)-Y204),2)</f>
        <v>0</v>
      </c>
      <c r="D204" s="27" t="n">
        <f aca="false">ROUND(MAX(0,D203*(1+D$8)-Z204),2)</f>
        <v>0</v>
      </c>
      <c r="E204" s="27" t="n">
        <f aca="false">ROUND(MAX(0,E203*(1+E$8)-AA204),2)</f>
        <v>0</v>
      </c>
      <c r="F204" s="27" t="n">
        <f aca="false">ROUND(MAX(0,F203*(1+F$8)-AB204),2)</f>
        <v>0</v>
      </c>
      <c r="G204" s="27" t="n">
        <f aca="false">ROUND(MAX(0,G203*(1+G$8)-AC204),2)</f>
        <v>0</v>
      </c>
      <c r="H204" s="27" t="n">
        <f aca="false">ROUND(MAX(0,H203*(1+H$8)-AD204),2)</f>
        <v>0</v>
      </c>
      <c r="I204" s="27" t="n">
        <f aca="false">ROUND(MAX(0,I203*(1+I$8)-AE204),2)</f>
        <v>0</v>
      </c>
      <c r="J204" s="27" t="n">
        <f aca="false">ROUND(MAX(0,J203*(1+J$8)-AF204),2)</f>
        <v>0</v>
      </c>
      <c r="K204" s="27" t="n">
        <f aca="false">ROUND(MAX(0,K203*(1+K$8)-AG204),2)</f>
        <v>0</v>
      </c>
      <c r="L204" s="30" t="n">
        <f aca="false">SUM(B204:K204)</f>
        <v>0</v>
      </c>
      <c r="M204" s="27" t="n">
        <f aca="false">SUMPRODUCT(B203:K203,$B$8:$K$8)</f>
        <v>0</v>
      </c>
      <c r="N204" s="27" t="n">
        <f aca="false">MIN(B203*(1+B$8),B$9)</f>
        <v>0</v>
      </c>
      <c r="O204" s="27" t="n">
        <f aca="false">MIN(C203*(1+C$8),C$9)</f>
        <v>0</v>
      </c>
      <c r="P204" s="27" t="n">
        <f aca="false">MIN(D203*(1+D$8),D$9)</f>
        <v>0</v>
      </c>
      <c r="Q204" s="27" t="n">
        <f aca="false">MIN(E203*(1+E$8),E$9)</f>
        <v>0</v>
      </c>
      <c r="R204" s="27" t="n">
        <f aca="false">MIN(F203*(1+F$8),F$9)</f>
        <v>0</v>
      </c>
      <c r="S204" s="27" t="n">
        <f aca="false">MIN(G203*(1+G$8),G$9)</f>
        <v>0</v>
      </c>
      <c r="T204" s="27" t="n">
        <f aca="false">MIN(H203*(1+H$8),H$9)</f>
        <v>0</v>
      </c>
      <c r="U204" s="27" t="n">
        <f aca="false">MIN(I203*(1+I$8),I$9)</f>
        <v>0</v>
      </c>
      <c r="V204" s="27" t="n">
        <f aca="false">MIN(J203*(1+J$8),J$9)</f>
        <v>0</v>
      </c>
      <c r="W204" s="27" t="n">
        <f aca="false">MIN(K203*(1+K$8),K$9)</f>
        <v>0</v>
      </c>
      <c r="X204" s="27" t="n">
        <f aca="false">MIN(B203*(1+B$8),MAX(N204,$B$11-SUM(O204:W204)))</f>
        <v>0</v>
      </c>
      <c r="Y204" s="27" t="n">
        <f aca="false">MIN(C203*(1+C$8),MAX(O204,$B$11-SUM(X204:X204)-SUM(P204:W204)))</f>
        <v>0</v>
      </c>
      <c r="Z204" s="27" t="n">
        <f aca="false">MIN(D203*(1+D$8),MAX(P204,$B$11-SUM(X204:Y204)-SUM(Q204:W204)))</f>
        <v>0</v>
      </c>
      <c r="AA204" s="27" t="n">
        <f aca="false">MIN(E203*(1+E$8),MAX(Q204,$B$11-SUM(X204:Z204)-SUM(R204:W204)))</f>
        <v>0</v>
      </c>
      <c r="AB204" s="27" t="n">
        <f aca="false">MIN(F203*(1+F$8),MAX(R204,$B$11-SUM(X204:AA204)-SUM(S204:W204)))</f>
        <v>0</v>
      </c>
      <c r="AC204" s="27" t="n">
        <f aca="false">MIN(G203*(1+G$8),MAX(S204,$B$11-SUM(X204:AB204)-SUM(T204:W204)))</f>
        <v>0</v>
      </c>
      <c r="AD204" s="27" t="n">
        <f aca="false">MIN(H203*(1+H$8),MAX(T204,$B$11-SUM(X204:AC204)-SUM(U204:W204)))</f>
        <v>0</v>
      </c>
      <c r="AE204" s="27" t="n">
        <f aca="false">MIN(I203*(1+I$8),MAX(U204,$B$11-SUM(X204:AD204)-SUM(V204:W204)))</f>
        <v>0</v>
      </c>
      <c r="AF204" s="27" t="n">
        <f aca="false">MIN(J203*(1+J$8),MAX(V204,$B$11-SUM(X204:AE204)-SUM(W204:W204)))</f>
        <v>0</v>
      </c>
      <c r="AG204" s="27" t="n">
        <f aca="false">MIN(K203*(1+K$8),MAX(W204,$B$11-SUM(X204:AF204)))</f>
        <v>0</v>
      </c>
      <c r="AI204" s="27" t="n">
        <f aca="false">ROUND(MAX(0,AI203*(1+B$8)-BE204),2)</f>
        <v>0</v>
      </c>
      <c r="AJ204" s="27" t="n">
        <f aca="false">ROUND(MAX(0,AJ203*(1+C$8)-BF204),2)</f>
        <v>0</v>
      </c>
      <c r="AK204" s="27" t="n">
        <f aca="false">ROUND(MAX(0,AK203*(1+D$8)-BG204),2)</f>
        <v>0</v>
      </c>
      <c r="AL204" s="27" t="n">
        <f aca="false">ROUND(MAX(0,AL203*(1+E$8)-BH204),2)</f>
        <v>0</v>
      </c>
      <c r="AM204" s="27" t="n">
        <f aca="false">ROUND(MAX(0,AM203*(1+F$8)-BI204),2)</f>
        <v>0</v>
      </c>
      <c r="AN204" s="27" t="n">
        <f aca="false">ROUND(MAX(0,AN203*(1+G$8)-BJ204),2)</f>
        <v>0</v>
      </c>
      <c r="AO204" s="27" t="n">
        <f aca="false">ROUND(MAX(0,AO203*(1+H$8)-BK204),2)</f>
        <v>0</v>
      </c>
      <c r="AP204" s="27" t="n">
        <f aca="false">ROUND(MAX(0,AP203*(1+I$8)-BL204),2)</f>
        <v>0</v>
      </c>
      <c r="AQ204" s="27" t="n">
        <f aca="false">ROUND(MAX(0,AQ203*(1+J$8)-BM204),2)</f>
        <v>0</v>
      </c>
      <c r="AR204" s="27" t="n">
        <f aca="false">ROUND(MAX(0,AR203*(1+K$8)-BN204),2)</f>
        <v>0</v>
      </c>
      <c r="AS204" s="27" t="n">
        <f aca="false">SUM(AI204:AR204)</f>
        <v>0</v>
      </c>
      <c r="AT204" s="27" t="n">
        <f aca="false">SUMPRODUCT(AI203:AR203,$B$8:$K$8)</f>
        <v>0</v>
      </c>
      <c r="AU204" s="27" t="n">
        <f aca="false">MIN(AI203*(1+B$8),B$9)</f>
        <v>0</v>
      </c>
      <c r="AV204" s="27" t="n">
        <f aca="false">MIN(AJ203*(1+C$8),C$9)</f>
        <v>0</v>
      </c>
      <c r="AW204" s="27" t="n">
        <f aca="false">MIN(AK203*(1+D$8),D$9)</f>
        <v>0</v>
      </c>
      <c r="AX204" s="27" t="n">
        <f aca="false">MIN(AL203*(1+E$8),E$9)</f>
        <v>0</v>
      </c>
      <c r="AY204" s="27" t="n">
        <f aca="false">MIN(AM203*(1+F$8),F$9)</f>
        <v>0</v>
      </c>
      <c r="AZ204" s="27" t="n">
        <f aca="false">MIN(AN203*(1+G$8),G$9)</f>
        <v>0</v>
      </c>
      <c r="BA204" s="27" t="n">
        <f aca="false">MIN(AO203*(1+H$8),H$9)</f>
        <v>0</v>
      </c>
      <c r="BB204" s="27" t="n">
        <f aca="false">MIN(AP203*(1+I$8),I$9)</f>
        <v>0</v>
      </c>
      <c r="BC204" s="27" t="n">
        <f aca="false">MIN(AQ203*(1+J$8),J$9)</f>
        <v>0</v>
      </c>
      <c r="BD204" s="27" t="n">
        <f aca="false">MIN(AR203*(1+K$8),K$9)</f>
        <v>0</v>
      </c>
      <c r="BE204" s="27" t="n">
        <f aca="false">MIN(AI203*(1+B$8),MAX(AU204,$B$12-SUM(AV204:BD204)))</f>
        <v>0</v>
      </c>
      <c r="BF204" s="27" t="n">
        <f aca="false">MIN(AJ203*(1+C$8),MAX(AV204,$B$12-SUM(BE204:BE204)-SUM(AW204:BD204)))</f>
        <v>0</v>
      </c>
      <c r="BG204" s="27" t="n">
        <f aca="false">MIN(AK203*(1+D$8),MAX(AW204,$B$12-SUM(BE204:BF204)-SUM(AX204:BD204)))</f>
        <v>0</v>
      </c>
      <c r="BH204" s="27" t="n">
        <f aca="false">MIN(AL203*(1+E$8),MAX(AX204,$B$12-SUM(BE204:BG204)-SUM(AY204:BD204)))</f>
        <v>0</v>
      </c>
      <c r="BI204" s="27" t="n">
        <f aca="false">MIN(AM203*(1+F$8),MAX(AY204,$B$12-SUM(BE204:BH204)-SUM(AZ204:BD204)))</f>
        <v>0</v>
      </c>
      <c r="BJ204" s="27" t="n">
        <f aca="false">MIN(AN203*(1+G$8),MAX(AZ204,$B$12-SUM(BE204:BI204)-SUM(BA204:BD204)))</f>
        <v>0</v>
      </c>
      <c r="BK204" s="27" t="n">
        <f aca="false">MIN(AO203*(1+H$8),MAX(BA204,$B$12-SUM(BE204:BJ204)-SUM(BB204:BD204)))</f>
        <v>0</v>
      </c>
      <c r="BL204" s="27" t="n">
        <f aca="false">MIN(AP203*(1+I$8),MAX(BB204,$B$12-SUM(BE204:BK204)-SUM(BC204:BD204)))</f>
        <v>0</v>
      </c>
      <c r="BM204" s="27" t="n">
        <f aca="false">MIN(AQ203*(1+J$8),MAX(BC204,$B$12-SUM(BE204:BL204)-SUM(BD204:BD204)))</f>
        <v>0</v>
      </c>
      <c r="BN204" s="27" t="n">
        <f aca="false">MIN(AR203*(1+K$8),MAX(BD204,$B$12-SUM(BE204:BM204)))</f>
        <v>0</v>
      </c>
    </row>
    <row r="205" customFormat="false" ht="15" hidden="false" customHeight="false" outlineLevel="0" collapsed="false">
      <c r="A205" s="0" t="n">
        <v>191</v>
      </c>
      <c r="B205" s="27" t="n">
        <f aca="false">ROUND(MAX(0,B204*(1+B$8)-X205),2)</f>
        <v>0</v>
      </c>
      <c r="C205" s="27" t="n">
        <f aca="false">ROUND(MAX(0,C204*(1+C$8)-Y205),2)</f>
        <v>0</v>
      </c>
      <c r="D205" s="27" t="n">
        <f aca="false">ROUND(MAX(0,D204*(1+D$8)-Z205),2)</f>
        <v>0</v>
      </c>
      <c r="E205" s="27" t="n">
        <f aca="false">ROUND(MAX(0,E204*(1+E$8)-AA205),2)</f>
        <v>0</v>
      </c>
      <c r="F205" s="27" t="n">
        <f aca="false">ROUND(MAX(0,F204*(1+F$8)-AB205),2)</f>
        <v>0</v>
      </c>
      <c r="G205" s="27" t="n">
        <f aca="false">ROUND(MAX(0,G204*(1+G$8)-AC205),2)</f>
        <v>0</v>
      </c>
      <c r="H205" s="27" t="n">
        <f aca="false">ROUND(MAX(0,H204*(1+H$8)-AD205),2)</f>
        <v>0</v>
      </c>
      <c r="I205" s="27" t="n">
        <f aca="false">ROUND(MAX(0,I204*(1+I$8)-AE205),2)</f>
        <v>0</v>
      </c>
      <c r="J205" s="27" t="n">
        <f aca="false">ROUND(MAX(0,J204*(1+J$8)-AF205),2)</f>
        <v>0</v>
      </c>
      <c r="K205" s="27" t="n">
        <f aca="false">ROUND(MAX(0,K204*(1+K$8)-AG205),2)</f>
        <v>0</v>
      </c>
      <c r="L205" s="30" t="n">
        <f aca="false">SUM(B205:K205)</f>
        <v>0</v>
      </c>
      <c r="M205" s="27" t="n">
        <f aca="false">SUMPRODUCT(B204:K204,$B$8:$K$8)</f>
        <v>0</v>
      </c>
      <c r="N205" s="27" t="n">
        <f aca="false">MIN(B204*(1+B$8),B$9)</f>
        <v>0</v>
      </c>
      <c r="O205" s="27" t="n">
        <f aca="false">MIN(C204*(1+C$8),C$9)</f>
        <v>0</v>
      </c>
      <c r="P205" s="27" t="n">
        <f aca="false">MIN(D204*(1+D$8),D$9)</f>
        <v>0</v>
      </c>
      <c r="Q205" s="27" t="n">
        <f aca="false">MIN(E204*(1+E$8),E$9)</f>
        <v>0</v>
      </c>
      <c r="R205" s="27" t="n">
        <f aca="false">MIN(F204*(1+F$8),F$9)</f>
        <v>0</v>
      </c>
      <c r="S205" s="27" t="n">
        <f aca="false">MIN(G204*(1+G$8),G$9)</f>
        <v>0</v>
      </c>
      <c r="T205" s="27" t="n">
        <f aca="false">MIN(H204*(1+H$8),H$9)</f>
        <v>0</v>
      </c>
      <c r="U205" s="27" t="n">
        <f aca="false">MIN(I204*(1+I$8),I$9)</f>
        <v>0</v>
      </c>
      <c r="V205" s="27" t="n">
        <f aca="false">MIN(J204*(1+J$8),J$9)</f>
        <v>0</v>
      </c>
      <c r="W205" s="27" t="n">
        <f aca="false">MIN(K204*(1+K$8),K$9)</f>
        <v>0</v>
      </c>
      <c r="X205" s="27" t="n">
        <f aca="false">MIN(B204*(1+B$8),MAX(N205,$B$11-SUM(O205:W205)))</f>
        <v>0</v>
      </c>
      <c r="Y205" s="27" t="n">
        <f aca="false">MIN(C204*(1+C$8),MAX(O205,$B$11-SUM(X205:X205)-SUM(P205:W205)))</f>
        <v>0</v>
      </c>
      <c r="Z205" s="27" t="n">
        <f aca="false">MIN(D204*(1+D$8),MAX(P205,$B$11-SUM(X205:Y205)-SUM(Q205:W205)))</f>
        <v>0</v>
      </c>
      <c r="AA205" s="27" t="n">
        <f aca="false">MIN(E204*(1+E$8),MAX(Q205,$B$11-SUM(X205:Z205)-SUM(R205:W205)))</f>
        <v>0</v>
      </c>
      <c r="AB205" s="27" t="n">
        <f aca="false">MIN(F204*(1+F$8),MAX(R205,$B$11-SUM(X205:AA205)-SUM(S205:W205)))</f>
        <v>0</v>
      </c>
      <c r="AC205" s="27" t="n">
        <f aca="false">MIN(G204*(1+G$8),MAX(S205,$B$11-SUM(X205:AB205)-SUM(T205:W205)))</f>
        <v>0</v>
      </c>
      <c r="AD205" s="27" t="n">
        <f aca="false">MIN(H204*(1+H$8),MAX(T205,$B$11-SUM(X205:AC205)-SUM(U205:W205)))</f>
        <v>0</v>
      </c>
      <c r="AE205" s="27" t="n">
        <f aca="false">MIN(I204*(1+I$8),MAX(U205,$B$11-SUM(X205:AD205)-SUM(V205:W205)))</f>
        <v>0</v>
      </c>
      <c r="AF205" s="27" t="n">
        <f aca="false">MIN(J204*(1+J$8),MAX(V205,$B$11-SUM(X205:AE205)-SUM(W205:W205)))</f>
        <v>0</v>
      </c>
      <c r="AG205" s="27" t="n">
        <f aca="false">MIN(K204*(1+K$8),MAX(W205,$B$11-SUM(X205:AF205)))</f>
        <v>0</v>
      </c>
      <c r="AI205" s="27" t="n">
        <f aca="false">ROUND(MAX(0,AI204*(1+B$8)-BE205),2)</f>
        <v>0</v>
      </c>
      <c r="AJ205" s="27" t="n">
        <f aca="false">ROUND(MAX(0,AJ204*(1+C$8)-BF205),2)</f>
        <v>0</v>
      </c>
      <c r="AK205" s="27" t="n">
        <f aca="false">ROUND(MAX(0,AK204*(1+D$8)-BG205),2)</f>
        <v>0</v>
      </c>
      <c r="AL205" s="27" t="n">
        <f aca="false">ROUND(MAX(0,AL204*(1+E$8)-BH205),2)</f>
        <v>0</v>
      </c>
      <c r="AM205" s="27" t="n">
        <f aca="false">ROUND(MAX(0,AM204*(1+F$8)-BI205),2)</f>
        <v>0</v>
      </c>
      <c r="AN205" s="27" t="n">
        <f aca="false">ROUND(MAX(0,AN204*(1+G$8)-BJ205),2)</f>
        <v>0</v>
      </c>
      <c r="AO205" s="27" t="n">
        <f aca="false">ROUND(MAX(0,AO204*(1+H$8)-BK205),2)</f>
        <v>0</v>
      </c>
      <c r="AP205" s="27" t="n">
        <f aca="false">ROUND(MAX(0,AP204*(1+I$8)-BL205),2)</f>
        <v>0</v>
      </c>
      <c r="AQ205" s="27" t="n">
        <f aca="false">ROUND(MAX(0,AQ204*(1+J$8)-BM205),2)</f>
        <v>0</v>
      </c>
      <c r="AR205" s="27" t="n">
        <f aca="false">ROUND(MAX(0,AR204*(1+K$8)-BN205),2)</f>
        <v>0</v>
      </c>
      <c r="AS205" s="27" t="n">
        <f aca="false">SUM(AI205:AR205)</f>
        <v>0</v>
      </c>
      <c r="AT205" s="27" t="n">
        <f aca="false">SUMPRODUCT(AI204:AR204,$B$8:$K$8)</f>
        <v>0</v>
      </c>
      <c r="AU205" s="27" t="n">
        <f aca="false">MIN(AI204*(1+B$8),B$9)</f>
        <v>0</v>
      </c>
      <c r="AV205" s="27" t="n">
        <f aca="false">MIN(AJ204*(1+C$8),C$9)</f>
        <v>0</v>
      </c>
      <c r="AW205" s="27" t="n">
        <f aca="false">MIN(AK204*(1+D$8),D$9)</f>
        <v>0</v>
      </c>
      <c r="AX205" s="27" t="n">
        <f aca="false">MIN(AL204*(1+E$8),E$9)</f>
        <v>0</v>
      </c>
      <c r="AY205" s="27" t="n">
        <f aca="false">MIN(AM204*(1+F$8),F$9)</f>
        <v>0</v>
      </c>
      <c r="AZ205" s="27" t="n">
        <f aca="false">MIN(AN204*(1+G$8),G$9)</f>
        <v>0</v>
      </c>
      <c r="BA205" s="27" t="n">
        <f aca="false">MIN(AO204*(1+H$8),H$9)</f>
        <v>0</v>
      </c>
      <c r="BB205" s="27" t="n">
        <f aca="false">MIN(AP204*(1+I$8),I$9)</f>
        <v>0</v>
      </c>
      <c r="BC205" s="27" t="n">
        <f aca="false">MIN(AQ204*(1+J$8),J$9)</f>
        <v>0</v>
      </c>
      <c r="BD205" s="27" t="n">
        <f aca="false">MIN(AR204*(1+K$8),K$9)</f>
        <v>0</v>
      </c>
      <c r="BE205" s="27" t="n">
        <f aca="false">MIN(AI204*(1+B$8),MAX(AU205,$B$12-SUM(AV205:BD205)))</f>
        <v>0</v>
      </c>
      <c r="BF205" s="27" t="n">
        <f aca="false">MIN(AJ204*(1+C$8),MAX(AV205,$B$12-SUM(BE205:BE205)-SUM(AW205:BD205)))</f>
        <v>0</v>
      </c>
      <c r="BG205" s="27" t="n">
        <f aca="false">MIN(AK204*(1+D$8),MAX(AW205,$B$12-SUM(BE205:BF205)-SUM(AX205:BD205)))</f>
        <v>0</v>
      </c>
      <c r="BH205" s="27" t="n">
        <f aca="false">MIN(AL204*(1+E$8),MAX(AX205,$B$12-SUM(BE205:BG205)-SUM(AY205:BD205)))</f>
        <v>0</v>
      </c>
      <c r="BI205" s="27" t="n">
        <f aca="false">MIN(AM204*(1+F$8),MAX(AY205,$B$12-SUM(BE205:BH205)-SUM(AZ205:BD205)))</f>
        <v>0</v>
      </c>
      <c r="BJ205" s="27" t="n">
        <f aca="false">MIN(AN204*(1+G$8),MAX(AZ205,$B$12-SUM(BE205:BI205)-SUM(BA205:BD205)))</f>
        <v>0</v>
      </c>
      <c r="BK205" s="27" t="n">
        <f aca="false">MIN(AO204*(1+H$8),MAX(BA205,$B$12-SUM(BE205:BJ205)-SUM(BB205:BD205)))</f>
        <v>0</v>
      </c>
      <c r="BL205" s="27" t="n">
        <f aca="false">MIN(AP204*(1+I$8),MAX(BB205,$B$12-SUM(BE205:BK205)-SUM(BC205:BD205)))</f>
        <v>0</v>
      </c>
      <c r="BM205" s="27" t="n">
        <f aca="false">MIN(AQ204*(1+J$8),MAX(BC205,$B$12-SUM(BE205:BL205)-SUM(BD205:BD205)))</f>
        <v>0</v>
      </c>
      <c r="BN205" s="27" t="n">
        <f aca="false">MIN(AR204*(1+K$8),MAX(BD205,$B$12-SUM(BE205:BM205)))</f>
        <v>0</v>
      </c>
    </row>
    <row r="206" customFormat="false" ht="15" hidden="false" customHeight="false" outlineLevel="0" collapsed="false">
      <c r="A206" s="0" t="n">
        <v>192</v>
      </c>
      <c r="B206" s="27" t="n">
        <f aca="false">ROUND(MAX(0,B205*(1+B$8)-X206),2)</f>
        <v>0</v>
      </c>
      <c r="C206" s="27" t="n">
        <f aca="false">ROUND(MAX(0,C205*(1+C$8)-Y206),2)</f>
        <v>0</v>
      </c>
      <c r="D206" s="27" t="n">
        <f aca="false">ROUND(MAX(0,D205*(1+D$8)-Z206),2)</f>
        <v>0</v>
      </c>
      <c r="E206" s="27" t="n">
        <f aca="false">ROUND(MAX(0,E205*(1+E$8)-AA206),2)</f>
        <v>0</v>
      </c>
      <c r="F206" s="27" t="n">
        <f aca="false">ROUND(MAX(0,F205*(1+F$8)-AB206),2)</f>
        <v>0</v>
      </c>
      <c r="G206" s="27" t="n">
        <f aca="false">ROUND(MAX(0,G205*(1+G$8)-AC206),2)</f>
        <v>0</v>
      </c>
      <c r="H206" s="27" t="n">
        <f aca="false">ROUND(MAX(0,H205*(1+H$8)-AD206),2)</f>
        <v>0</v>
      </c>
      <c r="I206" s="27" t="n">
        <f aca="false">ROUND(MAX(0,I205*(1+I$8)-AE206),2)</f>
        <v>0</v>
      </c>
      <c r="J206" s="27" t="n">
        <f aca="false">ROUND(MAX(0,J205*(1+J$8)-AF206),2)</f>
        <v>0</v>
      </c>
      <c r="K206" s="27" t="n">
        <f aca="false">ROUND(MAX(0,K205*(1+K$8)-AG206),2)</f>
        <v>0</v>
      </c>
      <c r="L206" s="30" t="n">
        <f aca="false">SUM(B206:K206)</f>
        <v>0</v>
      </c>
      <c r="M206" s="27" t="n">
        <f aca="false">SUMPRODUCT(B205:K205,$B$8:$K$8)</f>
        <v>0</v>
      </c>
      <c r="N206" s="27" t="n">
        <f aca="false">MIN(B205*(1+B$8),B$9)</f>
        <v>0</v>
      </c>
      <c r="O206" s="27" t="n">
        <f aca="false">MIN(C205*(1+C$8),C$9)</f>
        <v>0</v>
      </c>
      <c r="P206" s="27" t="n">
        <f aca="false">MIN(D205*(1+D$8),D$9)</f>
        <v>0</v>
      </c>
      <c r="Q206" s="27" t="n">
        <f aca="false">MIN(E205*(1+E$8),E$9)</f>
        <v>0</v>
      </c>
      <c r="R206" s="27" t="n">
        <f aca="false">MIN(F205*(1+F$8),F$9)</f>
        <v>0</v>
      </c>
      <c r="S206" s="27" t="n">
        <f aca="false">MIN(G205*(1+G$8),G$9)</f>
        <v>0</v>
      </c>
      <c r="T206" s="27" t="n">
        <f aca="false">MIN(H205*(1+H$8),H$9)</f>
        <v>0</v>
      </c>
      <c r="U206" s="27" t="n">
        <f aca="false">MIN(I205*(1+I$8),I$9)</f>
        <v>0</v>
      </c>
      <c r="V206" s="27" t="n">
        <f aca="false">MIN(J205*(1+J$8),J$9)</f>
        <v>0</v>
      </c>
      <c r="W206" s="27" t="n">
        <f aca="false">MIN(K205*(1+K$8),K$9)</f>
        <v>0</v>
      </c>
      <c r="X206" s="27" t="n">
        <f aca="false">MIN(B205*(1+B$8),MAX(N206,$B$11-SUM(O206:W206)))</f>
        <v>0</v>
      </c>
      <c r="Y206" s="27" t="n">
        <f aca="false">MIN(C205*(1+C$8),MAX(O206,$B$11-SUM(X206:X206)-SUM(P206:W206)))</f>
        <v>0</v>
      </c>
      <c r="Z206" s="27" t="n">
        <f aca="false">MIN(D205*(1+D$8),MAX(P206,$B$11-SUM(X206:Y206)-SUM(Q206:W206)))</f>
        <v>0</v>
      </c>
      <c r="AA206" s="27" t="n">
        <f aca="false">MIN(E205*(1+E$8),MAX(Q206,$B$11-SUM(X206:Z206)-SUM(R206:W206)))</f>
        <v>0</v>
      </c>
      <c r="AB206" s="27" t="n">
        <f aca="false">MIN(F205*(1+F$8),MAX(R206,$B$11-SUM(X206:AA206)-SUM(S206:W206)))</f>
        <v>0</v>
      </c>
      <c r="AC206" s="27" t="n">
        <f aca="false">MIN(G205*(1+G$8),MAX(S206,$B$11-SUM(X206:AB206)-SUM(T206:W206)))</f>
        <v>0</v>
      </c>
      <c r="AD206" s="27" t="n">
        <f aca="false">MIN(H205*(1+H$8),MAX(T206,$B$11-SUM(X206:AC206)-SUM(U206:W206)))</f>
        <v>0</v>
      </c>
      <c r="AE206" s="27" t="n">
        <f aca="false">MIN(I205*(1+I$8),MAX(U206,$B$11-SUM(X206:AD206)-SUM(V206:W206)))</f>
        <v>0</v>
      </c>
      <c r="AF206" s="27" t="n">
        <f aca="false">MIN(J205*(1+J$8),MAX(V206,$B$11-SUM(X206:AE206)-SUM(W206:W206)))</f>
        <v>0</v>
      </c>
      <c r="AG206" s="27" t="n">
        <f aca="false">MIN(K205*(1+K$8),MAX(W206,$B$11-SUM(X206:AF206)))</f>
        <v>0</v>
      </c>
      <c r="AI206" s="27" t="n">
        <f aca="false">ROUND(MAX(0,AI205*(1+B$8)-BE206),2)</f>
        <v>0</v>
      </c>
      <c r="AJ206" s="27" t="n">
        <f aca="false">ROUND(MAX(0,AJ205*(1+C$8)-BF206),2)</f>
        <v>0</v>
      </c>
      <c r="AK206" s="27" t="n">
        <f aca="false">ROUND(MAX(0,AK205*(1+D$8)-BG206),2)</f>
        <v>0</v>
      </c>
      <c r="AL206" s="27" t="n">
        <f aca="false">ROUND(MAX(0,AL205*(1+E$8)-BH206),2)</f>
        <v>0</v>
      </c>
      <c r="AM206" s="27" t="n">
        <f aca="false">ROUND(MAX(0,AM205*(1+F$8)-BI206),2)</f>
        <v>0</v>
      </c>
      <c r="AN206" s="27" t="n">
        <f aca="false">ROUND(MAX(0,AN205*(1+G$8)-BJ206),2)</f>
        <v>0</v>
      </c>
      <c r="AO206" s="27" t="n">
        <f aca="false">ROUND(MAX(0,AO205*(1+H$8)-BK206),2)</f>
        <v>0</v>
      </c>
      <c r="AP206" s="27" t="n">
        <f aca="false">ROUND(MAX(0,AP205*(1+I$8)-BL206),2)</f>
        <v>0</v>
      </c>
      <c r="AQ206" s="27" t="n">
        <f aca="false">ROUND(MAX(0,AQ205*(1+J$8)-BM206),2)</f>
        <v>0</v>
      </c>
      <c r="AR206" s="27" t="n">
        <f aca="false">ROUND(MAX(0,AR205*(1+K$8)-BN206),2)</f>
        <v>0</v>
      </c>
      <c r="AS206" s="27" t="n">
        <f aca="false">SUM(AI206:AR206)</f>
        <v>0</v>
      </c>
      <c r="AT206" s="27" t="n">
        <f aca="false">SUMPRODUCT(AI205:AR205,$B$8:$K$8)</f>
        <v>0</v>
      </c>
      <c r="AU206" s="27" t="n">
        <f aca="false">MIN(AI205*(1+B$8),B$9)</f>
        <v>0</v>
      </c>
      <c r="AV206" s="27" t="n">
        <f aca="false">MIN(AJ205*(1+C$8),C$9)</f>
        <v>0</v>
      </c>
      <c r="AW206" s="27" t="n">
        <f aca="false">MIN(AK205*(1+D$8),D$9)</f>
        <v>0</v>
      </c>
      <c r="AX206" s="27" t="n">
        <f aca="false">MIN(AL205*(1+E$8),E$9)</f>
        <v>0</v>
      </c>
      <c r="AY206" s="27" t="n">
        <f aca="false">MIN(AM205*(1+F$8),F$9)</f>
        <v>0</v>
      </c>
      <c r="AZ206" s="27" t="n">
        <f aca="false">MIN(AN205*(1+G$8),G$9)</f>
        <v>0</v>
      </c>
      <c r="BA206" s="27" t="n">
        <f aca="false">MIN(AO205*(1+H$8),H$9)</f>
        <v>0</v>
      </c>
      <c r="BB206" s="27" t="n">
        <f aca="false">MIN(AP205*(1+I$8),I$9)</f>
        <v>0</v>
      </c>
      <c r="BC206" s="27" t="n">
        <f aca="false">MIN(AQ205*(1+J$8),J$9)</f>
        <v>0</v>
      </c>
      <c r="BD206" s="27" t="n">
        <f aca="false">MIN(AR205*(1+K$8),K$9)</f>
        <v>0</v>
      </c>
      <c r="BE206" s="27" t="n">
        <f aca="false">MIN(AI205*(1+B$8),MAX(AU206,$B$12-SUM(AV206:BD206)))</f>
        <v>0</v>
      </c>
      <c r="BF206" s="27" t="n">
        <f aca="false">MIN(AJ205*(1+C$8),MAX(AV206,$B$12-SUM(BE206:BE206)-SUM(AW206:BD206)))</f>
        <v>0</v>
      </c>
      <c r="BG206" s="27" t="n">
        <f aca="false">MIN(AK205*(1+D$8),MAX(AW206,$B$12-SUM(BE206:BF206)-SUM(AX206:BD206)))</f>
        <v>0</v>
      </c>
      <c r="BH206" s="27" t="n">
        <f aca="false">MIN(AL205*(1+E$8),MAX(AX206,$B$12-SUM(BE206:BG206)-SUM(AY206:BD206)))</f>
        <v>0</v>
      </c>
      <c r="BI206" s="27" t="n">
        <f aca="false">MIN(AM205*(1+F$8),MAX(AY206,$B$12-SUM(BE206:BH206)-SUM(AZ206:BD206)))</f>
        <v>0</v>
      </c>
      <c r="BJ206" s="27" t="n">
        <f aca="false">MIN(AN205*(1+G$8),MAX(AZ206,$B$12-SUM(BE206:BI206)-SUM(BA206:BD206)))</f>
        <v>0</v>
      </c>
      <c r="BK206" s="27" t="n">
        <f aca="false">MIN(AO205*(1+H$8),MAX(BA206,$B$12-SUM(BE206:BJ206)-SUM(BB206:BD206)))</f>
        <v>0</v>
      </c>
      <c r="BL206" s="27" t="n">
        <f aca="false">MIN(AP205*(1+I$8),MAX(BB206,$B$12-SUM(BE206:BK206)-SUM(BC206:BD206)))</f>
        <v>0</v>
      </c>
      <c r="BM206" s="27" t="n">
        <f aca="false">MIN(AQ205*(1+J$8),MAX(BC206,$B$12-SUM(BE206:BL206)-SUM(BD206:BD206)))</f>
        <v>0</v>
      </c>
      <c r="BN206" s="27" t="n">
        <f aca="false">MIN(AR205*(1+K$8),MAX(BD206,$B$12-SUM(BE206:BM206)))</f>
        <v>0</v>
      </c>
    </row>
    <row r="207" customFormat="false" ht="15" hidden="false" customHeight="false" outlineLevel="0" collapsed="false">
      <c r="A207" s="0" t="n">
        <v>193</v>
      </c>
      <c r="B207" s="27" t="n">
        <f aca="false">ROUND(MAX(0,B206*(1+B$8)-X207),2)</f>
        <v>0</v>
      </c>
      <c r="C207" s="27" t="n">
        <f aca="false">ROUND(MAX(0,C206*(1+C$8)-Y207),2)</f>
        <v>0</v>
      </c>
      <c r="D207" s="27" t="n">
        <f aca="false">ROUND(MAX(0,D206*(1+D$8)-Z207),2)</f>
        <v>0</v>
      </c>
      <c r="E207" s="27" t="n">
        <f aca="false">ROUND(MAX(0,E206*(1+E$8)-AA207),2)</f>
        <v>0</v>
      </c>
      <c r="F207" s="27" t="n">
        <f aca="false">ROUND(MAX(0,F206*(1+F$8)-AB207),2)</f>
        <v>0</v>
      </c>
      <c r="G207" s="27" t="n">
        <f aca="false">ROUND(MAX(0,G206*(1+G$8)-AC207),2)</f>
        <v>0</v>
      </c>
      <c r="H207" s="27" t="n">
        <f aca="false">ROUND(MAX(0,H206*(1+H$8)-AD207),2)</f>
        <v>0</v>
      </c>
      <c r="I207" s="27" t="n">
        <f aca="false">ROUND(MAX(0,I206*(1+I$8)-AE207),2)</f>
        <v>0</v>
      </c>
      <c r="J207" s="27" t="n">
        <f aca="false">ROUND(MAX(0,J206*(1+J$8)-AF207),2)</f>
        <v>0</v>
      </c>
      <c r="K207" s="27" t="n">
        <f aca="false">ROUND(MAX(0,K206*(1+K$8)-AG207),2)</f>
        <v>0</v>
      </c>
      <c r="L207" s="30" t="n">
        <f aca="false">SUM(B207:K207)</f>
        <v>0</v>
      </c>
      <c r="M207" s="27" t="n">
        <f aca="false">SUMPRODUCT(B206:K206,$B$8:$K$8)</f>
        <v>0</v>
      </c>
      <c r="N207" s="27" t="n">
        <f aca="false">MIN(B206*(1+B$8),B$9)</f>
        <v>0</v>
      </c>
      <c r="O207" s="27" t="n">
        <f aca="false">MIN(C206*(1+C$8),C$9)</f>
        <v>0</v>
      </c>
      <c r="P207" s="27" t="n">
        <f aca="false">MIN(D206*(1+D$8),D$9)</f>
        <v>0</v>
      </c>
      <c r="Q207" s="27" t="n">
        <f aca="false">MIN(E206*(1+E$8),E$9)</f>
        <v>0</v>
      </c>
      <c r="R207" s="27" t="n">
        <f aca="false">MIN(F206*(1+F$8),F$9)</f>
        <v>0</v>
      </c>
      <c r="S207" s="27" t="n">
        <f aca="false">MIN(G206*(1+G$8),G$9)</f>
        <v>0</v>
      </c>
      <c r="T207" s="27" t="n">
        <f aca="false">MIN(H206*(1+H$8),H$9)</f>
        <v>0</v>
      </c>
      <c r="U207" s="27" t="n">
        <f aca="false">MIN(I206*(1+I$8),I$9)</f>
        <v>0</v>
      </c>
      <c r="V207" s="27" t="n">
        <f aca="false">MIN(J206*(1+J$8),J$9)</f>
        <v>0</v>
      </c>
      <c r="W207" s="27" t="n">
        <f aca="false">MIN(K206*(1+K$8),K$9)</f>
        <v>0</v>
      </c>
      <c r="X207" s="27" t="n">
        <f aca="false">MIN(B206*(1+B$8),MAX(N207,$B$11-SUM(O207:W207)))</f>
        <v>0</v>
      </c>
      <c r="Y207" s="27" t="n">
        <f aca="false">MIN(C206*(1+C$8),MAX(O207,$B$11-SUM(X207:X207)-SUM(P207:W207)))</f>
        <v>0</v>
      </c>
      <c r="Z207" s="27" t="n">
        <f aca="false">MIN(D206*(1+D$8),MAX(P207,$B$11-SUM(X207:Y207)-SUM(Q207:W207)))</f>
        <v>0</v>
      </c>
      <c r="AA207" s="27" t="n">
        <f aca="false">MIN(E206*(1+E$8),MAX(Q207,$B$11-SUM(X207:Z207)-SUM(R207:W207)))</f>
        <v>0</v>
      </c>
      <c r="AB207" s="27" t="n">
        <f aca="false">MIN(F206*(1+F$8),MAX(R207,$B$11-SUM(X207:AA207)-SUM(S207:W207)))</f>
        <v>0</v>
      </c>
      <c r="AC207" s="27" t="n">
        <f aca="false">MIN(G206*(1+G$8),MAX(S207,$B$11-SUM(X207:AB207)-SUM(T207:W207)))</f>
        <v>0</v>
      </c>
      <c r="AD207" s="27" t="n">
        <f aca="false">MIN(H206*(1+H$8),MAX(T207,$B$11-SUM(X207:AC207)-SUM(U207:W207)))</f>
        <v>0</v>
      </c>
      <c r="AE207" s="27" t="n">
        <f aca="false">MIN(I206*(1+I$8),MAX(U207,$B$11-SUM(X207:AD207)-SUM(V207:W207)))</f>
        <v>0</v>
      </c>
      <c r="AF207" s="27" t="n">
        <f aca="false">MIN(J206*(1+J$8),MAX(V207,$B$11-SUM(X207:AE207)-SUM(W207:W207)))</f>
        <v>0</v>
      </c>
      <c r="AG207" s="27" t="n">
        <f aca="false">MIN(K206*(1+K$8),MAX(W207,$B$11-SUM(X207:AF207)))</f>
        <v>0</v>
      </c>
      <c r="AI207" s="27" t="n">
        <f aca="false">ROUND(MAX(0,AI206*(1+B$8)-BE207),2)</f>
        <v>0</v>
      </c>
      <c r="AJ207" s="27" t="n">
        <f aca="false">ROUND(MAX(0,AJ206*(1+C$8)-BF207),2)</f>
        <v>0</v>
      </c>
      <c r="AK207" s="27" t="n">
        <f aca="false">ROUND(MAX(0,AK206*(1+D$8)-BG207),2)</f>
        <v>0</v>
      </c>
      <c r="AL207" s="27" t="n">
        <f aca="false">ROUND(MAX(0,AL206*(1+E$8)-BH207),2)</f>
        <v>0</v>
      </c>
      <c r="AM207" s="27" t="n">
        <f aca="false">ROUND(MAX(0,AM206*(1+F$8)-BI207),2)</f>
        <v>0</v>
      </c>
      <c r="AN207" s="27" t="n">
        <f aca="false">ROUND(MAX(0,AN206*(1+G$8)-BJ207),2)</f>
        <v>0</v>
      </c>
      <c r="AO207" s="27" t="n">
        <f aca="false">ROUND(MAX(0,AO206*(1+H$8)-BK207),2)</f>
        <v>0</v>
      </c>
      <c r="AP207" s="27" t="n">
        <f aca="false">ROUND(MAX(0,AP206*(1+I$8)-BL207),2)</f>
        <v>0</v>
      </c>
      <c r="AQ207" s="27" t="n">
        <f aca="false">ROUND(MAX(0,AQ206*(1+J$8)-BM207),2)</f>
        <v>0</v>
      </c>
      <c r="AR207" s="27" t="n">
        <f aca="false">ROUND(MAX(0,AR206*(1+K$8)-BN207),2)</f>
        <v>0</v>
      </c>
      <c r="AS207" s="27" t="n">
        <f aca="false">SUM(AI207:AR207)</f>
        <v>0</v>
      </c>
      <c r="AT207" s="27" t="n">
        <f aca="false">SUMPRODUCT(AI206:AR206,$B$8:$K$8)</f>
        <v>0</v>
      </c>
      <c r="AU207" s="27" t="n">
        <f aca="false">MIN(AI206*(1+B$8),B$9)</f>
        <v>0</v>
      </c>
      <c r="AV207" s="27" t="n">
        <f aca="false">MIN(AJ206*(1+C$8),C$9)</f>
        <v>0</v>
      </c>
      <c r="AW207" s="27" t="n">
        <f aca="false">MIN(AK206*(1+D$8),D$9)</f>
        <v>0</v>
      </c>
      <c r="AX207" s="27" t="n">
        <f aca="false">MIN(AL206*(1+E$8),E$9)</f>
        <v>0</v>
      </c>
      <c r="AY207" s="27" t="n">
        <f aca="false">MIN(AM206*(1+F$8),F$9)</f>
        <v>0</v>
      </c>
      <c r="AZ207" s="27" t="n">
        <f aca="false">MIN(AN206*(1+G$8),G$9)</f>
        <v>0</v>
      </c>
      <c r="BA207" s="27" t="n">
        <f aca="false">MIN(AO206*(1+H$8),H$9)</f>
        <v>0</v>
      </c>
      <c r="BB207" s="27" t="n">
        <f aca="false">MIN(AP206*(1+I$8),I$9)</f>
        <v>0</v>
      </c>
      <c r="BC207" s="27" t="n">
        <f aca="false">MIN(AQ206*(1+J$8),J$9)</f>
        <v>0</v>
      </c>
      <c r="BD207" s="27" t="n">
        <f aca="false">MIN(AR206*(1+K$8),K$9)</f>
        <v>0</v>
      </c>
      <c r="BE207" s="27" t="n">
        <f aca="false">MIN(AI206*(1+B$8),MAX(AU207,$B$12-SUM(AV207:BD207)))</f>
        <v>0</v>
      </c>
      <c r="BF207" s="27" t="n">
        <f aca="false">MIN(AJ206*(1+C$8),MAX(AV207,$B$12-SUM(BE207:BE207)-SUM(AW207:BD207)))</f>
        <v>0</v>
      </c>
      <c r="BG207" s="27" t="n">
        <f aca="false">MIN(AK206*(1+D$8),MAX(AW207,$B$12-SUM(BE207:BF207)-SUM(AX207:BD207)))</f>
        <v>0</v>
      </c>
      <c r="BH207" s="27" t="n">
        <f aca="false">MIN(AL206*(1+E$8),MAX(AX207,$B$12-SUM(BE207:BG207)-SUM(AY207:BD207)))</f>
        <v>0</v>
      </c>
      <c r="BI207" s="27" t="n">
        <f aca="false">MIN(AM206*(1+F$8),MAX(AY207,$B$12-SUM(BE207:BH207)-SUM(AZ207:BD207)))</f>
        <v>0</v>
      </c>
      <c r="BJ207" s="27" t="n">
        <f aca="false">MIN(AN206*(1+G$8),MAX(AZ207,$B$12-SUM(BE207:BI207)-SUM(BA207:BD207)))</f>
        <v>0</v>
      </c>
      <c r="BK207" s="27" t="n">
        <f aca="false">MIN(AO206*(1+H$8),MAX(BA207,$B$12-SUM(BE207:BJ207)-SUM(BB207:BD207)))</f>
        <v>0</v>
      </c>
      <c r="BL207" s="27" t="n">
        <f aca="false">MIN(AP206*(1+I$8),MAX(BB207,$B$12-SUM(BE207:BK207)-SUM(BC207:BD207)))</f>
        <v>0</v>
      </c>
      <c r="BM207" s="27" t="n">
        <f aca="false">MIN(AQ206*(1+J$8),MAX(BC207,$B$12-SUM(BE207:BL207)-SUM(BD207:BD207)))</f>
        <v>0</v>
      </c>
      <c r="BN207" s="27" t="n">
        <f aca="false">MIN(AR206*(1+K$8),MAX(BD207,$B$12-SUM(BE207:BM207)))</f>
        <v>0</v>
      </c>
    </row>
    <row r="208" customFormat="false" ht="15" hidden="false" customHeight="false" outlineLevel="0" collapsed="false">
      <c r="A208" s="0" t="n">
        <v>194</v>
      </c>
      <c r="B208" s="27" t="n">
        <f aca="false">ROUND(MAX(0,B207*(1+B$8)-X208),2)</f>
        <v>0</v>
      </c>
      <c r="C208" s="27" t="n">
        <f aca="false">ROUND(MAX(0,C207*(1+C$8)-Y208),2)</f>
        <v>0</v>
      </c>
      <c r="D208" s="27" t="n">
        <f aca="false">ROUND(MAX(0,D207*(1+D$8)-Z208),2)</f>
        <v>0</v>
      </c>
      <c r="E208" s="27" t="n">
        <f aca="false">ROUND(MAX(0,E207*(1+E$8)-AA208),2)</f>
        <v>0</v>
      </c>
      <c r="F208" s="27" t="n">
        <f aca="false">ROUND(MAX(0,F207*(1+F$8)-AB208),2)</f>
        <v>0</v>
      </c>
      <c r="G208" s="27" t="n">
        <f aca="false">ROUND(MAX(0,G207*(1+G$8)-AC208),2)</f>
        <v>0</v>
      </c>
      <c r="H208" s="27" t="n">
        <f aca="false">ROUND(MAX(0,H207*(1+H$8)-AD208),2)</f>
        <v>0</v>
      </c>
      <c r="I208" s="27" t="n">
        <f aca="false">ROUND(MAX(0,I207*(1+I$8)-AE208),2)</f>
        <v>0</v>
      </c>
      <c r="J208" s="27" t="n">
        <f aca="false">ROUND(MAX(0,J207*(1+J$8)-AF208),2)</f>
        <v>0</v>
      </c>
      <c r="K208" s="27" t="n">
        <f aca="false">ROUND(MAX(0,K207*(1+K$8)-AG208),2)</f>
        <v>0</v>
      </c>
      <c r="L208" s="30" t="n">
        <f aca="false">SUM(B208:K208)</f>
        <v>0</v>
      </c>
      <c r="M208" s="27" t="n">
        <f aca="false">SUMPRODUCT(B207:K207,$B$8:$K$8)</f>
        <v>0</v>
      </c>
      <c r="N208" s="27" t="n">
        <f aca="false">MIN(B207*(1+B$8),B$9)</f>
        <v>0</v>
      </c>
      <c r="O208" s="27" t="n">
        <f aca="false">MIN(C207*(1+C$8),C$9)</f>
        <v>0</v>
      </c>
      <c r="P208" s="27" t="n">
        <f aca="false">MIN(D207*(1+D$8),D$9)</f>
        <v>0</v>
      </c>
      <c r="Q208" s="27" t="n">
        <f aca="false">MIN(E207*(1+E$8),E$9)</f>
        <v>0</v>
      </c>
      <c r="R208" s="27" t="n">
        <f aca="false">MIN(F207*(1+F$8),F$9)</f>
        <v>0</v>
      </c>
      <c r="S208" s="27" t="n">
        <f aca="false">MIN(G207*(1+G$8),G$9)</f>
        <v>0</v>
      </c>
      <c r="T208" s="27" t="n">
        <f aca="false">MIN(H207*(1+H$8),H$9)</f>
        <v>0</v>
      </c>
      <c r="U208" s="27" t="n">
        <f aca="false">MIN(I207*(1+I$8),I$9)</f>
        <v>0</v>
      </c>
      <c r="V208" s="27" t="n">
        <f aca="false">MIN(J207*(1+J$8),J$9)</f>
        <v>0</v>
      </c>
      <c r="W208" s="27" t="n">
        <f aca="false">MIN(K207*(1+K$8),K$9)</f>
        <v>0</v>
      </c>
      <c r="X208" s="27" t="n">
        <f aca="false">MIN(B207*(1+B$8),MAX(N208,$B$11-SUM(O208:W208)))</f>
        <v>0</v>
      </c>
      <c r="Y208" s="27" t="n">
        <f aca="false">MIN(C207*(1+C$8),MAX(O208,$B$11-SUM(X208:X208)-SUM(P208:W208)))</f>
        <v>0</v>
      </c>
      <c r="Z208" s="27" t="n">
        <f aca="false">MIN(D207*(1+D$8),MAX(P208,$B$11-SUM(X208:Y208)-SUM(Q208:W208)))</f>
        <v>0</v>
      </c>
      <c r="AA208" s="27" t="n">
        <f aca="false">MIN(E207*(1+E$8),MAX(Q208,$B$11-SUM(X208:Z208)-SUM(R208:W208)))</f>
        <v>0</v>
      </c>
      <c r="AB208" s="27" t="n">
        <f aca="false">MIN(F207*(1+F$8),MAX(R208,$B$11-SUM(X208:AA208)-SUM(S208:W208)))</f>
        <v>0</v>
      </c>
      <c r="AC208" s="27" t="n">
        <f aca="false">MIN(G207*(1+G$8),MAX(S208,$B$11-SUM(X208:AB208)-SUM(T208:W208)))</f>
        <v>0</v>
      </c>
      <c r="AD208" s="27" t="n">
        <f aca="false">MIN(H207*(1+H$8),MAX(T208,$B$11-SUM(X208:AC208)-SUM(U208:W208)))</f>
        <v>0</v>
      </c>
      <c r="AE208" s="27" t="n">
        <f aca="false">MIN(I207*(1+I$8),MAX(U208,$B$11-SUM(X208:AD208)-SUM(V208:W208)))</f>
        <v>0</v>
      </c>
      <c r="AF208" s="27" t="n">
        <f aca="false">MIN(J207*(1+J$8),MAX(V208,$B$11-SUM(X208:AE208)-SUM(W208:W208)))</f>
        <v>0</v>
      </c>
      <c r="AG208" s="27" t="n">
        <f aca="false">MIN(K207*(1+K$8),MAX(W208,$B$11-SUM(X208:AF208)))</f>
        <v>0</v>
      </c>
      <c r="AI208" s="27" t="n">
        <f aca="false">ROUND(MAX(0,AI207*(1+B$8)-BE208),2)</f>
        <v>0</v>
      </c>
      <c r="AJ208" s="27" t="n">
        <f aca="false">ROUND(MAX(0,AJ207*(1+C$8)-BF208),2)</f>
        <v>0</v>
      </c>
      <c r="AK208" s="27" t="n">
        <f aca="false">ROUND(MAX(0,AK207*(1+D$8)-BG208),2)</f>
        <v>0</v>
      </c>
      <c r="AL208" s="27" t="n">
        <f aca="false">ROUND(MAX(0,AL207*(1+E$8)-BH208),2)</f>
        <v>0</v>
      </c>
      <c r="AM208" s="27" t="n">
        <f aca="false">ROUND(MAX(0,AM207*(1+F$8)-BI208),2)</f>
        <v>0</v>
      </c>
      <c r="AN208" s="27" t="n">
        <f aca="false">ROUND(MAX(0,AN207*(1+G$8)-BJ208),2)</f>
        <v>0</v>
      </c>
      <c r="AO208" s="27" t="n">
        <f aca="false">ROUND(MAX(0,AO207*(1+H$8)-BK208),2)</f>
        <v>0</v>
      </c>
      <c r="AP208" s="27" t="n">
        <f aca="false">ROUND(MAX(0,AP207*(1+I$8)-BL208),2)</f>
        <v>0</v>
      </c>
      <c r="AQ208" s="27" t="n">
        <f aca="false">ROUND(MAX(0,AQ207*(1+J$8)-BM208),2)</f>
        <v>0</v>
      </c>
      <c r="AR208" s="27" t="n">
        <f aca="false">ROUND(MAX(0,AR207*(1+K$8)-BN208),2)</f>
        <v>0</v>
      </c>
      <c r="AS208" s="27" t="n">
        <f aca="false">SUM(AI208:AR208)</f>
        <v>0</v>
      </c>
      <c r="AT208" s="27" t="n">
        <f aca="false">SUMPRODUCT(AI207:AR207,$B$8:$K$8)</f>
        <v>0</v>
      </c>
      <c r="AU208" s="27" t="n">
        <f aca="false">MIN(AI207*(1+B$8),B$9)</f>
        <v>0</v>
      </c>
      <c r="AV208" s="27" t="n">
        <f aca="false">MIN(AJ207*(1+C$8),C$9)</f>
        <v>0</v>
      </c>
      <c r="AW208" s="27" t="n">
        <f aca="false">MIN(AK207*(1+D$8),D$9)</f>
        <v>0</v>
      </c>
      <c r="AX208" s="27" t="n">
        <f aca="false">MIN(AL207*(1+E$8),E$9)</f>
        <v>0</v>
      </c>
      <c r="AY208" s="27" t="n">
        <f aca="false">MIN(AM207*(1+F$8),F$9)</f>
        <v>0</v>
      </c>
      <c r="AZ208" s="27" t="n">
        <f aca="false">MIN(AN207*(1+G$8),G$9)</f>
        <v>0</v>
      </c>
      <c r="BA208" s="27" t="n">
        <f aca="false">MIN(AO207*(1+H$8),H$9)</f>
        <v>0</v>
      </c>
      <c r="BB208" s="27" t="n">
        <f aca="false">MIN(AP207*(1+I$8),I$9)</f>
        <v>0</v>
      </c>
      <c r="BC208" s="27" t="n">
        <f aca="false">MIN(AQ207*(1+J$8),J$9)</f>
        <v>0</v>
      </c>
      <c r="BD208" s="27" t="n">
        <f aca="false">MIN(AR207*(1+K$8),K$9)</f>
        <v>0</v>
      </c>
      <c r="BE208" s="27" t="n">
        <f aca="false">MIN(AI207*(1+B$8),MAX(AU208,$B$12-SUM(AV208:BD208)))</f>
        <v>0</v>
      </c>
      <c r="BF208" s="27" t="n">
        <f aca="false">MIN(AJ207*(1+C$8),MAX(AV208,$B$12-SUM(BE208:BE208)-SUM(AW208:BD208)))</f>
        <v>0</v>
      </c>
      <c r="BG208" s="27" t="n">
        <f aca="false">MIN(AK207*(1+D$8),MAX(AW208,$B$12-SUM(BE208:BF208)-SUM(AX208:BD208)))</f>
        <v>0</v>
      </c>
      <c r="BH208" s="27" t="n">
        <f aca="false">MIN(AL207*(1+E$8),MAX(AX208,$B$12-SUM(BE208:BG208)-SUM(AY208:BD208)))</f>
        <v>0</v>
      </c>
      <c r="BI208" s="27" t="n">
        <f aca="false">MIN(AM207*(1+F$8),MAX(AY208,$B$12-SUM(BE208:BH208)-SUM(AZ208:BD208)))</f>
        <v>0</v>
      </c>
      <c r="BJ208" s="27" t="n">
        <f aca="false">MIN(AN207*(1+G$8),MAX(AZ208,$B$12-SUM(BE208:BI208)-SUM(BA208:BD208)))</f>
        <v>0</v>
      </c>
      <c r="BK208" s="27" t="n">
        <f aca="false">MIN(AO207*(1+H$8),MAX(BA208,$B$12-SUM(BE208:BJ208)-SUM(BB208:BD208)))</f>
        <v>0</v>
      </c>
      <c r="BL208" s="27" t="n">
        <f aca="false">MIN(AP207*(1+I$8),MAX(BB208,$B$12-SUM(BE208:BK208)-SUM(BC208:BD208)))</f>
        <v>0</v>
      </c>
      <c r="BM208" s="27" t="n">
        <f aca="false">MIN(AQ207*(1+J$8),MAX(BC208,$B$12-SUM(BE208:BL208)-SUM(BD208:BD208)))</f>
        <v>0</v>
      </c>
      <c r="BN208" s="27" t="n">
        <f aca="false">MIN(AR207*(1+K$8),MAX(BD208,$B$12-SUM(BE208:BM208)))</f>
        <v>0</v>
      </c>
    </row>
    <row r="209" customFormat="false" ht="15" hidden="false" customHeight="false" outlineLevel="0" collapsed="false">
      <c r="A209" s="0" t="n">
        <v>195</v>
      </c>
      <c r="B209" s="27" t="n">
        <f aca="false">ROUND(MAX(0,B208*(1+B$8)-X209),2)</f>
        <v>0</v>
      </c>
      <c r="C209" s="27" t="n">
        <f aca="false">ROUND(MAX(0,C208*(1+C$8)-Y209),2)</f>
        <v>0</v>
      </c>
      <c r="D209" s="27" t="n">
        <f aca="false">ROUND(MAX(0,D208*(1+D$8)-Z209),2)</f>
        <v>0</v>
      </c>
      <c r="E209" s="27" t="n">
        <f aca="false">ROUND(MAX(0,E208*(1+E$8)-AA209),2)</f>
        <v>0</v>
      </c>
      <c r="F209" s="27" t="n">
        <f aca="false">ROUND(MAX(0,F208*(1+F$8)-AB209),2)</f>
        <v>0</v>
      </c>
      <c r="G209" s="27" t="n">
        <f aca="false">ROUND(MAX(0,G208*(1+G$8)-AC209),2)</f>
        <v>0</v>
      </c>
      <c r="H209" s="27" t="n">
        <f aca="false">ROUND(MAX(0,H208*(1+H$8)-AD209),2)</f>
        <v>0</v>
      </c>
      <c r="I209" s="27" t="n">
        <f aca="false">ROUND(MAX(0,I208*(1+I$8)-AE209),2)</f>
        <v>0</v>
      </c>
      <c r="J209" s="27" t="n">
        <f aca="false">ROUND(MAX(0,J208*(1+J$8)-AF209),2)</f>
        <v>0</v>
      </c>
      <c r="K209" s="27" t="n">
        <f aca="false">ROUND(MAX(0,K208*(1+K$8)-AG209),2)</f>
        <v>0</v>
      </c>
      <c r="L209" s="30" t="n">
        <f aca="false">SUM(B209:K209)</f>
        <v>0</v>
      </c>
      <c r="M209" s="27" t="n">
        <f aca="false">SUMPRODUCT(B208:K208,$B$8:$K$8)</f>
        <v>0</v>
      </c>
      <c r="N209" s="27" t="n">
        <f aca="false">MIN(B208*(1+B$8),B$9)</f>
        <v>0</v>
      </c>
      <c r="O209" s="27" t="n">
        <f aca="false">MIN(C208*(1+C$8),C$9)</f>
        <v>0</v>
      </c>
      <c r="P209" s="27" t="n">
        <f aca="false">MIN(D208*(1+D$8),D$9)</f>
        <v>0</v>
      </c>
      <c r="Q209" s="27" t="n">
        <f aca="false">MIN(E208*(1+E$8),E$9)</f>
        <v>0</v>
      </c>
      <c r="R209" s="27" t="n">
        <f aca="false">MIN(F208*(1+F$8),F$9)</f>
        <v>0</v>
      </c>
      <c r="S209" s="27" t="n">
        <f aca="false">MIN(G208*(1+G$8),G$9)</f>
        <v>0</v>
      </c>
      <c r="T209" s="27" t="n">
        <f aca="false">MIN(H208*(1+H$8),H$9)</f>
        <v>0</v>
      </c>
      <c r="U209" s="27" t="n">
        <f aca="false">MIN(I208*(1+I$8),I$9)</f>
        <v>0</v>
      </c>
      <c r="V209" s="27" t="n">
        <f aca="false">MIN(J208*(1+J$8),J$9)</f>
        <v>0</v>
      </c>
      <c r="W209" s="27" t="n">
        <f aca="false">MIN(K208*(1+K$8),K$9)</f>
        <v>0</v>
      </c>
      <c r="X209" s="27" t="n">
        <f aca="false">MIN(B208*(1+B$8),MAX(N209,$B$11-SUM(O209:W209)))</f>
        <v>0</v>
      </c>
      <c r="Y209" s="27" t="n">
        <f aca="false">MIN(C208*(1+C$8),MAX(O209,$B$11-SUM(X209:X209)-SUM(P209:W209)))</f>
        <v>0</v>
      </c>
      <c r="Z209" s="27" t="n">
        <f aca="false">MIN(D208*(1+D$8),MAX(P209,$B$11-SUM(X209:Y209)-SUM(Q209:W209)))</f>
        <v>0</v>
      </c>
      <c r="AA209" s="27" t="n">
        <f aca="false">MIN(E208*(1+E$8),MAX(Q209,$B$11-SUM(X209:Z209)-SUM(R209:W209)))</f>
        <v>0</v>
      </c>
      <c r="AB209" s="27" t="n">
        <f aca="false">MIN(F208*(1+F$8),MAX(R209,$B$11-SUM(X209:AA209)-SUM(S209:W209)))</f>
        <v>0</v>
      </c>
      <c r="AC209" s="27" t="n">
        <f aca="false">MIN(G208*(1+G$8),MAX(S209,$B$11-SUM(X209:AB209)-SUM(T209:W209)))</f>
        <v>0</v>
      </c>
      <c r="AD209" s="27" t="n">
        <f aca="false">MIN(H208*(1+H$8),MAX(T209,$B$11-SUM(X209:AC209)-SUM(U209:W209)))</f>
        <v>0</v>
      </c>
      <c r="AE209" s="27" t="n">
        <f aca="false">MIN(I208*(1+I$8),MAX(U209,$B$11-SUM(X209:AD209)-SUM(V209:W209)))</f>
        <v>0</v>
      </c>
      <c r="AF209" s="27" t="n">
        <f aca="false">MIN(J208*(1+J$8),MAX(V209,$B$11-SUM(X209:AE209)-SUM(W209:W209)))</f>
        <v>0</v>
      </c>
      <c r="AG209" s="27" t="n">
        <f aca="false">MIN(K208*(1+K$8),MAX(W209,$B$11-SUM(X209:AF209)))</f>
        <v>0</v>
      </c>
      <c r="AI209" s="27" t="n">
        <f aca="false">ROUND(MAX(0,AI208*(1+B$8)-BE209),2)</f>
        <v>0</v>
      </c>
      <c r="AJ209" s="27" t="n">
        <f aca="false">ROUND(MAX(0,AJ208*(1+C$8)-BF209),2)</f>
        <v>0</v>
      </c>
      <c r="AK209" s="27" t="n">
        <f aca="false">ROUND(MAX(0,AK208*(1+D$8)-BG209),2)</f>
        <v>0</v>
      </c>
      <c r="AL209" s="27" t="n">
        <f aca="false">ROUND(MAX(0,AL208*(1+E$8)-BH209),2)</f>
        <v>0</v>
      </c>
      <c r="AM209" s="27" t="n">
        <f aca="false">ROUND(MAX(0,AM208*(1+F$8)-BI209),2)</f>
        <v>0</v>
      </c>
      <c r="AN209" s="27" t="n">
        <f aca="false">ROUND(MAX(0,AN208*(1+G$8)-BJ209),2)</f>
        <v>0</v>
      </c>
      <c r="AO209" s="27" t="n">
        <f aca="false">ROUND(MAX(0,AO208*(1+H$8)-BK209),2)</f>
        <v>0</v>
      </c>
      <c r="AP209" s="27" t="n">
        <f aca="false">ROUND(MAX(0,AP208*(1+I$8)-BL209),2)</f>
        <v>0</v>
      </c>
      <c r="AQ209" s="27" t="n">
        <f aca="false">ROUND(MAX(0,AQ208*(1+J$8)-BM209),2)</f>
        <v>0</v>
      </c>
      <c r="AR209" s="27" t="n">
        <f aca="false">ROUND(MAX(0,AR208*(1+K$8)-BN209),2)</f>
        <v>0</v>
      </c>
      <c r="AS209" s="27" t="n">
        <f aca="false">SUM(AI209:AR209)</f>
        <v>0</v>
      </c>
      <c r="AT209" s="27" t="n">
        <f aca="false">SUMPRODUCT(AI208:AR208,$B$8:$K$8)</f>
        <v>0</v>
      </c>
      <c r="AU209" s="27" t="n">
        <f aca="false">MIN(AI208*(1+B$8),B$9)</f>
        <v>0</v>
      </c>
      <c r="AV209" s="27" t="n">
        <f aca="false">MIN(AJ208*(1+C$8),C$9)</f>
        <v>0</v>
      </c>
      <c r="AW209" s="27" t="n">
        <f aca="false">MIN(AK208*(1+D$8),D$9)</f>
        <v>0</v>
      </c>
      <c r="AX209" s="27" t="n">
        <f aca="false">MIN(AL208*(1+E$8),E$9)</f>
        <v>0</v>
      </c>
      <c r="AY209" s="27" t="n">
        <f aca="false">MIN(AM208*(1+F$8),F$9)</f>
        <v>0</v>
      </c>
      <c r="AZ209" s="27" t="n">
        <f aca="false">MIN(AN208*(1+G$8),G$9)</f>
        <v>0</v>
      </c>
      <c r="BA209" s="27" t="n">
        <f aca="false">MIN(AO208*(1+H$8),H$9)</f>
        <v>0</v>
      </c>
      <c r="BB209" s="27" t="n">
        <f aca="false">MIN(AP208*(1+I$8),I$9)</f>
        <v>0</v>
      </c>
      <c r="BC209" s="27" t="n">
        <f aca="false">MIN(AQ208*(1+J$8),J$9)</f>
        <v>0</v>
      </c>
      <c r="BD209" s="27" t="n">
        <f aca="false">MIN(AR208*(1+K$8),K$9)</f>
        <v>0</v>
      </c>
      <c r="BE209" s="27" t="n">
        <f aca="false">MIN(AI208*(1+B$8),MAX(AU209,$B$12-SUM(AV209:BD209)))</f>
        <v>0</v>
      </c>
      <c r="BF209" s="27" t="n">
        <f aca="false">MIN(AJ208*(1+C$8),MAX(AV209,$B$12-SUM(BE209:BE209)-SUM(AW209:BD209)))</f>
        <v>0</v>
      </c>
      <c r="BG209" s="27" t="n">
        <f aca="false">MIN(AK208*(1+D$8),MAX(AW209,$B$12-SUM(BE209:BF209)-SUM(AX209:BD209)))</f>
        <v>0</v>
      </c>
      <c r="BH209" s="27" t="n">
        <f aca="false">MIN(AL208*(1+E$8),MAX(AX209,$B$12-SUM(BE209:BG209)-SUM(AY209:BD209)))</f>
        <v>0</v>
      </c>
      <c r="BI209" s="27" t="n">
        <f aca="false">MIN(AM208*(1+F$8),MAX(AY209,$B$12-SUM(BE209:BH209)-SUM(AZ209:BD209)))</f>
        <v>0</v>
      </c>
      <c r="BJ209" s="27" t="n">
        <f aca="false">MIN(AN208*(1+G$8),MAX(AZ209,$B$12-SUM(BE209:BI209)-SUM(BA209:BD209)))</f>
        <v>0</v>
      </c>
      <c r="BK209" s="27" t="n">
        <f aca="false">MIN(AO208*(1+H$8),MAX(BA209,$B$12-SUM(BE209:BJ209)-SUM(BB209:BD209)))</f>
        <v>0</v>
      </c>
      <c r="BL209" s="27" t="n">
        <f aca="false">MIN(AP208*(1+I$8),MAX(BB209,$B$12-SUM(BE209:BK209)-SUM(BC209:BD209)))</f>
        <v>0</v>
      </c>
      <c r="BM209" s="27" t="n">
        <f aca="false">MIN(AQ208*(1+J$8),MAX(BC209,$B$12-SUM(BE209:BL209)-SUM(BD209:BD209)))</f>
        <v>0</v>
      </c>
      <c r="BN209" s="27" t="n">
        <f aca="false">MIN(AR208*(1+K$8),MAX(BD209,$B$12-SUM(BE209:BM209)))</f>
        <v>0</v>
      </c>
    </row>
    <row r="210" customFormat="false" ht="15" hidden="false" customHeight="false" outlineLevel="0" collapsed="false">
      <c r="A210" s="0" t="n">
        <v>196</v>
      </c>
      <c r="B210" s="27" t="n">
        <f aca="false">ROUND(MAX(0,B209*(1+B$8)-X210),2)</f>
        <v>0</v>
      </c>
      <c r="C210" s="27" t="n">
        <f aca="false">ROUND(MAX(0,C209*(1+C$8)-Y210),2)</f>
        <v>0</v>
      </c>
      <c r="D210" s="27" t="n">
        <f aca="false">ROUND(MAX(0,D209*(1+D$8)-Z210),2)</f>
        <v>0</v>
      </c>
      <c r="E210" s="27" t="n">
        <f aca="false">ROUND(MAX(0,E209*(1+E$8)-AA210),2)</f>
        <v>0</v>
      </c>
      <c r="F210" s="27" t="n">
        <f aca="false">ROUND(MAX(0,F209*(1+F$8)-AB210),2)</f>
        <v>0</v>
      </c>
      <c r="G210" s="27" t="n">
        <f aca="false">ROUND(MAX(0,G209*(1+G$8)-AC210),2)</f>
        <v>0</v>
      </c>
      <c r="H210" s="27" t="n">
        <f aca="false">ROUND(MAX(0,H209*(1+H$8)-AD210),2)</f>
        <v>0</v>
      </c>
      <c r="I210" s="27" t="n">
        <f aca="false">ROUND(MAX(0,I209*(1+I$8)-AE210),2)</f>
        <v>0</v>
      </c>
      <c r="J210" s="27" t="n">
        <f aca="false">ROUND(MAX(0,J209*(1+J$8)-AF210),2)</f>
        <v>0</v>
      </c>
      <c r="K210" s="27" t="n">
        <f aca="false">ROUND(MAX(0,K209*(1+K$8)-AG210),2)</f>
        <v>0</v>
      </c>
      <c r="L210" s="30" t="n">
        <f aca="false">SUM(B210:K210)</f>
        <v>0</v>
      </c>
      <c r="M210" s="27" t="n">
        <f aca="false">SUMPRODUCT(B209:K209,$B$8:$K$8)</f>
        <v>0</v>
      </c>
      <c r="N210" s="27" t="n">
        <f aca="false">MIN(B209*(1+B$8),B$9)</f>
        <v>0</v>
      </c>
      <c r="O210" s="27" t="n">
        <f aca="false">MIN(C209*(1+C$8),C$9)</f>
        <v>0</v>
      </c>
      <c r="P210" s="27" t="n">
        <f aca="false">MIN(D209*(1+D$8),D$9)</f>
        <v>0</v>
      </c>
      <c r="Q210" s="27" t="n">
        <f aca="false">MIN(E209*(1+E$8),E$9)</f>
        <v>0</v>
      </c>
      <c r="R210" s="27" t="n">
        <f aca="false">MIN(F209*(1+F$8),F$9)</f>
        <v>0</v>
      </c>
      <c r="S210" s="27" t="n">
        <f aca="false">MIN(G209*(1+G$8),G$9)</f>
        <v>0</v>
      </c>
      <c r="T210" s="27" t="n">
        <f aca="false">MIN(H209*(1+H$8),H$9)</f>
        <v>0</v>
      </c>
      <c r="U210" s="27" t="n">
        <f aca="false">MIN(I209*(1+I$8),I$9)</f>
        <v>0</v>
      </c>
      <c r="V210" s="27" t="n">
        <f aca="false">MIN(J209*(1+J$8),J$9)</f>
        <v>0</v>
      </c>
      <c r="W210" s="27" t="n">
        <f aca="false">MIN(K209*(1+K$8),K$9)</f>
        <v>0</v>
      </c>
      <c r="X210" s="27" t="n">
        <f aca="false">MIN(B209*(1+B$8),MAX(N210,$B$11-SUM(O210:W210)))</f>
        <v>0</v>
      </c>
      <c r="Y210" s="27" t="n">
        <f aca="false">MIN(C209*(1+C$8),MAX(O210,$B$11-SUM(X210:X210)-SUM(P210:W210)))</f>
        <v>0</v>
      </c>
      <c r="Z210" s="27" t="n">
        <f aca="false">MIN(D209*(1+D$8),MAX(P210,$B$11-SUM(X210:Y210)-SUM(Q210:W210)))</f>
        <v>0</v>
      </c>
      <c r="AA210" s="27" t="n">
        <f aca="false">MIN(E209*(1+E$8),MAX(Q210,$B$11-SUM(X210:Z210)-SUM(R210:W210)))</f>
        <v>0</v>
      </c>
      <c r="AB210" s="27" t="n">
        <f aca="false">MIN(F209*(1+F$8),MAX(R210,$B$11-SUM(X210:AA210)-SUM(S210:W210)))</f>
        <v>0</v>
      </c>
      <c r="AC210" s="27" t="n">
        <f aca="false">MIN(G209*(1+G$8),MAX(S210,$B$11-SUM(X210:AB210)-SUM(T210:W210)))</f>
        <v>0</v>
      </c>
      <c r="AD210" s="27" t="n">
        <f aca="false">MIN(H209*(1+H$8),MAX(T210,$B$11-SUM(X210:AC210)-SUM(U210:W210)))</f>
        <v>0</v>
      </c>
      <c r="AE210" s="27" t="n">
        <f aca="false">MIN(I209*(1+I$8),MAX(U210,$B$11-SUM(X210:AD210)-SUM(V210:W210)))</f>
        <v>0</v>
      </c>
      <c r="AF210" s="27" t="n">
        <f aca="false">MIN(J209*(1+J$8),MAX(V210,$B$11-SUM(X210:AE210)-SUM(W210:W210)))</f>
        <v>0</v>
      </c>
      <c r="AG210" s="27" t="n">
        <f aca="false">MIN(K209*(1+K$8),MAX(W210,$B$11-SUM(X210:AF210)))</f>
        <v>0</v>
      </c>
      <c r="AI210" s="27" t="n">
        <f aca="false">ROUND(MAX(0,AI209*(1+B$8)-BE210),2)</f>
        <v>0</v>
      </c>
      <c r="AJ210" s="27" t="n">
        <f aca="false">ROUND(MAX(0,AJ209*(1+C$8)-BF210),2)</f>
        <v>0</v>
      </c>
      <c r="AK210" s="27" t="n">
        <f aca="false">ROUND(MAX(0,AK209*(1+D$8)-BG210),2)</f>
        <v>0</v>
      </c>
      <c r="AL210" s="27" t="n">
        <f aca="false">ROUND(MAX(0,AL209*(1+E$8)-BH210),2)</f>
        <v>0</v>
      </c>
      <c r="AM210" s="27" t="n">
        <f aca="false">ROUND(MAX(0,AM209*(1+F$8)-BI210),2)</f>
        <v>0</v>
      </c>
      <c r="AN210" s="27" t="n">
        <f aca="false">ROUND(MAX(0,AN209*(1+G$8)-BJ210),2)</f>
        <v>0</v>
      </c>
      <c r="AO210" s="27" t="n">
        <f aca="false">ROUND(MAX(0,AO209*(1+H$8)-BK210),2)</f>
        <v>0</v>
      </c>
      <c r="AP210" s="27" t="n">
        <f aca="false">ROUND(MAX(0,AP209*(1+I$8)-BL210),2)</f>
        <v>0</v>
      </c>
      <c r="AQ210" s="27" t="n">
        <f aca="false">ROUND(MAX(0,AQ209*(1+J$8)-BM210),2)</f>
        <v>0</v>
      </c>
      <c r="AR210" s="27" t="n">
        <f aca="false">ROUND(MAX(0,AR209*(1+K$8)-BN210),2)</f>
        <v>0</v>
      </c>
      <c r="AS210" s="27" t="n">
        <f aca="false">SUM(AI210:AR210)</f>
        <v>0</v>
      </c>
      <c r="AT210" s="27" t="n">
        <f aca="false">SUMPRODUCT(AI209:AR209,$B$8:$K$8)</f>
        <v>0</v>
      </c>
      <c r="AU210" s="27" t="n">
        <f aca="false">MIN(AI209*(1+B$8),B$9)</f>
        <v>0</v>
      </c>
      <c r="AV210" s="27" t="n">
        <f aca="false">MIN(AJ209*(1+C$8),C$9)</f>
        <v>0</v>
      </c>
      <c r="AW210" s="27" t="n">
        <f aca="false">MIN(AK209*(1+D$8),D$9)</f>
        <v>0</v>
      </c>
      <c r="AX210" s="27" t="n">
        <f aca="false">MIN(AL209*(1+E$8),E$9)</f>
        <v>0</v>
      </c>
      <c r="AY210" s="27" t="n">
        <f aca="false">MIN(AM209*(1+F$8),F$9)</f>
        <v>0</v>
      </c>
      <c r="AZ210" s="27" t="n">
        <f aca="false">MIN(AN209*(1+G$8),G$9)</f>
        <v>0</v>
      </c>
      <c r="BA210" s="27" t="n">
        <f aca="false">MIN(AO209*(1+H$8),H$9)</f>
        <v>0</v>
      </c>
      <c r="BB210" s="27" t="n">
        <f aca="false">MIN(AP209*(1+I$8),I$9)</f>
        <v>0</v>
      </c>
      <c r="BC210" s="27" t="n">
        <f aca="false">MIN(AQ209*(1+J$8),J$9)</f>
        <v>0</v>
      </c>
      <c r="BD210" s="27" t="n">
        <f aca="false">MIN(AR209*(1+K$8),K$9)</f>
        <v>0</v>
      </c>
      <c r="BE210" s="27" t="n">
        <f aca="false">MIN(AI209*(1+B$8),MAX(AU210,$B$12-SUM(AV210:BD210)))</f>
        <v>0</v>
      </c>
      <c r="BF210" s="27" t="n">
        <f aca="false">MIN(AJ209*(1+C$8),MAX(AV210,$B$12-SUM(BE210:BE210)-SUM(AW210:BD210)))</f>
        <v>0</v>
      </c>
      <c r="BG210" s="27" t="n">
        <f aca="false">MIN(AK209*(1+D$8),MAX(AW210,$B$12-SUM(BE210:BF210)-SUM(AX210:BD210)))</f>
        <v>0</v>
      </c>
      <c r="BH210" s="27" t="n">
        <f aca="false">MIN(AL209*(1+E$8),MAX(AX210,$B$12-SUM(BE210:BG210)-SUM(AY210:BD210)))</f>
        <v>0</v>
      </c>
      <c r="BI210" s="27" t="n">
        <f aca="false">MIN(AM209*(1+F$8),MAX(AY210,$B$12-SUM(BE210:BH210)-SUM(AZ210:BD210)))</f>
        <v>0</v>
      </c>
      <c r="BJ210" s="27" t="n">
        <f aca="false">MIN(AN209*(1+G$8),MAX(AZ210,$B$12-SUM(BE210:BI210)-SUM(BA210:BD210)))</f>
        <v>0</v>
      </c>
      <c r="BK210" s="27" t="n">
        <f aca="false">MIN(AO209*(1+H$8),MAX(BA210,$B$12-SUM(BE210:BJ210)-SUM(BB210:BD210)))</f>
        <v>0</v>
      </c>
      <c r="BL210" s="27" t="n">
        <f aca="false">MIN(AP209*(1+I$8),MAX(BB210,$B$12-SUM(BE210:BK210)-SUM(BC210:BD210)))</f>
        <v>0</v>
      </c>
      <c r="BM210" s="27" t="n">
        <f aca="false">MIN(AQ209*(1+J$8),MAX(BC210,$B$12-SUM(BE210:BL210)-SUM(BD210:BD210)))</f>
        <v>0</v>
      </c>
      <c r="BN210" s="27" t="n">
        <f aca="false">MIN(AR209*(1+K$8),MAX(BD210,$B$12-SUM(BE210:BM210)))</f>
        <v>0</v>
      </c>
    </row>
    <row r="211" customFormat="false" ht="15" hidden="false" customHeight="false" outlineLevel="0" collapsed="false">
      <c r="A211" s="0" t="n">
        <v>197</v>
      </c>
      <c r="B211" s="27" t="n">
        <f aca="false">ROUND(MAX(0,B210*(1+B$8)-X211),2)</f>
        <v>0</v>
      </c>
      <c r="C211" s="27" t="n">
        <f aca="false">ROUND(MAX(0,C210*(1+C$8)-Y211),2)</f>
        <v>0</v>
      </c>
      <c r="D211" s="27" t="n">
        <f aca="false">ROUND(MAX(0,D210*(1+D$8)-Z211),2)</f>
        <v>0</v>
      </c>
      <c r="E211" s="27" t="n">
        <f aca="false">ROUND(MAX(0,E210*(1+E$8)-AA211),2)</f>
        <v>0</v>
      </c>
      <c r="F211" s="27" t="n">
        <f aca="false">ROUND(MAX(0,F210*(1+F$8)-AB211),2)</f>
        <v>0</v>
      </c>
      <c r="G211" s="27" t="n">
        <f aca="false">ROUND(MAX(0,G210*(1+G$8)-AC211),2)</f>
        <v>0</v>
      </c>
      <c r="H211" s="27" t="n">
        <f aca="false">ROUND(MAX(0,H210*(1+H$8)-AD211),2)</f>
        <v>0</v>
      </c>
      <c r="I211" s="27" t="n">
        <f aca="false">ROUND(MAX(0,I210*(1+I$8)-AE211),2)</f>
        <v>0</v>
      </c>
      <c r="J211" s="27" t="n">
        <f aca="false">ROUND(MAX(0,J210*(1+J$8)-AF211),2)</f>
        <v>0</v>
      </c>
      <c r="K211" s="27" t="n">
        <f aca="false">ROUND(MAX(0,K210*(1+K$8)-AG211),2)</f>
        <v>0</v>
      </c>
      <c r="L211" s="30" t="n">
        <f aca="false">SUM(B211:K211)</f>
        <v>0</v>
      </c>
      <c r="M211" s="27" t="n">
        <f aca="false">SUMPRODUCT(B210:K210,$B$8:$K$8)</f>
        <v>0</v>
      </c>
      <c r="N211" s="27" t="n">
        <f aca="false">MIN(B210*(1+B$8),B$9)</f>
        <v>0</v>
      </c>
      <c r="O211" s="27" t="n">
        <f aca="false">MIN(C210*(1+C$8),C$9)</f>
        <v>0</v>
      </c>
      <c r="P211" s="27" t="n">
        <f aca="false">MIN(D210*(1+D$8),D$9)</f>
        <v>0</v>
      </c>
      <c r="Q211" s="27" t="n">
        <f aca="false">MIN(E210*(1+E$8),E$9)</f>
        <v>0</v>
      </c>
      <c r="R211" s="27" t="n">
        <f aca="false">MIN(F210*(1+F$8),F$9)</f>
        <v>0</v>
      </c>
      <c r="S211" s="27" t="n">
        <f aca="false">MIN(G210*(1+G$8),G$9)</f>
        <v>0</v>
      </c>
      <c r="T211" s="27" t="n">
        <f aca="false">MIN(H210*(1+H$8),H$9)</f>
        <v>0</v>
      </c>
      <c r="U211" s="27" t="n">
        <f aca="false">MIN(I210*(1+I$8),I$9)</f>
        <v>0</v>
      </c>
      <c r="V211" s="27" t="n">
        <f aca="false">MIN(J210*(1+J$8),J$9)</f>
        <v>0</v>
      </c>
      <c r="W211" s="27" t="n">
        <f aca="false">MIN(K210*(1+K$8),K$9)</f>
        <v>0</v>
      </c>
      <c r="X211" s="27" t="n">
        <f aca="false">MIN(B210*(1+B$8),MAX(N211,$B$11-SUM(O211:W211)))</f>
        <v>0</v>
      </c>
      <c r="Y211" s="27" t="n">
        <f aca="false">MIN(C210*(1+C$8),MAX(O211,$B$11-SUM(X211:X211)-SUM(P211:W211)))</f>
        <v>0</v>
      </c>
      <c r="Z211" s="27" t="n">
        <f aca="false">MIN(D210*(1+D$8),MAX(P211,$B$11-SUM(X211:Y211)-SUM(Q211:W211)))</f>
        <v>0</v>
      </c>
      <c r="AA211" s="27" t="n">
        <f aca="false">MIN(E210*(1+E$8),MAX(Q211,$B$11-SUM(X211:Z211)-SUM(R211:W211)))</f>
        <v>0</v>
      </c>
      <c r="AB211" s="27" t="n">
        <f aca="false">MIN(F210*(1+F$8),MAX(R211,$B$11-SUM(X211:AA211)-SUM(S211:W211)))</f>
        <v>0</v>
      </c>
      <c r="AC211" s="27" t="n">
        <f aca="false">MIN(G210*(1+G$8),MAX(S211,$B$11-SUM(X211:AB211)-SUM(T211:W211)))</f>
        <v>0</v>
      </c>
      <c r="AD211" s="27" t="n">
        <f aca="false">MIN(H210*(1+H$8),MAX(T211,$B$11-SUM(X211:AC211)-SUM(U211:W211)))</f>
        <v>0</v>
      </c>
      <c r="AE211" s="27" t="n">
        <f aca="false">MIN(I210*(1+I$8),MAX(U211,$B$11-SUM(X211:AD211)-SUM(V211:W211)))</f>
        <v>0</v>
      </c>
      <c r="AF211" s="27" t="n">
        <f aca="false">MIN(J210*(1+J$8),MAX(V211,$B$11-SUM(X211:AE211)-SUM(W211:W211)))</f>
        <v>0</v>
      </c>
      <c r="AG211" s="27" t="n">
        <f aca="false">MIN(K210*(1+K$8),MAX(W211,$B$11-SUM(X211:AF211)))</f>
        <v>0</v>
      </c>
      <c r="AI211" s="27" t="n">
        <f aca="false">ROUND(MAX(0,AI210*(1+B$8)-BE211),2)</f>
        <v>0</v>
      </c>
      <c r="AJ211" s="27" t="n">
        <f aca="false">ROUND(MAX(0,AJ210*(1+C$8)-BF211),2)</f>
        <v>0</v>
      </c>
      <c r="AK211" s="27" t="n">
        <f aca="false">ROUND(MAX(0,AK210*(1+D$8)-BG211),2)</f>
        <v>0</v>
      </c>
      <c r="AL211" s="27" t="n">
        <f aca="false">ROUND(MAX(0,AL210*(1+E$8)-BH211),2)</f>
        <v>0</v>
      </c>
      <c r="AM211" s="27" t="n">
        <f aca="false">ROUND(MAX(0,AM210*(1+F$8)-BI211),2)</f>
        <v>0</v>
      </c>
      <c r="AN211" s="27" t="n">
        <f aca="false">ROUND(MAX(0,AN210*(1+G$8)-BJ211),2)</f>
        <v>0</v>
      </c>
      <c r="AO211" s="27" t="n">
        <f aca="false">ROUND(MAX(0,AO210*(1+H$8)-BK211),2)</f>
        <v>0</v>
      </c>
      <c r="AP211" s="27" t="n">
        <f aca="false">ROUND(MAX(0,AP210*(1+I$8)-BL211),2)</f>
        <v>0</v>
      </c>
      <c r="AQ211" s="27" t="n">
        <f aca="false">ROUND(MAX(0,AQ210*(1+J$8)-BM211),2)</f>
        <v>0</v>
      </c>
      <c r="AR211" s="27" t="n">
        <f aca="false">ROUND(MAX(0,AR210*(1+K$8)-BN211),2)</f>
        <v>0</v>
      </c>
      <c r="AS211" s="27" t="n">
        <f aca="false">SUM(AI211:AR211)</f>
        <v>0</v>
      </c>
      <c r="AT211" s="27" t="n">
        <f aca="false">SUMPRODUCT(AI210:AR210,$B$8:$K$8)</f>
        <v>0</v>
      </c>
      <c r="AU211" s="27" t="n">
        <f aca="false">MIN(AI210*(1+B$8),B$9)</f>
        <v>0</v>
      </c>
      <c r="AV211" s="27" t="n">
        <f aca="false">MIN(AJ210*(1+C$8),C$9)</f>
        <v>0</v>
      </c>
      <c r="AW211" s="27" t="n">
        <f aca="false">MIN(AK210*(1+D$8),D$9)</f>
        <v>0</v>
      </c>
      <c r="AX211" s="27" t="n">
        <f aca="false">MIN(AL210*(1+E$8),E$9)</f>
        <v>0</v>
      </c>
      <c r="AY211" s="27" t="n">
        <f aca="false">MIN(AM210*(1+F$8),F$9)</f>
        <v>0</v>
      </c>
      <c r="AZ211" s="27" t="n">
        <f aca="false">MIN(AN210*(1+G$8),G$9)</f>
        <v>0</v>
      </c>
      <c r="BA211" s="27" t="n">
        <f aca="false">MIN(AO210*(1+H$8),H$9)</f>
        <v>0</v>
      </c>
      <c r="BB211" s="27" t="n">
        <f aca="false">MIN(AP210*(1+I$8),I$9)</f>
        <v>0</v>
      </c>
      <c r="BC211" s="27" t="n">
        <f aca="false">MIN(AQ210*(1+J$8),J$9)</f>
        <v>0</v>
      </c>
      <c r="BD211" s="27" t="n">
        <f aca="false">MIN(AR210*(1+K$8),K$9)</f>
        <v>0</v>
      </c>
      <c r="BE211" s="27" t="n">
        <f aca="false">MIN(AI210*(1+B$8),MAX(AU211,$B$12-SUM(AV211:BD211)))</f>
        <v>0</v>
      </c>
      <c r="BF211" s="27" t="n">
        <f aca="false">MIN(AJ210*(1+C$8),MAX(AV211,$B$12-SUM(BE211:BE211)-SUM(AW211:BD211)))</f>
        <v>0</v>
      </c>
      <c r="BG211" s="27" t="n">
        <f aca="false">MIN(AK210*(1+D$8),MAX(AW211,$B$12-SUM(BE211:BF211)-SUM(AX211:BD211)))</f>
        <v>0</v>
      </c>
      <c r="BH211" s="27" t="n">
        <f aca="false">MIN(AL210*(1+E$8),MAX(AX211,$B$12-SUM(BE211:BG211)-SUM(AY211:BD211)))</f>
        <v>0</v>
      </c>
      <c r="BI211" s="27" t="n">
        <f aca="false">MIN(AM210*(1+F$8),MAX(AY211,$B$12-SUM(BE211:BH211)-SUM(AZ211:BD211)))</f>
        <v>0</v>
      </c>
      <c r="BJ211" s="27" t="n">
        <f aca="false">MIN(AN210*(1+G$8),MAX(AZ211,$B$12-SUM(BE211:BI211)-SUM(BA211:BD211)))</f>
        <v>0</v>
      </c>
      <c r="BK211" s="27" t="n">
        <f aca="false">MIN(AO210*(1+H$8),MAX(BA211,$B$12-SUM(BE211:BJ211)-SUM(BB211:BD211)))</f>
        <v>0</v>
      </c>
      <c r="BL211" s="27" t="n">
        <f aca="false">MIN(AP210*(1+I$8),MAX(BB211,$B$12-SUM(BE211:BK211)-SUM(BC211:BD211)))</f>
        <v>0</v>
      </c>
      <c r="BM211" s="27" t="n">
        <f aca="false">MIN(AQ210*(1+J$8),MAX(BC211,$B$12-SUM(BE211:BL211)-SUM(BD211:BD211)))</f>
        <v>0</v>
      </c>
      <c r="BN211" s="27" t="n">
        <f aca="false">MIN(AR210*(1+K$8),MAX(BD211,$B$12-SUM(BE211:BM211)))</f>
        <v>0</v>
      </c>
    </row>
    <row r="212" customFormat="false" ht="15" hidden="false" customHeight="false" outlineLevel="0" collapsed="false">
      <c r="A212" s="0" t="n">
        <v>198</v>
      </c>
      <c r="B212" s="27" t="n">
        <f aca="false">ROUND(MAX(0,B211*(1+B$8)-X212),2)</f>
        <v>0</v>
      </c>
      <c r="C212" s="27" t="n">
        <f aca="false">ROUND(MAX(0,C211*(1+C$8)-Y212),2)</f>
        <v>0</v>
      </c>
      <c r="D212" s="27" t="n">
        <f aca="false">ROUND(MAX(0,D211*(1+D$8)-Z212),2)</f>
        <v>0</v>
      </c>
      <c r="E212" s="27" t="n">
        <f aca="false">ROUND(MAX(0,E211*(1+E$8)-AA212),2)</f>
        <v>0</v>
      </c>
      <c r="F212" s="27" t="n">
        <f aca="false">ROUND(MAX(0,F211*(1+F$8)-AB212),2)</f>
        <v>0</v>
      </c>
      <c r="G212" s="27" t="n">
        <f aca="false">ROUND(MAX(0,G211*(1+G$8)-AC212),2)</f>
        <v>0</v>
      </c>
      <c r="H212" s="27" t="n">
        <f aca="false">ROUND(MAX(0,H211*(1+H$8)-AD212),2)</f>
        <v>0</v>
      </c>
      <c r="I212" s="27" t="n">
        <f aca="false">ROUND(MAX(0,I211*(1+I$8)-AE212),2)</f>
        <v>0</v>
      </c>
      <c r="J212" s="27" t="n">
        <f aca="false">ROUND(MAX(0,J211*(1+J$8)-AF212),2)</f>
        <v>0</v>
      </c>
      <c r="K212" s="27" t="n">
        <f aca="false">ROUND(MAX(0,K211*(1+K$8)-AG212),2)</f>
        <v>0</v>
      </c>
      <c r="L212" s="30" t="n">
        <f aca="false">SUM(B212:K212)</f>
        <v>0</v>
      </c>
      <c r="M212" s="27" t="n">
        <f aca="false">SUMPRODUCT(B211:K211,$B$8:$K$8)</f>
        <v>0</v>
      </c>
      <c r="N212" s="27" t="n">
        <f aca="false">MIN(B211*(1+B$8),B$9)</f>
        <v>0</v>
      </c>
      <c r="O212" s="27" t="n">
        <f aca="false">MIN(C211*(1+C$8),C$9)</f>
        <v>0</v>
      </c>
      <c r="P212" s="27" t="n">
        <f aca="false">MIN(D211*(1+D$8),D$9)</f>
        <v>0</v>
      </c>
      <c r="Q212" s="27" t="n">
        <f aca="false">MIN(E211*(1+E$8),E$9)</f>
        <v>0</v>
      </c>
      <c r="R212" s="27" t="n">
        <f aca="false">MIN(F211*(1+F$8),F$9)</f>
        <v>0</v>
      </c>
      <c r="S212" s="27" t="n">
        <f aca="false">MIN(G211*(1+G$8),G$9)</f>
        <v>0</v>
      </c>
      <c r="T212" s="27" t="n">
        <f aca="false">MIN(H211*(1+H$8),H$9)</f>
        <v>0</v>
      </c>
      <c r="U212" s="27" t="n">
        <f aca="false">MIN(I211*(1+I$8),I$9)</f>
        <v>0</v>
      </c>
      <c r="V212" s="27" t="n">
        <f aca="false">MIN(J211*(1+J$8),J$9)</f>
        <v>0</v>
      </c>
      <c r="W212" s="27" t="n">
        <f aca="false">MIN(K211*(1+K$8),K$9)</f>
        <v>0</v>
      </c>
      <c r="X212" s="27" t="n">
        <f aca="false">MIN(B211*(1+B$8),MAX(N212,$B$11-SUM(O212:W212)))</f>
        <v>0</v>
      </c>
      <c r="Y212" s="27" t="n">
        <f aca="false">MIN(C211*(1+C$8),MAX(O212,$B$11-SUM(X212:X212)-SUM(P212:W212)))</f>
        <v>0</v>
      </c>
      <c r="Z212" s="27" t="n">
        <f aca="false">MIN(D211*(1+D$8),MAX(P212,$B$11-SUM(X212:Y212)-SUM(Q212:W212)))</f>
        <v>0</v>
      </c>
      <c r="AA212" s="27" t="n">
        <f aca="false">MIN(E211*(1+E$8),MAX(Q212,$B$11-SUM(X212:Z212)-SUM(R212:W212)))</f>
        <v>0</v>
      </c>
      <c r="AB212" s="27" t="n">
        <f aca="false">MIN(F211*(1+F$8),MAX(R212,$B$11-SUM(X212:AA212)-SUM(S212:W212)))</f>
        <v>0</v>
      </c>
      <c r="AC212" s="27" t="n">
        <f aca="false">MIN(G211*(1+G$8),MAX(S212,$B$11-SUM(X212:AB212)-SUM(T212:W212)))</f>
        <v>0</v>
      </c>
      <c r="AD212" s="27" t="n">
        <f aca="false">MIN(H211*(1+H$8),MAX(T212,$B$11-SUM(X212:AC212)-SUM(U212:W212)))</f>
        <v>0</v>
      </c>
      <c r="AE212" s="27" t="n">
        <f aca="false">MIN(I211*(1+I$8),MAX(U212,$B$11-SUM(X212:AD212)-SUM(V212:W212)))</f>
        <v>0</v>
      </c>
      <c r="AF212" s="27" t="n">
        <f aca="false">MIN(J211*(1+J$8),MAX(V212,$B$11-SUM(X212:AE212)-SUM(W212:W212)))</f>
        <v>0</v>
      </c>
      <c r="AG212" s="27" t="n">
        <f aca="false">MIN(K211*(1+K$8),MAX(W212,$B$11-SUM(X212:AF212)))</f>
        <v>0</v>
      </c>
      <c r="AI212" s="27" t="n">
        <f aca="false">ROUND(MAX(0,AI211*(1+B$8)-BE212),2)</f>
        <v>0</v>
      </c>
      <c r="AJ212" s="27" t="n">
        <f aca="false">ROUND(MAX(0,AJ211*(1+C$8)-BF212),2)</f>
        <v>0</v>
      </c>
      <c r="AK212" s="27" t="n">
        <f aca="false">ROUND(MAX(0,AK211*(1+D$8)-BG212),2)</f>
        <v>0</v>
      </c>
      <c r="AL212" s="27" t="n">
        <f aca="false">ROUND(MAX(0,AL211*(1+E$8)-BH212),2)</f>
        <v>0</v>
      </c>
      <c r="AM212" s="27" t="n">
        <f aca="false">ROUND(MAX(0,AM211*(1+F$8)-BI212),2)</f>
        <v>0</v>
      </c>
      <c r="AN212" s="27" t="n">
        <f aca="false">ROUND(MAX(0,AN211*(1+G$8)-BJ212),2)</f>
        <v>0</v>
      </c>
      <c r="AO212" s="27" t="n">
        <f aca="false">ROUND(MAX(0,AO211*(1+H$8)-BK212),2)</f>
        <v>0</v>
      </c>
      <c r="AP212" s="27" t="n">
        <f aca="false">ROUND(MAX(0,AP211*(1+I$8)-BL212),2)</f>
        <v>0</v>
      </c>
      <c r="AQ212" s="27" t="n">
        <f aca="false">ROUND(MAX(0,AQ211*(1+J$8)-BM212),2)</f>
        <v>0</v>
      </c>
      <c r="AR212" s="27" t="n">
        <f aca="false">ROUND(MAX(0,AR211*(1+K$8)-BN212),2)</f>
        <v>0</v>
      </c>
      <c r="AS212" s="27" t="n">
        <f aca="false">SUM(AI212:AR212)</f>
        <v>0</v>
      </c>
      <c r="AT212" s="27" t="n">
        <f aca="false">SUMPRODUCT(AI211:AR211,$B$8:$K$8)</f>
        <v>0</v>
      </c>
      <c r="AU212" s="27" t="n">
        <f aca="false">MIN(AI211*(1+B$8),B$9)</f>
        <v>0</v>
      </c>
      <c r="AV212" s="27" t="n">
        <f aca="false">MIN(AJ211*(1+C$8),C$9)</f>
        <v>0</v>
      </c>
      <c r="AW212" s="27" t="n">
        <f aca="false">MIN(AK211*(1+D$8),D$9)</f>
        <v>0</v>
      </c>
      <c r="AX212" s="27" t="n">
        <f aca="false">MIN(AL211*(1+E$8),E$9)</f>
        <v>0</v>
      </c>
      <c r="AY212" s="27" t="n">
        <f aca="false">MIN(AM211*(1+F$8),F$9)</f>
        <v>0</v>
      </c>
      <c r="AZ212" s="27" t="n">
        <f aca="false">MIN(AN211*(1+G$8),G$9)</f>
        <v>0</v>
      </c>
      <c r="BA212" s="27" t="n">
        <f aca="false">MIN(AO211*(1+H$8),H$9)</f>
        <v>0</v>
      </c>
      <c r="BB212" s="27" t="n">
        <f aca="false">MIN(AP211*(1+I$8),I$9)</f>
        <v>0</v>
      </c>
      <c r="BC212" s="27" t="n">
        <f aca="false">MIN(AQ211*(1+J$8),J$9)</f>
        <v>0</v>
      </c>
      <c r="BD212" s="27" t="n">
        <f aca="false">MIN(AR211*(1+K$8),K$9)</f>
        <v>0</v>
      </c>
      <c r="BE212" s="27" t="n">
        <f aca="false">MIN(AI211*(1+B$8),MAX(AU212,$B$12-SUM(AV212:BD212)))</f>
        <v>0</v>
      </c>
      <c r="BF212" s="27" t="n">
        <f aca="false">MIN(AJ211*(1+C$8),MAX(AV212,$B$12-SUM(BE212:BE212)-SUM(AW212:BD212)))</f>
        <v>0</v>
      </c>
      <c r="BG212" s="27" t="n">
        <f aca="false">MIN(AK211*(1+D$8),MAX(AW212,$B$12-SUM(BE212:BF212)-SUM(AX212:BD212)))</f>
        <v>0</v>
      </c>
      <c r="BH212" s="27" t="n">
        <f aca="false">MIN(AL211*(1+E$8),MAX(AX212,$B$12-SUM(BE212:BG212)-SUM(AY212:BD212)))</f>
        <v>0</v>
      </c>
      <c r="BI212" s="27" t="n">
        <f aca="false">MIN(AM211*(1+F$8),MAX(AY212,$B$12-SUM(BE212:BH212)-SUM(AZ212:BD212)))</f>
        <v>0</v>
      </c>
      <c r="BJ212" s="27" t="n">
        <f aca="false">MIN(AN211*(1+G$8),MAX(AZ212,$B$12-SUM(BE212:BI212)-SUM(BA212:BD212)))</f>
        <v>0</v>
      </c>
      <c r="BK212" s="27" t="n">
        <f aca="false">MIN(AO211*(1+H$8),MAX(BA212,$B$12-SUM(BE212:BJ212)-SUM(BB212:BD212)))</f>
        <v>0</v>
      </c>
      <c r="BL212" s="27" t="n">
        <f aca="false">MIN(AP211*(1+I$8),MAX(BB212,$B$12-SUM(BE212:BK212)-SUM(BC212:BD212)))</f>
        <v>0</v>
      </c>
      <c r="BM212" s="27" t="n">
        <f aca="false">MIN(AQ211*(1+J$8),MAX(BC212,$B$12-SUM(BE212:BL212)-SUM(BD212:BD212)))</f>
        <v>0</v>
      </c>
      <c r="BN212" s="27" t="n">
        <f aca="false">MIN(AR211*(1+K$8),MAX(BD212,$B$12-SUM(BE212:BM212)))</f>
        <v>0</v>
      </c>
    </row>
    <row r="213" customFormat="false" ht="15" hidden="false" customHeight="false" outlineLevel="0" collapsed="false">
      <c r="A213" s="0" t="n">
        <v>199</v>
      </c>
      <c r="B213" s="27" t="n">
        <f aca="false">ROUND(MAX(0,B212*(1+B$8)-X213),2)</f>
        <v>0</v>
      </c>
      <c r="C213" s="27" t="n">
        <f aca="false">ROUND(MAX(0,C212*(1+C$8)-Y213),2)</f>
        <v>0</v>
      </c>
      <c r="D213" s="27" t="n">
        <f aca="false">ROUND(MAX(0,D212*(1+D$8)-Z213),2)</f>
        <v>0</v>
      </c>
      <c r="E213" s="27" t="n">
        <f aca="false">ROUND(MAX(0,E212*(1+E$8)-AA213),2)</f>
        <v>0</v>
      </c>
      <c r="F213" s="27" t="n">
        <f aca="false">ROUND(MAX(0,F212*(1+F$8)-AB213),2)</f>
        <v>0</v>
      </c>
      <c r="G213" s="27" t="n">
        <f aca="false">ROUND(MAX(0,G212*(1+G$8)-AC213),2)</f>
        <v>0</v>
      </c>
      <c r="H213" s="27" t="n">
        <f aca="false">ROUND(MAX(0,H212*(1+H$8)-AD213),2)</f>
        <v>0</v>
      </c>
      <c r="I213" s="27" t="n">
        <f aca="false">ROUND(MAX(0,I212*(1+I$8)-AE213),2)</f>
        <v>0</v>
      </c>
      <c r="J213" s="27" t="n">
        <f aca="false">ROUND(MAX(0,J212*(1+J$8)-AF213),2)</f>
        <v>0</v>
      </c>
      <c r="K213" s="27" t="n">
        <f aca="false">ROUND(MAX(0,K212*(1+K$8)-AG213),2)</f>
        <v>0</v>
      </c>
      <c r="L213" s="30" t="n">
        <f aca="false">SUM(B213:K213)</f>
        <v>0</v>
      </c>
      <c r="M213" s="27" t="n">
        <f aca="false">SUMPRODUCT(B212:K212,$B$8:$K$8)</f>
        <v>0</v>
      </c>
      <c r="N213" s="27" t="n">
        <f aca="false">MIN(B212*(1+B$8),B$9)</f>
        <v>0</v>
      </c>
      <c r="O213" s="27" t="n">
        <f aca="false">MIN(C212*(1+C$8),C$9)</f>
        <v>0</v>
      </c>
      <c r="P213" s="27" t="n">
        <f aca="false">MIN(D212*(1+D$8),D$9)</f>
        <v>0</v>
      </c>
      <c r="Q213" s="27" t="n">
        <f aca="false">MIN(E212*(1+E$8),E$9)</f>
        <v>0</v>
      </c>
      <c r="R213" s="27" t="n">
        <f aca="false">MIN(F212*(1+F$8),F$9)</f>
        <v>0</v>
      </c>
      <c r="S213" s="27" t="n">
        <f aca="false">MIN(G212*(1+G$8),G$9)</f>
        <v>0</v>
      </c>
      <c r="T213" s="27" t="n">
        <f aca="false">MIN(H212*(1+H$8),H$9)</f>
        <v>0</v>
      </c>
      <c r="U213" s="27" t="n">
        <f aca="false">MIN(I212*(1+I$8),I$9)</f>
        <v>0</v>
      </c>
      <c r="V213" s="27" t="n">
        <f aca="false">MIN(J212*(1+J$8),J$9)</f>
        <v>0</v>
      </c>
      <c r="W213" s="27" t="n">
        <f aca="false">MIN(K212*(1+K$8),K$9)</f>
        <v>0</v>
      </c>
      <c r="X213" s="27" t="n">
        <f aca="false">MIN(B212*(1+B$8),MAX(N213,$B$11-SUM(O213:W213)))</f>
        <v>0</v>
      </c>
      <c r="Y213" s="27" t="n">
        <f aca="false">MIN(C212*(1+C$8),MAX(O213,$B$11-SUM(X213:X213)-SUM(P213:W213)))</f>
        <v>0</v>
      </c>
      <c r="Z213" s="27" t="n">
        <f aca="false">MIN(D212*(1+D$8),MAX(P213,$B$11-SUM(X213:Y213)-SUM(Q213:W213)))</f>
        <v>0</v>
      </c>
      <c r="AA213" s="27" t="n">
        <f aca="false">MIN(E212*(1+E$8),MAX(Q213,$B$11-SUM(X213:Z213)-SUM(R213:W213)))</f>
        <v>0</v>
      </c>
      <c r="AB213" s="27" t="n">
        <f aca="false">MIN(F212*(1+F$8),MAX(R213,$B$11-SUM(X213:AA213)-SUM(S213:W213)))</f>
        <v>0</v>
      </c>
      <c r="AC213" s="27" t="n">
        <f aca="false">MIN(G212*(1+G$8),MAX(S213,$B$11-SUM(X213:AB213)-SUM(T213:W213)))</f>
        <v>0</v>
      </c>
      <c r="AD213" s="27" t="n">
        <f aca="false">MIN(H212*(1+H$8),MAX(T213,$B$11-SUM(X213:AC213)-SUM(U213:W213)))</f>
        <v>0</v>
      </c>
      <c r="AE213" s="27" t="n">
        <f aca="false">MIN(I212*(1+I$8),MAX(U213,$B$11-SUM(X213:AD213)-SUM(V213:W213)))</f>
        <v>0</v>
      </c>
      <c r="AF213" s="27" t="n">
        <f aca="false">MIN(J212*(1+J$8),MAX(V213,$B$11-SUM(X213:AE213)-SUM(W213:W213)))</f>
        <v>0</v>
      </c>
      <c r="AG213" s="27" t="n">
        <f aca="false">MIN(K212*(1+K$8),MAX(W213,$B$11-SUM(X213:AF213)))</f>
        <v>0</v>
      </c>
      <c r="AI213" s="27" t="n">
        <f aca="false">ROUND(MAX(0,AI212*(1+B$8)-BE213),2)</f>
        <v>0</v>
      </c>
      <c r="AJ213" s="27" t="n">
        <f aca="false">ROUND(MAX(0,AJ212*(1+C$8)-BF213),2)</f>
        <v>0</v>
      </c>
      <c r="AK213" s="27" t="n">
        <f aca="false">ROUND(MAX(0,AK212*(1+D$8)-BG213),2)</f>
        <v>0</v>
      </c>
      <c r="AL213" s="27" t="n">
        <f aca="false">ROUND(MAX(0,AL212*(1+E$8)-BH213),2)</f>
        <v>0</v>
      </c>
      <c r="AM213" s="27" t="n">
        <f aca="false">ROUND(MAX(0,AM212*(1+F$8)-BI213),2)</f>
        <v>0</v>
      </c>
      <c r="AN213" s="27" t="n">
        <f aca="false">ROUND(MAX(0,AN212*(1+G$8)-BJ213),2)</f>
        <v>0</v>
      </c>
      <c r="AO213" s="27" t="n">
        <f aca="false">ROUND(MAX(0,AO212*(1+H$8)-BK213),2)</f>
        <v>0</v>
      </c>
      <c r="AP213" s="27" t="n">
        <f aca="false">ROUND(MAX(0,AP212*(1+I$8)-BL213),2)</f>
        <v>0</v>
      </c>
      <c r="AQ213" s="27" t="n">
        <f aca="false">ROUND(MAX(0,AQ212*(1+J$8)-BM213),2)</f>
        <v>0</v>
      </c>
      <c r="AR213" s="27" t="n">
        <f aca="false">ROUND(MAX(0,AR212*(1+K$8)-BN213),2)</f>
        <v>0</v>
      </c>
      <c r="AS213" s="27" t="n">
        <f aca="false">SUM(AI213:AR213)</f>
        <v>0</v>
      </c>
      <c r="AT213" s="27" t="n">
        <f aca="false">SUMPRODUCT(AI212:AR212,$B$8:$K$8)</f>
        <v>0</v>
      </c>
      <c r="AU213" s="27" t="n">
        <f aca="false">MIN(AI212*(1+B$8),B$9)</f>
        <v>0</v>
      </c>
      <c r="AV213" s="27" t="n">
        <f aca="false">MIN(AJ212*(1+C$8),C$9)</f>
        <v>0</v>
      </c>
      <c r="AW213" s="27" t="n">
        <f aca="false">MIN(AK212*(1+D$8),D$9)</f>
        <v>0</v>
      </c>
      <c r="AX213" s="27" t="n">
        <f aca="false">MIN(AL212*(1+E$8),E$9)</f>
        <v>0</v>
      </c>
      <c r="AY213" s="27" t="n">
        <f aca="false">MIN(AM212*(1+F$8),F$9)</f>
        <v>0</v>
      </c>
      <c r="AZ213" s="27" t="n">
        <f aca="false">MIN(AN212*(1+G$8),G$9)</f>
        <v>0</v>
      </c>
      <c r="BA213" s="27" t="n">
        <f aca="false">MIN(AO212*(1+H$8),H$9)</f>
        <v>0</v>
      </c>
      <c r="BB213" s="27" t="n">
        <f aca="false">MIN(AP212*(1+I$8),I$9)</f>
        <v>0</v>
      </c>
      <c r="BC213" s="27" t="n">
        <f aca="false">MIN(AQ212*(1+J$8),J$9)</f>
        <v>0</v>
      </c>
      <c r="BD213" s="27" t="n">
        <f aca="false">MIN(AR212*(1+K$8),K$9)</f>
        <v>0</v>
      </c>
      <c r="BE213" s="27" t="n">
        <f aca="false">MIN(AI212*(1+B$8),MAX(AU213,$B$12-SUM(AV213:BD213)))</f>
        <v>0</v>
      </c>
      <c r="BF213" s="27" t="n">
        <f aca="false">MIN(AJ212*(1+C$8),MAX(AV213,$B$12-SUM(BE213:BE213)-SUM(AW213:BD213)))</f>
        <v>0</v>
      </c>
      <c r="BG213" s="27" t="n">
        <f aca="false">MIN(AK212*(1+D$8),MAX(AW213,$B$12-SUM(BE213:BF213)-SUM(AX213:BD213)))</f>
        <v>0</v>
      </c>
      <c r="BH213" s="27" t="n">
        <f aca="false">MIN(AL212*(1+E$8),MAX(AX213,$B$12-SUM(BE213:BG213)-SUM(AY213:BD213)))</f>
        <v>0</v>
      </c>
      <c r="BI213" s="27" t="n">
        <f aca="false">MIN(AM212*(1+F$8),MAX(AY213,$B$12-SUM(BE213:BH213)-SUM(AZ213:BD213)))</f>
        <v>0</v>
      </c>
      <c r="BJ213" s="27" t="n">
        <f aca="false">MIN(AN212*(1+G$8),MAX(AZ213,$B$12-SUM(BE213:BI213)-SUM(BA213:BD213)))</f>
        <v>0</v>
      </c>
      <c r="BK213" s="27" t="n">
        <f aca="false">MIN(AO212*(1+H$8),MAX(BA213,$B$12-SUM(BE213:BJ213)-SUM(BB213:BD213)))</f>
        <v>0</v>
      </c>
      <c r="BL213" s="27" t="n">
        <f aca="false">MIN(AP212*(1+I$8),MAX(BB213,$B$12-SUM(BE213:BK213)-SUM(BC213:BD213)))</f>
        <v>0</v>
      </c>
      <c r="BM213" s="27" t="n">
        <f aca="false">MIN(AQ212*(1+J$8),MAX(BC213,$B$12-SUM(BE213:BL213)-SUM(BD213:BD213)))</f>
        <v>0</v>
      </c>
      <c r="BN213" s="27" t="n">
        <f aca="false">MIN(AR212*(1+K$8),MAX(BD213,$B$12-SUM(BE213:BM213)))</f>
        <v>0</v>
      </c>
    </row>
    <row r="214" customFormat="false" ht="15" hidden="false" customHeight="false" outlineLevel="0" collapsed="false">
      <c r="A214" s="0" t="n">
        <v>200</v>
      </c>
      <c r="B214" s="27" t="n">
        <f aca="false">ROUND(MAX(0,B213*(1+B$8)-X214),2)</f>
        <v>0</v>
      </c>
      <c r="C214" s="27" t="n">
        <f aca="false">ROUND(MAX(0,C213*(1+C$8)-Y214),2)</f>
        <v>0</v>
      </c>
      <c r="D214" s="27" t="n">
        <f aca="false">ROUND(MAX(0,D213*(1+D$8)-Z214),2)</f>
        <v>0</v>
      </c>
      <c r="E214" s="27" t="n">
        <f aca="false">ROUND(MAX(0,E213*(1+E$8)-AA214),2)</f>
        <v>0</v>
      </c>
      <c r="F214" s="27" t="n">
        <f aca="false">ROUND(MAX(0,F213*(1+F$8)-AB214),2)</f>
        <v>0</v>
      </c>
      <c r="G214" s="27" t="n">
        <f aca="false">ROUND(MAX(0,G213*(1+G$8)-AC214),2)</f>
        <v>0</v>
      </c>
      <c r="H214" s="27" t="n">
        <f aca="false">ROUND(MAX(0,H213*(1+H$8)-AD214),2)</f>
        <v>0</v>
      </c>
      <c r="I214" s="27" t="n">
        <f aca="false">ROUND(MAX(0,I213*(1+I$8)-AE214),2)</f>
        <v>0</v>
      </c>
      <c r="J214" s="27" t="n">
        <f aca="false">ROUND(MAX(0,J213*(1+J$8)-AF214),2)</f>
        <v>0</v>
      </c>
      <c r="K214" s="27" t="n">
        <f aca="false">ROUND(MAX(0,K213*(1+K$8)-AG214),2)</f>
        <v>0</v>
      </c>
      <c r="L214" s="30" t="n">
        <f aca="false">SUM(B214:K214)</f>
        <v>0</v>
      </c>
      <c r="M214" s="27" t="n">
        <f aca="false">SUMPRODUCT(B213:K213,$B$8:$K$8)</f>
        <v>0</v>
      </c>
      <c r="N214" s="27" t="n">
        <f aca="false">MIN(B213*(1+B$8),B$9)</f>
        <v>0</v>
      </c>
      <c r="O214" s="27" t="n">
        <f aca="false">MIN(C213*(1+C$8),C$9)</f>
        <v>0</v>
      </c>
      <c r="P214" s="27" t="n">
        <f aca="false">MIN(D213*(1+D$8),D$9)</f>
        <v>0</v>
      </c>
      <c r="Q214" s="27" t="n">
        <f aca="false">MIN(E213*(1+E$8),E$9)</f>
        <v>0</v>
      </c>
      <c r="R214" s="27" t="n">
        <f aca="false">MIN(F213*(1+F$8),F$9)</f>
        <v>0</v>
      </c>
      <c r="S214" s="27" t="n">
        <f aca="false">MIN(G213*(1+G$8),G$9)</f>
        <v>0</v>
      </c>
      <c r="T214" s="27" t="n">
        <f aca="false">MIN(H213*(1+H$8),H$9)</f>
        <v>0</v>
      </c>
      <c r="U214" s="27" t="n">
        <f aca="false">MIN(I213*(1+I$8),I$9)</f>
        <v>0</v>
      </c>
      <c r="V214" s="27" t="n">
        <f aca="false">MIN(J213*(1+J$8),J$9)</f>
        <v>0</v>
      </c>
      <c r="W214" s="27" t="n">
        <f aca="false">MIN(K213*(1+K$8),K$9)</f>
        <v>0</v>
      </c>
      <c r="X214" s="27" t="n">
        <f aca="false">MIN(B213*(1+B$8),MAX(N214,$B$11-SUM(O214:W214)))</f>
        <v>0</v>
      </c>
      <c r="Y214" s="27" t="n">
        <f aca="false">MIN(C213*(1+C$8),MAX(O214,$B$11-SUM(X214:X214)-SUM(P214:W214)))</f>
        <v>0</v>
      </c>
      <c r="Z214" s="27" t="n">
        <f aca="false">MIN(D213*(1+D$8),MAX(P214,$B$11-SUM(X214:Y214)-SUM(Q214:W214)))</f>
        <v>0</v>
      </c>
      <c r="AA214" s="27" t="n">
        <f aca="false">MIN(E213*(1+E$8),MAX(Q214,$B$11-SUM(X214:Z214)-SUM(R214:W214)))</f>
        <v>0</v>
      </c>
      <c r="AB214" s="27" t="n">
        <f aca="false">MIN(F213*(1+F$8),MAX(R214,$B$11-SUM(X214:AA214)-SUM(S214:W214)))</f>
        <v>0</v>
      </c>
      <c r="AC214" s="27" t="n">
        <f aca="false">MIN(G213*(1+G$8),MAX(S214,$B$11-SUM(X214:AB214)-SUM(T214:W214)))</f>
        <v>0</v>
      </c>
      <c r="AD214" s="27" t="n">
        <f aca="false">MIN(H213*(1+H$8),MAX(T214,$B$11-SUM(X214:AC214)-SUM(U214:W214)))</f>
        <v>0</v>
      </c>
      <c r="AE214" s="27" t="n">
        <f aca="false">MIN(I213*(1+I$8),MAX(U214,$B$11-SUM(X214:AD214)-SUM(V214:W214)))</f>
        <v>0</v>
      </c>
      <c r="AF214" s="27" t="n">
        <f aca="false">MIN(J213*(1+J$8),MAX(V214,$B$11-SUM(X214:AE214)-SUM(W214:W214)))</f>
        <v>0</v>
      </c>
      <c r="AG214" s="27" t="n">
        <f aca="false">MIN(K213*(1+K$8),MAX(W214,$B$11-SUM(X214:AF214)))</f>
        <v>0</v>
      </c>
      <c r="AI214" s="27" t="n">
        <f aca="false">ROUND(MAX(0,AI213*(1+B$8)-BE214),2)</f>
        <v>0</v>
      </c>
      <c r="AJ214" s="27" t="n">
        <f aca="false">ROUND(MAX(0,AJ213*(1+C$8)-BF214),2)</f>
        <v>0</v>
      </c>
      <c r="AK214" s="27" t="n">
        <f aca="false">ROUND(MAX(0,AK213*(1+D$8)-BG214),2)</f>
        <v>0</v>
      </c>
      <c r="AL214" s="27" t="n">
        <f aca="false">ROUND(MAX(0,AL213*(1+E$8)-BH214),2)</f>
        <v>0</v>
      </c>
      <c r="AM214" s="27" t="n">
        <f aca="false">ROUND(MAX(0,AM213*(1+F$8)-BI214),2)</f>
        <v>0</v>
      </c>
      <c r="AN214" s="27" t="n">
        <f aca="false">ROUND(MAX(0,AN213*(1+G$8)-BJ214),2)</f>
        <v>0</v>
      </c>
      <c r="AO214" s="27" t="n">
        <f aca="false">ROUND(MAX(0,AO213*(1+H$8)-BK214),2)</f>
        <v>0</v>
      </c>
      <c r="AP214" s="27" t="n">
        <f aca="false">ROUND(MAX(0,AP213*(1+I$8)-BL214),2)</f>
        <v>0</v>
      </c>
      <c r="AQ214" s="27" t="n">
        <f aca="false">ROUND(MAX(0,AQ213*(1+J$8)-BM214),2)</f>
        <v>0</v>
      </c>
      <c r="AR214" s="27" t="n">
        <f aca="false">ROUND(MAX(0,AR213*(1+K$8)-BN214),2)</f>
        <v>0</v>
      </c>
      <c r="AS214" s="27" t="n">
        <f aca="false">SUM(AI214:AR214)</f>
        <v>0</v>
      </c>
      <c r="AT214" s="27" t="n">
        <f aca="false">SUMPRODUCT(AI213:AR213,$B$8:$K$8)</f>
        <v>0</v>
      </c>
      <c r="AU214" s="27" t="n">
        <f aca="false">MIN(AI213*(1+B$8),B$9)</f>
        <v>0</v>
      </c>
      <c r="AV214" s="27" t="n">
        <f aca="false">MIN(AJ213*(1+C$8),C$9)</f>
        <v>0</v>
      </c>
      <c r="AW214" s="27" t="n">
        <f aca="false">MIN(AK213*(1+D$8),D$9)</f>
        <v>0</v>
      </c>
      <c r="AX214" s="27" t="n">
        <f aca="false">MIN(AL213*(1+E$8),E$9)</f>
        <v>0</v>
      </c>
      <c r="AY214" s="27" t="n">
        <f aca="false">MIN(AM213*(1+F$8),F$9)</f>
        <v>0</v>
      </c>
      <c r="AZ214" s="27" t="n">
        <f aca="false">MIN(AN213*(1+G$8),G$9)</f>
        <v>0</v>
      </c>
      <c r="BA214" s="27" t="n">
        <f aca="false">MIN(AO213*(1+H$8),H$9)</f>
        <v>0</v>
      </c>
      <c r="BB214" s="27" t="n">
        <f aca="false">MIN(AP213*(1+I$8),I$9)</f>
        <v>0</v>
      </c>
      <c r="BC214" s="27" t="n">
        <f aca="false">MIN(AQ213*(1+J$8),J$9)</f>
        <v>0</v>
      </c>
      <c r="BD214" s="27" t="n">
        <f aca="false">MIN(AR213*(1+K$8),K$9)</f>
        <v>0</v>
      </c>
      <c r="BE214" s="27" t="n">
        <f aca="false">MIN(AI213*(1+B$8),MAX(AU214,$B$12-SUM(AV214:BD214)))</f>
        <v>0</v>
      </c>
      <c r="BF214" s="27" t="n">
        <f aca="false">MIN(AJ213*(1+C$8),MAX(AV214,$B$12-SUM(BE214:BE214)-SUM(AW214:BD214)))</f>
        <v>0</v>
      </c>
      <c r="BG214" s="27" t="n">
        <f aca="false">MIN(AK213*(1+D$8),MAX(AW214,$B$12-SUM(BE214:BF214)-SUM(AX214:BD214)))</f>
        <v>0</v>
      </c>
      <c r="BH214" s="27" t="n">
        <f aca="false">MIN(AL213*(1+E$8),MAX(AX214,$B$12-SUM(BE214:BG214)-SUM(AY214:BD214)))</f>
        <v>0</v>
      </c>
      <c r="BI214" s="27" t="n">
        <f aca="false">MIN(AM213*(1+F$8),MAX(AY214,$B$12-SUM(BE214:BH214)-SUM(AZ214:BD214)))</f>
        <v>0</v>
      </c>
      <c r="BJ214" s="27" t="n">
        <f aca="false">MIN(AN213*(1+G$8),MAX(AZ214,$B$12-SUM(BE214:BI214)-SUM(BA214:BD214)))</f>
        <v>0</v>
      </c>
      <c r="BK214" s="27" t="n">
        <f aca="false">MIN(AO213*(1+H$8),MAX(BA214,$B$12-SUM(BE214:BJ214)-SUM(BB214:BD214)))</f>
        <v>0</v>
      </c>
      <c r="BL214" s="27" t="n">
        <f aca="false">MIN(AP213*(1+I$8),MAX(BB214,$B$12-SUM(BE214:BK214)-SUM(BC214:BD214)))</f>
        <v>0</v>
      </c>
      <c r="BM214" s="27" t="n">
        <f aca="false">MIN(AQ213*(1+J$8),MAX(BC214,$B$12-SUM(BE214:BL214)-SUM(BD214:BD214)))</f>
        <v>0</v>
      </c>
      <c r="BN214" s="27" t="n">
        <f aca="false">MIN(AR213*(1+K$8),MAX(BD214,$B$12-SUM(BE214:BM214)))</f>
        <v>0</v>
      </c>
    </row>
    <row r="215" customFormat="false" ht="15" hidden="false" customHeight="false" outlineLevel="0" collapsed="false">
      <c r="A215" s="0" t="n">
        <v>201</v>
      </c>
      <c r="B215" s="27" t="n">
        <f aca="false">ROUND(MAX(0,B214*(1+B$8)-X215),2)</f>
        <v>0</v>
      </c>
      <c r="C215" s="27" t="n">
        <f aca="false">ROUND(MAX(0,C214*(1+C$8)-Y215),2)</f>
        <v>0</v>
      </c>
      <c r="D215" s="27" t="n">
        <f aca="false">ROUND(MAX(0,D214*(1+D$8)-Z215),2)</f>
        <v>0</v>
      </c>
      <c r="E215" s="27" t="n">
        <f aca="false">ROUND(MAX(0,E214*(1+E$8)-AA215),2)</f>
        <v>0</v>
      </c>
      <c r="F215" s="27" t="n">
        <f aca="false">ROUND(MAX(0,F214*(1+F$8)-AB215),2)</f>
        <v>0</v>
      </c>
      <c r="G215" s="27" t="n">
        <f aca="false">ROUND(MAX(0,G214*(1+G$8)-AC215),2)</f>
        <v>0</v>
      </c>
      <c r="H215" s="27" t="n">
        <f aca="false">ROUND(MAX(0,H214*(1+H$8)-AD215),2)</f>
        <v>0</v>
      </c>
      <c r="I215" s="27" t="n">
        <f aca="false">ROUND(MAX(0,I214*(1+I$8)-AE215),2)</f>
        <v>0</v>
      </c>
      <c r="J215" s="27" t="n">
        <f aca="false">ROUND(MAX(0,J214*(1+J$8)-AF215),2)</f>
        <v>0</v>
      </c>
      <c r="K215" s="27" t="n">
        <f aca="false">ROUND(MAX(0,K214*(1+K$8)-AG215),2)</f>
        <v>0</v>
      </c>
      <c r="L215" s="30" t="n">
        <f aca="false">SUM(B215:K215)</f>
        <v>0</v>
      </c>
      <c r="M215" s="27" t="n">
        <f aca="false">SUMPRODUCT(B214:K214,$B$8:$K$8)</f>
        <v>0</v>
      </c>
      <c r="N215" s="27" t="n">
        <f aca="false">MIN(B214*(1+B$8),B$9)</f>
        <v>0</v>
      </c>
      <c r="O215" s="27" t="n">
        <f aca="false">MIN(C214*(1+C$8),C$9)</f>
        <v>0</v>
      </c>
      <c r="P215" s="27" t="n">
        <f aca="false">MIN(D214*(1+D$8),D$9)</f>
        <v>0</v>
      </c>
      <c r="Q215" s="27" t="n">
        <f aca="false">MIN(E214*(1+E$8),E$9)</f>
        <v>0</v>
      </c>
      <c r="R215" s="27" t="n">
        <f aca="false">MIN(F214*(1+F$8),F$9)</f>
        <v>0</v>
      </c>
      <c r="S215" s="27" t="n">
        <f aca="false">MIN(G214*(1+G$8),G$9)</f>
        <v>0</v>
      </c>
      <c r="T215" s="27" t="n">
        <f aca="false">MIN(H214*(1+H$8),H$9)</f>
        <v>0</v>
      </c>
      <c r="U215" s="27" t="n">
        <f aca="false">MIN(I214*(1+I$8),I$9)</f>
        <v>0</v>
      </c>
      <c r="V215" s="27" t="n">
        <f aca="false">MIN(J214*(1+J$8),J$9)</f>
        <v>0</v>
      </c>
      <c r="W215" s="27" t="n">
        <f aca="false">MIN(K214*(1+K$8),K$9)</f>
        <v>0</v>
      </c>
      <c r="X215" s="27" t="n">
        <f aca="false">MIN(B214*(1+B$8),MAX(N215,$B$11-SUM(O215:W215)))</f>
        <v>0</v>
      </c>
      <c r="Y215" s="27" t="n">
        <f aca="false">MIN(C214*(1+C$8),MAX(O215,$B$11-SUM(X215:X215)-SUM(P215:W215)))</f>
        <v>0</v>
      </c>
      <c r="Z215" s="27" t="n">
        <f aca="false">MIN(D214*(1+D$8),MAX(P215,$B$11-SUM(X215:Y215)-SUM(Q215:W215)))</f>
        <v>0</v>
      </c>
      <c r="AA215" s="27" t="n">
        <f aca="false">MIN(E214*(1+E$8),MAX(Q215,$B$11-SUM(X215:Z215)-SUM(R215:W215)))</f>
        <v>0</v>
      </c>
      <c r="AB215" s="27" t="n">
        <f aca="false">MIN(F214*(1+F$8),MAX(R215,$B$11-SUM(X215:AA215)-SUM(S215:W215)))</f>
        <v>0</v>
      </c>
      <c r="AC215" s="27" t="n">
        <f aca="false">MIN(G214*(1+G$8),MAX(S215,$B$11-SUM(X215:AB215)-SUM(T215:W215)))</f>
        <v>0</v>
      </c>
      <c r="AD215" s="27" t="n">
        <f aca="false">MIN(H214*(1+H$8),MAX(T215,$B$11-SUM(X215:AC215)-SUM(U215:W215)))</f>
        <v>0</v>
      </c>
      <c r="AE215" s="27" t="n">
        <f aca="false">MIN(I214*(1+I$8),MAX(U215,$B$11-SUM(X215:AD215)-SUM(V215:W215)))</f>
        <v>0</v>
      </c>
      <c r="AF215" s="27" t="n">
        <f aca="false">MIN(J214*(1+J$8),MAX(V215,$B$11-SUM(X215:AE215)-SUM(W215:W215)))</f>
        <v>0</v>
      </c>
      <c r="AG215" s="27" t="n">
        <f aca="false">MIN(K214*(1+K$8),MAX(W215,$B$11-SUM(X215:AF215)))</f>
        <v>0</v>
      </c>
      <c r="AI215" s="27" t="n">
        <f aca="false">ROUND(MAX(0,AI214*(1+B$8)-BE215),2)</f>
        <v>0</v>
      </c>
      <c r="AJ215" s="27" t="n">
        <f aca="false">ROUND(MAX(0,AJ214*(1+C$8)-BF215),2)</f>
        <v>0</v>
      </c>
      <c r="AK215" s="27" t="n">
        <f aca="false">ROUND(MAX(0,AK214*(1+D$8)-BG215),2)</f>
        <v>0</v>
      </c>
      <c r="AL215" s="27" t="n">
        <f aca="false">ROUND(MAX(0,AL214*(1+E$8)-BH215),2)</f>
        <v>0</v>
      </c>
      <c r="AM215" s="27" t="n">
        <f aca="false">ROUND(MAX(0,AM214*(1+F$8)-BI215),2)</f>
        <v>0</v>
      </c>
      <c r="AN215" s="27" t="n">
        <f aca="false">ROUND(MAX(0,AN214*(1+G$8)-BJ215),2)</f>
        <v>0</v>
      </c>
      <c r="AO215" s="27" t="n">
        <f aca="false">ROUND(MAX(0,AO214*(1+H$8)-BK215),2)</f>
        <v>0</v>
      </c>
      <c r="AP215" s="27" t="n">
        <f aca="false">ROUND(MAX(0,AP214*(1+I$8)-BL215),2)</f>
        <v>0</v>
      </c>
      <c r="AQ215" s="27" t="n">
        <f aca="false">ROUND(MAX(0,AQ214*(1+J$8)-BM215),2)</f>
        <v>0</v>
      </c>
      <c r="AR215" s="27" t="n">
        <f aca="false">ROUND(MAX(0,AR214*(1+K$8)-BN215),2)</f>
        <v>0</v>
      </c>
      <c r="AS215" s="27" t="n">
        <f aca="false">SUM(AI215:AR215)</f>
        <v>0</v>
      </c>
      <c r="AT215" s="27" t="n">
        <f aca="false">SUMPRODUCT(AI214:AR214,$B$8:$K$8)</f>
        <v>0</v>
      </c>
      <c r="AU215" s="27" t="n">
        <f aca="false">MIN(AI214*(1+B$8),B$9)</f>
        <v>0</v>
      </c>
      <c r="AV215" s="27" t="n">
        <f aca="false">MIN(AJ214*(1+C$8),C$9)</f>
        <v>0</v>
      </c>
      <c r="AW215" s="27" t="n">
        <f aca="false">MIN(AK214*(1+D$8),D$9)</f>
        <v>0</v>
      </c>
      <c r="AX215" s="27" t="n">
        <f aca="false">MIN(AL214*(1+E$8),E$9)</f>
        <v>0</v>
      </c>
      <c r="AY215" s="27" t="n">
        <f aca="false">MIN(AM214*(1+F$8),F$9)</f>
        <v>0</v>
      </c>
      <c r="AZ215" s="27" t="n">
        <f aca="false">MIN(AN214*(1+G$8),G$9)</f>
        <v>0</v>
      </c>
      <c r="BA215" s="27" t="n">
        <f aca="false">MIN(AO214*(1+H$8),H$9)</f>
        <v>0</v>
      </c>
      <c r="BB215" s="27" t="n">
        <f aca="false">MIN(AP214*(1+I$8),I$9)</f>
        <v>0</v>
      </c>
      <c r="BC215" s="27" t="n">
        <f aca="false">MIN(AQ214*(1+J$8),J$9)</f>
        <v>0</v>
      </c>
      <c r="BD215" s="27" t="n">
        <f aca="false">MIN(AR214*(1+K$8),K$9)</f>
        <v>0</v>
      </c>
      <c r="BE215" s="27" t="n">
        <f aca="false">MIN(AI214*(1+B$8),MAX(AU215,$B$12-SUM(AV215:BD215)))</f>
        <v>0</v>
      </c>
      <c r="BF215" s="27" t="n">
        <f aca="false">MIN(AJ214*(1+C$8),MAX(AV215,$B$12-SUM(BE215:BE215)-SUM(AW215:BD215)))</f>
        <v>0</v>
      </c>
      <c r="BG215" s="27" t="n">
        <f aca="false">MIN(AK214*(1+D$8),MAX(AW215,$B$12-SUM(BE215:BF215)-SUM(AX215:BD215)))</f>
        <v>0</v>
      </c>
      <c r="BH215" s="27" t="n">
        <f aca="false">MIN(AL214*(1+E$8),MAX(AX215,$B$12-SUM(BE215:BG215)-SUM(AY215:BD215)))</f>
        <v>0</v>
      </c>
      <c r="BI215" s="27" t="n">
        <f aca="false">MIN(AM214*(1+F$8),MAX(AY215,$B$12-SUM(BE215:BH215)-SUM(AZ215:BD215)))</f>
        <v>0</v>
      </c>
      <c r="BJ215" s="27" t="n">
        <f aca="false">MIN(AN214*(1+G$8),MAX(AZ215,$B$12-SUM(BE215:BI215)-SUM(BA215:BD215)))</f>
        <v>0</v>
      </c>
      <c r="BK215" s="27" t="n">
        <f aca="false">MIN(AO214*(1+H$8),MAX(BA215,$B$12-SUM(BE215:BJ215)-SUM(BB215:BD215)))</f>
        <v>0</v>
      </c>
      <c r="BL215" s="27" t="n">
        <f aca="false">MIN(AP214*(1+I$8),MAX(BB215,$B$12-SUM(BE215:BK215)-SUM(BC215:BD215)))</f>
        <v>0</v>
      </c>
      <c r="BM215" s="27" t="n">
        <f aca="false">MIN(AQ214*(1+J$8),MAX(BC215,$B$12-SUM(BE215:BL215)-SUM(BD215:BD215)))</f>
        <v>0</v>
      </c>
      <c r="BN215" s="27" t="n">
        <f aca="false">MIN(AR214*(1+K$8),MAX(BD215,$B$12-SUM(BE215:BM215)))</f>
        <v>0</v>
      </c>
    </row>
    <row r="216" customFormat="false" ht="15" hidden="false" customHeight="false" outlineLevel="0" collapsed="false">
      <c r="A216" s="0" t="n">
        <v>202</v>
      </c>
      <c r="B216" s="27" t="n">
        <f aca="false">ROUND(MAX(0,B215*(1+B$8)-X216),2)</f>
        <v>0</v>
      </c>
      <c r="C216" s="27" t="n">
        <f aca="false">ROUND(MAX(0,C215*(1+C$8)-Y216),2)</f>
        <v>0</v>
      </c>
      <c r="D216" s="27" t="n">
        <f aca="false">ROUND(MAX(0,D215*(1+D$8)-Z216),2)</f>
        <v>0</v>
      </c>
      <c r="E216" s="27" t="n">
        <f aca="false">ROUND(MAX(0,E215*(1+E$8)-AA216),2)</f>
        <v>0</v>
      </c>
      <c r="F216" s="27" t="n">
        <f aca="false">ROUND(MAX(0,F215*(1+F$8)-AB216),2)</f>
        <v>0</v>
      </c>
      <c r="G216" s="27" t="n">
        <f aca="false">ROUND(MAX(0,G215*(1+G$8)-AC216),2)</f>
        <v>0</v>
      </c>
      <c r="H216" s="27" t="n">
        <f aca="false">ROUND(MAX(0,H215*(1+H$8)-AD216),2)</f>
        <v>0</v>
      </c>
      <c r="I216" s="27" t="n">
        <f aca="false">ROUND(MAX(0,I215*(1+I$8)-AE216),2)</f>
        <v>0</v>
      </c>
      <c r="J216" s="27" t="n">
        <f aca="false">ROUND(MAX(0,J215*(1+J$8)-AF216),2)</f>
        <v>0</v>
      </c>
      <c r="K216" s="27" t="n">
        <f aca="false">ROUND(MAX(0,K215*(1+K$8)-AG216),2)</f>
        <v>0</v>
      </c>
      <c r="L216" s="30" t="n">
        <f aca="false">SUM(B216:K216)</f>
        <v>0</v>
      </c>
      <c r="M216" s="27" t="n">
        <f aca="false">SUMPRODUCT(B215:K215,$B$8:$K$8)</f>
        <v>0</v>
      </c>
      <c r="N216" s="27" t="n">
        <f aca="false">MIN(B215*(1+B$8),B$9)</f>
        <v>0</v>
      </c>
      <c r="O216" s="27" t="n">
        <f aca="false">MIN(C215*(1+C$8),C$9)</f>
        <v>0</v>
      </c>
      <c r="P216" s="27" t="n">
        <f aca="false">MIN(D215*(1+D$8),D$9)</f>
        <v>0</v>
      </c>
      <c r="Q216" s="27" t="n">
        <f aca="false">MIN(E215*(1+E$8),E$9)</f>
        <v>0</v>
      </c>
      <c r="R216" s="27" t="n">
        <f aca="false">MIN(F215*(1+F$8),F$9)</f>
        <v>0</v>
      </c>
      <c r="S216" s="27" t="n">
        <f aca="false">MIN(G215*(1+G$8),G$9)</f>
        <v>0</v>
      </c>
      <c r="T216" s="27" t="n">
        <f aca="false">MIN(H215*(1+H$8),H$9)</f>
        <v>0</v>
      </c>
      <c r="U216" s="27" t="n">
        <f aca="false">MIN(I215*(1+I$8),I$9)</f>
        <v>0</v>
      </c>
      <c r="V216" s="27" t="n">
        <f aca="false">MIN(J215*(1+J$8),J$9)</f>
        <v>0</v>
      </c>
      <c r="W216" s="27" t="n">
        <f aca="false">MIN(K215*(1+K$8),K$9)</f>
        <v>0</v>
      </c>
      <c r="X216" s="27" t="n">
        <f aca="false">MIN(B215*(1+B$8),MAX(N216,$B$11-SUM(O216:W216)))</f>
        <v>0</v>
      </c>
      <c r="Y216" s="27" t="n">
        <f aca="false">MIN(C215*(1+C$8),MAX(O216,$B$11-SUM(X216:X216)-SUM(P216:W216)))</f>
        <v>0</v>
      </c>
      <c r="Z216" s="27" t="n">
        <f aca="false">MIN(D215*(1+D$8),MAX(P216,$B$11-SUM(X216:Y216)-SUM(Q216:W216)))</f>
        <v>0</v>
      </c>
      <c r="AA216" s="27" t="n">
        <f aca="false">MIN(E215*(1+E$8),MAX(Q216,$B$11-SUM(X216:Z216)-SUM(R216:W216)))</f>
        <v>0</v>
      </c>
      <c r="AB216" s="27" t="n">
        <f aca="false">MIN(F215*(1+F$8),MAX(R216,$B$11-SUM(X216:AA216)-SUM(S216:W216)))</f>
        <v>0</v>
      </c>
      <c r="AC216" s="27" t="n">
        <f aca="false">MIN(G215*(1+G$8),MAX(S216,$B$11-SUM(X216:AB216)-SUM(T216:W216)))</f>
        <v>0</v>
      </c>
      <c r="AD216" s="27" t="n">
        <f aca="false">MIN(H215*(1+H$8),MAX(T216,$B$11-SUM(X216:AC216)-SUM(U216:W216)))</f>
        <v>0</v>
      </c>
      <c r="AE216" s="27" t="n">
        <f aca="false">MIN(I215*(1+I$8),MAX(U216,$B$11-SUM(X216:AD216)-SUM(V216:W216)))</f>
        <v>0</v>
      </c>
      <c r="AF216" s="27" t="n">
        <f aca="false">MIN(J215*(1+J$8),MAX(V216,$B$11-SUM(X216:AE216)-SUM(W216:W216)))</f>
        <v>0</v>
      </c>
      <c r="AG216" s="27" t="n">
        <f aca="false">MIN(K215*(1+K$8),MAX(W216,$B$11-SUM(X216:AF216)))</f>
        <v>0</v>
      </c>
      <c r="AI216" s="27" t="n">
        <f aca="false">ROUND(MAX(0,AI215*(1+B$8)-BE216),2)</f>
        <v>0</v>
      </c>
      <c r="AJ216" s="27" t="n">
        <f aca="false">ROUND(MAX(0,AJ215*(1+C$8)-BF216),2)</f>
        <v>0</v>
      </c>
      <c r="AK216" s="27" t="n">
        <f aca="false">ROUND(MAX(0,AK215*(1+D$8)-BG216),2)</f>
        <v>0</v>
      </c>
      <c r="AL216" s="27" t="n">
        <f aca="false">ROUND(MAX(0,AL215*(1+E$8)-BH216),2)</f>
        <v>0</v>
      </c>
      <c r="AM216" s="27" t="n">
        <f aca="false">ROUND(MAX(0,AM215*(1+F$8)-BI216),2)</f>
        <v>0</v>
      </c>
      <c r="AN216" s="27" t="n">
        <f aca="false">ROUND(MAX(0,AN215*(1+G$8)-BJ216),2)</f>
        <v>0</v>
      </c>
      <c r="AO216" s="27" t="n">
        <f aca="false">ROUND(MAX(0,AO215*(1+H$8)-BK216),2)</f>
        <v>0</v>
      </c>
      <c r="AP216" s="27" t="n">
        <f aca="false">ROUND(MAX(0,AP215*(1+I$8)-BL216),2)</f>
        <v>0</v>
      </c>
      <c r="AQ216" s="27" t="n">
        <f aca="false">ROUND(MAX(0,AQ215*(1+J$8)-BM216),2)</f>
        <v>0</v>
      </c>
      <c r="AR216" s="27" t="n">
        <f aca="false">ROUND(MAX(0,AR215*(1+K$8)-BN216),2)</f>
        <v>0</v>
      </c>
      <c r="AS216" s="27" t="n">
        <f aca="false">SUM(AI216:AR216)</f>
        <v>0</v>
      </c>
      <c r="AT216" s="27" t="n">
        <f aca="false">SUMPRODUCT(AI215:AR215,$B$8:$K$8)</f>
        <v>0</v>
      </c>
      <c r="AU216" s="27" t="n">
        <f aca="false">MIN(AI215*(1+B$8),B$9)</f>
        <v>0</v>
      </c>
      <c r="AV216" s="27" t="n">
        <f aca="false">MIN(AJ215*(1+C$8),C$9)</f>
        <v>0</v>
      </c>
      <c r="AW216" s="27" t="n">
        <f aca="false">MIN(AK215*(1+D$8),D$9)</f>
        <v>0</v>
      </c>
      <c r="AX216" s="27" t="n">
        <f aca="false">MIN(AL215*(1+E$8),E$9)</f>
        <v>0</v>
      </c>
      <c r="AY216" s="27" t="n">
        <f aca="false">MIN(AM215*(1+F$8),F$9)</f>
        <v>0</v>
      </c>
      <c r="AZ216" s="27" t="n">
        <f aca="false">MIN(AN215*(1+G$8),G$9)</f>
        <v>0</v>
      </c>
      <c r="BA216" s="27" t="n">
        <f aca="false">MIN(AO215*(1+H$8),H$9)</f>
        <v>0</v>
      </c>
      <c r="BB216" s="27" t="n">
        <f aca="false">MIN(AP215*(1+I$8),I$9)</f>
        <v>0</v>
      </c>
      <c r="BC216" s="27" t="n">
        <f aca="false">MIN(AQ215*(1+J$8),J$9)</f>
        <v>0</v>
      </c>
      <c r="BD216" s="27" t="n">
        <f aca="false">MIN(AR215*(1+K$8),K$9)</f>
        <v>0</v>
      </c>
      <c r="BE216" s="27" t="n">
        <f aca="false">MIN(AI215*(1+B$8),MAX(AU216,$B$12-SUM(AV216:BD216)))</f>
        <v>0</v>
      </c>
      <c r="BF216" s="27" t="n">
        <f aca="false">MIN(AJ215*(1+C$8),MAX(AV216,$B$12-SUM(BE216:BE216)-SUM(AW216:BD216)))</f>
        <v>0</v>
      </c>
      <c r="BG216" s="27" t="n">
        <f aca="false">MIN(AK215*(1+D$8),MAX(AW216,$B$12-SUM(BE216:BF216)-SUM(AX216:BD216)))</f>
        <v>0</v>
      </c>
      <c r="BH216" s="27" t="n">
        <f aca="false">MIN(AL215*(1+E$8),MAX(AX216,$B$12-SUM(BE216:BG216)-SUM(AY216:BD216)))</f>
        <v>0</v>
      </c>
      <c r="BI216" s="27" t="n">
        <f aca="false">MIN(AM215*(1+F$8),MAX(AY216,$B$12-SUM(BE216:BH216)-SUM(AZ216:BD216)))</f>
        <v>0</v>
      </c>
      <c r="BJ216" s="27" t="n">
        <f aca="false">MIN(AN215*(1+G$8),MAX(AZ216,$B$12-SUM(BE216:BI216)-SUM(BA216:BD216)))</f>
        <v>0</v>
      </c>
      <c r="BK216" s="27" t="n">
        <f aca="false">MIN(AO215*(1+H$8),MAX(BA216,$B$12-SUM(BE216:BJ216)-SUM(BB216:BD216)))</f>
        <v>0</v>
      </c>
      <c r="BL216" s="27" t="n">
        <f aca="false">MIN(AP215*(1+I$8),MAX(BB216,$B$12-SUM(BE216:BK216)-SUM(BC216:BD216)))</f>
        <v>0</v>
      </c>
      <c r="BM216" s="27" t="n">
        <f aca="false">MIN(AQ215*(1+J$8),MAX(BC216,$B$12-SUM(BE216:BL216)-SUM(BD216:BD216)))</f>
        <v>0</v>
      </c>
      <c r="BN216" s="27" t="n">
        <f aca="false">MIN(AR215*(1+K$8),MAX(BD216,$B$12-SUM(BE216:BM216)))</f>
        <v>0</v>
      </c>
    </row>
    <row r="217" customFormat="false" ht="15" hidden="false" customHeight="false" outlineLevel="0" collapsed="false">
      <c r="A217" s="0" t="n">
        <v>203</v>
      </c>
      <c r="B217" s="27" t="n">
        <f aca="false">ROUND(MAX(0,B216*(1+B$8)-X217),2)</f>
        <v>0</v>
      </c>
      <c r="C217" s="27" t="n">
        <f aca="false">ROUND(MAX(0,C216*(1+C$8)-Y217),2)</f>
        <v>0</v>
      </c>
      <c r="D217" s="27" t="n">
        <f aca="false">ROUND(MAX(0,D216*(1+D$8)-Z217),2)</f>
        <v>0</v>
      </c>
      <c r="E217" s="27" t="n">
        <f aca="false">ROUND(MAX(0,E216*(1+E$8)-AA217),2)</f>
        <v>0</v>
      </c>
      <c r="F217" s="27" t="n">
        <f aca="false">ROUND(MAX(0,F216*(1+F$8)-AB217),2)</f>
        <v>0</v>
      </c>
      <c r="G217" s="27" t="n">
        <f aca="false">ROUND(MAX(0,G216*(1+G$8)-AC217),2)</f>
        <v>0</v>
      </c>
      <c r="H217" s="27" t="n">
        <f aca="false">ROUND(MAX(0,H216*(1+H$8)-AD217),2)</f>
        <v>0</v>
      </c>
      <c r="I217" s="27" t="n">
        <f aca="false">ROUND(MAX(0,I216*(1+I$8)-AE217),2)</f>
        <v>0</v>
      </c>
      <c r="J217" s="27" t="n">
        <f aca="false">ROUND(MAX(0,J216*(1+J$8)-AF217),2)</f>
        <v>0</v>
      </c>
      <c r="K217" s="27" t="n">
        <f aca="false">ROUND(MAX(0,K216*(1+K$8)-AG217),2)</f>
        <v>0</v>
      </c>
      <c r="L217" s="30" t="n">
        <f aca="false">SUM(B217:K217)</f>
        <v>0</v>
      </c>
      <c r="M217" s="27" t="n">
        <f aca="false">SUMPRODUCT(B216:K216,$B$8:$K$8)</f>
        <v>0</v>
      </c>
      <c r="N217" s="27" t="n">
        <f aca="false">MIN(B216*(1+B$8),B$9)</f>
        <v>0</v>
      </c>
      <c r="O217" s="27" t="n">
        <f aca="false">MIN(C216*(1+C$8),C$9)</f>
        <v>0</v>
      </c>
      <c r="P217" s="27" t="n">
        <f aca="false">MIN(D216*(1+D$8),D$9)</f>
        <v>0</v>
      </c>
      <c r="Q217" s="27" t="n">
        <f aca="false">MIN(E216*(1+E$8),E$9)</f>
        <v>0</v>
      </c>
      <c r="R217" s="27" t="n">
        <f aca="false">MIN(F216*(1+F$8),F$9)</f>
        <v>0</v>
      </c>
      <c r="S217" s="27" t="n">
        <f aca="false">MIN(G216*(1+G$8),G$9)</f>
        <v>0</v>
      </c>
      <c r="T217" s="27" t="n">
        <f aca="false">MIN(H216*(1+H$8),H$9)</f>
        <v>0</v>
      </c>
      <c r="U217" s="27" t="n">
        <f aca="false">MIN(I216*(1+I$8),I$9)</f>
        <v>0</v>
      </c>
      <c r="V217" s="27" t="n">
        <f aca="false">MIN(J216*(1+J$8),J$9)</f>
        <v>0</v>
      </c>
      <c r="W217" s="27" t="n">
        <f aca="false">MIN(K216*(1+K$8),K$9)</f>
        <v>0</v>
      </c>
      <c r="X217" s="27" t="n">
        <f aca="false">MIN(B216*(1+B$8),MAX(N217,$B$11-SUM(O217:W217)))</f>
        <v>0</v>
      </c>
      <c r="Y217" s="27" t="n">
        <f aca="false">MIN(C216*(1+C$8),MAX(O217,$B$11-SUM(X217:X217)-SUM(P217:W217)))</f>
        <v>0</v>
      </c>
      <c r="Z217" s="27" t="n">
        <f aca="false">MIN(D216*(1+D$8),MAX(P217,$B$11-SUM(X217:Y217)-SUM(Q217:W217)))</f>
        <v>0</v>
      </c>
      <c r="AA217" s="27" t="n">
        <f aca="false">MIN(E216*(1+E$8),MAX(Q217,$B$11-SUM(X217:Z217)-SUM(R217:W217)))</f>
        <v>0</v>
      </c>
      <c r="AB217" s="27" t="n">
        <f aca="false">MIN(F216*(1+F$8),MAX(R217,$B$11-SUM(X217:AA217)-SUM(S217:W217)))</f>
        <v>0</v>
      </c>
      <c r="AC217" s="27" t="n">
        <f aca="false">MIN(G216*(1+G$8),MAX(S217,$B$11-SUM(X217:AB217)-SUM(T217:W217)))</f>
        <v>0</v>
      </c>
      <c r="AD217" s="27" t="n">
        <f aca="false">MIN(H216*(1+H$8),MAX(T217,$B$11-SUM(X217:AC217)-SUM(U217:W217)))</f>
        <v>0</v>
      </c>
      <c r="AE217" s="27" t="n">
        <f aca="false">MIN(I216*(1+I$8),MAX(U217,$B$11-SUM(X217:AD217)-SUM(V217:W217)))</f>
        <v>0</v>
      </c>
      <c r="AF217" s="27" t="n">
        <f aca="false">MIN(J216*(1+J$8),MAX(V217,$B$11-SUM(X217:AE217)-SUM(W217:W217)))</f>
        <v>0</v>
      </c>
      <c r="AG217" s="27" t="n">
        <f aca="false">MIN(K216*(1+K$8),MAX(W217,$B$11-SUM(X217:AF217)))</f>
        <v>0</v>
      </c>
      <c r="AI217" s="27" t="n">
        <f aca="false">ROUND(MAX(0,AI216*(1+B$8)-BE217),2)</f>
        <v>0</v>
      </c>
      <c r="AJ217" s="27" t="n">
        <f aca="false">ROUND(MAX(0,AJ216*(1+C$8)-BF217),2)</f>
        <v>0</v>
      </c>
      <c r="AK217" s="27" t="n">
        <f aca="false">ROUND(MAX(0,AK216*(1+D$8)-BG217),2)</f>
        <v>0</v>
      </c>
      <c r="AL217" s="27" t="n">
        <f aca="false">ROUND(MAX(0,AL216*(1+E$8)-BH217),2)</f>
        <v>0</v>
      </c>
      <c r="AM217" s="27" t="n">
        <f aca="false">ROUND(MAX(0,AM216*(1+F$8)-BI217),2)</f>
        <v>0</v>
      </c>
      <c r="AN217" s="27" t="n">
        <f aca="false">ROUND(MAX(0,AN216*(1+G$8)-BJ217),2)</f>
        <v>0</v>
      </c>
      <c r="AO217" s="27" t="n">
        <f aca="false">ROUND(MAX(0,AO216*(1+H$8)-BK217),2)</f>
        <v>0</v>
      </c>
      <c r="AP217" s="27" t="n">
        <f aca="false">ROUND(MAX(0,AP216*(1+I$8)-BL217),2)</f>
        <v>0</v>
      </c>
      <c r="AQ217" s="27" t="n">
        <f aca="false">ROUND(MAX(0,AQ216*(1+J$8)-BM217),2)</f>
        <v>0</v>
      </c>
      <c r="AR217" s="27" t="n">
        <f aca="false">ROUND(MAX(0,AR216*(1+K$8)-BN217),2)</f>
        <v>0</v>
      </c>
      <c r="AS217" s="27" t="n">
        <f aca="false">SUM(AI217:AR217)</f>
        <v>0</v>
      </c>
      <c r="AT217" s="27" t="n">
        <f aca="false">SUMPRODUCT(AI216:AR216,$B$8:$K$8)</f>
        <v>0</v>
      </c>
      <c r="AU217" s="27" t="n">
        <f aca="false">MIN(AI216*(1+B$8),B$9)</f>
        <v>0</v>
      </c>
      <c r="AV217" s="27" t="n">
        <f aca="false">MIN(AJ216*(1+C$8),C$9)</f>
        <v>0</v>
      </c>
      <c r="AW217" s="27" t="n">
        <f aca="false">MIN(AK216*(1+D$8),D$9)</f>
        <v>0</v>
      </c>
      <c r="AX217" s="27" t="n">
        <f aca="false">MIN(AL216*(1+E$8),E$9)</f>
        <v>0</v>
      </c>
      <c r="AY217" s="27" t="n">
        <f aca="false">MIN(AM216*(1+F$8),F$9)</f>
        <v>0</v>
      </c>
      <c r="AZ217" s="27" t="n">
        <f aca="false">MIN(AN216*(1+G$8),G$9)</f>
        <v>0</v>
      </c>
      <c r="BA217" s="27" t="n">
        <f aca="false">MIN(AO216*(1+H$8),H$9)</f>
        <v>0</v>
      </c>
      <c r="BB217" s="27" t="n">
        <f aca="false">MIN(AP216*(1+I$8),I$9)</f>
        <v>0</v>
      </c>
      <c r="BC217" s="27" t="n">
        <f aca="false">MIN(AQ216*(1+J$8),J$9)</f>
        <v>0</v>
      </c>
      <c r="BD217" s="27" t="n">
        <f aca="false">MIN(AR216*(1+K$8),K$9)</f>
        <v>0</v>
      </c>
      <c r="BE217" s="27" t="n">
        <f aca="false">MIN(AI216*(1+B$8),MAX(AU217,$B$12-SUM(AV217:BD217)))</f>
        <v>0</v>
      </c>
      <c r="BF217" s="27" t="n">
        <f aca="false">MIN(AJ216*(1+C$8),MAX(AV217,$B$12-SUM(BE217:BE217)-SUM(AW217:BD217)))</f>
        <v>0</v>
      </c>
      <c r="BG217" s="27" t="n">
        <f aca="false">MIN(AK216*(1+D$8),MAX(AW217,$B$12-SUM(BE217:BF217)-SUM(AX217:BD217)))</f>
        <v>0</v>
      </c>
      <c r="BH217" s="27" t="n">
        <f aca="false">MIN(AL216*(1+E$8),MAX(AX217,$B$12-SUM(BE217:BG217)-SUM(AY217:BD217)))</f>
        <v>0</v>
      </c>
      <c r="BI217" s="27" t="n">
        <f aca="false">MIN(AM216*(1+F$8),MAX(AY217,$B$12-SUM(BE217:BH217)-SUM(AZ217:BD217)))</f>
        <v>0</v>
      </c>
      <c r="BJ217" s="27" t="n">
        <f aca="false">MIN(AN216*(1+G$8),MAX(AZ217,$B$12-SUM(BE217:BI217)-SUM(BA217:BD217)))</f>
        <v>0</v>
      </c>
      <c r="BK217" s="27" t="n">
        <f aca="false">MIN(AO216*(1+H$8),MAX(BA217,$B$12-SUM(BE217:BJ217)-SUM(BB217:BD217)))</f>
        <v>0</v>
      </c>
      <c r="BL217" s="27" t="n">
        <f aca="false">MIN(AP216*(1+I$8),MAX(BB217,$B$12-SUM(BE217:BK217)-SUM(BC217:BD217)))</f>
        <v>0</v>
      </c>
      <c r="BM217" s="27" t="n">
        <f aca="false">MIN(AQ216*(1+J$8),MAX(BC217,$B$12-SUM(BE217:BL217)-SUM(BD217:BD217)))</f>
        <v>0</v>
      </c>
      <c r="BN217" s="27" t="n">
        <f aca="false">MIN(AR216*(1+K$8),MAX(BD217,$B$12-SUM(BE217:BM217)))</f>
        <v>0</v>
      </c>
    </row>
    <row r="218" customFormat="false" ht="15" hidden="false" customHeight="false" outlineLevel="0" collapsed="false">
      <c r="A218" s="0" t="n">
        <v>204</v>
      </c>
      <c r="B218" s="27" t="n">
        <f aca="false">ROUND(MAX(0,B217*(1+B$8)-X218),2)</f>
        <v>0</v>
      </c>
      <c r="C218" s="27" t="n">
        <f aca="false">ROUND(MAX(0,C217*(1+C$8)-Y218),2)</f>
        <v>0</v>
      </c>
      <c r="D218" s="27" t="n">
        <f aca="false">ROUND(MAX(0,D217*(1+D$8)-Z218),2)</f>
        <v>0</v>
      </c>
      <c r="E218" s="27" t="n">
        <f aca="false">ROUND(MAX(0,E217*(1+E$8)-AA218),2)</f>
        <v>0</v>
      </c>
      <c r="F218" s="27" t="n">
        <f aca="false">ROUND(MAX(0,F217*(1+F$8)-AB218),2)</f>
        <v>0</v>
      </c>
      <c r="G218" s="27" t="n">
        <f aca="false">ROUND(MAX(0,G217*(1+G$8)-AC218),2)</f>
        <v>0</v>
      </c>
      <c r="H218" s="27" t="n">
        <f aca="false">ROUND(MAX(0,H217*(1+H$8)-AD218),2)</f>
        <v>0</v>
      </c>
      <c r="I218" s="27" t="n">
        <f aca="false">ROUND(MAX(0,I217*(1+I$8)-AE218),2)</f>
        <v>0</v>
      </c>
      <c r="J218" s="27" t="n">
        <f aca="false">ROUND(MAX(0,J217*(1+J$8)-AF218),2)</f>
        <v>0</v>
      </c>
      <c r="K218" s="27" t="n">
        <f aca="false">ROUND(MAX(0,K217*(1+K$8)-AG218),2)</f>
        <v>0</v>
      </c>
      <c r="L218" s="30" t="n">
        <f aca="false">SUM(B218:K218)</f>
        <v>0</v>
      </c>
      <c r="M218" s="27" t="n">
        <f aca="false">SUMPRODUCT(B217:K217,$B$8:$K$8)</f>
        <v>0</v>
      </c>
      <c r="N218" s="27" t="n">
        <f aca="false">MIN(B217*(1+B$8),B$9)</f>
        <v>0</v>
      </c>
      <c r="O218" s="27" t="n">
        <f aca="false">MIN(C217*(1+C$8),C$9)</f>
        <v>0</v>
      </c>
      <c r="P218" s="27" t="n">
        <f aca="false">MIN(D217*(1+D$8),D$9)</f>
        <v>0</v>
      </c>
      <c r="Q218" s="27" t="n">
        <f aca="false">MIN(E217*(1+E$8),E$9)</f>
        <v>0</v>
      </c>
      <c r="R218" s="27" t="n">
        <f aca="false">MIN(F217*(1+F$8),F$9)</f>
        <v>0</v>
      </c>
      <c r="S218" s="27" t="n">
        <f aca="false">MIN(G217*(1+G$8),G$9)</f>
        <v>0</v>
      </c>
      <c r="T218" s="27" t="n">
        <f aca="false">MIN(H217*(1+H$8),H$9)</f>
        <v>0</v>
      </c>
      <c r="U218" s="27" t="n">
        <f aca="false">MIN(I217*(1+I$8),I$9)</f>
        <v>0</v>
      </c>
      <c r="V218" s="27" t="n">
        <f aca="false">MIN(J217*(1+J$8),J$9)</f>
        <v>0</v>
      </c>
      <c r="W218" s="27" t="n">
        <f aca="false">MIN(K217*(1+K$8),K$9)</f>
        <v>0</v>
      </c>
      <c r="X218" s="27" t="n">
        <f aca="false">MIN(B217*(1+B$8),MAX(N218,$B$11-SUM(O218:W218)))</f>
        <v>0</v>
      </c>
      <c r="Y218" s="27" t="n">
        <f aca="false">MIN(C217*(1+C$8),MAX(O218,$B$11-SUM(X218:X218)-SUM(P218:W218)))</f>
        <v>0</v>
      </c>
      <c r="Z218" s="27" t="n">
        <f aca="false">MIN(D217*(1+D$8),MAX(P218,$B$11-SUM(X218:Y218)-SUM(Q218:W218)))</f>
        <v>0</v>
      </c>
      <c r="AA218" s="27" t="n">
        <f aca="false">MIN(E217*(1+E$8),MAX(Q218,$B$11-SUM(X218:Z218)-SUM(R218:W218)))</f>
        <v>0</v>
      </c>
      <c r="AB218" s="27" t="n">
        <f aca="false">MIN(F217*(1+F$8),MAX(R218,$B$11-SUM(X218:AA218)-SUM(S218:W218)))</f>
        <v>0</v>
      </c>
      <c r="AC218" s="27" t="n">
        <f aca="false">MIN(G217*(1+G$8),MAX(S218,$B$11-SUM(X218:AB218)-SUM(T218:W218)))</f>
        <v>0</v>
      </c>
      <c r="AD218" s="27" t="n">
        <f aca="false">MIN(H217*(1+H$8),MAX(T218,$B$11-SUM(X218:AC218)-SUM(U218:W218)))</f>
        <v>0</v>
      </c>
      <c r="AE218" s="27" t="n">
        <f aca="false">MIN(I217*(1+I$8),MAX(U218,$B$11-SUM(X218:AD218)-SUM(V218:W218)))</f>
        <v>0</v>
      </c>
      <c r="AF218" s="27" t="n">
        <f aca="false">MIN(J217*(1+J$8),MAX(V218,$B$11-SUM(X218:AE218)-SUM(W218:W218)))</f>
        <v>0</v>
      </c>
      <c r="AG218" s="27" t="n">
        <f aca="false">MIN(K217*(1+K$8),MAX(W218,$B$11-SUM(X218:AF218)))</f>
        <v>0</v>
      </c>
      <c r="AI218" s="27" t="n">
        <f aca="false">ROUND(MAX(0,AI217*(1+B$8)-BE218),2)</f>
        <v>0</v>
      </c>
      <c r="AJ218" s="27" t="n">
        <f aca="false">ROUND(MAX(0,AJ217*(1+C$8)-BF218),2)</f>
        <v>0</v>
      </c>
      <c r="AK218" s="27" t="n">
        <f aca="false">ROUND(MAX(0,AK217*(1+D$8)-BG218),2)</f>
        <v>0</v>
      </c>
      <c r="AL218" s="27" t="n">
        <f aca="false">ROUND(MAX(0,AL217*(1+E$8)-BH218),2)</f>
        <v>0</v>
      </c>
      <c r="AM218" s="27" t="n">
        <f aca="false">ROUND(MAX(0,AM217*(1+F$8)-BI218),2)</f>
        <v>0</v>
      </c>
      <c r="AN218" s="27" t="n">
        <f aca="false">ROUND(MAX(0,AN217*(1+G$8)-BJ218),2)</f>
        <v>0</v>
      </c>
      <c r="AO218" s="27" t="n">
        <f aca="false">ROUND(MAX(0,AO217*(1+H$8)-BK218),2)</f>
        <v>0</v>
      </c>
      <c r="AP218" s="27" t="n">
        <f aca="false">ROUND(MAX(0,AP217*(1+I$8)-BL218),2)</f>
        <v>0</v>
      </c>
      <c r="AQ218" s="27" t="n">
        <f aca="false">ROUND(MAX(0,AQ217*(1+J$8)-BM218),2)</f>
        <v>0</v>
      </c>
      <c r="AR218" s="27" t="n">
        <f aca="false">ROUND(MAX(0,AR217*(1+K$8)-BN218),2)</f>
        <v>0</v>
      </c>
      <c r="AS218" s="27" t="n">
        <f aca="false">SUM(AI218:AR218)</f>
        <v>0</v>
      </c>
      <c r="AT218" s="27" t="n">
        <f aca="false">SUMPRODUCT(AI217:AR217,$B$8:$K$8)</f>
        <v>0</v>
      </c>
      <c r="AU218" s="27" t="n">
        <f aca="false">MIN(AI217*(1+B$8),B$9)</f>
        <v>0</v>
      </c>
      <c r="AV218" s="27" t="n">
        <f aca="false">MIN(AJ217*(1+C$8),C$9)</f>
        <v>0</v>
      </c>
      <c r="AW218" s="27" t="n">
        <f aca="false">MIN(AK217*(1+D$8),D$9)</f>
        <v>0</v>
      </c>
      <c r="AX218" s="27" t="n">
        <f aca="false">MIN(AL217*(1+E$8),E$9)</f>
        <v>0</v>
      </c>
      <c r="AY218" s="27" t="n">
        <f aca="false">MIN(AM217*(1+F$8),F$9)</f>
        <v>0</v>
      </c>
      <c r="AZ218" s="27" t="n">
        <f aca="false">MIN(AN217*(1+G$8),G$9)</f>
        <v>0</v>
      </c>
      <c r="BA218" s="27" t="n">
        <f aca="false">MIN(AO217*(1+H$8),H$9)</f>
        <v>0</v>
      </c>
      <c r="BB218" s="27" t="n">
        <f aca="false">MIN(AP217*(1+I$8),I$9)</f>
        <v>0</v>
      </c>
      <c r="BC218" s="27" t="n">
        <f aca="false">MIN(AQ217*(1+J$8),J$9)</f>
        <v>0</v>
      </c>
      <c r="BD218" s="27" t="n">
        <f aca="false">MIN(AR217*(1+K$8),K$9)</f>
        <v>0</v>
      </c>
      <c r="BE218" s="27" t="n">
        <f aca="false">MIN(AI217*(1+B$8),MAX(AU218,$B$12-SUM(AV218:BD218)))</f>
        <v>0</v>
      </c>
      <c r="BF218" s="27" t="n">
        <f aca="false">MIN(AJ217*(1+C$8),MAX(AV218,$B$12-SUM(BE218:BE218)-SUM(AW218:BD218)))</f>
        <v>0</v>
      </c>
      <c r="BG218" s="27" t="n">
        <f aca="false">MIN(AK217*(1+D$8),MAX(AW218,$B$12-SUM(BE218:BF218)-SUM(AX218:BD218)))</f>
        <v>0</v>
      </c>
      <c r="BH218" s="27" t="n">
        <f aca="false">MIN(AL217*(1+E$8),MAX(AX218,$B$12-SUM(BE218:BG218)-SUM(AY218:BD218)))</f>
        <v>0</v>
      </c>
      <c r="BI218" s="27" t="n">
        <f aca="false">MIN(AM217*(1+F$8),MAX(AY218,$B$12-SUM(BE218:BH218)-SUM(AZ218:BD218)))</f>
        <v>0</v>
      </c>
      <c r="BJ218" s="27" t="n">
        <f aca="false">MIN(AN217*(1+G$8),MAX(AZ218,$B$12-SUM(BE218:BI218)-SUM(BA218:BD218)))</f>
        <v>0</v>
      </c>
      <c r="BK218" s="27" t="n">
        <f aca="false">MIN(AO217*(1+H$8),MAX(BA218,$B$12-SUM(BE218:BJ218)-SUM(BB218:BD218)))</f>
        <v>0</v>
      </c>
      <c r="BL218" s="27" t="n">
        <f aca="false">MIN(AP217*(1+I$8),MAX(BB218,$B$12-SUM(BE218:BK218)-SUM(BC218:BD218)))</f>
        <v>0</v>
      </c>
      <c r="BM218" s="27" t="n">
        <f aca="false">MIN(AQ217*(1+J$8),MAX(BC218,$B$12-SUM(BE218:BL218)-SUM(BD218:BD218)))</f>
        <v>0</v>
      </c>
      <c r="BN218" s="27" t="n">
        <f aca="false">MIN(AR217*(1+K$8),MAX(BD218,$B$12-SUM(BE218:BM218)))</f>
        <v>0</v>
      </c>
    </row>
    <row r="219" customFormat="false" ht="15" hidden="false" customHeight="false" outlineLevel="0" collapsed="false">
      <c r="A219" s="0" t="n">
        <v>205</v>
      </c>
      <c r="B219" s="27" t="n">
        <f aca="false">ROUND(MAX(0,B218*(1+B$8)-X219),2)</f>
        <v>0</v>
      </c>
      <c r="C219" s="27" t="n">
        <f aca="false">ROUND(MAX(0,C218*(1+C$8)-Y219),2)</f>
        <v>0</v>
      </c>
      <c r="D219" s="27" t="n">
        <f aca="false">ROUND(MAX(0,D218*(1+D$8)-Z219),2)</f>
        <v>0</v>
      </c>
      <c r="E219" s="27" t="n">
        <f aca="false">ROUND(MAX(0,E218*(1+E$8)-AA219),2)</f>
        <v>0</v>
      </c>
      <c r="F219" s="27" t="n">
        <f aca="false">ROUND(MAX(0,F218*(1+F$8)-AB219),2)</f>
        <v>0</v>
      </c>
      <c r="G219" s="27" t="n">
        <f aca="false">ROUND(MAX(0,G218*(1+G$8)-AC219),2)</f>
        <v>0</v>
      </c>
      <c r="H219" s="27" t="n">
        <f aca="false">ROUND(MAX(0,H218*(1+H$8)-AD219),2)</f>
        <v>0</v>
      </c>
      <c r="I219" s="27" t="n">
        <f aca="false">ROUND(MAX(0,I218*(1+I$8)-AE219),2)</f>
        <v>0</v>
      </c>
      <c r="J219" s="27" t="n">
        <f aca="false">ROUND(MAX(0,J218*(1+J$8)-AF219),2)</f>
        <v>0</v>
      </c>
      <c r="K219" s="27" t="n">
        <f aca="false">ROUND(MAX(0,K218*(1+K$8)-AG219),2)</f>
        <v>0</v>
      </c>
      <c r="L219" s="30" t="n">
        <f aca="false">SUM(B219:K219)</f>
        <v>0</v>
      </c>
      <c r="M219" s="27" t="n">
        <f aca="false">SUMPRODUCT(B218:K218,$B$8:$K$8)</f>
        <v>0</v>
      </c>
      <c r="N219" s="27" t="n">
        <f aca="false">MIN(B218*(1+B$8),B$9)</f>
        <v>0</v>
      </c>
      <c r="O219" s="27" t="n">
        <f aca="false">MIN(C218*(1+C$8),C$9)</f>
        <v>0</v>
      </c>
      <c r="P219" s="27" t="n">
        <f aca="false">MIN(D218*(1+D$8),D$9)</f>
        <v>0</v>
      </c>
      <c r="Q219" s="27" t="n">
        <f aca="false">MIN(E218*(1+E$8),E$9)</f>
        <v>0</v>
      </c>
      <c r="R219" s="27" t="n">
        <f aca="false">MIN(F218*(1+F$8),F$9)</f>
        <v>0</v>
      </c>
      <c r="S219" s="27" t="n">
        <f aca="false">MIN(G218*(1+G$8),G$9)</f>
        <v>0</v>
      </c>
      <c r="T219" s="27" t="n">
        <f aca="false">MIN(H218*(1+H$8),H$9)</f>
        <v>0</v>
      </c>
      <c r="U219" s="27" t="n">
        <f aca="false">MIN(I218*(1+I$8),I$9)</f>
        <v>0</v>
      </c>
      <c r="V219" s="27" t="n">
        <f aca="false">MIN(J218*(1+J$8),J$9)</f>
        <v>0</v>
      </c>
      <c r="W219" s="27" t="n">
        <f aca="false">MIN(K218*(1+K$8),K$9)</f>
        <v>0</v>
      </c>
      <c r="X219" s="27" t="n">
        <f aca="false">MIN(B218*(1+B$8),MAX(N219,$B$11-SUM(O219:W219)))</f>
        <v>0</v>
      </c>
      <c r="Y219" s="27" t="n">
        <f aca="false">MIN(C218*(1+C$8),MAX(O219,$B$11-SUM(X219:X219)-SUM(P219:W219)))</f>
        <v>0</v>
      </c>
      <c r="Z219" s="27" t="n">
        <f aca="false">MIN(D218*(1+D$8),MAX(P219,$B$11-SUM(X219:Y219)-SUM(Q219:W219)))</f>
        <v>0</v>
      </c>
      <c r="AA219" s="27" t="n">
        <f aca="false">MIN(E218*(1+E$8),MAX(Q219,$B$11-SUM(X219:Z219)-SUM(R219:W219)))</f>
        <v>0</v>
      </c>
      <c r="AB219" s="27" t="n">
        <f aca="false">MIN(F218*(1+F$8),MAX(R219,$B$11-SUM(X219:AA219)-SUM(S219:W219)))</f>
        <v>0</v>
      </c>
      <c r="AC219" s="27" t="n">
        <f aca="false">MIN(G218*(1+G$8),MAX(S219,$B$11-SUM(X219:AB219)-SUM(T219:W219)))</f>
        <v>0</v>
      </c>
      <c r="AD219" s="27" t="n">
        <f aca="false">MIN(H218*(1+H$8),MAX(T219,$B$11-SUM(X219:AC219)-SUM(U219:W219)))</f>
        <v>0</v>
      </c>
      <c r="AE219" s="27" t="n">
        <f aca="false">MIN(I218*(1+I$8),MAX(U219,$B$11-SUM(X219:AD219)-SUM(V219:W219)))</f>
        <v>0</v>
      </c>
      <c r="AF219" s="27" t="n">
        <f aca="false">MIN(J218*(1+J$8),MAX(V219,$B$11-SUM(X219:AE219)-SUM(W219:W219)))</f>
        <v>0</v>
      </c>
      <c r="AG219" s="27" t="n">
        <f aca="false">MIN(K218*(1+K$8),MAX(W219,$B$11-SUM(X219:AF219)))</f>
        <v>0</v>
      </c>
      <c r="AI219" s="27" t="n">
        <f aca="false">ROUND(MAX(0,AI218*(1+B$8)-BE219),2)</f>
        <v>0</v>
      </c>
      <c r="AJ219" s="27" t="n">
        <f aca="false">ROUND(MAX(0,AJ218*(1+C$8)-BF219),2)</f>
        <v>0</v>
      </c>
      <c r="AK219" s="27" t="n">
        <f aca="false">ROUND(MAX(0,AK218*(1+D$8)-BG219),2)</f>
        <v>0</v>
      </c>
      <c r="AL219" s="27" t="n">
        <f aca="false">ROUND(MAX(0,AL218*(1+E$8)-BH219),2)</f>
        <v>0</v>
      </c>
      <c r="AM219" s="27" t="n">
        <f aca="false">ROUND(MAX(0,AM218*(1+F$8)-BI219),2)</f>
        <v>0</v>
      </c>
      <c r="AN219" s="27" t="n">
        <f aca="false">ROUND(MAX(0,AN218*(1+G$8)-BJ219),2)</f>
        <v>0</v>
      </c>
      <c r="AO219" s="27" t="n">
        <f aca="false">ROUND(MAX(0,AO218*(1+H$8)-BK219),2)</f>
        <v>0</v>
      </c>
      <c r="AP219" s="27" t="n">
        <f aca="false">ROUND(MAX(0,AP218*(1+I$8)-BL219),2)</f>
        <v>0</v>
      </c>
      <c r="AQ219" s="27" t="n">
        <f aca="false">ROUND(MAX(0,AQ218*(1+J$8)-BM219),2)</f>
        <v>0</v>
      </c>
      <c r="AR219" s="27" t="n">
        <f aca="false">ROUND(MAX(0,AR218*(1+K$8)-BN219),2)</f>
        <v>0</v>
      </c>
      <c r="AS219" s="27" t="n">
        <f aca="false">SUM(AI219:AR219)</f>
        <v>0</v>
      </c>
      <c r="AT219" s="27" t="n">
        <f aca="false">SUMPRODUCT(AI218:AR218,$B$8:$K$8)</f>
        <v>0</v>
      </c>
      <c r="AU219" s="27" t="n">
        <f aca="false">MIN(AI218*(1+B$8),B$9)</f>
        <v>0</v>
      </c>
      <c r="AV219" s="27" t="n">
        <f aca="false">MIN(AJ218*(1+C$8),C$9)</f>
        <v>0</v>
      </c>
      <c r="AW219" s="27" t="n">
        <f aca="false">MIN(AK218*(1+D$8),D$9)</f>
        <v>0</v>
      </c>
      <c r="AX219" s="27" t="n">
        <f aca="false">MIN(AL218*(1+E$8),E$9)</f>
        <v>0</v>
      </c>
      <c r="AY219" s="27" t="n">
        <f aca="false">MIN(AM218*(1+F$8),F$9)</f>
        <v>0</v>
      </c>
      <c r="AZ219" s="27" t="n">
        <f aca="false">MIN(AN218*(1+G$8),G$9)</f>
        <v>0</v>
      </c>
      <c r="BA219" s="27" t="n">
        <f aca="false">MIN(AO218*(1+H$8),H$9)</f>
        <v>0</v>
      </c>
      <c r="BB219" s="27" t="n">
        <f aca="false">MIN(AP218*(1+I$8),I$9)</f>
        <v>0</v>
      </c>
      <c r="BC219" s="27" t="n">
        <f aca="false">MIN(AQ218*(1+J$8),J$9)</f>
        <v>0</v>
      </c>
      <c r="BD219" s="27" t="n">
        <f aca="false">MIN(AR218*(1+K$8),K$9)</f>
        <v>0</v>
      </c>
      <c r="BE219" s="27" t="n">
        <f aca="false">MIN(AI218*(1+B$8),MAX(AU219,$B$12-SUM(AV219:BD219)))</f>
        <v>0</v>
      </c>
      <c r="BF219" s="27" t="n">
        <f aca="false">MIN(AJ218*(1+C$8),MAX(AV219,$B$12-SUM(BE219:BE219)-SUM(AW219:BD219)))</f>
        <v>0</v>
      </c>
      <c r="BG219" s="27" t="n">
        <f aca="false">MIN(AK218*(1+D$8),MAX(AW219,$B$12-SUM(BE219:BF219)-SUM(AX219:BD219)))</f>
        <v>0</v>
      </c>
      <c r="BH219" s="27" t="n">
        <f aca="false">MIN(AL218*(1+E$8),MAX(AX219,$B$12-SUM(BE219:BG219)-SUM(AY219:BD219)))</f>
        <v>0</v>
      </c>
      <c r="BI219" s="27" t="n">
        <f aca="false">MIN(AM218*(1+F$8),MAX(AY219,$B$12-SUM(BE219:BH219)-SUM(AZ219:BD219)))</f>
        <v>0</v>
      </c>
      <c r="BJ219" s="27" t="n">
        <f aca="false">MIN(AN218*(1+G$8),MAX(AZ219,$B$12-SUM(BE219:BI219)-SUM(BA219:BD219)))</f>
        <v>0</v>
      </c>
      <c r="BK219" s="27" t="n">
        <f aca="false">MIN(AO218*(1+H$8),MAX(BA219,$B$12-SUM(BE219:BJ219)-SUM(BB219:BD219)))</f>
        <v>0</v>
      </c>
      <c r="BL219" s="27" t="n">
        <f aca="false">MIN(AP218*(1+I$8),MAX(BB219,$B$12-SUM(BE219:BK219)-SUM(BC219:BD219)))</f>
        <v>0</v>
      </c>
      <c r="BM219" s="27" t="n">
        <f aca="false">MIN(AQ218*(1+J$8),MAX(BC219,$B$12-SUM(BE219:BL219)-SUM(BD219:BD219)))</f>
        <v>0</v>
      </c>
      <c r="BN219" s="27" t="n">
        <f aca="false">MIN(AR218*(1+K$8),MAX(BD219,$B$12-SUM(BE219:BM219)))</f>
        <v>0</v>
      </c>
    </row>
    <row r="220" customFormat="false" ht="15" hidden="false" customHeight="false" outlineLevel="0" collapsed="false">
      <c r="A220" s="0" t="n">
        <v>206</v>
      </c>
      <c r="B220" s="27" t="n">
        <f aca="false">ROUND(MAX(0,B219*(1+B$8)-X220),2)</f>
        <v>0</v>
      </c>
      <c r="C220" s="27" t="n">
        <f aca="false">ROUND(MAX(0,C219*(1+C$8)-Y220),2)</f>
        <v>0</v>
      </c>
      <c r="D220" s="27" t="n">
        <f aca="false">ROUND(MAX(0,D219*(1+D$8)-Z220),2)</f>
        <v>0</v>
      </c>
      <c r="E220" s="27" t="n">
        <f aca="false">ROUND(MAX(0,E219*(1+E$8)-AA220),2)</f>
        <v>0</v>
      </c>
      <c r="F220" s="27" t="n">
        <f aca="false">ROUND(MAX(0,F219*(1+F$8)-AB220),2)</f>
        <v>0</v>
      </c>
      <c r="G220" s="27" t="n">
        <f aca="false">ROUND(MAX(0,G219*(1+G$8)-AC220),2)</f>
        <v>0</v>
      </c>
      <c r="H220" s="27" t="n">
        <f aca="false">ROUND(MAX(0,H219*(1+H$8)-AD220),2)</f>
        <v>0</v>
      </c>
      <c r="I220" s="27" t="n">
        <f aca="false">ROUND(MAX(0,I219*(1+I$8)-AE220),2)</f>
        <v>0</v>
      </c>
      <c r="J220" s="27" t="n">
        <f aca="false">ROUND(MAX(0,J219*(1+J$8)-AF220),2)</f>
        <v>0</v>
      </c>
      <c r="K220" s="27" t="n">
        <f aca="false">ROUND(MAX(0,K219*(1+K$8)-AG220),2)</f>
        <v>0</v>
      </c>
      <c r="L220" s="30" t="n">
        <f aca="false">SUM(B220:K220)</f>
        <v>0</v>
      </c>
      <c r="M220" s="27" t="n">
        <f aca="false">SUMPRODUCT(B219:K219,$B$8:$K$8)</f>
        <v>0</v>
      </c>
      <c r="N220" s="27" t="n">
        <f aca="false">MIN(B219*(1+B$8),B$9)</f>
        <v>0</v>
      </c>
      <c r="O220" s="27" t="n">
        <f aca="false">MIN(C219*(1+C$8),C$9)</f>
        <v>0</v>
      </c>
      <c r="P220" s="27" t="n">
        <f aca="false">MIN(D219*(1+D$8),D$9)</f>
        <v>0</v>
      </c>
      <c r="Q220" s="27" t="n">
        <f aca="false">MIN(E219*(1+E$8),E$9)</f>
        <v>0</v>
      </c>
      <c r="R220" s="27" t="n">
        <f aca="false">MIN(F219*(1+F$8),F$9)</f>
        <v>0</v>
      </c>
      <c r="S220" s="27" t="n">
        <f aca="false">MIN(G219*(1+G$8),G$9)</f>
        <v>0</v>
      </c>
      <c r="T220" s="27" t="n">
        <f aca="false">MIN(H219*(1+H$8),H$9)</f>
        <v>0</v>
      </c>
      <c r="U220" s="27" t="n">
        <f aca="false">MIN(I219*(1+I$8),I$9)</f>
        <v>0</v>
      </c>
      <c r="V220" s="27" t="n">
        <f aca="false">MIN(J219*(1+J$8),J$9)</f>
        <v>0</v>
      </c>
      <c r="W220" s="27" t="n">
        <f aca="false">MIN(K219*(1+K$8),K$9)</f>
        <v>0</v>
      </c>
      <c r="X220" s="27" t="n">
        <f aca="false">MIN(B219*(1+B$8),MAX(N220,$B$11-SUM(O220:W220)))</f>
        <v>0</v>
      </c>
      <c r="Y220" s="27" t="n">
        <f aca="false">MIN(C219*(1+C$8),MAX(O220,$B$11-SUM(X220:X220)-SUM(P220:W220)))</f>
        <v>0</v>
      </c>
      <c r="Z220" s="27" t="n">
        <f aca="false">MIN(D219*(1+D$8),MAX(P220,$B$11-SUM(X220:Y220)-SUM(Q220:W220)))</f>
        <v>0</v>
      </c>
      <c r="AA220" s="27" t="n">
        <f aca="false">MIN(E219*(1+E$8),MAX(Q220,$B$11-SUM(X220:Z220)-SUM(R220:W220)))</f>
        <v>0</v>
      </c>
      <c r="AB220" s="27" t="n">
        <f aca="false">MIN(F219*(1+F$8),MAX(R220,$B$11-SUM(X220:AA220)-SUM(S220:W220)))</f>
        <v>0</v>
      </c>
      <c r="AC220" s="27" t="n">
        <f aca="false">MIN(G219*(1+G$8),MAX(S220,$B$11-SUM(X220:AB220)-SUM(T220:W220)))</f>
        <v>0</v>
      </c>
      <c r="AD220" s="27" t="n">
        <f aca="false">MIN(H219*(1+H$8),MAX(T220,$B$11-SUM(X220:AC220)-SUM(U220:W220)))</f>
        <v>0</v>
      </c>
      <c r="AE220" s="27" t="n">
        <f aca="false">MIN(I219*(1+I$8),MAX(U220,$B$11-SUM(X220:AD220)-SUM(V220:W220)))</f>
        <v>0</v>
      </c>
      <c r="AF220" s="27" t="n">
        <f aca="false">MIN(J219*(1+J$8),MAX(V220,$B$11-SUM(X220:AE220)-SUM(W220:W220)))</f>
        <v>0</v>
      </c>
      <c r="AG220" s="27" t="n">
        <f aca="false">MIN(K219*(1+K$8),MAX(W220,$B$11-SUM(X220:AF220)))</f>
        <v>0</v>
      </c>
      <c r="AI220" s="27" t="n">
        <f aca="false">ROUND(MAX(0,AI219*(1+B$8)-BE220),2)</f>
        <v>0</v>
      </c>
      <c r="AJ220" s="27" t="n">
        <f aca="false">ROUND(MAX(0,AJ219*(1+C$8)-BF220),2)</f>
        <v>0</v>
      </c>
      <c r="AK220" s="27" t="n">
        <f aca="false">ROUND(MAX(0,AK219*(1+D$8)-BG220),2)</f>
        <v>0</v>
      </c>
      <c r="AL220" s="27" t="n">
        <f aca="false">ROUND(MAX(0,AL219*(1+E$8)-BH220),2)</f>
        <v>0</v>
      </c>
      <c r="AM220" s="27" t="n">
        <f aca="false">ROUND(MAX(0,AM219*(1+F$8)-BI220),2)</f>
        <v>0</v>
      </c>
      <c r="AN220" s="27" t="n">
        <f aca="false">ROUND(MAX(0,AN219*(1+G$8)-BJ220),2)</f>
        <v>0</v>
      </c>
      <c r="AO220" s="27" t="n">
        <f aca="false">ROUND(MAX(0,AO219*(1+H$8)-BK220),2)</f>
        <v>0</v>
      </c>
      <c r="AP220" s="27" t="n">
        <f aca="false">ROUND(MAX(0,AP219*(1+I$8)-BL220),2)</f>
        <v>0</v>
      </c>
      <c r="AQ220" s="27" t="n">
        <f aca="false">ROUND(MAX(0,AQ219*(1+J$8)-BM220),2)</f>
        <v>0</v>
      </c>
      <c r="AR220" s="27" t="n">
        <f aca="false">ROUND(MAX(0,AR219*(1+K$8)-BN220),2)</f>
        <v>0</v>
      </c>
      <c r="AS220" s="27" t="n">
        <f aca="false">SUM(AI220:AR220)</f>
        <v>0</v>
      </c>
      <c r="AT220" s="27" t="n">
        <f aca="false">SUMPRODUCT(AI219:AR219,$B$8:$K$8)</f>
        <v>0</v>
      </c>
      <c r="AU220" s="27" t="n">
        <f aca="false">MIN(AI219*(1+B$8),B$9)</f>
        <v>0</v>
      </c>
      <c r="AV220" s="27" t="n">
        <f aca="false">MIN(AJ219*(1+C$8),C$9)</f>
        <v>0</v>
      </c>
      <c r="AW220" s="27" t="n">
        <f aca="false">MIN(AK219*(1+D$8),D$9)</f>
        <v>0</v>
      </c>
      <c r="AX220" s="27" t="n">
        <f aca="false">MIN(AL219*(1+E$8),E$9)</f>
        <v>0</v>
      </c>
      <c r="AY220" s="27" t="n">
        <f aca="false">MIN(AM219*(1+F$8),F$9)</f>
        <v>0</v>
      </c>
      <c r="AZ220" s="27" t="n">
        <f aca="false">MIN(AN219*(1+G$8),G$9)</f>
        <v>0</v>
      </c>
      <c r="BA220" s="27" t="n">
        <f aca="false">MIN(AO219*(1+H$8),H$9)</f>
        <v>0</v>
      </c>
      <c r="BB220" s="27" t="n">
        <f aca="false">MIN(AP219*(1+I$8),I$9)</f>
        <v>0</v>
      </c>
      <c r="BC220" s="27" t="n">
        <f aca="false">MIN(AQ219*(1+J$8),J$9)</f>
        <v>0</v>
      </c>
      <c r="BD220" s="27" t="n">
        <f aca="false">MIN(AR219*(1+K$8),K$9)</f>
        <v>0</v>
      </c>
      <c r="BE220" s="27" t="n">
        <f aca="false">MIN(AI219*(1+B$8),MAX(AU220,$B$12-SUM(AV220:BD220)))</f>
        <v>0</v>
      </c>
      <c r="BF220" s="27" t="n">
        <f aca="false">MIN(AJ219*(1+C$8),MAX(AV220,$B$12-SUM(BE220:BE220)-SUM(AW220:BD220)))</f>
        <v>0</v>
      </c>
      <c r="BG220" s="27" t="n">
        <f aca="false">MIN(AK219*(1+D$8),MAX(AW220,$B$12-SUM(BE220:BF220)-SUM(AX220:BD220)))</f>
        <v>0</v>
      </c>
      <c r="BH220" s="27" t="n">
        <f aca="false">MIN(AL219*(1+E$8),MAX(AX220,$B$12-SUM(BE220:BG220)-SUM(AY220:BD220)))</f>
        <v>0</v>
      </c>
      <c r="BI220" s="27" t="n">
        <f aca="false">MIN(AM219*(1+F$8),MAX(AY220,$B$12-SUM(BE220:BH220)-SUM(AZ220:BD220)))</f>
        <v>0</v>
      </c>
      <c r="BJ220" s="27" t="n">
        <f aca="false">MIN(AN219*(1+G$8),MAX(AZ220,$B$12-SUM(BE220:BI220)-SUM(BA220:BD220)))</f>
        <v>0</v>
      </c>
      <c r="BK220" s="27" t="n">
        <f aca="false">MIN(AO219*(1+H$8),MAX(BA220,$B$12-SUM(BE220:BJ220)-SUM(BB220:BD220)))</f>
        <v>0</v>
      </c>
      <c r="BL220" s="27" t="n">
        <f aca="false">MIN(AP219*(1+I$8),MAX(BB220,$B$12-SUM(BE220:BK220)-SUM(BC220:BD220)))</f>
        <v>0</v>
      </c>
      <c r="BM220" s="27" t="n">
        <f aca="false">MIN(AQ219*(1+J$8),MAX(BC220,$B$12-SUM(BE220:BL220)-SUM(BD220:BD220)))</f>
        <v>0</v>
      </c>
      <c r="BN220" s="27" t="n">
        <f aca="false">MIN(AR219*(1+K$8),MAX(BD220,$B$12-SUM(BE220:BM220)))</f>
        <v>0</v>
      </c>
    </row>
    <row r="221" customFormat="false" ht="15" hidden="false" customHeight="false" outlineLevel="0" collapsed="false">
      <c r="A221" s="0" t="n">
        <v>207</v>
      </c>
      <c r="B221" s="27" t="n">
        <f aca="false">ROUND(MAX(0,B220*(1+B$8)-X221),2)</f>
        <v>0</v>
      </c>
      <c r="C221" s="27" t="n">
        <f aca="false">ROUND(MAX(0,C220*(1+C$8)-Y221),2)</f>
        <v>0</v>
      </c>
      <c r="D221" s="27" t="n">
        <f aca="false">ROUND(MAX(0,D220*(1+D$8)-Z221),2)</f>
        <v>0</v>
      </c>
      <c r="E221" s="27" t="n">
        <f aca="false">ROUND(MAX(0,E220*(1+E$8)-AA221),2)</f>
        <v>0</v>
      </c>
      <c r="F221" s="27" t="n">
        <f aca="false">ROUND(MAX(0,F220*(1+F$8)-AB221),2)</f>
        <v>0</v>
      </c>
      <c r="G221" s="27" t="n">
        <f aca="false">ROUND(MAX(0,G220*(1+G$8)-AC221),2)</f>
        <v>0</v>
      </c>
      <c r="H221" s="27" t="n">
        <f aca="false">ROUND(MAX(0,H220*(1+H$8)-AD221),2)</f>
        <v>0</v>
      </c>
      <c r="I221" s="27" t="n">
        <f aca="false">ROUND(MAX(0,I220*(1+I$8)-AE221),2)</f>
        <v>0</v>
      </c>
      <c r="J221" s="27" t="n">
        <f aca="false">ROUND(MAX(0,J220*(1+J$8)-AF221),2)</f>
        <v>0</v>
      </c>
      <c r="K221" s="27" t="n">
        <f aca="false">ROUND(MAX(0,K220*(1+K$8)-AG221),2)</f>
        <v>0</v>
      </c>
      <c r="L221" s="30" t="n">
        <f aca="false">SUM(B221:K221)</f>
        <v>0</v>
      </c>
      <c r="M221" s="27" t="n">
        <f aca="false">SUMPRODUCT(B220:K220,$B$8:$K$8)</f>
        <v>0</v>
      </c>
      <c r="N221" s="27" t="n">
        <f aca="false">MIN(B220*(1+B$8),B$9)</f>
        <v>0</v>
      </c>
      <c r="O221" s="27" t="n">
        <f aca="false">MIN(C220*(1+C$8),C$9)</f>
        <v>0</v>
      </c>
      <c r="P221" s="27" t="n">
        <f aca="false">MIN(D220*(1+D$8),D$9)</f>
        <v>0</v>
      </c>
      <c r="Q221" s="27" t="n">
        <f aca="false">MIN(E220*(1+E$8),E$9)</f>
        <v>0</v>
      </c>
      <c r="R221" s="27" t="n">
        <f aca="false">MIN(F220*(1+F$8),F$9)</f>
        <v>0</v>
      </c>
      <c r="S221" s="27" t="n">
        <f aca="false">MIN(G220*(1+G$8),G$9)</f>
        <v>0</v>
      </c>
      <c r="T221" s="27" t="n">
        <f aca="false">MIN(H220*(1+H$8),H$9)</f>
        <v>0</v>
      </c>
      <c r="U221" s="27" t="n">
        <f aca="false">MIN(I220*(1+I$8),I$9)</f>
        <v>0</v>
      </c>
      <c r="V221" s="27" t="n">
        <f aca="false">MIN(J220*(1+J$8),J$9)</f>
        <v>0</v>
      </c>
      <c r="W221" s="27" t="n">
        <f aca="false">MIN(K220*(1+K$8),K$9)</f>
        <v>0</v>
      </c>
      <c r="X221" s="27" t="n">
        <f aca="false">MIN(B220*(1+B$8),MAX(N221,$B$11-SUM(O221:W221)))</f>
        <v>0</v>
      </c>
      <c r="Y221" s="27" t="n">
        <f aca="false">MIN(C220*(1+C$8),MAX(O221,$B$11-SUM(X221:X221)-SUM(P221:W221)))</f>
        <v>0</v>
      </c>
      <c r="Z221" s="27" t="n">
        <f aca="false">MIN(D220*(1+D$8),MAX(P221,$B$11-SUM(X221:Y221)-SUM(Q221:W221)))</f>
        <v>0</v>
      </c>
      <c r="AA221" s="27" t="n">
        <f aca="false">MIN(E220*(1+E$8),MAX(Q221,$B$11-SUM(X221:Z221)-SUM(R221:W221)))</f>
        <v>0</v>
      </c>
      <c r="AB221" s="27" t="n">
        <f aca="false">MIN(F220*(1+F$8),MAX(R221,$B$11-SUM(X221:AA221)-SUM(S221:W221)))</f>
        <v>0</v>
      </c>
      <c r="AC221" s="27" t="n">
        <f aca="false">MIN(G220*(1+G$8),MAX(S221,$B$11-SUM(X221:AB221)-SUM(T221:W221)))</f>
        <v>0</v>
      </c>
      <c r="AD221" s="27" t="n">
        <f aca="false">MIN(H220*(1+H$8),MAX(T221,$B$11-SUM(X221:AC221)-SUM(U221:W221)))</f>
        <v>0</v>
      </c>
      <c r="AE221" s="27" t="n">
        <f aca="false">MIN(I220*(1+I$8),MAX(U221,$B$11-SUM(X221:AD221)-SUM(V221:W221)))</f>
        <v>0</v>
      </c>
      <c r="AF221" s="27" t="n">
        <f aca="false">MIN(J220*(1+J$8),MAX(V221,$B$11-SUM(X221:AE221)-SUM(W221:W221)))</f>
        <v>0</v>
      </c>
      <c r="AG221" s="27" t="n">
        <f aca="false">MIN(K220*(1+K$8),MAX(W221,$B$11-SUM(X221:AF221)))</f>
        <v>0</v>
      </c>
      <c r="AI221" s="27" t="n">
        <f aca="false">ROUND(MAX(0,AI220*(1+B$8)-BE221),2)</f>
        <v>0</v>
      </c>
      <c r="AJ221" s="27" t="n">
        <f aca="false">ROUND(MAX(0,AJ220*(1+C$8)-BF221),2)</f>
        <v>0</v>
      </c>
      <c r="AK221" s="27" t="n">
        <f aca="false">ROUND(MAX(0,AK220*(1+D$8)-BG221),2)</f>
        <v>0</v>
      </c>
      <c r="AL221" s="27" t="n">
        <f aca="false">ROUND(MAX(0,AL220*(1+E$8)-BH221),2)</f>
        <v>0</v>
      </c>
      <c r="AM221" s="27" t="n">
        <f aca="false">ROUND(MAX(0,AM220*(1+F$8)-BI221),2)</f>
        <v>0</v>
      </c>
      <c r="AN221" s="27" t="n">
        <f aca="false">ROUND(MAX(0,AN220*(1+G$8)-BJ221),2)</f>
        <v>0</v>
      </c>
      <c r="AO221" s="27" t="n">
        <f aca="false">ROUND(MAX(0,AO220*(1+H$8)-BK221),2)</f>
        <v>0</v>
      </c>
      <c r="AP221" s="27" t="n">
        <f aca="false">ROUND(MAX(0,AP220*(1+I$8)-BL221),2)</f>
        <v>0</v>
      </c>
      <c r="AQ221" s="27" t="n">
        <f aca="false">ROUND(MAX(0,AQ220*(1+J$8)-BM221),2)</f>
        <v>0</v>
      </c>
      <c r="AR221" s="27" t="n">
        <f aca="false">ROUND(MAX(0,AR220*(1+K$8)-BN221),2)</f>
        <v>0</v>
      </c>
      <c r="AS221" s="27" t="n">
        <f aca="false">SUM(AI221:AR221)</f>
        <v>0</v>
      </c>
      <c r="AT221" s="27" t="n">
        <f aca="false">SUMPRODUCT(AI220:AR220,$B$8:$K$8)</f>
        <v>0</v>
      </c>
      <c r="AU221" s="27" t="n">
        <f aca="false">MIN(AI220*(1+B$8),B$9)</f>
        <v>0</v>
      </c>
      <c r="AV221" s="27" t="n">
        <f aca="false">MIN(AJ220*(1+C$8),C$9)</f>
        <v>0</v>
      </c>
      <c r="AW221" s="27" t="n">
        <f aca="false">MIN(AK220*(1+D$8),D$9)</f>
        <v>0</v>
      </c>
      <c r="AX221" s="27" t="n">
        <f aca="false">MIN(AL220*(1+E$8),E$9)</f>
        <v>0</v>
      </c>
      <c r="AY221" s="27" t="n">
        <f aca="false">MIN(AM220*(1+F$8),F$9)</f>
        <v>0</v>
      </c>
      <c r="AZ221" s="27" t="n">
        <f aca="false">MIN(AN220*(1+G$8),G$9)</f>
        <v>0</v>
      </c>
      <c r="BA221" s="27" t="n">
        <f aca="false">MIN(AO220*(1+H$8),H$9)</f>
        <v>0</v>
      </c>
      <c r="BB221" s="27" t="n">
        <f aca="false">MIN(AP220*(1+I$8),I$9)</f>
        <v>0</v>
      </c>
      <c r="BC221" s="27" t="n">
        <f aca="false">MIN(AQ220*(1+J$8),J$9)</f>
        <v>0</v>
      </c>
      <c r="BD221" s="27" t="n">
        <f aca="false">MIN(AR220*(1+K$8),K$9)</f>
        <v>0</v>
      </c>
      <c r="BE221" s="27" t="n">
        <f aca="false">MIN(AI220*(1+B$8),MAX(AU221,$B$12-SUM(AV221:BD221)))</f>
        <v>0</v>
      </c>
      <c r="BF221" s="27" t="n">
        <f aca="false">MIN(AJ220*(1+C$8),MAX(AV221,$B$12-SUM(BE221:BE221)-SUM(AW221:BD221)))</f>
        <v>0</v>
      </c>
      <c r="BG221" s="27" t="n">
        <f aca="false">MIN(AK220*(1+D$8),MAX(AW221,$B$12-SUM(BE221:BF221)-SUM(AX221:BD221)))</f>
        <v>0</v>
      </c>
      <c r="BH221" s="27" t="n">
        <f aca="false">MIN(AL220*(1+E$8),MAX(AX221,$B$12-SUM(BE221:BG221)-SUM(AY221:BD221)))</f>
        <v>0</v>
      </c>
      <c r="BI221" s="27" t="n">
        <f aca="false">MIN(AM220*(1+F$8),MAX(AY221,$B$12-SUM(BE221:BH221)-SUM(AZ221:BD221)))</f>
        <v>0</v>
      </c>
      <c r="BJ221" s="27" t="n">
        <f aca="false">MIN(AN220*(1+G$8),MAX(AZ221,$B$12-SUM(BE221:BI221)-SUM(BA221:BD221)))</f>
        <v>0</v>
      </c>
      <c r="BK221" s="27" t="n">
        <f aca="false">MIN(AO220*(1+H$8),MAX(BA221,$B$12-SUM(BE221:BJ221)-SUM(BB221:BD221)))</f>
        <v>0</v>
      </c>
      <c r="BL221" s="27" t="n">
        <f aca="false">MIN(AP220*(1+I$8),MAX(BB221,$B$12-SUM(BE221:BK221)-SUM(BC221:BD221)))</f>
        <v>0</v>
      </c>
      <c r="BM221" s="27" t="n">
        <f aca="false">MIN(AQ220*(1+J$8),MAX(BC221,$B$12-SUM(BE221:BL221)-SUM(BD221:BD221)))</f>
        <v>0</v>
      </c>
      <c r="BN221" s="27" t="n">
        <f aca="false">MIN(AR220*(1+K$8),MAX(BD221,$B$12-SUM(BE221:BM221)))</f>
        <v>0</v>
      </c>
    </row>
    <row r="222" customFormat="false" ht="15" hidden="false" customHeight="false" outlineLevel="0" collapsed="false">
      <c r="A222" s="0" t="n">
        <v>208</v>
      </c>
      <c r="B222" s="27" t="n">
        <f aca="false">ROUND(MAX(0,B221*(1+B$8)-X222),2)</f>
        <v>0</v>
      </c>
      <c r="C222" s="27" t="n">
        <f aca="false">ROUND(MAX(0,C221*(1+C$8)-Y222),2)</f>
        <v>0</v>
      </c>
      <c r="D222" s="27" t="n">
        <f aca="false">ROUND(MAX(0,D221*(1+D$8)-Z222),2)</f>
        <v>0</v>
      </c>
      <c r="E222" s="27" t="n">
        <f aca="false">ROUND(MAX(0,E221*(1+E$8)-AA222),2)</f>
        <v>0</v>
      </c>
      <c r="F222" s="27" t="n">
        <f aca="false">ROUND(MAX(0,F221*(1+F$8)-AB222),2)</f>
        <v>0</v>
      </c>
      <c r="G222" s="27" t="n">
        <f aca="false">ROUND(MAX(0,G221*(1+G$8)-AC222),2)</f>
        <v>0</v>
      </c>
      <c r="H222" s="27" t="n">
        <f aca="false">ROUND(MAX(0,H221*(1+H$8)-AD222),2)</f>
        <v>0</v>
      </c>
      <c r="I222" s="27" t="n">
        <f aca="false">ROUND(MAX(0,I221*(1+I$8)-AE222),2)</f>
        <v>0</v>
      </c>
      <c r="J222" s="27" t="n">
        <f aca="false">ROUND(MAX(0,J221*(1+J$8)-AF222),2)</f>
        <v>0</v>
      </c>
      <c r="K222" s="27" t="n">
        <f aca="false">ROUND(MAX(0,K221*(1+K$8)-AG222),2)</f>
        <v>0</v>
      </c>
      <c r="L222" s="30" t="n">
        <f aca="false">SUM(B222:K222)</f>
        <v>0</v>
      </c>
      <c r="M222" s="27" t="n">
        <f aca="false">SUMPRODUCT(B221:K221,$B$8:$K$8)</f>
        <v>0</v>
      </c>
      <c r="N222" s="27" t="n">
        <f aca="false">MIN(B221*(1+B$8),B$9)</f>
        <v>0</v>
      </c>
      <c r="O222" s="27" t="n">
        <f aca="false">MIN(C221*(1+C$8),C$9)</f>
        <v>0</v>
      </c>
      <c r="P222" s="27" t="n">
        <f aca="false">MIN(D221*(1+D$8),D$9)</f>
        <v>0</v>
      </c>
      <c r="Q222" s="27" t="n">
        <f aca="false">MIN(E221*(1+E$8),E$9)</f>
        <v>0</v>
      </c>
      <c r="R222" s="27" t="n">
        <f aca="false">MIN(F221*(1+F$8),F$9)</f>
        <v>0</v>
      </c>
      <c r="S222" s="27" t="n">
        <f aca="false">MIN(G221*(1+G$8),G$9)</f>
        <v>0</v>
      </c>
      <c r="T222" s="27" t="n">
        <f aca="false">MIN(H221*(1+H$8),H$9)</f>
        <v>0</v>
      </c>
      <c r="U222" s="27" t="n">
        <f aca="false">MIN(I221*(1+I$8),I$9)</f>
        <v>0</v>
      </c>
      <c r="V222" s="27" t="n">
        <f aca="false">MIN(J221*(1+J$8),J$9)</f>
        <v>0</v>
      </c>
      <c r="W222" s="27" t="n">
        <f aca="false">MIN(K221*(1+K$8),K$9)</f>
        <v>0</v>
      </c>
      <c r="X222" s="27" t="n">
        <f aca="false">MIN(B221*(1+B$8),MAX(N222,$B$11-SUM(O222:W222)))</f>
        <v>0</v>
      </c>
      <c r="Y222" s="27" t="n">
        <f aca="false">MIN(C221*(1+C$8),MAX(O222,$B$11-SUM(X222:X222)-SUM(P222:W222)))</f>
        <v>0</v>
      </c>
      <c r="Z222" s="27" t="n">
        <f aca="false">MIN(D221*(1+D$8),MAX(P222,$B$11-SUM(X222:Y222)-SUM(Q222:W222)))</f>
        <v>0</v>
      </c>
      <c r="AA222" s="27" t="n">
        <f aca="false">MIN(E221*(1+E$8),MAX(Q222,$B$11-SUM(X222:Z222)-SUM(R222:W222)))</f>
        <v>0</v>
      </c>
      <c r="AB222" s="27" t="n">
        <f aca="false">MIN(F221*(1+F$8),MAX(R222,$B$11-SUM(X222:AA222)-SUM(S222:W222)))</f>
        <v>0</v>
      </c>
      <c r="AC222" s="27" t="n">
        <f aca="false">MIN(G221*(1+G$8),MAX(S222,$B$11-SUM(X222:AB222)-SUM(T222:W222)))</f>
        <v>0</v>
      </c>
      <c r="AD222" s="27" t="n">
        <f aca="false">MIN(H221*(1+H$8),MAX(T222,$B$11-SUM(X222:AC222)-SUM(U222:W222)))</f>
        <v>0</v>
      </c>
      <c r="AE222" s="27" t="n">
        <f aca="false">MIN(I221*(1+I$8),MAX(U222,$B$11-SUM(X222:AD222)-SUM(V222:W222)))</f>
        <v>0</v>
      </c>
      <c r="AF222" s="27" t="n">
        <f aca="false">MIN(J221*(1+J$8),MAX(V222,$B$11-SUM(X222:AE222)-SUM(W222:W222)))</f>
        <v>0</v>
      </c>
      <c r="AG222" s="27" t="n">
        <f aca="false">MIN(K221*(1+K$8),MAX(W222,$B$11-SUM(X222:AF222)))</f>
        <v>0</v>
      </c>
      <c r="AI222" s="27" t="n">
        <f aca="false">ROUND(MAX(0,AI221*(1+B$8)-BE222),2)</f>
        <v>0</v>
      </c>
      <c r="AJ222" s="27" t="n">
        <f aca="false">ROUND(MAX(0,AJ221*(1+C$8)-BF222),2)</f>
        <v>0</v>
      </c>
      <c r="AK222" s="27" t="n">
        <f aca="false">ROUND(MAX(0,AK221*(1+D$8)-BG222),2)</f>
        <v>0</v>
      </c>
      <c r="AL222" s="27" t="n">
        <f aca="false">ROUND(MAX(0,AL221*(1+E$8)-BH222),2)</f>
        <v>0</v>
      </c>
      <c r="AM222" s="27" t="n">
        <f aca="false">ROUND(MAX(0,AM221*(1+F$8)-BI222),2)</f>
        <v>0</v>
      </c>
      <c r="AN222" s="27" t="n">
        <f aca="false">ROUND(MAX(0,AN221*(1+G$8)-BJ222),2)</f>
        <v>0</v>
      </c>
      <c r="AO222" s="27" t="n">
        <f aca="false">ROUND(MAX(0,AO221*(1+H$8)-BK222),2)</f>
        <v>0</v>
      </c>
      <c r="AP222" s="27" t="n">
        <f aca="false">ROUND(MAX(0,AP221*(1+I$8)-BL222),2)</f>
        <v>0</v>
      </c>
      <c r="AQ222" s="27" t="n">
        <f aca="false">ROUND(MAX(0,AQ221*(1+J$8)-BM222),2)</f>
        <v>0</v>
      </c>
      <c r="AR222" s="27" t="n">
        <f aca="false">ROUND(MAX(0,AR221*(1+K$8)-BN222),2)</f>
        <v>0</v>
      </c>
      <c r="AS222" s="27" t="n">
        <f aca="false">SUM(AI222:AR222)</f>
        <v>0</v>
      </c>
      <c r="AT222" s="27" t="n">
        <f aca="false">SUMPRODUCT(AI221:AR221,$B$8:$K$8)</f>
        <v>0</v>
      </c>
      <c r="AU222" s="27" t="n">
        <f aca="false">MIN(AI221*(1+B$8),B$9)</f>
        <v>0</v>
      </c>
      <c r="AV222" s="27" t="n">
        <f aca="false">MIN(AJ221*(1+C$8),C$9)</f>
        <v>0</v>
      </c>
      <c r="AW222" s="27" t="n">
        <f aca="false">MIN(AK221*(1+D$8),D$9)</f>
        <v>0</v>
      </c>
      <c r="AX222" s="27" t="n">
        <f aca="false">MIN(AL221*(1+E$8),E$9)</f>
        <v>0</v>
      </c>
      <c r="AY222" s="27" t="n">
        <f aca="false">MIN(AM221*(1+F$8),F$9)</f>
        <v>0</v>
      </c>
      <c r="AZ222" s="27" t="n">
        <f aca="false">MIN(AN221*(1+G$8),G$9)</f>
        <v>0</v>
      </c>
      <c r="BA222" s="27" t="n">
        <f aca="false">MIN(AO221*(1+H$8),H$9)</f>
        <v>0</v>
      </c>
      <c r="BB222" s="27" t="n">
        <f aca="false">MIN(AP221*(1+I$8),I$9)</f>
        <v>0</v>
      </c>
      <c r="BC222" s="27" t="n">
        <f aca="false">MIN(AQ221*(1+J$8),J$9)</f>
        <v>0</v>
      </c>
      <c r="BD222" s="27" t="n">
        <f aca="false">MIN(AR221*(1+K$8),K$9)</f>
        <v>0</v>
      </c>
      <c r="BE222" s="27" t="n">
        <f aca="false">MIN(AI221*(1+B$8),MAX(AU222,$B$12-SUM(AV222:BD222)))</f>
        <v>0</v>
      </c>
      <c r="BF222" s="27" t="n">
        <f aca="false">MIN(AJ221*(1+C$8),MAX(AV222,$B$12-SUM(BE222:BE222)-SUM(AW222:BD222)))</f>
        <v>0</v>
      </c>
      <c r="BG222" s="27" t="n">
        <f aca="false">MIN(AK221*(1+D$8),MAX(AW222,$B$12-SUM(BE222:BF222)-SUM(AX222:BD222)))</f>
        <v>0</v>
      </c>
      <c r="BH222" s="27" t="n">
        <f aca="false">MIN(AL221*(1+E$8),MAX(AX222,$B$12-SUM(BE222:BG222)-SUM(AY222:BD222)))</f>
        <v>0</v>
      </c>
      <c r="BI222" s="27" t="n">
        <f aca="false">MIN(AM221*(1+F$8),MAX(AY222,$B$12-SUM(BE222:BH222)-SUM(AZ222:BD222)))</f>
        <v>0</v>
      </c>
      <c r="BJ222" s="27" t="n">
        <f aca="false">MIN(AN221*(1+G$8),MAX(AZ222,$B$12-SUM(BE222:BI222)-SUM(BA222:BD222)))</f>
        <v>0</v>
      </c>
      <c r="BK222" s="27" t="n">
        <f aca="false">MIN(AO221*(1+H$8),MAX(BA222,$B$12-SUM(BE222:BJ222)-SUM(BB222:BD222)))</f>
        <v>0</v>
      </c>
      <c r="BL222" s="27" t="n">
        <f aca="false">MIN(AP221*(1+I$8),MAX(BB222,$B$12-SUM(BE222:BK222)-SUM(BC222:BD222)))</f>
        <v>0</v>
      </c>
      <c r="BM222" s="27" t="n">
        <f aca="false">MIN(AQ221*(1+J$8),MAX(BC222,$B$12-SUM(BE222:BL222)-SUM(BD222:BD222)))</f>
        <v>0</v>
      </c>
      <c r="BN222" s="27" t="n">
        <f aca="false">MIN(AR221*(1+K$8),MAX(BD222,$B$12-SUM(BE222:BM222)))</f>
        <v>0</v>
      </c>
    </row>
    <row r="223" customFormat="false" ht="15" hidden="false" customHeight="false" outlineLevel="0" collapsed="false">
      <c r="A223" s="0" t="n">
        <v>209</v>
      </c>
      <c r="B223" s="27" t="n">
        <f aca="false">ROUND(MAX(0,B222*(1+B$8)-X223),2)</f>
        <v>0</v>
      </c>
      <c r="C223" s="27" t="n">
        <f aca="false">ROUND(MAX(0,C222*(1+C$8)-Y223),2)</f>
        <v>0</v>
      </c>
      <c r="D223" s="27" t="n">
        <f aca="false">ROUND(MAX(0,D222*(1+D$8)-Z223),2)</f>
        <v>0</v>
      </c>
      <c r="E223" s="27" t="n">
        <f aca="false">ROUND(MAX(0,E222*(1+E$8)-AA223),2)</f>
        <v>0</v>
      </c>
      <c r="F223" s="27" t="n">
        <f aca="false">ROUND(MAX(0,F222*(1+F$8)-AB223),2)</f>
        <v>0</v>
      </c>
      <c r="G223" s="27" t="n">
        <f aca="false">ROUND(MAX(0,G222*(1+G$8)-AC223),2)</f>
        <v>0</v>
      </c>
      <c r="H223" s="27" t="n">
        <f aca="false">ROUND(MAX(0,H222*(1+H$8)-AD223),2)</f>
        <v>0</v>
      </c>
      <c r="I223" s="27" t="n">
        <f aca="false">ROUND(MAX(0,I222*(1+I$8)-AE223),2)</f>
        <v>0</v>
      </c>
      <c r="J223" s="27" t="n">
        <f aca="false">ROUND(MAX(0,J222*(1+J$8)-AF223),2)</f>
        <v>0</v>
      </c>
      <c r="K223" s="27" t="n">
        <f aca="false">ROUND(MAX(0,K222*(1+K$8)-AG223),2)</f>
        <v>0</v>
      </c>
      <c r="L223" s="30" t="n">
        <f aca="false">SUM(B223:K223)</f>
        <v>0</v>
      </c>
      <c r="M223" s="27" t="n">
        <f aca="false">SUMPRODUCT(B222:K222,$B$8:$K$8)</f>
        <v>0</v>
      </c>
      <c r="N223" s="27" t="n">
        <f aca="false">MIN(B222*(1+B$8),B$9)</f>
        <v>0</v>
      </c>
      <c r="O223" s="27" t="n">
        <f aca="false">MIN(C222*(1+C$8),C$9)</f>
        <v>0</v>
      </c>
      <c r="P223" s="27" t="n">
        <f aca="false">MIN(D222*(1+D$8),D$9)</f>
        <v>0</v>
      </c>
      <c r="Q223" s="27" t="n">
        <f aca="false">MIN(E222*(1+E$8),E$9)</f>
        <v>0</v>
      </c>
      <c r="R223" s="27" t="n">
        <f aca="false">MIN(F222*(1+F$8),F$9)</f>
        <v>0</v>
      </c>
      <c r="S223" s="27" t="n">
        <f aca="false">MIN(G222*(1+G$8),G$9)</f>
        <v>0</v>
      </c>
      <c r="T223" s="27" t="n">
        <f aca="false">MIN(H222*(1+H$8),H$9)</f>
        <v>0</v>
      </c>
      <c r="U223" s="27" t="n">
        <f aca="false">MIN(I222*(1+I$8),I$9)</f>
        <v>0</v>
      </c>
      <c r="V223" s="27" t="n">
        <f aca="false">MIN(J222*(1+J$8),J$9)</f>
        <v>0</v>
      </c>
      <c r="W223" s="27" t="n">
        <f aca="false">MIN(K222*(1+K$8),K$9)</f>
        <v>0</v>
      </c>
      <c r="X223" s="27" t="n">
        <f aca="false">MIN(B222*(1+B$8),MAX(N223,$B$11-SUM(O223:W223)))</f>
        <v>0</v>
      </c>
      <c r="Y223" s="27" t="n">
        <f aca="false">MIN(C222*(1+C$8),MAX(O223,$B$11-SUM(X223:X223)-SUM(P223:W223)))</f>
        <v>0</v>
      </c>
      <c r="Z223" s="27" t="n">
        <f aca="false">MIN(D222*(1+D$8),MAX(P223,$B$11-SUM(X223:Y223)-SUM(Q223:W223)))</f>
        <v>0</v>
      </c>
      <c r="AA223" s="27" t="n">
        <f aca="false">MIN(E222*(1+E$8),MAX(Q223,$B$11-SUM(X223:Z223)-SUM(R223:W223)))</f>
        <v>0</v>
      </c>
      <c r="AB223" s="27" t="n">
        <f aca="false">MIN(F222*(1+F$8),MAX(R223,$B$11-SUM(X223:AA223)-SUM(S223:W223)))</f>
        <v>0</v>
      </c>
      <c r="AC223" s="27" t="n">
        <f aca="false">MIN(G222*(1+G$8),MAX(S223,$B$11-SUM(X223:AB223)-SUM(T223:W223)))</f>
        <v>0</v>
      </c>
      <c r="AD223" s="27" t="n">
        <f aca="false">MIN(H222*(1+H$8),MAX(T223,$B$11-SUM(X223:AC223)-SUM(U223:W223)))</f>
        <v>0</v>
      </c>
      <c r="AE223" s="27" t="n">
        <f aca="false">MIN(I222*(1+I$8),MAX(U223,$B$11-SUM(X223:AD223)-SUM(V223:W223)))</f>
        <v>0</v>
      </c>
      <c r="AF223" s="27" t="n">
        <f aca="false">MIN(J222*(1+J$8),MAX(V223,$B$11-SUM(X223:AE223)-SUM(W223:W223)))</f>
        <v>0</v>
      </c>
      <c r="AG223" s="27" t="n">
        <f aca="false">MIN(K222*(1+K$8),MAX(W223,$B$11-SUM(X223:AF223)))</f>
        <v>0</v>
      </c>
      <c r="AI223" s="27" t="n">
        <f aca="false">ROUND(MAX(0,AI222*(1+B$8)-BE223),2)</f>
        <v>0</v>
      </c>
      <c r="AJ223" s="27" t="n">
        <f aca="false">ROUND(MAX(0,AJ222*(1+C$8)-BF223),2)</f>
        <v>0</v>
      </c>
      <c r="AK223" s="27" t="n">
        <f aca="false">ROUND(MAX(0,AK222*(1+D$8)-BG223),2)</f>
        <v>0</v>
      </c>
      <c r="AL223" s="27" t="n">
        <f aca="false">ROUND(MAX(0,AL222*(1+E$8)-BH223),2)</f>
        <v>0</v>
      </c>
      <c r="AM223" s="27" t="n">
        <f aca="false">ROUND(MAX(0,AM222*(1+F$8)-BI223),2)</f>
        <v>0</v>
      </c>
      <c r="AN223" s="27" t="n">
        <f aca="false">ROUND(MAX(0,AN222*(1+G$8)-BJ223),2)</f>
        <v>0</v>
      </c>
      <c r="AO223" s="27" t="n">
        <f aca="false">ROUND(MAX(0,AO222*(1+H$8)-BK223),2)</f>
        <v>0</v>
      </c>
      <c r="AP223" s="27" t="n">
        <f aca="false">ROUND(MAX(0,AP222*(1+I$8)-BL223),2)</f>
        <v>0</v>
      </c>
      <c r="AQ223" s="27" t="n">
        <f aca="false">ROUND(MAX(0,AQ222*(1+J$8)-BM223),2)</f>
        <v>0</v>
      </c>
      <c r="AR223" s="27" t="n">
        <f aca="false">ROUND(MAX(0,AR222*(1+K$8)-BN223),2)</f>
        <v>0</v>
      </c>
      <c r="AS223" s="27" t="n">
        <f aca="false">SUM(AI223:AR223)</f>
        <v>0</v>
      </c>
      <c r="AT223" s="27" t="n">
        <f aca="false">SUMPRODUCT(AI222:AR222,$B$8:$K$8)</f>
        <v>0</v>
      </c>
      <c r="AU223" s="27" t="n">
        <f aca="false">MIN(AI222*(1+B$8),B$9)</f>
        <v>0</v>
      </c>
      <c r="AV223" s="27" t="n">
        <f aca="false">MIN(AJ222*(1+C$8),C$9)</f>
        <v>0</v>
      </c>
      <c r="AW223" s="27" t="n">
        <f aca="false">MIN(AK222*(1+D$8),D$9)</f>
        <v>0</v>
      </c>
      <c r="AX223" s="27" t="n">
        <f aca="false">MIN(AL222*(1+E$8),E$9)</f>
        <v>0</v>
      </c>
      <c r="AY223" s="27" t="n">
        <f aca="false">MIN(AM222*(1+F$8),F$9)</f>
        <v>0</v>
      </c>
      <c r="AZ223" s="27" t="n">
        <f aca="false">MIN(AN222*(1+G$8),G$9)</f>
        <v>0</v>
      </c>
      <c r="BA223" s="27" t="n">
        <f aca="false">MIN(AO222*(1+H$8),H$9)</f>
        <v>0</v>
      </c>
      <c r="BB223" s="27" t="n">
        <f aca="false">MIN(AP222*(1+I$8),I$9)</f>
        <v>0</v>
      </c>
      <c r="BC223" s="27" t="n">
        <f aca="false">MIN(AQ222*(1+J$8),J$9)</f>
        <v>0</v>
      </c>
      <c r="BD223" s="27" t="n">
        <f aca="false">MIN(AR222*(1+K$8),K$9)</f>
        <v>0</v>
      </c>
      <c r="BE223" s="27" t="n">
        <f aca="false">MIN(AI222*(1+B$8),MAX(AU223,$B$12-SUM(AV223:BD223)))</f>
        <v>0</v>
      </c>
      <c r="BF223" s="27" t="n">
        <f aca="false">MIN(AJ222*(1+C$8),MAX(AV223,$B$12-SUM(BE223:BE223)-SUM(AW223:BD223)))</f>
        <v>0</v>
      </c>
      <c r="BG223" s="27" t="n">
        <f aca="false">MIN(AK222*(1+D$8),MAX(AW223,$B$12-SUM(BE223:BF223)-SUM(AX223:BD223)))</f>
        <v>0</v>
      </c>
      <c r="BH223" s="27" t="n">
        <f aca="false">MIN(AL222*(1+E$8),MAX(AX223,$B$12-SUM(BE223:BG223)-SUM(AY223:BD223)))</f>
        <v>0</v>
      </c>
      <c r="BI223" s="27" t="n">
        <f aca="false">MIN(AM222*(1+F$8),MAX(AY223,$B$12-SUM(BE223:BH223)-SUM(AZ223:BD223)))</f>
        <v>0</v>
      </c>
      <c r="BJ223" s="27" t="n">
        <f aca="false">MIN(AN222*(1+G$8),MAX(AZ223,$B$12-SUM(BE223:BI223)-SUM(BA223:BD223)))</f>
        <v>0</v>
      </c>
      <c r="BK223" s="27" t="n">
        <f aca="false">MIN(AO222*(1+H$8),MAX(BA223,$B$12-SUM(BE223:BJ223)-SUM(BB223:BD223)))</f>
        <v>0</v>
      </c>
      <c r="BL223" s="27" t="n">
        <f aca="false">MIN(AP222*(1+I$8),MAX(BB223,$B$12-SUM(BE223:BK223)-SUM(BC223:BD223)))</f>
        <v>0</v>
      </c>
      <c r="BM223" s="27" t="n">
        <f aca="false">MIN(AQ222*(1+J$8),MAX(BC223,$B$12-SUM(BE223:BL223)-SUM(BD223:BD223)))</f>
        <v>0</v>
      </c>
      <c r="BN223" s="27" t="n">
        <f aca="false">MIN(AR222*(1+K$8),MAX(BD223,$B$12-SUM(BE223:BM223)))</f>
        <v>0</v>
      </c>
    </row>
    <row r="224" customFormat="false" ht="15" hidden="false" customHeight="false" outlineLevel="0" collapsed="false">
      <c r="A224" s="0" t="n">
        <v>210</v>
      </c>
      <c r="B224" s="27" t="n">
        <f aca="false">ROUND(MAX(0,B223*(1+B$8)-X224),2)</f>
        <v>0</v>
      </c>
      <c r="C224" s="27" t="n">
        <f aca="false">ROUND(MAX(0,C223*(1+C$8)-Y224),2)</f>
        <v>0</v>
      </c>
      <c r="D224" s="27" t="n">
        <f aca="false">ROUND(MAX(0,D223*(1+D$8)-Z224),2)</f>
        <v>0</v>
      </c>
      <c r="E224" s="27" t="n">
        <f aca="false">ROUND(MAX(0,E223*(1+E$8)-AA224),2)</f>
        <v>0</v>
      </c>
      <c r="F224" s="27" t="n">
        <f aca="false">ROUND(MAX(0,F223*(1+F$8)-AB224),2)</f>
        <v>0</v>
      </c>
      <c r="G224" s="27" t="n">
        <f aca="false">ROUND(MAX(0,G223*(1+G$8)-AC224),2)</f>
        <v>0</v>
      </c>
      <c r="H224" s="27" t="n">
        <f aca="false">ROUND(MAX(0,H223*(1+H$8)-AD224),2)</f>
        <v>0</v>
      </c>
      <c r="I224" s="27" t="n">
        <f aca="false">ROUND(MAX(0,I223*(1+I$8)-AE224),2)</f>
        <v>0</v>
      </c>
      <c r="J224" s="27" t="n">
        <f aca="false">ROUND(MAX(0,J223*(1+J$8)-AF224),2)</f>
        <v>0</v>
      </c>
      <c r="K224" s="27" t="n">
        <f aca="false">ROUND(MAX(0,K223*(1+K$8)-AG224),2)</f>
        <v>0</v>
      </c>
      <c r="L224" s="30" t="n">
        <f aca="false">SUM(B224:K224)</f>
        <v>0</v>
      </c>
      <c r="M224" s="27" t="n">
        <f aca="false">SUMPRODUCT(B223:K223,$B$8:$K$8)</f>
        <v>0</v>
      </c>
      <c r="N224" s="27" t="n">
        <f aca="false">MIN(B223*(1+B$8),B$9)</f>
        <v>0</v>
      </c>
      <c r="O224" s="27" t="n">
        <f aca="false">MIN(C223*(1+C$8),C$9)</f>
        <v>0</v>
      </c>
      <c r="P224" s="27" t="n">
        <f aca="false">MIN(D223*(1+D$8),D$9)</f>
        <v>0</v>
      </c>
      <c r="Q224" s="27" t="n">
        <f aca="false">MIN(E223*(1+E$8),E$9)</f>
        <v>0</v>
      </c>
      <c r="R224" s="27" t="n">
        <f aca="false">MIN(F223*(1+F$8),F$9)</f>
        <v>0</v>
      </c>
      <c r="S224" s="27" t="n">
        <f aca="false">MIN(G223*(1+G$8),G$9)</f>
        <v>0</v>
      </c>
      <c r="T224" s="27" t="n">
        <f aca="false">MIN(H223*(1+H$8),H$9)</f>
        <v>0</v>
      </c>
      <c r="U224" s="27" t="n">
        <f aca="false">MIN(I223*(1+I$8),I$9)</f>
        <v>0</v>
      </c>
      <c r="V224" s="27" t="n">
        <f aca="false">MIN(J223*(1+J$8),J$9)</f>
        <v>0</v>
      </c>
      <c r="W224" s="27" t="n">
        <f aca="false">MIN(K223*(1+K$8),K$9)</f>
        <v>0</v>
      </c>
      <c r="X224" s="27" t="n">
        <f aca="false">MIN(B223*(1+B$8),MAX(N224,$B$11-SUM(O224:W224)))</f>
        <v>0</v>
      </c>
      <c r="Y224" s="27" t="n">
        <f aca="false">MIN(C223*(1+C$8),MAX(O224,$B$11-SUM(X224:X224)-SUM(P224:W224)))</f>
        <v>0</v>
      </c>
      <c r="Z224" s="27" t="n">
        <f aca="false">MIN(D223*(1+D$8),MAX(P224,$B$11-SUM(X224:Y224)-SUM(Q224:W224)))</f>
        <v>0</v>
      </c>
      <c r="AA224" s="27" t="n">
        <f aca="false">MIN(E223*(1+E$8),MAX(Q224,$B$11-SUM(X224:Z224)-SUM(R224:W224)))</f>
        <v>0</v>
      </c>
      <c r="AB224" s="27" t="n">
        <f aca="false">MIN(F223*(1+F$8),MAX(R224,$B$11-SUM(X224:AA224)-SUM(S224:W224)))</f>
        <v>0</v>
      </c>
      <c r="AC224" s="27" t="n">
        <f aca="false">MIN(G223*(1+G$8),MAX(S224,$B$11-SUM(X224:AB224)-SUM(T224:W224)))</f>
        <v>0</v>
      </c>
      <c r="AD224" s="27" t="n">
        <f aca="false">MIN(H223*(1+H$8),MAX(T224,$B$11-SUM(X224:AC224)-SUM(U224:W224)))</f>
        <v>0</v>
      </c>
      <c r="AE224" s="27" t="n">
        <f aca="false">MIN(I223*(1+I$8),MAX(U224,$B$11-SUM(X224:AD224)-SUM(V224:W224)))</f>
        <v>0</v>
      </c>
      <c r="AF224" s="27" t="n">
        <f aca="false">MIN(J223*(1+J$8),MAX(V224,$B$11-SUM(X224:AE224)-SUM(W224:W224)))</f>
        <v>0</v>
      </c>
      <c r="AG224" s="27" t="n">
        <f aca="false">MIN(K223*(1+K$8),MAX(W224,$B$11-SUM(X224:AF224)))</f>
        <v>0</v>
      </c>
      <c r="AI224" s="27" t="n">
        <f aca="false">ROUND(MAX(0,AI223*(1+B$8)-BE224),2)</f>
        <v>0</v>
      </c>
      <c r="AJ224" s="27" t="n">
        <f aca="false">ROUND(MAX(0,AJ223*(1+C$8)-BF224),2)</f>
        <v>0</v>
      </c>
      <c r="AK224" s="27" t="n">
        <f aca="false">ROUND(MAX(0,AK223*(1+D$8)-BG224),2)</f>
        <v>0</v>
      </c>
      <c r="AL224" s="27" t="n">
        <f aca="false">ROUND(MAX(0,AL223*(1+E$8)-BH224),2)</f>
        <v>0</v>
      </c>
      <c r="AM224" s="27" t="n">
        <f aca="false">ROUND(MAX(0,AM223*(1+F$8)-BI224),2)</f>
        <v>0</v>
      </c>
      <c r="AN224" s="27" t="n">
        <f aca="false">ROUND(MAX(0,AN223*(1+G$8)-BJ224),2)</f>
        <v>0</v>
      </c>
      <c r="AO224" s="27" t="n">
        <f aca="false">ROUND(MAX(0,AO223*(1+H$8)-BK224),2)</f>
        <v>0</v>
      </c>
      <c r="AP224" s="27" t="n">
        <f aca="false">ROUND(MAX(0,AP223*(1+I$8)-BL224),2)</f>
        <v>0</v>
      </c>
      <c r="AQ224" s="27" t="n">
        <f aca="false">ROUND(MAX(0,AQ223*(1+J$8)-BM224),2)</f>
        <v>0</v>
      </c>
      <c r="AR224" s="27" t="n">
        <f aca="false">ROUND(MAX(0,AR223*(1+K$8)-BN224),2)</f>
        <v>0</v>
      </c>
      <c r="AS224" s="27" t="n">
        <f aca="false">SUM(AI224:AR224)</f>
        <v>0</v>
      </c>
      <c r="AT224" s="27" t="n">
        <f aca="false">SUMPRODUCT(AI223:AR223,$B$8:$K$8)</f>
        <v>0</v>
      </c>
      <c r="AU224" s="27" t="n">
        <f aca="false">MIN(AI223*(1+B$8),B$9)</f>
        <v>0</v>
      </c>
      <c r="AV224" s="27" t="n">
        <f aca="false">MIN(AJ223*(1+C$8),C$9)</f>
        <v>0</v>
      </c>
      <c r="AW224" s="27" t="n">
        <f aca="false">MIN(AK223*(1+D$8),D$9)</f>
        <v>0</v>
      </c>
      <c r="AX224" s="27" t="n">
        <f aca="false">MIN(AL223*(1+E$8),E$9)</f>
        <v>0</v>
      </c>
      <c r="AY224" s="27" t="n">
        <f aca="false">MIN(AM223*(1+F$8),F$9)</f>
        <v>0</v>
      </c>
      <c r="AZ224" s="27" t="n">
        <f aca="false">MIN(AN223*(1+G$8),G$9)</f>
        <v>0</v>
      </c>
      <c r="BA224" s="27" t="n">
        <f aca="false">MIN(AO223*(1+H$8),H$9)</f>
        <v>0</v>
      </c>
      <c r="BB224" s="27" t="n">
        <f aca="false">MIN(AP223*(1+I$8),I$9)</f>
        <v>0</v>
      </c>
      <c r="BC224" s="27" t="n">
        <f aca="false">MIN(AQ223*(1+J$8),J$9)</f>
        <v>0</v>
      </c>
      <c r="BD224" s="27" t="n">
        <f aca="false">MIN(AR223*(1+K$8),K$9)</f>
        <v>0</v>
      </c>
      <c r="BE224" s="27" t="n">
        <f aca="false">MIN(AI223*(1+B$8),MAX(AU224,$B$12-SUM(AV224:BD224)))</f>
        <v>0</v>
      </c>
      <c r="BF224" s="27" t="n">
        <f aca="false">MIN(AJ223*(1+C$8),MAX(AV224,$B$12-SUM(BE224:BE224)-SUM(AW224:BD224)))</f>
        <v>0</v>
      </c>
      <c r="BG224" s="27" t="n">
        <f aca="false">MIN(AK223*(1+D$8),MAX(AW224,$B$12-SUM(BE224:BF224)-SUM(AX224:BD224)))</f>
        <v>0</v>
      </c>
      <c r="BH224" s="27" t="n">
        <f aca="false">MIN(AL223*(1+E$8),MAX(AX224,$B$12-SUM(BE224:BG224)-SUM(AY224:BD224)))</f>
        <v>0</v>
      </c>
      <c r="BI224" s="27" t="n">
        <f aca="false">MIN(AM223*(1+F$8),MAX(AY224,$B$12-SUM(BE224:BH224)-SUM(AZ224:BD224)))</f>
        <v>0</v>
      </c>
      <c r="BJ224" s="27" t="n">
        <f aca="false">MIN(AN223*(1+G$8),MAX(AZ224,$B$12-SUM(BE224:BI224)-SUM(BA224:BD224)))</f>
        <v>0</v>
      </c>
      <c r="BK224" s="27" t="n">
        <f aca="false">MIN(AO223*(1+H$8),MAX(BA224,$B$12-SUM(BE224:BJ224)-SUM(BB224:BD224)))</f>
        <v>0</v>
      </c>
      <c r="BL224" s="27" t="n">
        <f aca="false">MIN(AP223*(1+I$8),MAX(BB224,$B$12-SUM(BE224:BK224)-SUM(BC224:BD224)))</f>
        <v>0</v>
      </c>
      <c r="BM224" s="27" t="n">
        <f aca="false">MIN(AQ223*(1+J$8),MAX(BC224,$B$12-SUM(BE224:BL224)-SUM(BD224:BD224)))</f>
        <v>0</v>
      </c>
      <c r="BN224" s="27" t="n">
        <f aca="false">MIN(AR223*(1+K$8),MAX(BD224,$B$12-SUM(BE224:BM224)))</f>
        <v>0</v>
      </c>
    </row>
    <row r="225" customFormat="false" ht="15" hidden="false" customHeight="false" outlineLevel="0" collapsed="false">
      <c r="A225" s="0" t="n">
        <v>211</v>
      </c>
      <c r="B225" s="27" t="n">
        <f aca="false">ROUND(MAX(0,B224*(1+B$8)-X225),2)</f>
        <v>0</v>
      </c>
      <c r="C225" s="27" t="n">
        <f aca="false">ROUND(MAX(0,C224*(1+C$8)-Y225),2)</f>
        <v>0</v>
      </c>
      <c r="D225" s="27" t="n">
        <f aca="false">ROUND(MAX(0,D224*(1+D$8)-Z225),2)</f>
        <v>0</v>
      </c>
      <c r="E225" s="27" t="n">
        <f aca="false">ROUND(MAX(0,E224*(1+E$8)-AA225),2)</f>
        <v>0</v>
      </c>
      <c r="F225" s="27" t="n">
        <f aca="false">ROUND(MAX(0,F224*(1+F$8)-AB225),2)</f>
        <v>0</v>
      </c>
      <c r="G225" s="27" t="n">
        <f aca="false">ROUND(MAX(0,G224*(1+G$8)-AC225),2)</f>
        <v>0</v>
      </c>
      <c r="H225" s="27" t="n">
        <f aca="false">ROUND(MAX(0,H224*(1+H$8)-AD225),2)</f>
        <v>0</v>
      </c>
      <c r="I225" s="27" t="n">
        <f aca="false">ROUND(MAX(0,I224*(1+I$8)-AE225),2)</f>
        <v>0</v>
      </c>
      <c r="J225" s="27" t="n">
        <f aca="false">ROUND(MAX(0,J224*(1+J$8)-AF225),2)</f>
        <v>0</v>
      </c>
      <c r="K225" s="27" t="n">
        <f aca="false">ROUND(MAX(0,K224*(1+K$8)-AG225),2)</f>
        <v>0</v>
      </c>
      <c r="L225" s="30" t="n">
        <f aca="false">SUM(B225:K225)</f>
        <v>0</v>
      </c>
      <c r="M225" s="27" t="n">
        <f aca="false">SUMPRODUCT(B224:K224,$B$8:$K$8)</f>
        <v>0</v>
      </c>
      <c r="N225" s="27" t="n">
        <f aca="false">MIN(B224*(1+B$8),B$9)</f>
        <v>0</v>
      </c>
      <c r="O225" s="27" t="n">
        <f aca="false">MIN(C224*(1+C$8),C$9)</f>
        <v>0</v>
      </c>
      <c r="P225" s="27" t="n">
        <f aca="false">MIN(D224*(1+D$8),D$9)</f>
        <v>0</v>
      </c>
      <c r="Q225" s="27" t="n">
        <f aca="false">MIN(E224*(1+E$8),E$9)</f>
        <v>0</v>
      </c>
      <c r="R225" s="27" t="n">
        <f aca="false">MIN(F224*(1+F$8),F$9)</f>
        <v>0</v>
      </c>
      <c r="S225" s="27" t="n">
        <f aca="false">MIN(G224*(1+G$8),G$9)</f>
        <v>0</v>
      </c>
      <c r="T225" s="27" t="n">
        <f aca="false">MIN(H224*(1+H$8),H$9)</f>
        <v>0</v>
      </c>
      <c r="U225" s="27" t="n">
        <f aca="false">MIN(I224*(1+I$8),I$9)</f>
        <v>0</v>
      </c>
      <c r="V225" s="27" t="n">
        <f aca="false">MIN(J224*(1+J$8),J$9)</f>
        <v>0</v>
      </c>
      <c r="W225" s="27" t="n">
        <f aca="false">MIN(K224*(1+K$8),K$9)</f>
        <v>0</v>
      </c>
      <c r="X225" s="27" t="n">
        <f aca="false">MIN(B224*(1+B$8),MAX(N225,$B$11-SUM(O225:W225)))</f>
        <v>0</v>
      </c>
      <c r="Y225" s="27" t="n">
        <f aca="false">MIN(C224*(1+C$8),MAX(O225,$B$11-SUM(X225:X225)-SUM(P225:W225)))</f>
        <v>0</v>
      </c>
      <c r="Z225" s="27" t="n">
        <f aca="false">MIN(D224*(1+D$8),MAX(P225,$B$11-SUM(X225:Y225)-SUM(Q225:W225)))</f>
        <v>0</v>
      </c>
      <c r="AA225" s="27" t="n">
        <f aca="false">MIN(E224*(1+E$8),MAX(Q225,$B$11-SUM(X225:Z225)-SUM(R225:W225)))</f>
        <v>0</v>
      </c>
      <c r="AB225" s="27" t="n">
        <f aca="false">MIN(F224*(1+F$8),MAX(R225,$B$11-SUM(X225:AA225)-SUM(S225:W225)))</f>
        <v>0</v>
      </c>
      <c r="AC225" s="27" t="n">
        <f aca="false">MIN(G224*(1+G$8),MAX(S225,$B$11-SUM(X225:AB225)-SUM(T225:W225)))</f>
        <v>0</v>
      </c>
      <c r="AD225" s="27" t="n">
        <f aca="false">MIN(H224*(1+H$8),MAX(T225,$B$11-SUM(X225:AC225)-SUM(U225:W225)))</f>
        <v>0</v>
      </c>
      <c r="AE225" s="27" t="n">
        <f aca="false">MIN(I224*(1+I$8),MAX(U225,$B$11-SUM(X225:AD225)-SUM(V225:W225)))</f>
        <v>0</v>
      </c>
      <c r="AF225" s="27" t="n">
        <f aca="false">MIN(J224*(1+J$8),MAX(V225,$B$11-SUM(X225:AE225)-SUM(W225:W225)))</f>
        <v>0</v>
      </c>
      <c r="AG225" s="27" t="n">
        <f aca="false">MIN(K224*(1+K$8),MAX(W225,$B$11-SUM(X225:AF225)))</f>
        <v>0</v>
      </c>
      <c r="AI225" s="27" t="n">
        <f aca="false">ROUND(MAX(0,AI224*(1+B$8)-BE225),2)</f>
        <v>0</v>
      </c>
      <c r="AJ225" s="27" t="n">
        <f aca="false">ROUND(MAX(0,AJ224*(1+C$8)-BF225),2)</f>
        <v>0</v>
      </c>
      <c r="AK225" s="27" t="n">
        <f aca="false">ROUND(MAX(0,AK224*(1+D$8)-BG225),2)</f>
        <v>0</v>
      </c>
      <c r="AL225" s="27" t="n">
        <f aca="false">ROUND(MAX(0,AL224*(1+E$8)-BH225),2)</f>
        <v>0</v>
      </c>
      <c r="AM225" s="27" t="n">
        <f aca="false">ROUND(MAX(0,AM224*(1+F$8)-BI225),2)</f>
        <v>0</v>
      </c>
      <c r="AN225" s="27" t="n">
        <f aca="false">ROUND(MAX(0,AN224*(1+G$8)-BJ225),2)</f>
        <v>0</v>
      </c>
      <c r="AO225" s="27" t="n">
        <f aca="false">ROUND(MAX(0,AO224*(1+H$8)-BK225),2)</f>
        <v>0</v>
      </c>
      <c r="AP225" s="27" t="n">
        <f aca="false">ROUND(MAX(0,AP224*(1+I$8)-BL225),2)</f>
        <v>0</v>
      </c>
      <c r="AQ225" s="27" t="n">
        <f aca="false">ROUND(MAX(0,AQ224*(1+J$8)-BM225),2)</f>
        <v>0</v>
      </c>
      <c r="AR225" s="27" t="n">
        <f aca="false">ROUND(MAX(0,AR224*(1+K$8)-BN225),2)</f>
        <v>0</v>
      </c>
      <c r="AS225" s="27" t="n">
        <f aca="false">SUM(AI225:AR225)</f>
        <v>0</v>
      </c>
      <c r="AT225" s="27" t="n">
        <f aca="false">SUMPRODUCT(AI224:AR224,$B$8:$K$8)</f>
        <v>0</v>
      </c>
      <c r="AU225" s="27" t="n">
        <f aca="false">MIN(AI224*(1+B$8),B$9)</f>
        <v>0</v>
      </c>
      <c r="AV225" s="27" t="n">
        <f aca="false">MIN(AJ224*(1+C$8),C$9)</f>
        <v>0</v>
      </c>
      <c r="AW225" s="27" t="n">
        <f aca="false">MIN(AK224*(1+D$8),D$9)</f>
        <v>0</v>
      </c>
      <c r="AX225" s="27" t="n">
        <f aca="false">MIN(AL224*(1+E$8),E$9)</f>
        <v>0</v>
      </c>
      <c r="AY225" s="27" t="n">
        <f aca="false">MIN(AM224*(1+F$8),F$9)</f>
        <v>0</v>
      </c>
      <c r="AZ225" s="27" t="n">
        <f aca="false">MIN(AN224*(1+G$8),G$9)</f>
        <v>0</v>
      </c>
      <c r="BA225" s="27" t="n">
        <f aca="false">MIN(AO224*(1+H$8),H$9)</f>
        <v>0</v>
      </c>
      <c r="BB225" s="27" t="n">
        <f aca="false">MIN(AP224*(1+I$8),I$9)</f>
        <v>0</v>
      </c>
      <c r="BC225" s="27" t="n">
        <f aca="false">MIN(AQ224*(1+J$8),J$9)</f>
        <v>0</v>
      </c>
      <c r="BD225" s="27" t="n">
        <f aca="false">MIN(AR224*(1+K$8),K$9)</f>
        <v>0</v>
      </c>
      <c r="BE225" s="27" t="n">
        <f aca="false">MIN(AI224*(1+B$8),MAX(AU225,$B$12-SUM(AV225:BD225)))</f>
        <v>0</v>
      </c>
      <c r="BF225" s="27" t="n">
        <f aca="false">MIN(AJ224*(1+C$8),MAX(AV225,$B$12-SUM(BE225:BE225)-SUM(AW225:BD225)))</f>
        <v>0</v>
      </c>
      <c r="BG225" s="27" t="n">
        <f aca="false">MIN(AK224*(1+D$8),MAX(AW225,$B$12-SUM(BE225:BF225)-SUM(AX225:BD225)))</f>
        <v>0</v>
      </c>
      <c r="BH225" s="27" t="n">
        <f aca="false">MIN(AL224*(1+E$8),MAX(AX225,$B$12-SUM(BE225:BG225)-SUM(AY225:BD225)))</f>
        <v>0</v>
      </c>
      <c r="BI225" s="27" t="n">
        <f aca="false">MIN(AM224*(1+F$8),MAX(AY225,$B$12-SUM(BE225:BH225)-SUM(AZ225:BD225)))</f>
        <v>0</v>
      </c>
      <c r="BJ225" s="27" t="n">
        <f aca="false">MIN(AN224*(1+G$8),MAX(AZ225,$B$12-SUM(BE225:BI225)-SUM(BA225:BD225)))</f>
        <v>0</v>
      </c>
      <c r="BK225" s="27" t="n">
        <f aca="false">MIN(AO224*(1+H$8),MAX(BA225,$B$12-SUM(BE225:BJ225)-SUM(BB225:BD225)))</f>
        <v>0</v>
      </c>
      <c r="BL225" s="27" t="n">
        <f aca="false">MIN(AP224*(1+I$8),MAX(BB225,$B$12-SUM(BE225:BK225)-SUM(BC225:BD225)))</f>
        <v>0</v>
      </c>
      <c r="BM225" s="27" t="n">
        <f aca="false">MIN(AQ224*(1+J$8),MAX(BC225,$B$12-SUM(BE225:BL225)-SUM(BD225:BD225)))</f>
        <v>0</v>
      </c>
      <c r="BN225" s="27" t="n">
        <f aca="false">MIN(AR224*(1+K$8),MAX(BD225,$B$12-SUM(BE225:BM225)))</f>
        <v>0</v>
      </c>
    </row>
    <row r="226" customFormat="false" ht="15" hidden="false" customHeight="false" outlineLevel="0" collapsed="false">
      <c r="A226" s="0" t="n">
        <v>212</v>
      </c>
      <c r="B226" s="27" t="n">
        <f aca="false">ROUND(MAX(0,B225*(1+B$8)-X226),2)</f>
        <v>0</v>
      </c>
      <c r="C226" s="27" t="n">
        <f aca="false">ROUND(MAX(0,C225*(1+C$8)-Y226),2)</f>
        <v>0</v>
      </c>
      <c r="D226" s="27" t="n">
        <f aca="false">ROUND(MAX(0,D225*(1+D$8)-Z226),2)</f>
        <v>0</v>
      </c>
      <c r="E226" s="27" t="n">
        <f aca="false">ROUND(MAX(0,E225*(1+E$8)-AA226),2)</f>
        <v>0</v>
      </c>
      <c r="F226" s="27" t="n">
        <f aca="false">ROUND(MAX(0,F225*(1+F$8)-AB226),2)</f>
        <v>0</v>
      </c>
      <c r="G226" s="27" t="n">
        <f aca="false">ROUND(MAX(0,G225*(1+G$8)-AC226),2)</f>
        <v>0</v>
      </c>
      <c r="H226" s="27" t="n">
        <f aca="false">ROUND(MAX(0,H225*(1+H$8)-AD226),2)</f>
        <v>0</v>
      </c>
      <c r="I226" s="27" t="n">
        <f aca="false">ROUND(MAX(0,I225*(1+I$8)-AE226),2)</f>
        <v>0</v>
      </c>
      <c r="J226" s="27" t="n">
        <f aca="false">ROUND(MAX(0,J225*(1+J$8)-AF226),2)</f>
        <v>0</v>
      </c>
      <c r="K226" s="27" t="n">
        <f aca="false">ROUND(MAX(0,K225*(1+K$8)-AG226),2)</f>
        <v>0</v>
      </c>
      <c r="L226" s="30" t="n">
        <f aca="false">SUM(B226:K226)</f>
        <v>0</v>
      </c>
      <c r="M226" s="27" t="n">
        <f aca="false">SUMPRODUCT(B225:K225,$B$8:$K$8)</f>
        <v>0</v>
      </c>
      <c r="N226" s="27" t="n">
        <f aca="false">MIN(B225*(1+B$8),B$9)</f>
        <v>0</v>
      </c>
      <c r="O226" s="27" t="n">
        <f aca="false">MIN(C225*(1+C$8),C$9)</f>
        <v>0</v>
      </c>
      <c r="P226" s="27" t="n">
        <f aca="false">MIN(D225*(1+D$8),D$9)</f>
        <v>0</v>
      </c>
      <c r="Q226" s="27" t="n">
        <f aca="false">MIN(E225*(1+E$8),E$9)</f>
        <v>0</v>
      </c>
      <c r="R226" s="27" t="n">
        <f aca="false">MIN(F225*(1+F$8),F$9)</f>
        <v>0</v>
      </c>
      <c r="S226" s="27" t="n">
        <f aca="false">MIN(G225*(1+G$8),G$9)</f>
        <v>0</v>
      </c>
      <c r="T226" s="27" t="n">
        <f aca="false">MIN(H225*(1+H$8),H$9)</f>
        <v>0</v>
      </c>
      <c r="U226" s="27" t="n">
        <f aca="false">MIN(I225*(1+I$8),I$9)</f>
        <v>0</v>
      </c>
      <c r="V226" s="27" t="n">
        <f aca="false">MIN(J225*(1+J$8),J$9)</f>
        <v>0</v>
      </c>
      <c r="W226" s="27" t="n">
        <f aca="false">MIN(K225*(1+K$8),K$9)</f>
        <v>0</v>
      </c>
      <c r="X226" s="27" t="n">
        <f aca="false">MIN(B225*(1+B$8),MAX(N226,$B$11-SUM(O226:W226)))</f>
        <v>0</v>
      </c>
      <c r="Y226" s="27" t="n">
        <f aca="false">MIN(C225*(1+C$8),MAX(O226,$B$11-SUM(X226:X226)-SUM(P226:W226)))</f>
        <v>0</v>
      </c>
      <c r="Z226" s="27" t="n">
        <f aca="false">MIN(D225*(1+D$8),MAX(P226,$B$11-SUM(X226:Y226)-SUM(Q226:W226)))</f>
        <v>0</v>
      </c>
      <c r="AA226" s="27" t="n">
        <f aca="false">MIN(E225*(1+E$8),MAX(Q226,$B$11-SUM(X226:Z226)-SUM(R226:W226)))</f>
        <v>0</v>
      </c>
      <c r="AB226" s="27" t="n">
        <f aca="false">MIN(F225*(1+F$8),MAX(R226,$B$11-SUM(X226:AA226)-SUM(S226:W226)))</f>
        <v>0</v>
      </c>
      <c r="AC226" s="27" t="n">
        <f aca="false">MIN(G225*(1+G$8),MAX(S226,$B$11-SUM(X226:AB226)-SUM(T226:W226)))</f>
        <v>0</v>
      </c>
      <c r="AD226" s="27" t="n">
        <f aca="false">MIN(H225*(1+H$8),MAX(T226,$B$11-SUM(X226:AC226)-SUM(U226:W226)))</f>
        <v>0</v>
      </c>
      <c r="AE226" s="27" t="n">
        <f aca="false">MIN(I225*(1+I$8),MAX(U226,$B$11-SUM(X226:AD226)-SUM(V226:W226)))</f>
        <v>0</v>
      </c>
      <c r="AF226" s="27" t="n">
        <f aca="false">MIN(J225*(1+J$8),MAX(V226,$B$11-SUM(X226:AE226)-SUM(W226:W226)))</f>
        <v>0</v>
      </c>
      <c r="AG226" s="27" t="n">
        <f aca="false">MIN(K225*(1+K$8),MAX(W226,$B$11-SUM(X226:AF226)))</f>
        <v>0</v>
      </c>
      <c r="AI226" s="27" t="n">
        <f aca="false">ROUND(MAX(0,AI225*(1+B$8)-BE226),2)</f>
        <v>0</v>
      </c>
      <c r="AJ226" s="27" t="n">
        <f aca="false">ROUND(MAX(0,AJ225*(1+C$8)-BF226),2)</f>
        <v>0</v>
      </c>
      <c r="AK226" s="27" t="n">
        <f aca="false">ROUND(MAX(0,AK225*(1+D$8)-BG226),2)</f>
        <v>0</v>
      </c>
      <c r="AL226" s="27" t="n">
        <f aca="false">ROUND(MAX(0,AL225*(1+E$8)-BH226),2)</f>
        <v>0</v>
      </c>
      <c r="AM226" s="27" t="n">
        <f aca="false">ROUND(MAX(0,AM225*(1+F$8)-BI226),2)</f>
        <v>0</v>
      </c>
      <c r="AN226" s="27" t="n">
        <f aca="false">ROUND(MAX(0,AN225*(1+G$8)-BJ226),2)</f>
        <v>0</v>
      </c>
      <c r="AO226" s="27" t="n">
        <f aca="false">ROUND(MAX(0,AO225*(1+H$8)-BK226),2)</f>
        <v>0</v>
      </c>
      <c r="AP226" s="27" t="n">
        <f aca="false">ROUND(MAX(0,AP225*(1+I$8)-BL226),2)</f>
        <v>0</v>
      </c>
      <c r="AQ226" s="27" t="n">
        <f aca="false">ROUND(MAX(0,AQ225*(1+J$8)-BM226),2)</f>
        <v>0</v>
      </c>
      <c r="AR226" s="27" t="n">
        <f aca="false">ROUND(MAX(0,AR225*(1+K$8)-BN226),2)</f>
        <v>0</v>
      </c>
      <c r="AS226" s="27" t="n">
        <f aca="false">SUM(AI226:AR226)</f>
        <v>0</v>
      </c>
      <c r="AT226" s="27" t="n">
        <f aca="false">SUMPRODUCT(AI225:AR225,$B$8:$K$8)</f>
        <v>0</v>
      </c>
      <c r="AU226" s="27" t="n">
        <f aca="false">MIN(AI225*(1+B$8),B$9)</f>
        <v>0</v>
      </c>
      <c r="AV226" s="27" t="n">
        <f aca="false">MIN(AJ225*(1+C$8),C$9)</f>
        <v>0</v>
      </c>
      <c r="AW226" s="27" t="n">
        <f aca="false">MIN(AK225*(1+D$8),D$9)</f>
        <v>0</v>
      </c>
      <c r="AX226" s="27" t="n">
        <f aca="false">MIN(AL225*(1+E$8),E$9)</f>
        <v>0</v>
      </c>
      <c r="AY226" s="27" t="n">
        <f aca="false">MIN(AM225*(1+F$8),F$9)</f>
        <v>0</v>
      </c>
      <c r="AZ226" s="27" t="n">
        <f aca="false">MIN(AN225*(1+G$8),G$9)</f>
        <v>0</v>
      </c>
      <c r="BA226" s="27" t="n">
        <f aca="false">MIN(AO225*(1+H$8),H$9)</f>
        <v>0</v>
      </c>
      <c r="BB226" s="27" t="n">
        <f aca="false">MIN(AP225*(1+I$8),I$9)</f>
        <v>0</v>
      </c>
      <c r="BC226" s="27" t="n">
        <f aca="false">MIN(AQ225*(1+J$8),J$9)</f>
        <v>0</v>
      </c>
      <c r="BD226" s="27" t="n">
        <f aca="false">MIN(AR225*(1+K$8),K$9)</f>
        <v>0</v>
      </c>
      <c r="BE226" s="27" t="n">
        <f aca="false">MIN(AI225*(1+B$8),MAX(AU226,$B$12-SUM(AV226:BD226)))</f>
        <v>0</v>
      </c>
      <c r="BF226" s="27" t="n">
        <f aca="false">MIN(AJ225*(1+C$8),MAX(AV226,$B$12-SUM(BE226:BE226)-SUM(AW226:BD226)))</f>
        <v>0</v>
      </c>
      <c r="BG226" s="27" t="n">
        <f aca="false">MIN(AK225*(1+D$8),MAX(AW226,$B$12-SUM(BE226:BF226)-SUM(AX226:BD226)))</f>
        <v>0</v>
      </c>
      <c r="BH226" s="27" t="n">
        <f aca="false">MIN(AL225*(1+E$8),MAX(AX226,$B$12-SUM(BE226:BG226)-SUM(AY226:BD226)))</f>
        <v>0</v>
      </c>
      <c r="BI226" s="27" t="n">
        <f aca="false">MIN(AM225*(1+F$8),MAX(AY226,$B$12-SUM(BE226:BH226)-SUM(AZ226:BD226)))</f>
        <v>0</v>
      </c>
      <c r="BJ226" s="27" t="n">
        <f aca="false">MIN(AN225*(1+G$8),MAX(AZ226,$B$12-SUM(BE226:BI226)-SUM(BA226:BD226)))</f>
        <v>0</v>
      </c>
      <c r="BK226" s="27" t="n">
        <f aca="false">MIN(AO225*(1+H$8),MAX(BA226,$B$12-SUM(BE226:BJ226)-SUM(BB226:BD226)))</f>
        <v>0</v>
      </c>
      <c r="BL226" s="27" t="n">
        <f aca="false">MIN(AP225*(1+I$8),MAX(BB226,$B$12-SUM(BE226:BK226)-SUM(BC226:BD226)))</f>
        <v>0</v>
      </c>
      <c r="BM226" s="27" t="n">
        <f aca="false">MIN(AQ225*(1+J$8),MAX(BC226,$B$12-SUM(BE226:BL226)-SUM(BD226:BD226)))</f>
        <v>0</v>
      </c>
      <c r="BN226" s="27" t="n">
        <f aca="false">MIN(AR225*(1+K$8),MAX(BD226,$B$12-SUM(BE226:BM226)))</f>
        <v>0</v>
      </c>
    </row>
    <row r="227" customFormat="false" ht="15" hidden="false" customHeight="false" outlineLevel="0" collapsed="false">
      <c r="A227" s="0" t="n">
        <v>213</v>
      </c>
      <c r="B227" s="27" t="n">
        <f aca="false">ROUND(MAX(0,B226*(1+B$8)-X227),2)</f>
        <v>0</v>
      </c>
      <c r="C227" s="27" t="n">
        <f aca="false">ROUND(MAX(0,C226*(1+C$8)-Y227),2)</f>
        <v>0</v>
      </c>
      <c r="D227" s="27" t="n">
        <f aca="false">ROUND(MAX(0,D226*(1+D$8)-Z227),2)</f>
        <v>0</v>
      </c>
      <c r="E227" s="27" t="n">
        <f aca="false">ROUND(MAX(0,E226*(1+E$8)-AA227),2)</f>
        <v>0</v>
      </c>
      <c r="F227" s="27" t="n">
        <f aca="false">ROUND(MAX(0,F226*(1+F$8)-AB227),2)</f>
        <v>0</v>
      </c>
      <c r="G227" s="27" t="n">
        <f aca="false">ROUND(MAX(0,G226*(1+G$8)-AC227),2)</f>
        <v>0</v>
      </c>
      <c r="H227" s="27" t="n">
        <f aca="false">ROUND(MAX(0,H226*(1+H$8)-AD227),2)</f>
        <v>0</v>
      </c>
      <c r="I227" s="27" t="n">
        <f aca="false">ROUND(MAX(0,I226*(1+I$8)-AE227),2)</f>
        <v>0</v>
      </c>
      <c r="J227" s="27" t="n">
        <f aca="false">ROUND(MAX(0,J226*(1+J$8)-AF227),2)</f>
        <v>0</v>
      </c>
      <c r="K227" s="27" t="n">
        <f aca="false">ROUND(MAX(0,K226*(1+K$8)-AG227),2)</f>
        <v>0</v>
      </c>
      <c r="L227" s="30" t="n">
        <f aca="false">SUM(B227:K227)</f>
        <v>0</v>
      </c>
      <c r="M227" s="27" t="n">
        <f aca="false">SUMPRODUCT(B226:K226,$B$8:$K$8)</f>
        <v>0</v>
      </c>
      <c r="N227" s="27" t="n">
        <f aca="false">MIN(B226*(1+B$8),B$9)</f>
        <v>0</v>
      </c>
      <c r="O227" s="27" t="n">
        <f aca="false">MIN(C226*(1+C$8),C$9)</f>
        <v>0</v>
      </c>
      <c r="P227" s="27" t="n">
        <f aca="false">MIN(D226*(1+D$8),D$9)</f>
        <v>0</v>
      </c>
      <c r="Q227" s="27" t="n">
        <f aca="false">MIN(E226*(1+E$8),E$9)</f>
        <v>0</v>
      </c>
      <c r="R227" s="27" t="n">
        <f aca="false">MIN(F226*(1+F$8),F$9)</f>
        <v>0</v>
      </c>
      <c r="S227" s="27" t="n">
        <f aca="false">MIN(G226*(1+G$8),G$9)</f>
        <v>0</v>
      </c>
      <c r="T227" s="27" t="n">
        <f aca="false">MIN(H226*(1+H$8),H$9)</f>
        <v>0</v>
      </c>
      <c r="U227" s="27" t="n">
        <f aca="false">MIN(I226*(1+I$8),I$9)</f>
        <v>0</v>
      </c>
      <c r="V227" s="27" t="n">
        <f aca="false">MIN(J226*(1+J$8),J$9)</f>
        <v>0</v>
      </c>
      <c r="W227" s="27" t="n">
        <f aca="false">MIN(K226*(1+K$8),K$9)</f>
        <v>0</v>
      </c>
      <c r="X227" s="27" t="n">
        <f aca="false">MIN(B226*(1+B$8),MAX(N227,$B$11-SUM(O227:W227)))</f>
        <v>0</v>
      </c>
      <c r="Y227" s="27" t="n">
        <f aca="false">MIN(C226*(1+C$8),MAX(O227,$B$11-SUM(X227:X227)-SUM(P227:W227)))</f>
        <v>0</v>
      </c>
      <c r="Z227" s="27" t="n">
        <f aca="false">MIN(D226*(1+D$8),MAX(P227,$B$11-SUM(X227:Y227)-SUM(Q227:W227)))</f>
        <v>0</v>
      </c>
      <c r="AA227" s="27" t="n">
        <f aca="false">MIN(E226*(1+E$8),MAX(Q227,$B$11-SUM(X227:Z227)-SUM(R227:W227)))</f>
        <v>0</v>
      </c>
      <c r="AB227" s="27" t="n">
        <f aca="false">MIN(F226*(1+F$8),MAX(R227,$B$11-SUM(X227:AA227)-SUM(S227:W227)))</f>
        <v>0</v>
      </c>
      <c r="AC227" s="27" t="n">
        <f aca="false">MIN(G226*(1+G$8),MAX(S227,$B$11-SUM(X227:AB227)-SUM(T227:W227)))</f>
        <v>0</v>
      </c>
      <c r="AD227" s="27" t="n">
        <f aca="false">MIN(H226*(1+H$8),MAX(T227,$B$11-SUM(X227:AC227)-SUM(U227:W227)))</f>
        <v>0</v>
      </c>
      <c r="AE227" s="27" t="n">
        <f aca="false">MIN(I226*(1+I$8),MAX(U227,$B$11-SUM(X227:AD227)-SUM(V227:W227)))</f>
        <v>0</v>
      </c>
      <c r="AF227" s="27" t="n">
        <f aca="false">MIN(J226*(1+J$8),MAX(V227,$B$11-SUM(X227:AE227)-SUM(W227:W227)))</f>
        <v>0</v>
      </c>
      <c r="AG227" s="27" t="n">
        <f aca="false">MIN(K226*(1+K$8),MAX(W227,$B$11-SUM(X227:AF227)))</f>
        <v>0</v>
      </c>
      <c r="AI227" s="27" t="n">
        <f aca="false">ROUND(MAX(0,AI226*(1+B$8)-BE227),2)</f>
        <v>0</v>
      </c>
      <c r="AJ227" s="27" t="n">
        <f aca="false">ROUND(MAX(0,AJ226*(1+C$8)-BF227),2)</f>
        <v>0</v>
      </c>
      <c r="AK227" s="27" t="n">
        <f aca="false">ROUND(MAX(0,AK226*(1+D$8)-BG227),2)</f>
        <v>0</v>
      </c>
      <c r="AL227" s="27" t="n">
        <f aca="false">ROUND(MAX(0,AL226*(1+E$8)-BH227),2)</f>
        <v>0</v>
      </c>
      <c r="AM227" s="27" t="n">
        <f aca="false">ROUND(MAX(0,AM226*(1+F$8)-BI227),2)</f>
        <v>0</v>
      </c>
      <c r="AN227" s="27" t="n">
        <f aca="false">ROUND(MAX(0,AN226*(1+G$8)-BJ227),2)</f>
        <v>0</v>
      </c>
      <c r="AO227" s="27" t="n">
        <f aca="false">ROUND(MAX(0,AO226*(1+H$8)-BK227),2)</f>
        <v>0</v>
      </c>
      <c r="AP227" s="27" t="n">
        <f aca="false">ROUND(MAX(0,AP226*(1+I$8)-BL227),2)</f>
        <v>0</v>
      </c>
      <c r="AQ227" s="27" t="n">
        <f aca="false">ROUND(MAX(0,AQ226*(1+J$8)-BM227),2)</f>
        <v>0</v>
      </c>
      <c r="AR227" s="27" t="n">
        <f aca="false">ROUND(MAX(0,AR226*(1+K$8)-BN227),2)</f>
        <v>0</v>
      </c>
      <c r="AS227" s="27" t="n">
        <f aca="false">SUM(AI227:AR227)</f>
        <v>0</v>
      </c>
      <c r="AT227" s="27" t="n">
        <f aca="false">SUMPRODUCT(AI226:AR226,$B$8:$K$8)</f>
        <v>0</v>
      </c>
      <c r="AU227" s="27" t="n">
        <f aca="false">MIN(AI226*(1+B$8),B$9)</f>
        <v>0</v>
      </c>
      <c r="AV227" s="27" t="n">
        <f aca="false">MIN(AJ226*(1+C$8),C$9)</f>
        <v>0</v>
      </c>
      <c r="AW227" s="27" t="n">
        <f aca="false">MIN(AK226*(1+D$8),D$9)</f>
        <v>0</v>
      </c>
      <c r="AX227" s="27" t="n">
        <f aca="false">MIN(AL226*(1+E$8),E$9)</f>
        <v>0</v>
      </c>
      <c r="AY227" s="27" t="n">
        <f aca="false">MIN(AM226*(1+F$8),F$9)</f>
        <v>0</v>
      </c>
      <c r="AZ227" s="27" t="n">
        <f aca="false">MIN(AN226*(1+G$8),G$9)</f>
        <v>0</v>
      </c>
      <c r="BA227" s="27" t="n">
        <f aca="false">MIN(AO226*(1+H$8),H$9)</f>
        <v>0</v>
      </c>
      <c r="BB227" s="27" t="n">
        <f aca="false">MIN(AP226*(1+I$8),I$9)</f>
        <v>0</v>
      </c>
      <c r="BC227" s="27" t="n">
        <f aca="false">MIN(AQ226*(1+J$8),J$9)</f>
        <v>0</v>
      </c>
      <c r="BD227" s="27" t="n">
        <f aca="false">MIN(AR226*(1+K$8),K$9)</f>
        <v>0</v>
      </c>
      <c r="BE227" s="27" t="n">
        <f aca="false">MIN(AI226*(1+B$8),MAX(AU227,$B$12-SUM(AV227:BD227)))</f>
        <v>0</v>
      </c>
      <c r="BF227" s="27" t="n">
        <f aca="false">MIN(AJ226*(1+C$8),MAX(AV227,$B$12-SUM(BE227:BE227)-SUM(AW227:BD227)))</f>
        <v>0</v>
      </c>
      <c r="BG227" s="27" t="n">
        <f aca="false">MIN(AK226*(1+D$8),MAX(AW227,$B$12-SUM(BE227:BF227)-SUM(AX227:BD227)))</f>
        <v>0</v>
      </c>
      <c r="BH227" s="27" t="n">
        <f aca="false">MIN(AL226*(1+E$8),MAX(AX227,$B$12-SUM(BE227:BG227)-SUM(AY227:BD227)))</f>
        <v>0</v>
      </c>
      <c r="BI227" s="27" t="n">
        <f aca="false">MIN(AM226*(1+F$8),MAX(AY227,$B$12-SUM(BE227:BH227)-SUM(AZ227:BD227)))</f>
        <v>0</v>
      </c>
      <c r="BJ227" s="27" t="n">
        <f aca="false">MIN(AN226*(1+G$8),MAX(AZ227,$B$12-SUM(BE227:BI227)-SUM(BA227:BD227)))</f>
        <v>0</v>
      </c>
      <c r="BK227" s="27" t="n">
        <f aca="false">MIN(AO226*(1+H$8),MAX(BA227,$B$12-SUM(BE227:BJ227)-SUM(BB227:BD227)))</f>
        <v>0</v>
      </c>
      <c r="BL227" s="27" t="n">
        <f aca="false">MIN(AP226*(1+I$8),MAX(BB227,$B$12-SUM(BE227:BK227)-SUM(BC227:BD227)))</f>
        <v>0</v>
      </c>
      <c r="BM227" s="27" t="n">
        <f aca="false">MIN(AQ226*(1+J$8),MAX(BC227,$B$12-SUM(BE227:BL227)-SUM(BD227:BD227)))</f>
        <v>0</v>
      </c>
      <c r="BN227" s="27" t="n">
        <f aca="false">MIN(AR226*(1+K$8),MAX(BD227,$B$12-SUM(BE227:BM227)))</f>
        <v>0</v>
      </c>
    </row>
    <row r="228" customFormat="false" ht="15" hidden="false" customHeight="false" outlineLevel="0" collapsed="false">
      <c r="A228" s="0" t="n">
        <v>214</v>
      </c>
      <c r="B228" s="27" t="n">
        <f aca="false">ROUND(MAX(0,B227*(1+B$8)-X228),2)</f>
        <v>0</v>
      </c>
      <c r="C228" s="27" t="n">
        <f aca="false">ROUND(MAX(0,C227*(1+C$8)-Y228),2)</f>
        <v>0</v>
      </c>
      <c r="D228" s="27" t="n">
        <f aca="false">ROUND(MAX(0,D227*(1+D$8)-Z228),2)</f>
        <v>0</v>
      </c>
      <c r="E228" s="27" t="n">
        <f aca="false">ROUND(MAX(0,E227*(1+E$8)-AA228),2)</f>
        <v>0</v>
      </c>
      <c r="F228" s="27" t="n">
        <f aca="false">ROUND(MAX(0,F227*(1+F$8)-AB228),2)</f>
        <v>0</v>
      </c>
      <c r="G228" s="27" t="n">
        <f aca="false">ROUND(MAX(0,G227*(1+G$8)-AC228),2)</f>
        <v>0</v>
      </c>
      <c r="H228" s="27" t="n">
        <f aca="false">ROUND(MAX(0,H227*(1+H$8)-AD228),2)</f>
        <v>0</v>
      </c>
      <c r="I228" s="27" t="n">
        <f aca="false">ROUND(MAX(0,I227*(1+I$8)-AE228),2)</f>
        <v>0</v>
      </c>
      <c r="J228" s="27" t="n">
        <f aca="false">ROUND(MAX(0,J227*(1+J$8)-AF228),2)</f>
        <v>0</v>
      </c>
      <c r="K228" s="27" t="n">
        <f aca="false">ROUND(MAX(0,K227*(1+K$8)-AG228),2)</f>
        <v>0</v>
      </c>
      <c r="L228" s="30" t="n">
        <f aca="false">SUM(B228:K228)</f>
        <v>0</v>
      </c>
      <c r="M228" s="27" t="n">
        <f aca="false">SUMPRODUCT(B227:K227,$B$8:$K$8)</f>
        <v>0</v>
      </c>
      <c r="N228" s="27" t="n">
        <f aca="false">MIN(B227*(1+B$8),B$9)</f>
        <v>0</v>
      </c>
      <c r="O228" s="27" t="n">
        <f aca="false">MIN(C227*(1+C$8),C$9)</f>
        <v>0</v>
      </c>
      <c r="P228" s="27" t="n">
        <f aca="false">MIN(D227*(1+D$8),D$9)</f>
        <v>0</v>
      </c>
      <c r="Q228" s="27" t="n">
        <f aca="false">MIN(E227*(1+E$8),E$9)</f>
        <v>0</v>
      </c>
      <c r="R228" s="27" t="n">
        <f aca="false">MIN(F227*(1+F$8),F$9)</f>
        <v>0</v>
      </c>
      <c r="S228" s="27" t="n">
        <f aca="false">MIN(G227*(1+G$8),G$9)</f>
        <v>0</v>
      </c>
      <c r="T228" s="27" t="n">
        <f aca="false">MIN(H227*(1+H$8),H$9)</f>
        <v>0</v>
      </c>
      <c r="U228" s="27" t="n">
        <f aca="false">MIN(I227*(1+I$8),I$9)</f>
        <v>0</v>
      </c>
      <c r="V228" s="27" t="n">
        <f aca="false">MIN(J227*(1+J$8),J$9)</f>
        <v>0</v>
      </c>
      <c r="W228" s="27" t="n">
        <f aca="false">MIN(K227*(1+K$8),K$9)</f>
        <v>0</v>
      </c>
      <c r="X228" s="27" t="n">
        <f aca="false">MIN(B227*(1+B$8),MAX(N228,$B$11-SUM(O228:W228)))</f>
        <v>0</v>
      </c>
      <c r="Y228" s="27" t="n">
        <f aca="false">MIN(C227*(1+C$8),MAX(O228,$B$11-SUM(X228:X228)-SUM(P228:W228)))</f>
        <v>0</v>
      </c>
      <c r="Z228" s="27" t="n">
        <f aca="false">MIN(D227*(1+D$8),MAX(P228,$B$11-SUM(X228:Y228)-SUM(Q228:W228)))</f>
        <v>0</v>
      </c>
      <c r="AA228" s="27" t="n">
        <f aca="false">MIN(E227*(1+E$8),MAX(Q228,$B$11-SUM(X228:Z228)-SUM(R228:W228)))</f>
        <v>0</v>
      </c>
      <c r="AB228" s="27" t="n">
        <f aca="false">MIN(F227*(1+F$8),MAX(R228,$B$11-SUM(X228:AA228)-SUM(S228:W228)))</f>
        <v>0</v>
      </c>
      <c r="AC228" s="27" t="n">
        <f aca="false">MIN(G227*(1+G$8),MAX(S228,$B$11-SUM(X228:AB228)-SUM(T228:W228)))</f>
        <v>0</v>
      </c>
      <c r="AD228" s="27" t="n">
        <f aca="false">MIN(H227*(1+H$8),MAX(T228,$B$11-SUM(X228:AC228)-SUM(U228:W228)))</f>
        <v>0</v>
      </c>
      <c r="AE228" s="27" t="n">
        <f aca="false">MIN(I227*(1+I$8),MAX(U228,$B$11-SUM(X228:AD228)-SUM(V228:W228)))</f>
        <v>0</v>
      </c>
      <c r="AF228" s="27" t="n">
        <f aca="false">MIN(J227*(1+J$8),MAX(V228,$B$11-SUM(X228:AE228)-SUM(W228:W228)))</f>
        <v>0</v>
      </c>
      <c r="AG228" s="27" t="n">
        <f aca="false">MIN(K227*(1+K$8),MAX(W228,$B$11-SUM(X228:AF228)))</f>
        <v>0</v>
      </c>
      <c r="AI228" s="27" t="n">
        <f aca="false">ROUND(MAX(0,AI227*(1+B$8)-BE228),2)</f>
        <v>0</v>
      </c>
      <c r="AJ228" s="27" t="n">
        <f aca="false">ROUND(MAX(0,AJ227*(1+C$8)-BF228),2)</f>
        <v>0</v>
      </c>
      <c r="AK228" s="27" t="n">
        <f aca="false">ROUND(MAX(0,AK227*(1+D$8)-BG228),2)</f>
        <v>0</v>
      </c>
      <c r="AL228" s="27" t="n">
        <f aca="false">ROUND(MAX(0,AL227*(1+E$8)-BH228),2)</f>
        <v>0</v>
      </c>
      <c r="AM228" s="27" t="n">
        <f aca="false">ROUND(MAX(0,AM227*(1+F$8)-BI228),2)</f>
        <v>0</v>
      </c>
      <c r="AN228" s="27" t="n">
        <f aca="false">ROUND(MAX(0,AN227*(1+G$8)-BJ228),2)</f>
        <v>0</v>
      </c>
      <c r="AO228" s="27" t="n">
        <f aca="false">ROUND(MAX(0,AO227*(1+H$8)-BK228),2)</f>
        <v>0</v>
      </c>
      <c r="AP228" s="27" t="n">
        <f aca="false">ROUND(MAX(0,AP227*(1+I$8)-BL228),2)</f>
        <v>0</v>
      </c>
      <c r="AQ228" s="27" t="n">
        <f aca="false">ROUND(MAX(0,AQ227*(1+J$8)-BM228),2)</f>
        <v>0</v>
      </c>
      <c r="AR228" s="27" t="n">
        <f aca="false">ROUND(MAX(0,AR227*(1+K$8)-BN228),2)</f>
        <v>0</v>
      </c>
      <c r="AS228" s="27" t="n">
        <f aca="false">SUM(AI228:AR228)</f>
        <v>0</v>
      </c>
      <c r="AT228" s="27" t="n">
        <f aca="false">SUMPRODUCT(AI227:AR227,$B$8:$K$8)</f>
        <v>0</v>
      </c>
      <c r="AU228" s="27" t="n">
        <f aca="false">MIN(AI227*(1+B$8),B$9)</f>
        <v>0</v>
      </c>
      <c r="AV228" s="27" t="n">
        <f aca="false">MIN(AJ227*(1+C$8),C$9)</f>
        <v>0</v>
      </c>
      <c r="AW228" s="27" t="n">
        <f aca="false">MIN(AK227*(1+D$8),D$9)</f>
        <v>0</v>
      </c>
      <c r="AX228" s="27" t="n">
        <f aca="false">MIN(AL227*(1+E$8),E$9)</f>
        <v>0</v>
      </c>
      <c r="AY228" s="27" t="n">
        <f aca="false">MIN(AM227*(1+F$8),F$9)</f>
        <v>0</v>
      </c>
      <c r="AZ228" s="27" t="n">
        <f aca="false">MIN(AN227*(1+G$8),G$9)</f>
        <v>0</v>
      </c>
      <c r="BA228" s="27" t="n">
        <f aca="false">MIN(AO227*(1+H$8),H$9)</f>
        <v>0</v>
      </c>
      <c r="BB228" s="27" t="n">
        <f aca="false">MIN(AP227*(1+I$8),I$9)</f>
        <v>0</v>
      </c>
      <c r="BC228" s="27" t="n">
        <f aca="false">MIN(AQ227*(1+J$8),J$9)</f>
        <v>0</v>
      </c>
      <c r="BD228" s="27" t="n">
        <f aca="false">MIN(AR227*(1+K$8),K$9)</f>
        <v>0</v>
      </c>
      <c r="BE228" s="27" t="n">
        <f aca="false">MIN(AI227*(1+B$8),MAX(AU228,$B$12-SUM(AV228:BD228)))</f>
        <v>0</v>
      </c>
      <c r="BF228" s="27" t="n">
        <f aca="false">MIN(AJ227*(1+C$8),MAX(AV228,$B$12-SUM(BE228:BE228)-SUM(AW228:BD228)))</f>
        <v>0</v>
      </c>
      <c r="BG228" s="27" t="n">
        <f aca="false">MIN(AK227*(1+D$8),MAX(AW228,$B$12-SUM(BE228:BF228)-SUM(AX228:BD228)))</f>
        <v>0</v>
      </c>
      <c r="BH228" s="27" t="n">
        <f aca="false">MIN(AL227*(1+E$8),MAX(AX228,$B$12-SUM(BE228:BG228)-SUM(AY228:BD228)))</f>
        <v>0</v>
      </c>
      <c r="BI228" s="27" t="n">
        <f aca="false">MIN(AM227*(1+F$8),MAX(AY228,$B$12-SUM(BE228:BH228)-SUM(AZ228:BD228)))</f>
        <v>0</v>
      </c>
      <c r="BJ228" s="27" t="n">
        <f aca="false">MIN(AN227*(1+G$8),MAX(AZ228,$B$12-SUM(BE228:BI228)-SUM(BA228:BD228)))</f>
        <v>0</v>
      </c>
      <c r="BK228" s="27" t="n">
        <f aca="false">MIN(AO227*(1+H$8),MAX(BA228,$B$12-SUM(BE228:BJ228)-SUM(BB228:BD228)))</f>
        <v>0</v>
      </c>
      <c r="BL228" s="27" t="n">
        <f aca="false">MIN(AP227*(1+I$8),MAX(BB228,$B$12-SUM(BE228:BK228)-SUM(BC228:BD228)))</f>
        <v>0</v>
      </c>
      <c r="BM228" s="27" t="n">
        <f aca="false">MIN(AQ227*(1+J$8),MAX(BC228,$B$12-SUM(BE228:BL228)-SUM(BD228:BD228)))</f>
        <v>0</v>
      </c>
      <c r="BN228" s="27" t="n">
        <f aca="false">MIN(AR227*(1+K$8),MAX(BD228,$B$12-SUM(BE228:BM228)))</f>
        <v>0</v>
      </c>
    </row>
    <row r="229" customFormat="false" ht="15" hidden="false" customHeight="false" outlineLevel="0" collapsed="false">
      <c r="A229" s="0" t="n">
        <v>215</v>
      </c>
      <c r="B229" s="27" t="n">
        <f aca="false">ROUND(MAX(0,B228*(1+B$8)-X229),2)</f>
        <v>0</v>
      </c>
      <c r="C229" s="27" t="n">
        <f aca="false">ROUND(MAX(0,C228*(1+C$8)-Y229),2)</f>
        <v>0</v>
      </c>
      <c r="D229" s="27" t="n">
        <f aca="false">ROUND(MAX(0,D228*(1+D$8)-Z229),2)</f>
        <v>0</v>
      </c>
      <c r="E229" s="27" t="n">
        <f aca="false">ROUND(MAX(0,E228*(1+E$8)-AA229),2)</f>
        <v>0</v>
      </c>
      <c r="F229" s="27" t="n">
        <f aca="false">ROUND(MAX(0,F228*(1+F$8)-AB229),2)</f>
        <v>0</v>
      </c>
      <c r="G229" s="27" t="n">
        <f aca="false">ROUND(MAX(0,G228*(1+G$8)-AC229),2)</f>
        <v>0</v>
      </c>
      <c r="H229" s="27" t="n">
        <f aca="false">ROUND(MAX(0,H228*(1+H$8)-AD229),2)</f>
        <v>0</v>
      </c>
      <c r="I229" s="27" t="n">
        <f aca="false">ROUND(MAX(0,I228*(1+I$8)-AE229),2)</f>
        <v>0</v>
      </c>
      <c r="J229" s="27" t="n">
        <f aca="false">ROUND(MAX(0,J228*(1+J$8)-AF229),2)</f>
        <v>0</v>
      </c>
      <c r="K229" s="27" t="n">
        <f aca="false">ROUND(MAX(0,K228*(1+K$8)-AG229),2)</f>
        <v>0</v>
      </c>
      <c r="L229" s="30" t="n">
        <f aca="false">SUM(B229:K229)</f>
        <v>0</v>
      </c>
      <c r="M229" s="27" t="n">
        <f aca="false">SUMPRODUCT(B228:K228,$B$8:$K$8)</f>
        <v>0</v>
      </c>
      <c r="N229" s="27" t="n">
        <f aca="false">MIN(B228*(1+B$8),B$9)</f>
        <v>0</v>
      </c>
      <c r="O229" s="27" t="n">
        <f aca="false">MIN(C228*(1+C$8),C$9)</f>
        <v>0</v>
      </c>
      <c r="P229" s="27" t="n">
        <f aca="false">MIN(D228*(1+D$8),D$9)</f>
        <v>0</v>
      </c>
      <c r="Q229" s="27" t="n">
        <f aca="false">MIN(E228*(1+E$8),E$9)</f>
        <v>0</v>
      </c>
      <c r="R229" s="27" t="n">
        <f aca="false">MIN(F228*(1+F$8),F$9)</f>
        <v>0</v>
      </c>
      <c r="S229" s="27" t="n">
        <f aca="false">MIN(G228*(1+G$8),G$9)</f>
        <v>0</v>
      </c>
      <c r="T229" s="27" t="n">
        <f aca="false">MIN(H228*(1+H$8),H$9)</f>
        <v>0</v>
      </c>
      <c r="U229" s="27" t="n">
        <f aca="false">MIN(I228*(1+I$8),I$9)</f>
        <v>0</v>
      </c>
      <c r="V229" s="27" t="n">
        <f aca="false">MIN(J228*(1+J$8),J$9)</f>
        <v>0</v>
      </c>
      <c r="W229" s="27" t="n">
        <f aca="false">MIN(K228*(1+K$8),K$9)</f>
        <v>0</v>
      </c>
      <c r="X229" s="27" t="n">
        <f aca="false">MIN(B228*(1+B$8),MAX(N229,$B$11-SUM(O229:W229)))</f>
        <v>0</v>
      </c>
      <c r="Y229" s="27" t="n">
        <f aca="false">MIN(C228*(1+C$8),MAX(O229,$B$11-SUM(X229:X229)-SUM(P229:W229)))</f>
        <v>0</v>
      </c>
      <c r="Z229" s="27" t="n">
        <f aca="false">MIN(D228*(1+D$8),MAX(P229,$B$11-SUM(X229:Y229)-SUM(Q229:W229)))</f>
        <v>0</v>
      </c>
      <c r="AA229" s="27" t="n">
        <f aca="false">MIN(E228*(1+E$8),MAX(Q229,$B$11-SUM(X229:Z229)-SUM(R229:W229)))</f>
        <v>0</v>
      </c>
      <c r="AB229" s="27" t="n">
        <f aca="false">MIN(F228*(1+F$8),MAX(R229,$B$11-SUM(X229:AA229)-SUM(S229:W229)))</f>
        <v>0</v>
      </c>
      <c r="AC229" s="27" t="n">
        <f aca="false">MIN(G228*(1+G$8),MAX(S229,$B$11-SUM(X229:AB229)-SUM(T229:W229)))</f>
        <v>0</v>
      </c>
      <c r="AD229" s="27" t="n">
        <f aca="false">MIN(H228*(1+H$8),MAX(T229,$B$11-SUM(X229:AC229)-SUM(U229:W229)))</f>
        <v>0</v>
      </c>
      <c r="AE229" s="27" t="n">
        <f aca="false">MIN(I228*(1+I$8),MAX(U229,$B$11-SUM(X229:AD229)-SUM(V229:W229)))</f>
        <v>0</v>
      </c>
      <c r="AF229" s="27" t="n">
        <f aca="false">MIN(J228*(1+J$8),MAX(V229,$B$11-SUM(X229:AE229)-SUM(W229:W229)))</f>
        <v>0</v>
      </c>
      <c r="AG229" s="27" t="n">
        <f aca="false">MIN(K228*(1+K$8),MAX(W229,$B$11-SUM(X229:AF229)))</f>
        <v>0</v>
      </c>
      <c r="AI229" s="27" t="n">
        <f aca="false">ROUND(MAX(0,AI228*(1+B$8)-BE229),2)</f>
        <v>0</v>
      </c>
      <c r="AJ229" s="27" t="n">
        <f aca="false">ROUND(MAX(0,AJ228*(1+C$8)-BF229),2)</f>
        <v>0</v>
      </c>
      <c r="AK229" s="27" t="n">
        <f aca="false">ROUND(MAX(0,AK228*(1+D$8)-BG229),2)</f>
        <v>0</v>
      </c>
      <c r="AL229" s="27" t="n">
        <f aca="false">ROUND(MAX(0,AL228*(1+E$8)-BH229),2)</f>
        <v>0</v>
      </c>
      <c r="AM229" s="27" t="n">
        <f aca="false">ROUND(MAX(0,AM228*(1+F$8)-BI229),2)</f>
        <v>0</v>
      </c>
      <c r="AN229" s="27" t="n">
        <f aca="false">ROUND(MAX(0,AN228*(1+G$8)-BJ229),2)</f>
        <v>0</v>
      </c>
      <c r="AO229" s="27" t="n">
        <f aca="false">ROUND(MAX(0,AO228*(1+H$8)-BK229),2)</f>
        <v>0</v>
      </c>
      <c r="AP229" s="27" t="n">
        <f aca="false">ROUND(MAX(0,AP228*(1+I$8)-BL229),2)</f>
        <v>0</v>
      </c>
      <c r="AQ229" s="27" t="n">
        <f aca="false">ROUND(MAX(0,AQ228*(1+J$8)-BM229),2)</f>
        <v>0</v>
      </c>
      <c r="AR229" s="27" t="n">
        <f aca="false">ROUND(MAX(0,AR228*(1+K$8)-BN229),2)</f>
        <v>0</v>
      </c>
      <c r="AS229" s="27" t="n">
        <f aca="false">SUM(AI229:AR229)</f>
        <v>0</v>
      </c>
      <c r="AT229" s="27" t="n">
        <f aca="false">SUMPRODUCT(AI228:AR228,$B$8:$K$8)</f>
        <v>0</v>
      </c>
      <c r="AU229" s="27" t="n">
        <f aca="false">MIN(AI228*(1+B$8),B$9)</f>
        <v>0</v>
      </c>
      <c r="AV229" s="27" t="n">
        <f aca="false">MIN(AJ228*(1+C$8),C$9)</f>
        <v>0</v>
      </c>
      <c r="AW229" s="27" t="n">
        <f aca="false">MIN(AK228*(1+D$8),D$9)</f>
        <v>0</v>
      </c>
      <c r="AX229" s="27" t="n">
        <f aca="false">MIN(AL228*(1+E$8),E$9)</f>
        <v>0</v>
      </c>
      <c r="AY229" s="27" t="n">
        <f aca="false">MIN(AM228*(1+F$8),F$9)</f>
        <v>0</v>
      </c>
      <c r="AZ229" s="27" t="n">
        <f aca="false">MIN(AN228*(1+G$8),G$9)</f>
        <v>0</v>
      </c>
      <c r="BA229" s="27" t="n">
        <f aca="false">MIN(AO228*(1+H$8),H$9)</f>
        <v>0</v>
      </c>
      <c r="BB229" s="27" t="n">
        <f aca="false">MIN(AP228*(1+I$8),I$9)</f>
        <v>0</v>
      </c>
      <c r="BC229" s="27" t="n">
        <f aca="false">MIN(AQ228*(1+J$8),J$9)</f>
        <v>0</v>
      </c>
      <c r="BD229" s="27" t="n">
        <f aca="false">MIN(AR228*(1+K$8),K$9)</f>
        <v>0</v>
      </c>
      <c r="BE229" s="27" t="n">
        <f aca="false">MIN(AI228*(1+B$8),MAX(AU229,$B$12-SUM(AV229:BD229)))</f>
        <v>0</v>
      </c>
      <c r="BF229" s="27" t="n">
        <f aca="false">MIN(AJ228*(1+C$8),MAX(AV229,$B$12-SUM(BE229:BE229)-SUM(AW229:BD229)))</f>
        <v>0</v>
      </c>
      <c r="BG229" s="27" t="n">
        <f aca="false">MIN(AK228*(1+D$8),MAX(AW229,$B$12-SUM(BE229:BF229)-SUM(AX229:BD229)))</f>
        <v>0</v>
      </c>
      <c r="BH229" s="27" t="n">
        <f aca="false">MIN(AL228*(1+E$8),MAX(AX229,$B$12-SUM(BE229:BG229)-SUM(AY229:BD229)))</f>
        <v>0</v>
      </c>
      <c r="BI229" s="27" t="n">
        <f aca="false">MIN(AM228*(1+F$8),MAX(AY229,$B$12-SUM(BE229:BH229)-SUM(AZ229:BD229)))</f>
        <v>0</v>
      </c>
      <c r="BJ229" s="27" t="n">
        <f aca="false">MIN(AN228*(1+G$8),MAX(AZ229,$B$12-SUM(BE229:BI229)-SUM(BA229:BD229)))</f>
        <v>0</v>
      </c>
      <c r="BK229" s="27" t="n">
        <f aca="false">MIN(AO228*(1+H$8),MAX(BA229,$B$12-SUM(BE229:BJ229)-SUM(BB229:BD229)))</f>
        <v>0</v>
      </c>
      <c r="BL229" s="27" t="n">
        <f aca="false">MIN(AP228*(1+I$8),MAX(BB229,$B$12-SUM(BE229:BK229)-SUM(BC229:BD229)))</f>
        <v>0</v>
      </c>
      <c r="BM229" s="27" t="n">
        <f aca="false">MIN(AQ228*(1+J$8),MAX(BC229,$B$12-SUM(BE229:BL229)-SUM(BD229:BD229)))</f>
        <v>0</v>
      </c>
      <c r="BN229" s="27" t="n">
        <f aca="false">MIN(AR228*(1+K$8),MAX(BD229,$B$12-SUM(BE229:BM229)))</f>
        <v>0</v>
      </c>
    </row>
    <row r="230" customFormat="false" ht="15" hidden="false" customHeight="false" outlineLevel="0" collapsed="false">
      <c r="A230" s="0" t="n">
        <v>216</v>
      </c>
      <c r="B230" s="27" t="n">
        <f aca="false">ROUND(MAX(0,B229*(1+B$8)-X230),2)</f>
        <v>0</v>
      </c>
      <c r="C230" s="27" t="n">
        <f aca="false">ROUND(MAX(0,C229*(1+C$8)-Y230),2)</f>
        <v>0</v>
      </c>
      <c r="D230" s="27" t="n">
        <f aca="false">ROUND(MAX(0,D229*(1+D$8)-Z230),2)</f>
        <v>0</v>
      </c>
      <c r="E230" s="27" t="n">
        <f aca="false">ROUND(MAX(0,E229*(1+E$8)-AA230),2)</f>
        <v>0</v>
      </c>
      <c r="F230" s="27" t="n">
        <f aca="false">ROUND(MAX(0,F229*(1+F$8)-AB230),2)</f>
        <v>0</v>
      </c>
      <c r="G230" s="27" t="n">
        <f aca="false">ROUND(MAX(0,G229*(1+G$8)-AC230),2)</f>
        <v>0</v>
      </c>
      <c r="H230" s="27" t="n">
        <f aca="false">ROUND(MAX(0,H229*(1+H$8)-AD230),2)</f>
        <v>0</v>
      </c>
      <c r="I230" s="27" t="n">
        <f aca="false">ROUND(MAX(0,I229*(1+I$8)-AE230),2)</f>
        <v>0</v>
      </c>
      <c r="J230" s="27" t="n">
        <f aca="false">ROUND(MAX(0,J229*(1+J$8)-AF230),2)</f>
        <v>0</v>
      </c>
      <c r="K230" s="27" t="n">
        <f aca="false">ROUND(MAX(0,K229*(1+K$8)-AG230),2)</f>
        <v>0</v>
      </c>
      <c r="L230" s="30" t="n">
        <f aca="false">SUM(B230:K230)</f>
        <v>0</v>
      </c>
      <c r="M230" s="27" t="n">
        <f aca="false">SUMPRODUCT(B229:K229,$B$8:$K$8)</f>
        <v>0</v>
      </c>
      <c r="N230" s="27" t="n">
        <f aca="false">MIN(B229*(1+B$8),B$9)</f>
        <v>0</v>
      </c>
      <c r="O230" s="27" t="n">
        <f aca="false">MIN(C229*(1+C$8),C$9)</f>
        <v>0</v>
      </c>
      <c r="P230" s="27" t="n">
        <f aca="false">MIN(D229*(1+D$8),D$9)</f>
        <v>0</v>
      </c>
      <c r="Q230" s="27" t="n">
        <f aca="false">MIN(E229*(1+E$8),E$9)</f>
        <v>0</v>
      </c>
      <c r="R230" s="27" t="n">
        <f aca="false">MIN(F229*(1+F$8),F$9)</f>
        <v>0</v>
      </c>
      <c r="S230" s="27" t="n">
        <f aca="false">MIN(G229*(1+G$8),G$9)</f>
        <v>0</v>
      </c>
      <c r="T230" s="27" t="n">
        <f aca="false">MIN(H229*(1+H$8),H$9)</f>
        <v>0</v>
      </c>
      <c r="U230" s="27" t="n">
        <f aca="false">MIN(I229*(1+I$8),I$9)</f>
        <v>0</v>
      </c>
      <c r="V230" s="27" t="n">
        <f aca="false">MIN(J229*(1+J$8),J$9)</f>
        <v>0</v>
      </c>
      <c r="W230" s="27" t="n">
        <f aca="false">MIN(K229*(1+K$8),K$9)</f>
        <v>0</v>
      </c>
      <c r="X230" s="27" t="n">
        <f aca="false">MIN(B229*(1+B$8),MAX(N230,$B$11-SUM(O230:W230)))</f>
        <v>0</v>
      </c>
      <c r="Y230" s="27" t="n">
        <f aca="false">MIN(C229*(1+C$8),MAX(O230,$B$11-SUM(X230:X230)-SUM(P230:W230)))</f>
        <v>0</v>
      </c>
      <c r="Z230" s="27" t="n">
        <f aca="false">MIN(D229*(1+D$8),MAX(P230,$B$11-SUM(X230:Y230)-SUM(Q230:W230)))</f>
        <v>0</v>
      </c>
      <c r="AA230" s="27" t="n">
        <f aca="false">MIN(E229*(1+E$8),MAX(Q230,$B$11-SUM(X230:Z230)-SUM(R230:W230)))</f>
        <v>0</v>
      </c>
      <c r="AB230" s="27" t="n">
        <f aca="false">MIN(F229*(1+F$8),MAX(R230,$B$11-SUM(X230:AA230)-SUM(S230:W230)))</f>
        <v>0</v>
      </c>
      <c r="AC230" s="27" t="n">
        <f aca="false">MIN(G229*(1+G$8),MAX(S230,$B$11-SUM(X230:AB230)-SUM(T230:W230)))</f>
        <v>0</v>
      </c>
      <c r="AD230" s="27" t="n">
        <f aca="false">MIN(H229*(1+H$8),MAX(T230,$B$11-SUM(X230:AC230)-SUM(U230:W230)))</f>
        <v>0</v>
      </c>
      <c r="AE230" s="27" t="n">
        <f aca="false">MIN(I229*(1+I$8),MAX(U230,$B$11-SUM(X230:AD230)-SUM(V230:W230)))</f>
        <v>0</v>
      </c>
      <c r="AF230" s="27" t="n">
        <f aca="false">MIN(J229*(1+J$8),MAX(V230,$B$11-SUM(X230:AE230)-SUM(W230:W230)))</f>
        <v>0</v>
      </c>
      <c r="AG230" s="27" t="n">
        <f aca="false">MIN(K229*(1+K$8),MAX(W230,$B$11-SUM(X230:AF230)))</f>
        <v>0</v>
      </c>
      <c r="AI230" s="27" t="n">
        <f aca="false">ROUND(MAX(0,AI229*(1+B$8)-BE230),2)</f>
        <v>0</v>
      </c>
      <c r="AJ230" s="27" t="n">
        <f aca="false">ROUND(MAX(0,AJ229*(1+C$8)-BF230),2)</f>
        <v>0</v>
      </c>
      <c r="AK230" s="27" t="n">
        <f aca="false">ROUND(MAX(0,AK229*(1+D$8)-BG230),2)</f>
        <v>0</v>
      </c>
      <c r="AL230" s="27" t="n">
        <f aca="false">ROUND(MAX(0,AL229*(1+E$8)-BH230),2)</f>
        <v>0</v>
      </c>
      <c r="AM230" s="27" t="n">
        <f aca="false">ROUND(MAX(0,AM229*(1+F$8)-BI230),2)</f>
        <v>0</v>
      </c>
      <c r="AN230" s="27" t="n">
        <f aca="false">ROUND(MAX(0,AN229*(1+G$8)-BJ230),2)</f>
        <v>0</v>
      </c>
      <c r="AO230" s="27" t="n">
        <f aca="false">ROUND(MAX(0,AO229*(1+H$8)-BK230),2)</f>
        <v>0</v>
      </c>
      <c r="AP230" s="27" t="n">
        <f aca="false">ROUND(MAX(0,AP229*(1+I$8)-BL230),2)</f>
        <v>0</v>
      </c>
      <c r="AQ230" s="27" t="n">
        <f aca="false">ROUND(MAX(0,AQ229*(1+J$8)-BM230),2)</f>
        <v>0</v>
      </c>
      <c r="AR230" s="27" t="n">
        <f aca="false">ROUND(MAX(0,AR229*(1+K$8)-BN230),2)</f>
        <v>0</v>
      </c>
      <c r="AS230" s="27" t="n">
        <f aca="false">SUM(AI230:AR230)</f>
        <v>0</v>
      </c>
      <c r="AT230" s="27" t="n">
        <f aca="false">SUMPRODUCT(AI229:AR229,$B$8:$K$8)</f>
        <v>0</v>
      </c>
      <c r="AU230" s="27" t="n">
        <f aca="false">MIN(AI229*(1+B$8),B$9)</f>
        <v>0</v>
      </c>
      <c r="AV230" s="27" t="n">
        <f aca="false">MIN(AJ229*(1+C$8),C$9)</f>
        <v>0</v>
      </c>
      <c r="AW230" s="27" t="n">
        <f aca="false">MIN(AK229*(1+D$8),D$9)</f>
        <v>0</v>
      </c>
      <c r="AX230" s="27" t="n">
        <f aca="false">MIN(AL229*(1+E$8),E$9)</f>
        <v>0</v>
      </c>
      <c r="AY230" s="27" t="n">
        <f aca="false">MIN(AM229*(1+F$8),F$9)</f>
        <v>0</v>
      </c>
      <c r="AZ230" s="27" t="n">
        <f aca="false">MIN(AN229*(1+G$8),G$9)</f>
        <v>0</v>
      </c>
      <c r="BA230" s="27" t="n">
        <f aca="false">MIN(AO229*(1+H$8),H$9)</f>
        <v>0</v>
      </c>
      <c r="BB230" s="27" t="n">
        <f aca="false">MIN(AP229*(1+I$8),I$9)</f>
        <v>0</v>
      </c>
      <c r="BC230" s="27" t="n">
        <f aca="false">MIN(AQ229*(1+J$8),J$9)</f>
        <v>0</v>
      </c>
      <c r="BD230" s="27" t="n">
        <f aca="false">MIN(AR229*(1+K$8),K$9)</f>
        <v>0</v>
      </c>
      <c r="BE230" s="27" t="n">
        <f aca="false">MIN(AI229*(1+B$8),MAX(AU230,$B$12-SUM(AV230:BD230)))</f>
        <v>0</v>
      </c>
      <c r="BF230" s="27" t="n">
        <f aca="false">MIN(AJ229*(1+C$8),MAX(AV230,$B$12-SUM(BE230:BE230)-SUM(AW230:BD230)))</f>
        <v>0</v>
      </c>
      <c r="BG230" s="27" t="n">
        <f aca="false">MIN(AK229*(1+D$8),MAX(AW230,$B$12-SUM(BE230:BF230)-SUM(AX230:BD230)))</f>
        <v>0</v>
      </c>
      <c r="BH230" s="27" t="n">
        <f aca="false">MIN(AL229*(1+E$8),MAX(AX230,$B$12-SUM(BE230:BG230)-SUM(AY230:BD230)))</f>
        <v>0</v>
      </c>
      <c r="BI230" s="27" t="n">
        <f aca="false">MIN(AM229*(1+F$8),MAX(AY230,$B$12-SUM(BE230:BH230)-SUM(AZ230:BD230)))</f>
        <v>0</v>
      </c>
      <c r="BJ230" s="27" t="n">
        <f aca="false">MIN(AN229*(1+G$8),MAX(AZ230,$B$12-SUM(BE230:BI230)-SUM(BA230:BD230)))</f>
        <v>0</v>
      </c>
      <c r="BK230" s="27" t="n">
        <f aca="false">MIN(AO229*(1+H$8),MAX(BA230,$B$12-SUM(BE230:BJ230)-SUM(BB230:BD230)))</f>
        <v>0</v>
      </c>
      <c r="BL230" s="27" t="n">
        <f aca="false">MIN(AP229*(1+I$8),MAX(BB230,$B$12-SUM(BE230:BK230)-SUM(BC230:BD230)))</f>
        <v>0</v>
      </c>
      <c r="BM230" s="27" t="n">
        <f aca="false">MIN(AQ229*(1+J$8),MAX(BC230,$B$12-SUM(BE230:BL230)-SUM(BD230:BD230)))</f>
        <v>0</v>
      </c>
      <c r="BN230" s="27" t="n">
        <f aca="false">MIN(AR229*(1+K$8),MAX(BD230,$B$12-SUM(BE230:BM230)))</f>
        <v>0</v>
      </c>
    </row>
    <row r="231" customFormat="false" ht="15" hidden="false" customHeight="false" outlineLevel="0" collapsed="false">
      <c r="A231" s="0" t="n">
        <v>217</v>
      </c>
      <c r="B231" s="27" t="n">
        <f aca="false">ROUND(MAX(0,B230*(1+B$8)-X231),2)</f>
        <v>0</v>
      </c>
      <c r="C231" s="27" t="n">
        <f aca="false">ROUND(MAX(0,C230*(1+C$8)-Y231),2)</f>
        <v>0</v>
      </c>
      <c r="D231" s="27" t="n">
        <f aca="false">ROUND(MAX(0,D230*(1+D$8)-Z231),2)</f>
        <v>0</v>
      </c>
      <c r="E231" s="27" t="n">
        <f aca="false">ROUND(MAX(0,E230*(1+E$8)-AA231),2)</f>
        <v>0</v>
      </c>
      <c r="F231" s="27" t="n">
        <f aca="false">ROUND(MAX(0,F230*(1+F$8)-AB231),2)</f>
        <v>0</v>
      </c>
      <c r="G231" s="27" t="n">
        <f aca="false">ROUND(MAX(0,G230*(1+G$8)-AC231),2)</f>
        <v>0</v>
      </c>
      <c r="H231" s="27" t="n">
        <f aca="false">ROUND(MAX(0,H230*(1+H$8)-AD231),2)</f>
        <v>0</v>
      </c>
      <c r="I231" s="27" t="n">
        <f aca="false">ROUND(MAX(0,I230*(1+I$8)-AE231),2)</f>
        <v>0</v>
      </c>
      <c r="J231" s="27" t="n">
        <f aca="false">ROUND(MAX(0,J230*(1+J$8)-AF231),2)</f>
        <v>0</v>
      </c>
      <c r="K231" s="27" t="n">
        <f aca="false">ROUND(MAX(0,K230*(1+K$8)-AG231),2)</f>
        <v>0</v>
      </c>
      <c r="L231" s="30" t="n">
        <f aca="false">SUM(B231:K231)</f>
        <v>0</v>
      </c>
      <c r="M231" s="27" t="n">
        <f aca="false">SUMPRODUCT(B230:K230,$B$8:$K$8)</f>
        <v>0</v>
      </c>
      <c r="N231" s="27" t="n">
        <f aca="false">MIN(B230*(1+B$8),B$9)</f>
        <v>0</v>
      </c>
      <c r="O231" s="27" t="n">
        <f aca="false">MIN(C230*(1+C$8),C$9)</f>
        <v>0</v>
      </c>
      <c r="P231" s="27" t="n">
        <f aca="false">MIN(D230*(1+D$8),D$9)</f>
        <v>0</v>
      </c>
      <c r="Q231" s="27" t="n">
        <f aca="false">MIN(E230*(1+E$8),E$9)</f>
        <v>0</v>
      </c>
      <c r="R231" s="27" t="n">
        <f aca="false">MIN(F230*(1+F$8),F$9)</f>
        <v>0</v>
      </c>
      <c r="S231" s="27" t="n">
        <f aca="false">MIN(G230*(1+G$8),G$9)</f>
        <v>0</v>
      </c>
      <c r="T231" s="27" t="n">
        <f aca="false">MIN(H230*(1+H$8),H$9)</f>
        <v>0</v>
      </c>
      <c r="U231" s="27" t="n">
        <f aca="false">MIN(I230*(1+I$8),I$9)</f>
        <v>0</v>
      </c>
      <c r="V231" s="27" t="n">
        <f aca="false">MIN(J230*(1+J$8),J$9)</f>
        <v>0</v>
      </c>
      <c r="W231" s="27" t="n">
        <f aca="false">MIN(K230*(1+K$8),K$9)</f>
        <v>0</v>
      </c>
      <c r="X231" s="27" t="n">
        <f aca="false">MIN(B230*(1+B$8),MAX(N231,$B$11-SUM(O231:W231)))</f>
        <v>0</v>
      </c>
      <c r="Y231" s="27" t="n">
        <f aca="false">MIN(C230*(1+C$8),MAX(O231,$B$11-SUM(X231:X231)-SUM(P231:W231)))</f>
        <v>0</v>
      </c>
      <c r="Z231" s="27" t="n">
        <f aca="false">MIN(D230*(1+D$8),MAX(P231,$B$11-SUM(X231:Y231)-SUM(Q231:W231)))</f>
        <v>0</v>
      </c>
      <c r="AA231" s="27" t="n">
        <f aca="false">MIN(E230*(1+E$8),MAX(Q231,$B$11-SUM(X231:Z231)-SUM(R231:W231)))</f>
        <v>0</v>
      </c>
      <c r="AB231" s="27" t="n">
        <f aca="false">MIN(F230*(1+F$8),MAX(R231,$B$11-SUM(X231:AA231)-SUM(S231:W231)))</f>
        <v>0</v>
      </c>
      <c r="AC231" s="27" t="n">
        <f aca="false">MIN(G230*(1+G$8),MAX(S231,$B$11-SUM(X231:AB231)-SUM(T231:W231)))</f>
        <v>0</v>
      </c>
      <c r="AD231" s="27" t="n">
        <f aca="false">MIN(H230*(1+H$8),MAX(T231,$B$11-SUM(X231:AC231)-SUM(U231:W231)))</f>
        <v>0</v>
      </c>
      <c r="AE231" s="27" t="n">
        <f aca="false">MIN(I230*(1+I$8),MAX(U231,$B$11-SUM(X231:AD231)-SUM(V231:W231)))</f>
        <v>0</v>
      </c>
      <c r="AF231" s="27" t="n">
        <f aca="false">MIN(J230*(1+J$8),MAX(V231,$B$11-SUM(X231:AE231)-SUM(W231:W231)))</f>
        <v>0</v>
      </c>
      <c r="AG231" s="27" t="n">
        <f aca="false">MIN(K230*(1+K$8),MAX(W231,$B$11-SUM(X231:AF231)))</f>
        <v>0</v>
      </c>
      <c r="AI231" s="27" t="n">
        <f aca="false">ROUND(MAX(0,AI230*(1+B$8)-BE231),2)</f>
        <v>0</v>
      </c>
      <c r="AJ231" s="27" t="n">
        <f aca="false">ROUND(MAX(0,AJ230*(1+C$8)-BF231),2)</f>
        <v>0</v>
      </c>
      <c r="AK231" s="27" t="n">
        <f aca="false">ROUND(MAX(0,AK230*(1+D$8)-BG231),2)</f>
        <v>0</v>
      </c>
      <c r="AL231" s="27" t="n">
        <f aca="false">ROUND(MAX(0,AL230*(1+E$8)-BH231),2)</f>
        <v>0</v>
      </c>
      <c r="AM231" s="27" t="n">
        <f aca="false">ROUND(MAX(0,AM230*(1+F$8)-BI231),2)</f>
        <v>0</v>
      </c>
      <c r="AN231" s="27" t="n">
        <f aca="false">ROUND(MAX(0,AN230*(1+G$8)-BJ231),2)</f>
        <v>0</v>
      </c>
      <c r="AO231" s="27" t="n">
        <f aca="false">ROUND(MAX(0,AO230*(1+H$8)-BK231),2)</f>
        <v>0</v>
      </c>
      <c r="AP231" s="27" t="n">
        <f aca="false">ROUND(MAX(0,AP230*(1+I$8)-BL231),2)</f>
        <v>0</v>
      </c>
      <c r="AQ231" s="27" t="n">
        <f aca="false">ROUND(MAX(0,AQ230*(1+J$8)-BM231),2)</f>
        <v>0</v>
      </c>
      <c r="AR231" s="27" t="n">
        <f aca="false">ROUND(MAX(0,AR230*(1+K$8)-BN231),2)</f>
        <v>0</v>
      </c>
      <c r="AS231" s="27" t="n">
        <f aca="false">SUM(AI231:AR231)</f>
        <v>0</v>
      </c>
      <c r="AT231" s="27" t="n">
        <f aca="false">SUMPRODUCT(AI230:AR230,$B$8:$K$8)</f>
        <v>0</v>
      </c>
      <c r="AU231" s="27" t="n">
        <f aca="false">MIN(AI230*(1+B$8),B$9)</f>
        <v>0</v>
      </c>
      <c r="AV231" s="27" t="n">
        <f aca="false">MIN(AJ230*(1+C$8),C$9)</f>
        <v>0</v>
      </c>
      <c r="AW231" s="27" t="n">
        <f aca="false">MIN(AK230*(1+D$8),D$9)</f>
        <v>0</v>
      </c>
      <c r="AX231" s="27" t="n">
        <f aca="false">MIN(AL230*(1+E$8),E$9)</f>
        <v>0</v>
      </c>
      <c r="AY231" s="27" t="n">
        <f aca="false">MIN(AM230*(1+F$8),F$9)</f>
        <v>0</v>
      </c>
      <c r="AZ231" s="27" t="n">
        <f aca="false">MIN(AN230*(1+G$8),G$9)</f>
        <v>0</v>
      </c>
      <c r="BA231" s="27" t="n">
        <f aca="false">MIN(AO230*(1+H$8),H$9)</f>
        <v>0</v>
      </c>
      <c r="BB231" s="27" t="n">
        <f aca="false">MIN(AP230*(1+I$8),I$9)</f>
        <v>0</v>
      </c>
      <c r="BC231" s="27" t="n">
        <f aca="false">MIN(AQ230*(1+J$8),J$9)</f>
        <v>0</v>
      </c>
      <c r="BD231" s="27" t="n">
        <f aca="false">MIN(AR230*(1+K$8),K$9)</f>
        <v>0</v>
      </c>
      <c r="BE231" s="27" t="n">
        <f aca="false">MIN(AI230*(1+B$8),MAX(AU231,$B$12-SUM(AV231:BD231)))</f>
        <v>0</v>
      </c>
      <c r="BF231" s="27" t="n">
        <f aca="false">MIN(AJ230*(1+C$8),MAX(AV231,$B$12-SUM(BE231:BE231)-SUM(AW231:BD231)))</f>
        <v>0</v>
      </c>
      <c r="BG231" s="27" t="n">
        <f aca="false">MIN(AK230*(1+D$8),MAX(AW231,$B$12-SUM(BE231:BF231)-SUM(AX231:BD231)))</f>
        <v>0</v>
      </c>
      <c r="BH231" s="27" t="n">
        <f aca="false">MIN(AL230*(1+E$8),MAX(AX231,$B$12-SUM(BE231:BG231)-SUM(AY231:BD231)))</f>
        <v>0</v>
      </c>
      <c r="BI231" s="27" t="n">
        <f aca="false">MIN(AM230*(1+F$8),MAX(AY231,$B$12-SUM(BE231:BH231)-SUM(AZ231:BD231)))</f>
        <v>0</v>
      </c>
      <c r="BJ231" s="27" t="n">
        <f aca="false">MIN(AN230*(1+G$8),MAX(AZ231,$B$12-SUM(BE231:BI231)-SUM(BA231:BD231)))</f>
        <v>0</v>
      </c>
      <c r="BK231" s="27" t="n">
        <f aca="false">MIN(AO230*(1+H$8),MAX(BA231,$B$12-SUM(BE231:BJ231)-SUM(BB231:BD231)))</f>
        <v>0</v>
      </c>
      <c r="BL231" s="27" t="n">
        <f aca="false">MIN(AP230*(1+I$8),MAX(BB231,$B$12-SUM(BE231:BK231)-SUM(BC231:BD231)))</f>
        <v>0</v>
      </c>
      <c r="BM231" s="27" t="n">
        <f aca="false">MIN(AQ230*(1+J$8),MAX(BC231,$B$12-SUM(BE231:BL231)-SUM(BD231:BD231)))</f>
        <v>0</v>
      </c>
      <c r="BN231" s="27" t="n">
        <f aca="false">MIN(AR230*(1+K$8),MAX(BD231,$B$12-SUM(BE231:BM231)))</f>
        <v>0</v>
      </c>
    </row>
    <row r="232" customFormat="false" ht="15" hidden="false" customHeight="false" outlineLevel="0" collapsed="false">
      <c r="A232" s="0" t="n">
        <v>218</v>
      </c>
      <c r="B232" s="27" t="n">
        <f aca="false">ROUND(MAX(0,B231*(1+B$8)-X232),2)</f>
        <v>0</v>
      </c>
      <c r="C232" s="27" t="n">
        <f aca="false">ROUND(MAX(0,C231*(1+C$8)-Y232),2)</f>
        <v>0</v>
      </c>
      <c r="D232" s="27" t="n">
        <f aca="false">ROUND(MAX(0,D231*(1+D$8)-Z232),2)</f>
        <v>0</v>
      </c>
      <c r="E232" s="27" t="n">
        <f aca="false">ROUND(MAX(0,E231*(1+E$8)-AA232),2)</f>
        <v>0</v>
      </c>
      <c r="F232" s="27" t="n">
        <f aca="false">ROUND(MAX(0,F231*(1+F$8)-AB232),2)</f>
        <v>0</v>
      </c>
      <c r="G232" s="27" t="n">
        <f aca="false">ROUND(MAX(0,G231*(1+G$8)-AC232),2)</f>
        <v>0</v>
      </c>
      <c r="H232" s="27" t="n">
        <f aca="false">ROUND(MAX(0,H231*(1+H$8)-AD232),2)</f>
        <v>0</v>
      </c>
      <c r="I232" s="27" t="n">
        <f aca="false">ROUND(MAX(0,I231*(1+I$8)-AE232),2)</f>
        <v>0</v>
      </c>
      <c r="J232" s="27" t="n">
        <f aca="false">ROUND(MAX(0,J231*(1+J$8)-AF232),2)</f>
        <v>0</v>
      </c>
      <c r="K232" s="27" t="n">
        <f aca="false">ROUND(MAX(0,K231*(1+K$8)-AG232),2)</f>
        <v>0</v>
      </c>
      <c r="L232" s="30" t="n">
        <f aca="false">SUM(B232:K232)</f>
        <v>0</v>
      </c>
      <c r="M232" s="27" t="n">
        <f aca="false">SUMPRODUCT(B231:K231,$B$8:$K$8)</f>
        <v>0</v>
      </c>
      <c r="N232" s="27" t="n">
        <f aca="false">MIN(B231*(1+B$8),B$9)</f>
        <v>0</v>
      </c>
      <c r="O232" s="27" t="n">
        <f aca="false">MIN(C231*(1+C$8),C$9)</f>
        <v>0</v>
      </c>
      <c r="P232" s="27" t="n">
        <f aca="false">MIN(D231*(1+D$8),D$9)</f>
        <v>0</v>
      </c>
      <c r="Q232" s="27" t="n">
        <f aca="false">MIN(E231*(1+E$8),E$9)</f>
        <v>0</v>
      </c>
      <c r="R232" s="27" t="n">
        <f aca="false">MIN(F231*(1+F$8),F$9)</f>
        <v>0</v>
      </c>
      <c r="S232" s="27" t="n">
        <f aca="false">MIN(G231*(1+G$8),G$9)</f>
        <v>0</v>
      </c>
      <c r="T232" s="27" t="n">
        <f aca="false">MIN(H231*(1+H$8),H$9)</f>
        <v>0</v>
      </c>
      <c r="U232" s="27" t="n">
        <f aca="false">MIN(I231*(1+I$8),I$9)</f>
        <v>0</v>
      </c>
      <c r="V232" s="27" t="n">
        <f aca="false">MIN(J231*(1+J$8),J$9)</f>
        <v>0</v>
      </c>
      <c r="W232" s="27" t="n">
        <f aca="false">MIN(K231*(1+K$8),K$9)</f>
        <v>0</v>
      </c>
      <c r="X232" s="27" t="n">
        <f aca="false">MIN(B231*(1+B$8),MAX(N232,$B$11-SUM(O232:W232)))</f>
        <v>0</v>
      </c>
      <c r="Y232" s="27" t="n">
        <f aca="false">MIN(C231*(1+C$8),MAX(O232,$B$11-SUM(X232:X232)-SUM(P232:W232)))</f>
        <v>0</v>
      </c>
      <c r="Z232" s="27" t="n">
        <f aca="false">MIN(D231*(1+D$8),MAX(P232,$B$11-SUM(X232:Y232)-SUM(Q232:W232)))</f>
        <v>0</v>
      </c>
      <c r="AA232" s="27" t="n">
        <f aca="false">MIN(E231*(1+E$8),MAX(Q232,$B$11-SUM(X232:Z232)-SUM(R232:W232)))</f>
        <v>0</v>
      </c>
      <c r="AB232" s="27" t="n">
        <f aca="false">MIN(F231*(1+F$8),MAX(R232,$B$11-SUM(X232:AA232)-SUM(S232:W232)))</f>
        <v>0</v>
      </c>
      <c r="AC232" s="27" t="n">
        <f aca="false">MIN(G231*(1+G$8),MAX(S232,$B$11-SUM(X232:AB232)-SUM(T232:W232)))</f>
        <v>0</v>
      </c>
      <c r="AD232" s="27" t="n">
        <f aca="false">MIN(H231*(1+H$8),MAX(T232,$B$11-SUM(X232:AC232)-SUM(U232:W232)))</f>
        <v>0</v>
      </c>
      <c r="AE232" s="27" t="n">
        <f aca="false">MIN(I231*(1+I$8),MAX(U232,$B$11-SUM(X232:AD232)-SUM(V232:W232)))</f>
        <v>0</v>
      </c>
      <c r="AF232" s="27" t="n">
        <f aca="false">MIN(J231*(1+J$8),MAX(V232,$B$11-SUM(X232:AE232)-SUM(W232:W232)))</f>
        <v>0</v>
      </c>
      <c r="AG232" s="27" t="n">
        <f aca="false">MIN(K231*(1+K$8),MAX(W232,$B$11-SUM(X232:AF232)))</f>
        <v>0</v>
      </c>
      <c r="AI232" s="27" t="n">
        <f aca="false">ROUND(MAX(0,AI231*(1+B$8)-BE232),2)</f>
        <v>0</v>
      </c>
      <c r="AJ232" s="27" t="n">
        <f aca="false">ROUND(MAX(0,AJ231*(1+C$8)-BF232),2)</f>
        <v>0</v>
      </c>
      <c r="AK232" s="27" t="n">
        <f aca="false">ROUND(MAX(0,AK231*(1+D$8)-BG232),2)</f>
        <v>0</v>
      </c>
      <c r="AL232" s="27" t="n">
        <f aca="false">ROUND(MAX(0,AL231*(1+E$8)-BH232),2)</f>
        <v>0</v>
      </c>
      <c r="AM232" s="27" t="n">
        <f aca="false">ROUND(MAX(0,AM231*(1+F$8)-BI232),2)</f>
        <v>0</v>
      </c>
      <c r="AN232" s="27" t="n">
        <f aca="false">ROUND(MAX(0,AN231*(1+G$8)-BJ232),2)</f>
        <v>0</v>
      </c>
      <c r="AO232" s="27" t="n">
        <f aca="false">ROUND(MAX(0,AO231*(1+H$8)-BK232),2)</f>
        <v>0</v>
      </c>
      <c r="AP232" s="27" t="n">
        <f aca="false">ROUND(MAX(0,AP231*(1+I$8)-BL232),2)</f>
        <v>0</v>
      </c>
      <c r="AQ232" s="27" t="n">
        <f aca="false">ROUND(MAX(0,AQ231*(1+J$8)-BM232),2)</f>
        <v>0</v>
      </c>
      <c r="AR232" s="27" t="n">
        <f aca="false">ROUND(MAX(0,AR231*(1+K$8)-BN232),2)</f>
        <v>0</v>
      </c>
      <c r="AS232" s="27" t="n">
        <f aca="false">SUM(AI232:AR232)</f>
        <v>0</v>
      </c>
      <c r="AT232" s="27" t="n">
        <f aca="false">SUMPRODUCT(AI231:AR231,$B$8:$K$8)</f>
        <v>0</v>
      </c>
      <c r="AU232" s="27" t="n">
        <f aca="false">MIN(AI231*(1+B$8),B$9)</f>
        <v>0</v>
      </c>
      <c r="AV232" s="27" t="n">
        <f aca="false">MIN(AJ231*(1+C$8),C$9)</f>
        <v>0</v>
      </c>
      <c r="AW232" s="27" t="n">
        <f aca="false">MIN(AK231*(1+D$8),D$9)</f>
        <v>0</v>
      </c>
      <c r="AX232" s="27" t="n">
        <f aca="false">MIN(AL231*(1+E$8),E$9)</f>
        <v>0</v>
      </c>
      <c r="AY232" s="27" t="n">
        <f aca="false">MIN(AM231*(1+F$8),F$9)</f>
        <v>0</v>
      </c>
      <c r="AZ232" s="27" t="n">
        <f aca="false">MIN(AN231*(1+G$8),G$9)</f>
        <v>0</v>
      </c>
      <c r="BA232" s="27" t="n">
        <f aca="false">MIN(AO231*(1+H$8),H$9)</f>
        <v>0</v>
      </c>
      <c r="BB232" s="27" t="n">
        <f aca="false">MIN(AP231*(1+I$8),I$9)</f>
        <v>0</v>
      </c>
      <c r="BC232" s="27" t="n">
        <f aca="false">MIN(AQ231*(1+J$8),J$9)</f>
        <v>0</v>
      </c>
      <c r="BD232" s="27" t="n">
        <f aca="false">MIN(AR231*(1+K$8),K$9)</f>
        <v>0</v>
      </c>
      <c r="BE232" s="27" t="n">
        <f aca="false">MIN(AI231*(1+B$8),MAX(AU232,$B$12-SUM(AV232:BD232)))</f>
        <v>0</v>
      </c>
      <c r="BF232" s="27" t="n">
        <f aca="false">MIN(AJ231*(1+C$8),MAX(AV232,$B$12-SUM(BE232:BE232)-SUM(AW232:BD232)))</f>
        <v>0</v>
      </c>
      <c r="BG232" s="27" t="n">
        <f aca="false">MIN(AK231*(1+D$8),MAX(AW232,$B$12-SUM(BE232:BF232)-SUM(AX232:BD232)))</f>
        <v>0</v>
      </c>
      <c r="BH232" s="27" t="n">
        <f aca="false">MIN(AL231*(1+E$8),MAX(AX232,$B$12-SUM(BE232:BG232)-SUM(AY232:BD232)))</f>
        <v>0</v>
      </c>
      <c r="BI232" s="27" t="n">
        <f aca="false">MIN(AM231*(1+F$8),MAX(AY232,$B$12-SUM(BE232:BH232)-SUM(AZ232:BD232)))</f>
        <v>0</v>
      </c>
      <c r="BJ232" s="27" t="n">
        <f aca="false">MIN(AN231*(1+G$8),MAX(AZ232,$B$12-SUM(BE232:BI232)-SUM(BA232:BD232)))</f>
        <v>0</v>
      </c>
      <c r="BK232" s="27" t="n">
        <f aca="false">MIN(AO231*(1+H$8),MAX(BA232,$B$12-SUM(BE232:BJ232)-SUM(BB232:BD232)))</f>
        <v>0</v>
      </c>
      <c r="BL232" s="27" t="n">
        <f aca="false">MIN(AP231*(1+I$8),MAX(BB232,$B$12-SUM(BE232:BK232)-SUM(BC232:BD232)))</f>
        <v>0</v>
      </c>
      <c r="BM232" s="27" t="n">
        <f aca="false">MIN(AQ231*(1+J$8),MAX(BC232,$B$12-SUM(BE232:BL232)-SUM(BD232:BD232)))</f>
        <v>0</v>
      </c>
      <c r="BN232" s="27" t="n">
        <f aca="false">MIN(AR231*(1+K$8),MAX(BD232,$B$12-SUM(BE232:BM232)))</f>
        <v>0</v>
      </c>
    </row>
    <row r="233" customFormat="false" ht="15" hidden="false" customHeight="false" outlineLevel="0" collapsed="false">
      <c r="A233" s="0" t="n">
        <v>219</v>
      </c>
      <c r="B233" s="27" t="n">
        <f aca="false">ROUND(MAX(0,B232*(1+B$8)-X233),2)</f>
        <v>0</v>
      </c>
      <c r="C233" s="27" t="n">
        <f aca="false">ROUND(MAX(0,C232*(1+C$8)-Y233),2)</f>
        <v>0</v>
      </c>
      <c r="D233" s="27" t="n">
        <f aca="false">ROUND(MAX(0,D232*(1+D$8)-Z233),2)</f>
        <v>0</v>
      </c>
      <c r="E233" s="27" t="n">
        <f aca="false">ROUND(MAX(0,E232*(1+E$8)-AA233),2)</f>
        <v>0</v>
      </c>
      <c r="F233" s="27" t="n">
        <f aca="false">ROUND(MAX(0,F232*(1+F$8)-AB233),2)</f>
        <v>0</v>
      </c>
      <c r="G233" s="27" t="n">
        <f aca="false">ROUND(MAX(0,G232*(1+G$8)-AC233),2)</f>
        <v>0</v>
      </c>
      <c r="H233" s="27" t="n">
        <f aca="false">ROUND(MAX(0,H232*(1+H$8)-AD233),2)</f>
        <v>0</v>
      </c>
      <c r="I233" s="27" t="n">
        <f aca="false">ROUND(MAX(0,I232*(1+I$8)-AE233),2)</f>
        <v>0</v>
      </c>
      <c r="J233" s="27" t="n">
        <f aca="false">ROUND(MAX(0,J232*(1+J$8)-AF233),2)</f>
        <v>0</v>
      </c>
      <c r="K233" s="27" t="n">
        <f aca="false">ROUND(MAX(0,K232*(1+K$8)-AG233),2)</f>
        <v>0</v>
      </c>
      <c r="L233" s="30" t="n">
        <f aca="false">SUM(B233:K233)</f>
        <v>0</v>
      </c>
      <c r="M233" s="27" t="n">
        <f aca="false">SUMPRODUCT(B232:K232,$B$8:$K$8)</f>
        <v>0</v>
      </c>
      <c r="N233" s="27" t="n">
        <f aca="false">MIN(B232*(1+B$8),B$9)</f>
        <v>0</v>
      </c>
      <c r="O233" s="27" t="n">
        <f aca="false">MIN(C232*(1+C$8),C$9)</f>
        <v>0</v>
      </c>
      <c r="P233" s="27" t="n">
        <f aca="false">MIN(D232*(1+D$8),D$9)</f>
        <v>0</v>
      </c>
      <c r="Q233" s="27" t="n">
        <f aca="false">MIN(E232*(1+E$8),E$9)</f>
        <v>0</v>
      </c>
      <c r="R233" s="27" t="n">
        <f aca="false">MIN(F232*(1+F$8),F$9)</f>
        <v>0</v>
      </c>
      <c r="S233" s="27" t="n">
        <f aca="false">MIN(G232*(1+G$8),G$9)</f>
        <v>0</v>
      </c>
      <c r="T233" s="27" t="n">
        <f aca="false">MIN(H232*(1+H$8),H$9)</f>
        <v>0</v>
      </c>
      <c r="U233" s="27" t="n">
        <f aca="false">MIN(I232*(1+I$8),I$9)</f>
        <v>0</v>
      </c>
      <c r="V233" s="27" t="n">
        <f aca="false">MIN(J232*(1+J$8),J$9)</f>
        <v>0</v>
      </c>
      <c r="W233" s="27" t="n">
        <f aca="false">MIN(K232*(1+K$8),K$9)</f>
        <v>0</v>
      </c>
      <c r="X233" s="27" t="n">
        <f aca="false">MIN(B232*(1+B$8),MAX(N233,$B$11-SUM(O233:W233)))</f>
        <v>0</v>
      </c>
      <c r="Y233" s="27" t="n">
        <f aca="false">MIN(C232*(1+C$8),MAX(O233,$B$11-SUM(X233:X233)-SUM(P233:W233)))</f>
        <v>0</v>
      </c>
      <c r="Z233" s="27" t="n">
        <f aca="false">MIN(D232*(1+D$8),MAX(P233,$B$11-SUM(X233:Y233)-SUM(Q233:W233)))</f>
        <v>0</v>
      </c>
      <c r="AA233" s="27" t="n">
        <f aca="false">MIN(E232*(1+E$8),MAX(Q233,$B$11-SUM(X233:Z233)-SUM(R233:W233)))</f>
        <v>0</v>
      </c>
      <c r="AB233" s="27" t="n">
        <f aca="false">MIN(F232*(1+F$8),MAX(R233,$B$11-SUM(X233:AA233)-SUM(S233:W233)))</f>
        <v>0</v>
      </c>
      <c r="AC233" s="27" t="n">
        <f aca="false">MIN(G232*(1+G$8),MAX(S233,$B$11-SUM(X233:AB233)-SUM(T233:W233)))</f>
        <v>0</v>
      </c>
      <c r="AD233" s="27" t="n">
        <f aca="false">MIN(H232*(1+H$8),MAX(T233,$B$11-SUM(X233:AC233)-SUM(U233:W233)))</f>
        <v>0</v>
      </c>
      <c r="AE233" s="27" t="n">
        <f aca="false">MIN(I232*(1+I$8),MAX(U233,$B$11-SUM(X233:AD233)-SUM(V233:W233)))</f>
        <v>0</v>
      </c>
      <c r="AF233" s="27" t="n">
        <f aca="false">MIN(J232*(1+J$8),MAX(V233,$B$11-SUM(X233:AE233)-SUM(W233:W233)))</f>
        <v>0</v>
      </c>
      <c r="AG233" s="27" t="n">
        <f aca="false">MIN(K232*(1+K$8),MAX(W233,$B$11-SUM(X233:AF233)))</f>
        <v>0</v>
      </c>
      <c r="AI233" s="27" t="n">
        <f aca="false">ROUND(MAX(0,AI232*(1+B$8)-BE233),2)</f>
        <v>0</v>
      </c>
      <c r="AJ233" s="27" t="n">
        <f aca="false">ROUND(MAX(0,AJ232*(1+C$8)-BF233),2)</f>
        <v>0</v>
      </c>
      <c r="AK233" s="27" t="n">
        <f aca="false">ROUND(MAX(0,AK232*(1+D$8)-BG233),2)</f>
        <v>0</v>
      </c>
      <c r="AL233" s="27" t="n">
        <f aca="false">ROUND(MAX(0,AL232*(1+E$8)-BH233),2)</f>
        <v>0</v>
      </c>
      <c r="AM233" s="27" t="n">
        <f aca="false">ROUND(MAX(0,AM232*(1+F$8)-BI233),2)</f>
        <v>0</v>
      </c>
      <c r="AN233" s="27" t="n">
        <f aca="false">ROUND(MAX(0,AN232*(1+G$8)-BJ233),2)</f>
        <v>0</v>
      </c>
      <c r="AO233" s="27" t="n">
        <f aca="false">ROUND(MAX(0,AO232*(1+H$8)-BK233),2)</f>
        <v>0</v>
      </c>
      <c r="AP233" s="27" t="n">
        <f aca="false">ROUND(MAX(0,AP232*(1+I$8)-BL233),2)</f>
        <v>0</v>
      </c>
      <c r="AQ233" s="27" t="n">
        <f aca="false">ROUND(MAX(0,AQ232*(1+J$8)-BM233),2)</f>
        <v>0</v>
      </c>
      <c r="AR233" s="27" t="n">
        <f aca="false">ROUND(MAX(0,AR232*(1+K$8)-BN233),2)</f>
        <v>0</v>
      </c>
      <c r="AS233" s="27" t="n">
        <f aca="false">SUM(AI233:AR233)</f>
        <v>0</v>
      </c>
      <c r="AT233" s="27" t="n">
        <f aca="false">SUMPRODUCT(AI232:AR232,$B$8:$K$8)</f>
        <v>0</v>
      </c>
      <c r="AU233" s="27" t="n">
        <f aca="false">MIN(AI232*(1+B$8),B$9)</f>
        <v>0</v>
      </c>
      <c r="AV233" s="27" t="n">
        <f aca="false">MIN(AJ232*(1+C$8),C$9)</f>
        <v>0</v>
      </c>
      <c r="AW233" s="27" t="n">
        <f aca="false">MIN(AK232*(1+D$8),D$9)</f>
        <v>0</v>
      </c>
      <c r="AX233" s="27" t="n">
        <f aca="false">MIN(AL232*(1+E$8),E$9)</f>
        <v>0</v>
      </c>
      <c r="AY233" s="27" t="n">
        <f aca="false">MIN(AM232*(1+F$8),F$9)</f>
        <v>0</v>
      </c>
      <c r="AZ233" s="27" t="n">
        <f aca="false">MIN(AN232*(1+G$8),G$9)</f>
        <v>0</v>
      </c>
      <c r="BA233" s="27" t="n">
        <f aca="false">MIN(AO232*(1+H$8),H$9)</f>
        <v>0</v>
      </c>
      <c r="BB233" s="27" t="n">
        <f aca="false">MIN(AP232*(1+I$8),I$9)</f>
        <v>0</v>
      </c>
      <c r="BC233" s="27" t="n">
        <f aca="false">MIN(AQ232*(1+J$8),J$9)</f>
        <v>0</v>
      </c>
      <c r="BD233" s="27" t="n">
        <f aca="false">MIN(AR232*(1+K$8),K$9)</f>
        <v>0</v>
      </c>
      <c r="BE233" s="27" t="n">
        <f aca="false">MIN(AI232*(1+B$8),MAX(AU233,$B$12-SUM(AV233:BD233)))</f>
        <v>0</v>
      </c>
      <c r="BF233" s="27" t="n">
        <f aca="false">MIN(AJ232*(1+C$8),MAX(AV233,$B$12-SUM(BE233:BE233)-SUM(AW233:BD233)))</f>
        <v>0</v>
      </c>
      <c r="BG233" s="27" t="n">
        <f aca="false">MIN(AK232*(1+D$8),MAX(AW233,$B$12-SUM(BE233:BF233)-SUM(AX233:BD233)))</f>
        <v>0</v>
      </c>
      <c r="BH233" s="27" t="n">
        <f aca="false">MIN(AL232*(1+E$8),MAX(AX233,$B$12-SUM(BE233:BG233)-SUM(AY233:BD233)))</f>
        <v>0</v>
      </c>
      <c r="BI233" s="27" t="n">
        <f aca="false">MIN(AM232*(1+F$8),MAX(AY233,$B$12-SUM(BE233:BH233)-SUM(AZ233:BD233)))</f>
        <v>0</v>
      </c>
      <c r="BJ233" s="27" t="n">
        <f aca="false">MIN(AN232*(1+G$8),MAX(AZ233,$B$12-SUM(BE233:BI233)-SUM(BA233:BD233)))</f>
        <v>0</v>
      </c>
      <c r="BK233" s="27" t="n">
        <f aca="false">MIN(AO232*(1+H$8),MAX(BA233,$B$12-SUM(BE233:BJ233)-SUM(BB233:BD233)))</f>
        <v>0</v>
      </c>
      <c r="BL233" s="27" t="n">
        <f aca="false">MIN(AP232*(1+I$8),MAX(BB233,$B$12-SUM(BE233:BK233)-SUM(BC233:BD233)))</f>
        <v>0</v>
      </c>
      <c r="BM233" s="27" t="n">
        <f aca="false">MIN(AQ232*(1+J$8),MAX(BC233,$B$12-SUM(BE233:BL233)-SUM(BD233:BD233)))</f>
        <v>0</v>
      </c>
      <c r="BN233" s="27" t="n">
        <f aca="false">MIN(AR232*(1+K$8),MAX(BD233,$B$12-SUM(BE233:BM233)))</f>
        <v>0</v>
      </c>
    </row>
    <row r="234" customFormat="false" ht="15" hidden="false" customHeight="false" outlineLevel="0" collapsed="false">
      <c r="A234" s="0" t="n">
        <v>220</v>
      </c>
      <c r="B234" s="27" t="n">
        <f aca="false">ROUND(MAX(0,B233*(1+B$8)-X234),2)</f>
        <v>0</v>
      </c>
      <c r="C234" s="27" t="n">
        <f aca="false">ROUND(MAX(0,C233*(1+C$8)-Y234),2)</f>
        <v>0</v>
      </c>
      <c r="D234" s="27" t="n">
        <f aca="false">ROUND(MAX(0,D233*(1+D$8)-Z234),2)</f>
        <v>0</v>
      </c>
      <c r="E234" s="27" t="n">
        <f aca="false">ROUND(MAX(0,E233*(1+E$8)-AA234),2)</f>
        <v>0</v>
      </c>
      <c r="F234" s="27" t="n">
        <f aca="false">ROUND(MAX(0,F233*(1+F$8)-AB234),2)</f>
        <v>0</v>
      </c>
      <c r="G234" s="27" t="n">
        <f aca="false">ROUND(MAX(0,G233*(1+G$8)-AC234),2)</f>
        <v>0</v>
      </c>
      <c r="H234" s="27" t="n">
        <f aca="false">ROUND(MAX(0,H233*(1+H$8)-AD234),2)</f>
        <v>0</v>
      </c>
      <c r="I234" s="27" t="n">
        <f aca="false">ROUND(MAX(0,I233*(1+I$8)-AE234),2)</f>
        <v>0</v>
      </c>
      <c r="J234" s="27" t="n">
        <f aca="false">ROUND(MAX(0,J233*(1+J$8)-AF234),2)</f>
        <v>0</v>
      </c>
      <c r="K234" s="27" t="n">
        <f aca="false">ROUND(MAX(0,K233*(1+K$8)-AG234),2)</f>
        <v>0</v>
      </c>
      <c r="L234" s="30" t="n">
        <f aca="false">SUM(B234:K234)</f>
        <v>0</v>
      </c>
      <c r="M234" s="27" t="n">
        <f aca="false">SUMPRODUCT(B233:K233,$B$8:$K$8)</f>
        <v>0</v>
      </c>
      <c r="N234" s="27" t="n">
        <f aca="false">MIN(B233*(1+B$8),B$9)</f>
        <v>0</v>
      </c>
      <c r="O234" s="27" t="n">
        <f aca="false">MIN(C233*(1+C$8),C$9)</f>
        <v>0</v>
      </c>
      <c r="P234" s="27" t="n">
        <f aca="false">MIN(D233*(1+D$8),D$9)</f>
        <v>0</v>
      </c>
      <c r="Q234" s="27" t="n">
        <f aca="false">MIN(E233*(1+E$8),E$9)</f>
        <v>0</v>
      </c>
      <c r="R234" s="27" t="n">
        <f aca="false">MIN(F233*(1+F$8),F$9)</f>
        <v>0</v>
      </c>
      <c r="S234" s="27" t="n">
        <f aca="false">MIN(G233*(1+G$8),G$9)</f>
        <v>0</v>
      </c>
      <c r="T234" s="27" t="n">
        <f aca="false">MIN(H233*(1+H$8),H$9)</f>
        <v>0</v>
      </c>
      <c r="U234" s="27" t="n">
        <f aca="false">MIN(I233*(1+I$8),I$9)</f>
        <v>0</v>
      </c>
      <c r="V234" s="27" t="n">
        <f aca="false">MIN(J233*(1+J$8),J$9)</f>
        <v>0</v>
      </c>
      <c r="W234" s="27" t="n">
        <f aca="false">MIN(K233*(1+K$8),K$9)</f>
        <v>0</v>
      </c>
      <c r="X234" s="27" t="n">
        <f aca="false">MIN(B233*(1+B$8),MAX(N234,$B$11-SUM(O234:W234)))</f>
        <v>0</v>
      </c>
      <c r="Y234" s="27" t="n">
        <f aca="false">MIN(C233*(1+C$8),MAX(O234,$B$11-SUM(X234:X234)-SUM(P234:W234)))</f>
        <v>0</v>
      </c>
      <c r="Z234" s="27" t="n">
        <f aca="false">MIN(D233*(1+D$8),MAX(P234,$B$11-SUM(X234:Y234)-SUM(Q234:W234)))</f>
        <v>0</v>
      </c>
      <c r="AA234" s="27" t="n">
        <f aca="false">MIN(E233*(1+E$8),MAX(Q234,$B$11-SUM(X234:Z234)-SUM(R234:W234)))</f>
        <v>0</v>
      </c>
      <c r="AB234" s="27" t="n">
        <f aca="false">MIN(F233*(1+F$8),MAX(R234,$B$11-SUM(X234:AA234)-SUM(S234:W234)))</f>
        <v>0</v>
      </c>
      <c r="AC234" s="27" t="n">
        <f aca="false">MIN(G233*(1+G$8),MAX(S234,$B$11-SUM(X234:AB234)-SUM(T234:W234)))</f>
        <v>0</v>
      </c>
      <c r="AD234" s="27" t="n">
        <f aca="false">MIN(H233*(1+H$8),MAX(T234,$B$11-SUM(X234:AC234)-SUM(U234:W234)))</f>
        <v>0</v>
      </c>
      <c r="AE234" s="27" t="n">
        <f aca="false">MIN(I233*(1+I$8),MAX(U234,$B$11-SUM(X234:AD234)-SUM(V234:W234)))</f>
        <v>0</v>
      </c>
      <c r="AF234" s="27" t="n">
        <f aca="false">MIN(J233*(1+J$8),MAX(V234,$B$11-SUM(X234:AE234)-SUM(W234:W234)))</f>
        <v>0</v>
      </c>
      <c r="AG234" s="27" t="n">
        <f aca="false">MIN(K233*(1+K$8),MAX(W234,$B$11-SUM(X234:AF234)))</f>
        <v>0</v>
      </c>
      <c r="AI234" s="27" t="n">
        <f aca="false">ROUND(MAX(0,AI233*(1+B$8)-BE234),2)</f>
        <v>0</v>
      </c>
      <c r="AJ234" s="27" t="n">
        <f aca="false">ROUND(MAX(0,AJ233*(1+C$8)-BF234),2)</f>
        <v>0</v>
      </c>
      <c r="AK234" s="27" t="n">
        <f aca="false">ROUND(MAX(0,AK233*(1+D$8)-BG234),2)</f>
        <v>0</v>
      </c>
      <c r="AL234" s="27" t="n">
        <f aca="false">ROUND(MAX(0,AL233*(1+E$8)-BH234),2)</f>
        <v>0</v>
      </c>
      <c r="AM234" s="27" t="n">
        <f aca="false">ROUND(MAX(0,AM233*(1+F$8)-BI234),2)</f>
        <v>0</v>
      </c>
      <c r="AN234" s="27" t="n">
        <f aca="false">ROUND(MAX(0,AN233*(1+G$8)-BJ234),2)</f>
        <v>0</v>
      </c>
      <c r="AO234" s="27" t="n">
        <f aca="false">ROUND(MAX(0,AO233*(1+H$8)-BK234),2)</f>
        <v>0</v>
      </c>
      <c r="AP234" s="27" t="n">
        <f aca="false">ROUND(MAX(0,AP233*(1+I$8)-BL234),2)</f>
        <v>0</v>
      </c>
      <c r="AQ234" s="27" t="n">
        <f aca="false">ROUND(MAX(0,AQ233*(1+J$8)-BM234),2)</f>
        <v>0</v>
      </c>
      <c r="AR234" s="27" t="n">
        <f aca="false">ROUND(MAX(0,AR233*(1+K$8)-BN234),2)</f>
        <v>0</v>
      </c>
      <c r="AS234" s="27" t="n">
        <f aca="false">SUM(AI234:AR234)</f>
        <v>0</v>
      </c>
      <c r="AT234" s="27" t="n">
        <f aca="false">SUMPRODUCT(AI233:AR233,$B$8:$K$8)</f>
        <v>0</v>
      </c>
      <c r="AU234" s="27" t="n">
        <f aca="false">MIN(AI233*(1+B$8),B$9)</f>
        <v>0</v>
      </c>
      <c r="AV234" s="27" t="n">
        <f aca="false">MIN(AJ233*(1+C$8),C$9)</f>
        <v>0</v>
      </c>
      <c r="AW234" s="27" t="n">
        <f aca="false">MIN(AK233*(1+D$8),D$9)</f>
        <v>0</v>
      </c>
      <c r="AX234" s="27" t="n">
        <f aca="false">MIN(AL233*(1+E$8),E$9)</f>
        <v>0</v>
      </c>
      <c r="AY234" s="27" t="n">
        <f aca="false">MIN(AM233*(1+F$8),F$9)</f>
        <v>0</v>
      </c>
      <c r="AZ234" s="27" t="n">
        <f aca="false">MIN(AN233*(1+G$8),G$9)</f>
        <v>0</v>
      </c>
      <c r="BA234" s="27" t="n">
        <f aca="false">MIN(AO233*(1+H$8),H$9)</f>
        <v>0</v>
      </c>
      <c r="BB234" s="27" t="n">
        <f aca="false">MIN(AP233*(1+I$8),I$9)</f>
        <v>0</v>
      </c>
      <c r="BC234" s="27" t="n">
        <f aca="false">MIN(AQ233*(1+J$8),J$9)</f>
        <v>0</v>
      </c>
      <c r="BD234" s="27" t="n">
        <f aca="false">MIN(AR233*(1+K$8),K$9)</f>
        <v>0</v>
      </c>
      <c r="BE234" s="27" t="n">
        <f aca="false">MIN(AI233*(1+B$8),MAX(AU234,$B$12-SUM(AV234:BD234)))</f>
        <v>0</v>
      </c>
      <c r="BF234" s="27" t="n">
        <f aca="false">MIN(AJ233*(1+C$8),MAX(AV234,$B$12-SUM(BE234:BE234)-SUM(AW234:BD234)))</f>
        <v>0</v>
      </c>
      <c r="BG234" s="27" t="n">
        <f aca="false">MIN(AK233*(1+D$8),MAX(AW234,$B$12-SUM(BE234:BF234)-SUM(AX234:BD234)))</f>
        <v>0</v>
      </c>
      <c r="BH234" s="27" t="n">
        <f aca="false">MIN(AL233*(1+E$8),MAX(AX234,$B$12-SUM(BE234:BG234)-SUM(AY234:BD234)))</f>
        <v>0</v>
      </c>
      <c r="BI234" s="27" t="n">
        <f aca="false">MIN(AM233*(1+F$8),MAX(AY234,$B$12-SUM(BE234:BH234)-SUM(AZ234:BD234)))</f>
        <v>0</v>
      </c>
      <c r="BJ234" s="27" t="n">
        <f aca="false">MIN(AN233*(1+G$8),MAX(AZ234,$B$12-SUM(BE234:BI234)-SUM(BA234:BD234)))</f>
        <v>0</v>
      </c>
      <c r="BK234" s="27" t="n">
        <f aca="false">MIN(AO233*(1+H$8),MAX(BA234,$B$12-SUM(BE234:BJ234)-SUM(BB234:BD234)))</f>
        <v>0</v>
      </c>
      <c r="BL234" s="27" t="n">
        <f aca="false">MIN(AP233*(1+I$8),MAX(BB234,$B$12-SUM(BE234:BK234)-SUM(BC234:BD234)))</f>
        <v>0</v>
      </c>
      <c r="BM234" s="27" t="n">
        <f aca="false">MIN(AQ233*(1+J$8),MAX(BC234,$B$12-SUM(BE234:BL234)-SUM(BD234:BD234)))</f>
        <v>0</v>
      </c>
      <c r="BN234" s="27" t="n">
        <f aca="false">MIN(AR233*(1+K$8),MAX(BD234,$B$12-SUM(BE234:BM234)))</f>
        <v>0</v>
      </c>
    </row>
    <row r="235" customFormat="false" ht="15" hidden="false" customHeight="false" outlineLevel="0" collapsed="false">
      <c r="A235" s="0" t="n">
        <v>221</v>
      </c>
      <c r="B235" s="27" t="n">
        <f aca="false">ROUND(MAX(0,B234*(1+B$8)-X235),2)</f>
        <v>0</v>
      </c>
      <c r="C235" s="27" t="n">
        <f aca="false">ROUND(MAX(0,C234*(1+C$8)-Y235),2)</f>
        <v>0</v>
      </c>
      <c r="D235" s="27" t="n">
        <f aca="false">ROUND(MAX(0,D234*(1+D$8)-Z235),2)</f>
        <v>0</v>
      </c>
      <c r="E235" s="27" t="n">
        <f aca="false">ROUND(MAX(0,E234*(1+E$8)-AA235),2)</f>
        <v>0</v>
      </c>
      <c r="F235" s="27" t="n">
        <f aca="false">ROUND(MAX(0,F234*(1+F$8)-AB235),2)</f>
        <v>0</v>
      </c>
      <c r="G235" s="27" t="n">
        <f aca="false">ROUND(MAX(0,G234*(1+G$8)-AC235),2)</f>
        <v>0</v>
      </c>
      <c r="H235" s="27" t="n">
        <f aca="false">ROUND(MAX(0,H234*(1+H$8)-AD235),2)</f>
        <v>0</v>
      </c>
      <c r="I235" s="27" t="n">
        <f aca="false">ROUND(MAX(0,I234*(1+I$8)-AE235),2)</f>
        <v>0</v>
      </c>
      <c r="J235" s="27" t="n">
        <f aca="false">ROUND(MAX(0,J234*(1+J$8)-AF235),2)</f>
        <v>0</v>
      </c>
      <c r="K235" s="27" t="n">
        <f aca="false">ROUND(MAX(0,K234*(1+K$8)-AG235),2)</f>
        <v>0</v>
      </c>
      <c r="L235" s="30" t="n">
        <f aca="false">SUM(B235:K235)</f>
        <v>0</v>
      </c>
      <c r="M235" s="27" t="n">
        <f aca="false">SUMPRODUCT(B234:K234,$B$8:$K$8)</f>
        <v>0</v>
      </c>
      <c r="N235" s="27" t="n">
        <f aca="false">MIN(B234*(1+B$8),B$9)</f>
        <v>0</v>
      </c>
      <c r="O235" s="27" t="n">
        <f aca="false">MIN(C234*(1+C$8),C$9)</f>
        <v>0</v>
      </c>
      <c r="P235" s="27" t="n">
        <f aca="false">MIN(D234*(1+D$8),D$9)</f>
        <v>0</v>
      </c>
      <c r="Q235" s="27" t="n">
        <f aca="false">MIN(E234*(1+E$8),E$9)</f>
        <v>0</v>
      </c>
      <c r="R235" s="27" t="n">
        <f aca="false">MIN(F234*(1+F$8),F$9)</f>
        <v>0</v>
      </c>
      <c r="S235" s="27" t="n">
        <f aca="false">MIN(G234*(1+G$8),G$9)</f>
        <v>0</v>
      </c>
      <c r="T235" s="27" t="n">
        <f aca="false">MIN(H234*(1+H$8),H$9)</f>
        <v>0</v>
      </c>
      <c r="U235" s="27" t="n">
        <f aca="false">MIN(I234*(1+I$8),I$9)</f>
        <v>0</v>
      </c>
      <c r="V235" s="27" t="n">
        <f aca="false">MIN(J234*(1+J$8),J$9)</f>
        <v>0</v>
      </c>
      <c r="W235" s="27" t="n">
        <f aca="false">MIN(K234*(1+K$8),K$9)</f>
        <v>0</v>
      </c>
      <c r="X235" s="27" t="n">
        <f aca="false">MIN(B234*(1+B$8),MAX(N235,$B$11-SUM(O235:W235)))</f>
        <v>0</v>
      </c>
      <c r="Y235" s="27" t="n">
        <f aca="false">MIN(C234*(1+C$8),MAX(O235,$B$11-SUM(X235:X235)-SUM(P235:W235)))</f>
        <v>0</v>
      </c>
      <c r="Z235" s="27" t="n">
        <f aca="false">MIN(D234*(1+D$8),MAX(P235,$B$11-SUM(X235:Y235)-SUM(Q235:W235)))</f>
        <v>0</v>
      </c>
      <c r="AA235" s="27" t="n">
        <f aca="false">MIN(E234*(1+E$8),MAX(Q235,$B$11-SUM(X235:Z235)-SUM(R235:W235)))</f>
        <v>0</v>
      </c>
      <c r="AB235" s="27" t="n">
        <f aca="false">MIN(F234*(1+F$8),MAX(R235,$B$11-SUM(X235:AA235)-SUM(S235:W235)))</f>
        <v>0</v>
      </c>
      <c r="AC235" s="27" t="n">
        <f aca="false">MIN(G234*(1+G$8),MAX(S235,$B$11-SUM(X235:AB235)-SUM(T235:W235)))</f>
        <v>0</v>
      </c>
      <c r="AD235" s="27" t="n">
        <f aca="false">MIN(H234*(1+H$8),MAX(T235,$B$11-SUM(X235:AC235)-SUM(U235:W235)))</f>
        <v>0</v>
      </c>
      <c r="AE235" s="27" t="n">
        <f aca="false">MIN(I234*(1+I$8),MAX(U235,$B$11-SUM(X235:AD235)-SUM(V235:W235)))</f>
        <v>0</v>
      </c>
      <c r="AF235" s="27" t="n">
        <f aca="false">MIN(J234*(1+J$8),MAX(V235,$B$11-SUM(X235:AE235)-SUM(W235:W235)))</f>
        <v>0</v>
      </c>
      <c r="AG235" s="27" t="n">
        <f aca="false">MIN(K234*(1+K$8),MAX(W235,$B$11-SUM(X235:AF235)))</f>
        <v>0</v>
      </c>
      <c r="AI235" s="27" t="n">
        <f aca="false">ROUND(MAX(0,AI234*(1+B$8)-BE235),2)</f>
        <v>0</v>
      </c>
      <c r="AJ235" s="27" t="n">
        <f aca="false">ROUND(MAX(0,AJ234*(1+C$8)-BF235),2)</f>
        <v>0</v>
      </c>
      <c r="AK235" s="27" t="n">
        <f aca="false">ROUND(MAX(0,AK234*(1+D$8)-BG235),2)</f>
        <v>0</v>
      </c>
      <c r="AL235" s="27" t="n">
        <f aca="false">ROUND(MAX(0,AL234*(1+E$8)-BH235),2)</f>
        <v>0</v>
      </c>
      <c r="AM235" s="27" t="n">
        <f aca="false">ROUND(MAX(0,AM234*(1+F$8)-BI235),2)</f>
        <v>0</v>
      </c>
      <c r="AN235" s="27" t="n">
        <f aca="false">ROUND(MAX(0,AN234*(1+G$8)-BJ235),2)</f>
        <v>0</v>
      </c>
      <c r="AO235" s="27" t="n">
        <f aca="false">ROUND(MAX(0,AO234*(1+H$8)-BK235),2)</f>
        <v>0</v>
      </c>
      <c r="AP235" s="27" t="n">
        <f aca="false">ROUND(MAX(0,AP234*(1+I$8)-BL235),2)</f>
        <v>0</v>
      </c>
      <c r="AQ235" s="27" t="n">
        <f aca="false">ROUND(MAX(0,AQ234*(1+J$8)-BM235),2)</f>
        <v>0</v>
      </c>
      <c r="AR235" s="27" t="n">
        <f aca="false">ROUND(MAX(0,AR234*(1+K$8)-BN235),2)</f>
        <v>0</v>
      </c>
      <c r="AS235" s="27" t="n">
        <f aca="false">SUM(AI235:AR235)</f>
        <v>0</v>
      </c>
      <c r="AT235" s="27" t="n">
        <f aca="false">SUMPRODUCT(AI234:AR234,$B$8:$K$8)</f>
        <v>0</v>
      </c>
      <c r="AU235" s="27" t="n">
        <f aca="false">MIN(AI234*(1+B$8),B$9)</f>
        <v>0</v>
      </c>
      <c r="AV235" s="27" t="n">
        <f aca="false">MIN(AJ234*(1+C$8),C$9)</f>
        <v>0</v>
      </c>
      <c r="AW235" s="27" t="n">
        <f aca="false">MIN(AK234*(1+D$8),D$9)</f>
        <v>0</v>
      </c>
      <c r="AX235" s="27" t="n">
        <f aca="false">MIN(AL234*(1+E$8),E$9)</f>
        <v>0</v>
      </c>
      <c r="AY235" s="27" t="n">
        <f aca="false">MIN(AM234*(1+F$8),F$9)</f>
        <v>0</v>
      </c>
      <c r="AZ235" s="27" t="n">
        <f aca="false">MIN(AN234*(1+G$8),G$9)</f>
        <v>0</v>
      </c>
      <c r="BA235" s="27" t="n">
        <f aca="false">MIN(AO234*(1+H$8),H$9)</f>
        <v>0</v>
      </c>
      <c r="BB235" s="27" t="n">
        <f aca="false">MIN(AP234*(1+I$8),I$9)</f>
        <v>0</v>
      </c>
      <c r="BC235" s="27" t="n">
        <f aca="false">MIN(AQ234*(1+J$8),J$9)</f>
        <v>0</v>
      </c>
      <c r="BD235" s="27" t="n">
        <f aca="false">MIN(AR234*(1+K$8),K$9)</f>
        <v>0</v>
      </c>
      <c r="BE235" s="27" t="n">
        <f aca="false">MIN(AI234*(1+B$8),MAX(AU235,$B$12-SUM(AV235:BD235)))</f>
        <v>0</v>
      </c>
      <c r="BF235" s="27" t="n">
        <f aca="false">MIN(AJ234*(1+C$8),MAX(AV235,$B$12-SUM(BE235:BE235)-SUM(AW235:BD235)))</f>
        <v>0</v>
      </c>
      <c r="BG235" s="27" t="n">
        <f aca="false">MIN(AK234*(1+D$8),MAX(AW235,$B$12-SUM(BE235:BF235)-SUM(AX235:BD235)))</f>
        <v>0</v>
      </c>
      <c r="BH235" s="27" t="n">
        <f aca="false">MIN(AL234*(1+E$8),MAX(AX235,$B$12-SUM(BE235:BG235)-SUM(AY235:BD235)))</f>
        <v>0</v>
      </c>
      <c r="BI235" s="27" t="n">
        <f aca="false">MIN(AM234*(1+F$8),MAX(AY235,$B$12-SUM(BE235:BH235)-SUM(AZ235:BD235)))</f>
        <v>0</v>
      </c>
      <c r="BJ235" s="27" t="n">
        <f aca="false">MIN(AN234*(1+G$8),MAX(AZ235,$B$12-SUM(BE235:BI235)-SUM(BA235:BD235)))</f>
        <v>0</v>
      </c>
      <c r="BK235" s="27" t="n">
        <f aca="false">MIN(AO234*(1+H$8),MAX(BA235,$B$12-SUM(BE235:BJ235)-SUM(BB235:BD235)))</f>
        <v>0</v>
      </c>
      <c r="BL235" s="27" t="n">
        <f aca="false">MIN(AP234*(1+I$8),MAX(BB235,$B$12-SUM(BE235:BK235)-SUM(BC235:BD235)))</f>
        <v>0</v>
      </c>
      <c r="BM235" s="27" t="n">
        <f aca="false">MIN(AQ234*(1+J$8),MAX(BC235,$B$12-SUM(BE235:BL235)-SUM(BD235:BD235)))</f>
        <v>0</v>
      </c>
      <c r="BN235" s="27" t="n">
        <f aca="false">MIN(AR234*(1+K$8),MAX(BD235,$B$12-SUM(BE235:BM235)))</f>
        <v>0</v>
      </c>
    </row>
    <row r="236" customFormat="false" ht="15" hidden="false" customHeight="false" outlineLevel="0" collapsed="false">
      <c r="A236" s="0" t="n">
        <v>222</v>
      </c>
      <c r="B236" s="27" t="n">
        <f aca="false">ROUND(MAX(0,B235*(1+B$8)-X236),2)</f>
        <v>0</v>
      </c>
      <c r="C236" s="27" t="n">
        <f aca="false">ROUND(MAX(0,C235*(1+C$8)-Y236),2)</f>
        <v>0</v>
      </c>
      <c r="D236" s="27" t="n">
        <f aca="false">ROUND(MAX(0,D235*(1+D$8)-Z236),2)</f>
        <v>0</v>
      </c>
      <c r="E236" s="27" t="n">
        <f aca="false">ROUND(MAX(0,E235*(1+E$8)-AA236),2)</f>
        <v>0</v>
      </c>
      <c r="F236" s="27" t="n">
        <f aca="false">ROUND(MAX(0,F235*(1+F$8)-AB236),2)</f>
        <v>0</v>
      </c>
      <c r="G236" s="27" t="n">
        <f aca="false">ROUND(MAX(0,G235*(1+G$8)-AC236),2)</f>
        <v>0</v>
      </c>
      <c r="H236" s="27" t="n">
        <f aca="false">ROUND(MAX(0,H235*(1+H$8)-AD236),2)</f>
        <v>0</v>
      </c>
      <c r="I236" s="27" t="n">
        <f aca="false">ROUND(MAX(0,I235*(1+I$8)-AE236),2)</f>
        <v>0</v>
      </c>
      <c r="J236" s="27" t="n">
        <f aca="false">ROUND(MAX(0,J235*(1+J$8)-AF236),2)</f>
        <v>0</v>
      </c>
      <c r="K236" s="27" t="n">
        <f aca="false">ROUND(MAX(0,K235*(1+K$8)-AG236),2)</f>
        <v>0</v>
      </c>
      <c r="L236" s="30" t="n">
        <f aca="false">SUM(B236:K236)</f>
        <v>0</v>
      </c>
      <c r="M236" s="27" t="n">
        <f aca="false">SUMPRODUCT(B235:K235,$B$8:$K$8)</f>
        <v>0</v>
      </c>
      <c r="N236" s="27" t="n">
        <f aca="false">MIN(B235*(1+B$8),B$9)</f>
        <v>0</v>
      </c>
      <c r="O236" s="27" t="n">
        <f aca="false">MIN(C235*(1+C$8),C$9)</f>
        <v>0</v>
      </c>
      <c r="P236" s="27" t="n">
        <f aca="false">MIN(D235*(1+D$8),D$9)</f>
        <v>0</v>
      </c>
      <c r="Q236" s="27" t="n">
        <f aca="false">MIN(E235*(1+E$8),E$9)</f>
        <v>0</v>
      </c>
      <c r="R236" s="27" t="n">
        <f aca="false">MIN(F235*(1+F$8),F$9)</f>
        <v>0</v>
      </c>
      <c r="S236" s="27" t="n">
        <f aca="false">MIN(G235*(1+G$8),G$9)</f>
        <v>0</v>
      </c>
      <c r="T236" s="27" t="n">
        <f aca="false">MIN(H235*(1+H$8),H$9)</f>
        <v>0</v>
      </c>
      <c r="U236" s="27" t="n">
        <f aca="false">MIN(I235*(1+I$8),I$9)</f>
        <v>0</v>
      </c>
      <c r="V236" s="27" t="n">
        <f aca="false">MIN(J235*(1+J$8),J$9)</f>
        <v>0</v>
      </c>
      <c r="W236" s="27" t="n">
        <f aca="false">MIN(K235*(1+K$8),K$9)</f>
        <v>0</v>
      </c>
      <c r="X236" s="27" t="n">
        <f aca="false">MIN(B235*(1+B$8),MAX(N236,$B$11-SUM(O236:W236)))</f>
        <v>0</v>
      </c>
      <c r="Y236" s="27" t="n">
        <f aca="false">MIN(C235*(1+C$8),MAX(O236,$B$11-SUM(X236:X236)-SUM(P236:W236)))</f>
        <v>0</v>
      </c>
      <c r="Z236" s="27" t="n">
        <f aca="false">MIN(D235*(1+D$8),MAX(P236,$B$11-SUM(X236:Y236)-SUM(Q236:W236)))</f>
        <v>0</v>
      </c>
      <c r="AA236" s="27" t="n">
        <f aca="false">MIN(E235*(1+E$8),MAX(Q236,$B$11-SUM(X236:Z236)-SUM(R236:W236)))</f>
        <v>0</v>
      </c>
      <c r="AB236" s="27" t="n">
        <f aca="false">MIN(F235*(1+F$8),MAX(R236,$B$11-SUM(X236:AA236)-SUM(S236:W236)))</f>
        <v>0</v>
      </c>
      <c r="AC236" s="27" t="n">
        <f aca="false">MIN(G235*(1+G$8),MAX(S236,$B$11-SUM(X236:AB236)-SUM(T236:W236)))</f>
        <v>0</v>
      </c>
      <c r="AD236" s="27" t="n">
        <f aca="false">MIN(H235*(1+H$8),MAX(T236,$B$11-SUM(X236:AC236)-SUM(U236:W236)))</f>
        <v>0</v>
      </c>
      <c r="AE236" s="27" t="n">
        <f aca="false">MIN(I235*(1+I$8),MAX(U236,$B$11-SUM(X236:AD236)-SUM(V236:W236)))</f>
        <v>0</v>
      </c>
      <c r="AF236" s="27" t="n">
        <f aca="false">MIN(J235*(1+J$8),MAX(V236,$B$11-SUM(X236:AE236)-SUM(W236:W236)))</f>
        <v>0</v>
      </c>
      <c r="AG236" s="27" t="n">
        <f aca="false">MIN(K235*(1+K$8),MAX(W236,$B$11-SUM(X236:AF236)))</f>
        <v>0</v>
      </c>
      <c r="AI236" s="27" t="n">
        <f aca="false">ROUND(MAX(0,AI235*(1+B$8)-BE236),2)</f>
        <v>0</v>
      </c>
      <c r="AJ236" s="27" t="n">
        <f aca="false">ROUND(MAX(0,AJ235*(1+C$8)-BF236),2)</f>
        <v>0</v>
      </c>
      <c r="AK236" s="27" t="n">
        <f aca="false">ROUND(MAX(0,AK235*(1+D$8)-BG236),2)</f>
        <v>0</v>
      </c>
      <c r="AL236" s="27" t="n">
        <f aca="false">ROUND(MAX(0,AL235*(1+E$8)-BH236),2)</f>
        <v>0</v>
      </c>
      <c r="AM236" s="27" t="n">
        <f aca="false">ROUND(MAX(0,AM235*(1+F$8)-BI236),2)</f>
        <v>0</v>
      </c>
      <c r="AN236" s="27" t="n">
        <f aca="false">ROUND(MAX(0,AN235*(1+G$8)-BJ236),2)</f>
        <v>0</v>
      </c>
      <c r="AO236" s="27" t="n">
        <f aca="false">ROUND(MAX(0,AO235*(1+H$8)-BK236),2)</f>
        <v>0</v>
      </c>
      <c r="AP236" s="27" t="n">
        <f aca="false">ROUND(MAX(0,AP235*(1+I$8)-BL236),2)</f>
        <v>0</v>
      </c>
      <c r="AQ236" s="27" t="n">
        <f aca="false">ROUND(MAX(0,AQ235*(1+J$8)-BM236),2)</f>
        <v>0</v>
      </c>
      <c r="AR236" s="27" t="n">
        <f aca="false">ROUND(MAX(0,AR235*(1+K$8)-BN236),2)</f>
        <v>0</v>
      </c>
      <c r="AS236" s="27" t="n">
        <f aca="false">SUM(AI236:AR236)</f>
        <v>0</v>
      </c>
      <c r="AT236" s="27" t="n">
        <f aca="false">SUMPRODUCT(AI235:AR235,$B$8:$K$8)</f>
        <v>0</v>
      </c>
      <c r="AU236" s="27" t="n">
        <f aca="false">MIN(AI235*(1+B$8),B$9)</f>
        <v>0</v>
      </c>
      <c r="AV236" s="27" t="n">
        <f aca="false">MIN(AJ235*(1+C$8),C$9)</f>
        <v>0</v>
      </c>
      <c r="AW236" s="27" t="n">
        <f aca="false">MIN(AK235*(1+D$8),D$9)</f>
        <v>0</v>
      </c>
      <c r="AX236" s="27" t="n">
        <f aca="false">MIN(AL235*(1+E$8),E$9)</f>
        <v>0</v>
      </c>
      <c r="AY236" s="27" t="n">
        <f aca="false">MIN(AM235*(1+F$8),F$9)</f>
        <v>0</v>
      </c>
      <c r="AZ236" s="27" t="n">
        <f aca="false">MIN(AN235*(1+G$8),G$9)</f>
        <v>0</v>
      </c>
      <c r="BA236" s="27" t="n">
        <f aca="false">MIN(AO235*(1+H$8),H$9)</f>
        <v>0</v>
      </c>
      <c r="BB236" s="27" t="n">
        <f aca="false">MIN(AP235*(1+I$8),I$9)</f>
        <v>0</v>
      </c>
      <c r="BC236" s="27" t="n">
        <f aca="false">MIN(AQ235*(1+J$8),J$9)</f>
        <v>0</v>
      </c>
      <c r="BD236" s="27" t="n">
        <f aca="false">MIN(AR235*(1+K$8),K$9)</f>
        <v>0</v>
      </c>
      <c r="BE236" s="27" t="n">
        <f aca="false">MIN(AI235*(1+B$8),MAX(AU236,$B$12-SUM(AV236:BD236)))</f>
        <v>0</v>
      </c>
      <c r="BF236" s="27" t="n">
        <f aca="false">MIN(AJ235*(1+C$8),MAX(AV236,$B$12-SUM(BE236:BE236)-SUM(AW236:BD236)))</f>
        <v>0</v>
      </c>
      <c r="BG236" s="27" t="n">
        <f aca="false">MIN(AK235*(1+D$8),MAX(AW236,$B$12-SUM(BE236:BF236)-SUM(AX236:BD236)))</f>
        <v>0</v>
      </c>
      <c r="BH236" s="27" t="n">
        <f aca="false">MIN(AL235*(1+E$8),MAX(AX236,$B$12-SUM(BE236:BG236)-SUM(AY236:BD236)))</f>
        <v>0</v>
      </c>
      <c r="BI236" s="27" t="n">
        <f aca="false">MIN(AM235*(1+F$8),MAX(AY236,$B$12-SUM(BE236:BH236)-SUM(AZ236:BD236)))</f>
        <v>0</v>
      </c>
      <c r="BJ236" s="27" t="n">
        <f aca="false">MIN(AN235*(1+G$8),MAX(AZ236,$B$12-SUM(BE236:BI236)-SUM(BA236:BD236)))</f>
        <v>0</v>
      </c>
      <c r="BK236" s="27" t="n">
        <f aca="false">MIN(AO235*(1+H$8),MAX(BA236,$B$12-SUM(BE236:BJ236)-SUM(BB236:BD236)))</f>
        <v>0</v>
      </c>
      <c r="BL236" s="27" t="n">
        <f aca="false">MIN(AP235*(1+I$8),MAX(BB236,$B$12-SUM(BE236:BK236)-SUM(BC236:BD236)))</f>
        <v>0</v>
      </c>
      <c r="BM236" s="27" t="n">
        <f aca="false">MIN(AQ235*(1+J$8),MAX(BC236,$B$12-SUM(BE236:BL236)-SUM(BD236:BD236)))</f>
        <v>0</v>
      </c>
      <c r="BN236" s="27" t="n">
        <f aca="false">MIN(AR235*(1+K$8),MAX(BD236,$B$12-SUM(BE236:BM236)))</f>
        <v>0</v>
      </c>
    </row>
    <row r="237" customFormat="false" ht="15" hidden="false" customHeight="false" outlineLevel="0" collapsed="false">
      <c r="A237" s="0" t="n">
        <v>223</v>
      </c>
      <c r="B237" s="27" t="n">
        <f aca="false">ROUND(MAX(0,B236*(1+B$8)-X237),2)</f>
        <v>0</v>
      </c>
      <c r="C237" s="27" t="n">
        <f aca="false">ROUND(MAX(0,C236*(1+C$8)-Y237),2)</f>
        <v>0</v>
      </c>
      <c r="D237" s="27" t="n">
        <f aca="false">ROUND(MAX(0,D236*(1+D$8)-Z237),2)</f>
        <v>0</v>
      </c>
      <c r="E237" s="27" t="n">
        <f aca="false">ROUND(MAX(0,E236*(1+E$8)-AA237),2)</f>
        <v>0</v>
      </c>
      <c r="F237" s="27" t="n">
        <f aca="false">ROUND(MAX(0,F236*(1+F$8)-AB237),2)</f>
        <v>0</v>
      </c>
      <c r="G237" s="27" t="n">
        <f aca="false">ROUND(MAX(0,G236*(1+G$8)-AC237),2)</f>
        <v>0</v>
      </c>
      <c r="H237" s="27" t="n">
        <f aca="false">ROUND(MAX(0,H236*(1+H$8)-AD237),2)</f>
        <v>0</v>
      </c>
      <c r="I237" s="27" t="n">
        <f aca="false">ROUND(MAX(0,I236*(1+I$8)-AE237),2)</f>
        <v>0</v>
      </c>
      <c r="J237" s="27" t="n">
        <f aca="false">ROUND(MAX(0,J236*(1+J$8)-AF237),2)</f>
        <v>0</v>
      </c>
      <c r="K237" s="27" t="n">
        <f aca="false">ROUND(MAX(0,K236*(1+K$8)-AG237),2)</f>
        <v>0</v>
      </c>
      <c r="L237" s="30" t="n">
        <f aca="false">SUM(B237:K237)</f>
        <v>0</v>
      </c>
      <c r="M237" s="27" t="n">
        <f aca="false">SUMPRODUCT(B236:K236,$B$8:$K$8)</f>
        <v>0</v>
      </c>
      <c r="N237" s="27" t="n">
        <f aca="false">MIN(B236*(1+B$8),B$9)</f>
        <v>0</v>
      </c>
      <c r="O237" s="27" t="n">
        <f aca="false">MIN(C236*(1+C$8),C$9)</f>
        <v>0</v>
      </c>
      <c r="P237" s="27" t="n">
        <f aca="false">MIN(D236*(1+D$8),D$9)</f>
        <v>0</v>
      </c>
      <c r="Q237" s="27" t="n">
        <f aca="false">MIN(E236*(1+E$8),E$9)</f>
        <v>0</v>
      </c>
      <c r="R237" s="27" t="n">
        <f aca="false">MIN(F236*(1+F$8),F$9)</f>
        <v>0</v>
      </c>
      <c r="S237" s="27" t="n">
        <f aca="false">MIN(G236*(1+G$8),G$9)</f>
        <v>0</v>
      </c>
      <c r="T237" s="27" t="n">
        <f aca="false">MIN(H236*(1+H$8),H$9)</f>
        <v>0</v>
      </c>
      <c r="U237" s="27" t="n">
        <f aca="false">MIN(I236*(1+I$8),I$9)</f>
        <v>0</v>
      </c>
      <c r="V237" s="27" t="n">
        <f aca="false">MIN(J236*(1+J$8),J$9)</f>
        <v>0</v>
      </c>
      <c r="W237" s="27" t="n">
        <f aca="false">MIN(K236*(1+K$8),K$9)</f>
        <v>0</v>
      </c>
      <c r="X237" s="27" t="n">
        <f aca="false">MIN(B236*(1+B$8),MAX(N237,$B$11-SUM(O237:W237)))</f>
        <v>0</v>
      </c>
      <c r="Y237" s="27" t="n">
        <f aca="false">MIN(C236*(1+C$8),MAX(O237,$B$11-SUM(X237:X237)-SUM(P237:W237)))</f>
        <v>0</v>
      </c>
      <c r="Z237" s="27" t="n">
        <f aca="false">MIN(D236*(1+D$8),MAX(P237,$B$11-SUM(X237:Y237)-SUM(Q237:W237)))</f>
        <v>0</v>
      </c>
      <c r="AA237" s="27" t="n">
        <f aca="false">MIN(E236*(1+E$8),MAX(Q237,$B$11-SUM(X237:Z237)-SUM(R237:W237)))</f>
        <v>0</v>
      </c>
      <c r="AB237" s="27" t="n">
        <f aca="false">MIN(F236*(1+F$8),MAX(R237,$B$11-SUM(X237:AA237)-SUM(S237:W237)))</f>
        <v>0</v>
      </c>
      <c r="AC237" s="27" t="n">
        <f aca="false">MIN(G236*(1+G$8),MAX(S237,$B$11-SUM(X237:AB237)-SUM(T237:W237)))</f>
        <v>0</v>
      </c>
      <c r="AD237" s="27" t="n">
        <f aca="false">MIN(H236*(1+H$8),MAX(T237,$B$11-SUM(X237:AC237)-SUM(U237:W237)))</f>
        <v>0</v>
      </c>
      <c r="AE237" s="27" t="n">
        <f aca="false">MIN(I236*(1+I$8),MAX(U237,$B$11-SUM(X237:AD237)-SUM(V237:W237)))</f>
        <v>0</v>
      </c>
      <c r="AF237" s="27" t="n">
        <f aca="false">MIN(J236*(1+J$8),MAX(V237,$B$11-SUM(X237:AE237)-SUM(W237:W237)))</f>
        <v>0</v>
      </c>
      <c r="AG237" s="27" t="n">
        <f aca="false">MIN(K236*(1+K$8),MAX(W237,$B$11-SUM(X237:AF237)))</f>
        <v>0</v>
      </c>
      <c r="AI237" s="27" t="n">
        <f aca="false">ROUND(MAX(0,AI236*(1+B$8)-BE237),2)</f>
        <v>0</v>
      </c>
      <c r="AJ237" s="27" t="n">
        <f aca="false">ROUND(MAX(0,AJ236*(1+C$8)-BF237),2)</f>
        <v>0</v>
      </c>
      <c r="AK237" s="27" t="n">
        <f aca="false">ROUND(MAX(0,AK236*(1+D$8)-BG237),2)</f>
        <v>0</v>
      </c>
      <c r="AL237" s="27" t="n">
        <f aca="false">ROUND(MAX(0,AL236*(1+E$8)-BH237),2)</f>
        <v>0</v>
      </c>
      <c r="AM237" s="27" t="n">
        <f aca="false">ROUND(MAX(0,AM236*(1+F$8)-BI237),2)</f>
        <v>0</v>
      </c>
      <c r="AN237" s="27" t="n">
        <f aca="false">ROUND(MAX(0,AN236*(1+G$8)-BJ237),2)</f>
        <v>0</v>
      </c>
      <c r="AO237" s="27" t="n">
        <f aca="false">ROUND(MAX(0,AO236*(1+H$8)-BK237),2)</f>
        <v>0</v>
      </c>
      <c r="AP237" s="27" t="n">
        <f aca="false">ROUND(MAX(0,AP236*(1+I$8)-BL237),2)</f>
        <v>0</v>
      </c>
      <c r="AQ237" s="27" t="n">
        <f aca="false">ROUND(MAX(0,AQ236*(1+J$8)-BM237),2)</f>
        <v>0</v>
      </c>
      <c r="AR237" s="27" t="n">
        <f aca="false">ROUND(MAX(0,AR236*(1+K$8)-BN237),2)</f>
        <v>0</v>
      </c>
      <c r="AS237" s="27" t="n">
        <f aca="false">SUM(AI237:AR237)</f>
        <v>0</v>
      </c>
      <c r="AT237" s="27" t="n">
        <f aca="false">SUMPRODUCT(AI236:AR236,$B$8:$K$8)</f>
        <v>0</v>
      </c>
      <c r="AU237" s="27" t="n">
        <f aca="false">MIN(AI236*(1+B$8),B$9)</f>
        <v>0</v>
      </c>
      <c r="AV237" s="27" t="n">
        <f aca="false">MIN(AJ236*(1+C$8),C$9)</f>
        <v>0</v>
      </c>
      <c r="AW237" s="27" t="n">
        <f aca="false">MIN(AK236*(1+D$8),D$9)</f>
        <v>0</v>
      </c>
      <c r="AX237" s="27" t="n">
        <f aca="false">MIN(AL236*(1+E$8),E$9)</f>
        <v>0</v>
      </c>
      <c r="AY237" s="27" t="n">
        <f aca="false">MIN(AM236*(1+F$8),F$9)</f>
        <v>0</v>
      </c>
      <c r="AZ237" s="27" t="n">
        <f aca="false">MIN(AN236*(1+G$8),G$9)</f>
        <v>0</v>
      </c>
      <c r="BA237" s="27" t="n">
        <f aca="false">MIN(AO236*(1+H$8),H$9)</f>
        <v>0</v>
      </c>
      <c r="BB237" s="27" t="n">
        <f aca="false">MIN(AP236*(1+I$8),I$9)</f>
        <v>0</v>
      </c>
      <c r="BC237" s="27" t="n">
        <f aca="false">MIN(AQ236*(1+J$8),J$9)</f>
        <v>0</v>
      </c>
      <c r="BD237" s="27" t="n">
        <f aca="false">MIN(AR236*(1+K$8),K$9)</f>
        <v>0</v>
      </c>
      <c r="BE237" s="27" t="n">
        <f aca="false">MIN(AI236*(1+B$8),MAX(AU237,$B$12-SUM(AV237:BD237)))</f>
        <v>0</v>
      </c>
      <c r="BF237" s="27" t="n">
        <f aca="false">MIN(AJ236*(1+C$8),MAX(AV237,$B$12-SUM(BE237:BE237)-SUM(AW237:BD237)))</f>
        <v>0</v>
      </c>
      <c r="BG237" s="27" t="n">
        <f aca="false">MIN(AK236*(1+D$8),MAX(AW237,$B$12-SUM(BE237:BF237)-SUM(AX237:BD237)))</f>
        <v>0</v>
      </c>
      <c r="BH237" s="27" t="n">
        <f aca="false">MIN(AL236*(1+E$8),MAX(AX237,$B$12-SUM(BE237:BG237)-SUM(AY237:BD237)))</f>
        <v>0</v>
      </c>
      <c r="BI237" s="27" t="n">
        <f aca="false">MIN(AM236*(1+F$8),MAX(AY237,$B$12-SUM(BE237:BH237)-SUM(AZ237:BD237)))</f>
        <v>0</v>
      </c>
      <c r="BJ237" s="27" t="n">
        <f aca="false">MIN(AN236*(1+G$8),MAX(AZ237,$B$12-SUM(BE237:BI237)-SUM(BA237:BD237)))</f>
        <v>0</v>
      </c>
      <c r="BK237" s="27" t="n">
        <f aca="false">MIN(AO236*(1+H$8),MAX(BA237,$B$12-SUM(BE237:BJ237)-SUM(BB237:BD237)))</f>
        <v>0</v>
      </c>
      <c r="BL237" s="27" t="n">
        <f aca="false">MIN(AP236*(1+I$8),MAX(BB237,$B$12-SUM(BE237:BK237)-SUM(BC237:BD237)))</f>
        <v>0</v>
      </c>
      <c r="BM237" s="27" t="n">
        <f aca="false">MIN(AQ236*(1+J$8),MAX(BC237,$B$12-SUM(BE237:BL237)-SUM(BD237:BD237)))</f>
        <v>0</v>
      </c>
      <c r="BN237" s="27" t="n">
        <f aca="false">MIN(AR236*(1+K$8),MAX(BD237,$B$12-SUM(BE237:BM237)))</f>
        <v>0</v>
      </c>
    </row>
    <row r="238" customFormat="false" ht="15" hidden="false" customHeight="false" outlineLevel="0" collapsed="false">
      <c r="A238" s="0" t="n">
        <v>224</v>
      </c>
      <c r="B238" s="27" t="n">
        <f aca="false">ROUND(MAX(0,B237*(1+B$8)-X238),2)</f>
        <v>0</v>
      </c>
      <c r="C238" s="27" t="n">
        <f aca="false">ROUND(MAX(0,C237*(1+C$8)-Y238),2)</f>
        <v>0</v>
      </c>
      <c r="D238" s="27" t="n">
        <f aca="false">ROUND(MAX(0,D237*(1+D$8)-Z238),2)</f>
        <v>0</v>
      </c>
      <c r="E238" s="27" t="n">
        <f aca="false">ROUND(MAX(0,E237*(1+E$8)-AA238),2)</f>
        <v>0</v>
      </c>
      <c r="F238" s="27" t="n">
        <f aca="false">ROUND(MAX(0,F237*(1+F$8)-AB238),2)</f>
        <v>0</v>
      </c>
      <c r="G238" s="27" t="n">
        <f aca="false">ROUND(MAX(0,G237*(1+G$8)-AC238),2)</f>
        <v>0</v>
      </c>
      <c r="H238" s="27" t="n">
        <f aca="false">ROUND(MAX(0,H237*(1+H$8)-AD238),2)</f>
        <v>0</v>
      </c>
      <c r="I238" s="27" t="n">
        <f aca="false">ROUND(MAX(0,I237*(1+I$8)-AE238),2)</f>
        <v>0</v>
      </c>
      <c r="J238" s="27" t="n">
        <f aca="false">ROUND(MAX(0,J237*(1+J$8)-AF238),2)</f>
        <v>0</v>
      </c>
      <c r="K238" s="27" t="n">
        <f aca="false">ROUND(MAX(0,K237*(1+K$8)-AG238),2)</f>
        <v>0</v>
      </c>
      <c r="L238" s="30" t="n">
        <f aca="false">SUM(B238:K238)</f>
        <v>0</v>
      </c>
      <c r="M238" s="27" t="n">
        <f aca="false">SUMPRODUCT(B237:K237,$B$8:$K$8)</f>
        <v>0</v>
      </c>
      <c r="N238" s="27" t="n">
        <f aca="false">MIN(B237*(1+B$8),B$9)</f>
        <v>0</v>
      </c>
      <c r="O238" s="27" t="n">
        <f aca="false">MIN(C237*(1+C$8),C$9)</f>
        <v>0</v>
      </c>
      <c r="P238" s="27" t="n">
        <f aca="false">MIN(D237*(1+D$8),D$9)</f>
        <v>0</v>
      </c>
      <c r="Q238" s="27" t="n">
        <f aca="false">MIN(E237*(1+E$8),E$9)</f>
        <v>0</v>
      </c>
      <c r="R238" s="27" t="n">
        <f aca="false">MIN(F237*(1+F$8),F$9)</f>
        <v>0</v>
      </c>
      <c r="S238" s="27" t="n">
        <f aca="false">MIN(G237*(1+G$8),G$9)</f>
        <v>0</v>
      </c>
      <c r="T238" s="27" t="n">
        <f aca="false">MIN(H237*(1+H$8),H$9)</f>
        <v>0</v>
      </c>
      <c r="U238" s="27" t="n">
        <f aca="false">MIN(I237*(1+I$8),I$9)</f>
        <v>0</v>
      </c>
      <c r="V238" s="27" t="n">
        <f aca="false">MIN(J237*(1+J$8),J$9)</f>
        <v>0</v>
      </c>
      <c r="W238" s="27" t="n">
        <f aca="false">MIN(K237*(1+K$8),K$9)</f>
        <v>0</v>
      </c>
      <c r="X238" s="27" t="n">
        <f aca="false">MIN(B237*(1+B$8),MAX(N238,$B$11-SUM(O238:W238)))</f>
        <v>0</v>
      </c>
      <c r="Y238" s="27" t="n">
        <f aca="false">MIN(C237*(1+C$8),MAX(O238,$B$11-SUM(X238:X238)-SUM(P238:W238)))</f>
        <v>0</v>
      </c>
      <c r="Z238" s="27" t="n">
        <f aca="false">MIN(D237*(1+D$8),MAX(P238,$B$11-SUM(X238:Y238)-SUM(Q238:W238)))</f>
        <v>0</v>
      </c>
      <c r="AA238" s="27" t="n">
        <f aca="false">MIN(E237*(1+E$8),MAX(Q238,$B$11-SUM(X238:Z238)-SUM(R238:W238)))</f>
        <v>0</v>
      </c>
      <c r="AB238" s="27" t="n">
        <f aca="false">MIN(F237*(1+F$8),MAX(R238,$B$11-SUM(X238:AA238)-SUM(S238:W238)))</f>
        <v>0</v>
      </c>
      <c r="AC238" s="27" t="n">
        <f aca="false">MIN(G237*(1+G$8),MAX(S238,$B$11-SUM(X238:AB238)-SUM(T238:W238)))</f>
        <v>0</v>
      </c>
      <c r="AD238" s="27" t="n">
        <f aca="false">MIN(H237*(1+H$8),MAX(T238,$B$11-SUM(X238:AC238)-SUM(U238:W238)))</f>
        <v>0</v>
      </c>
      <c r="AE238" s="27" t="n">
        <f aca="false">MIN(I237*(1+I$8),MAX(U238,$B$11-SUM(X238:AD238)-SUM(V238:W238)))</f>
        <v>0</v>
      </c>
      <c r="AF238" s="27" t="n">
        <f aca="false">MIN(J237*(1+J$8),MAX(V238,$B$11-SUM(X238:AE238)-SUM(W238:W238)))</f>
        <v>0</v>
      </c>
      <c r="AG238" s="27" t="n">
        <f aca="false">MIN(K237*(1+K$8),MAX(W238,$B$11-SUM(X238:AF238)))</f>
        <v>0</v>
      </c>
      <c r="AI238" s="27" t="n">
        <f aca="false">ROUND(MAX(0,AI237*(1+B$8)-BE238),2)</f>
        <v>0</v>
      </c>
      <c r="AJ238" s="27" t="n">
        <f aca="false">ROUND(MAX(0,AJ237*(1+C$8)-BF238),2)</f>
        <v>0</v>
      </c>
      <c r="AK238" s="27" t="n">
        <f aca="false">ROUND(MAX(0,AK237*(1+D$8)-BG238),2)</f>
        <v>0</v>
      </c>
      <c r="AL238" s="27" t="n">
        <f aca="false">ROUND(MAX(0,AL237*(1+E$8)-BH238),2)</f>
        <v>0</v>
      </c>
      <c r="AM238" s="27" t="n">
        <f aca="false">ROUND(MAX(0,AM237*(1+F$8)-BI238),2)</f>
        <v>0</v>
      </c>
      <c r="AN238" s="27" t="n">
        <f aca="false">ROUND(MAX(0,AN237*(1+G$8)-BJ238),2)</f>
        <v>0</v>
      </c>
      <c r="AO238" s="27" t="n">
        <f aca="false">ROUND(MAX(0,AO237*(1+H$8)-BK238),2)</f>
        <v>0</v>
      </c>
      <c r="AP238" s="27" t="n">
        <f aca="false">ROUND(MAX(0,AP237*(1+I$8)-BL238),2)</f>
        <v>0</v>
      </c>
      <c r="AQ238" s="27" t="n">
        <f aca="false">ROUND(MAX(0,AQ237*(1+J$8)-BM238),2)</f>
        <v>0</v>
      </c>
      <c r="AR238" s="27" t="n">
        <f aca="false">ROUND(MAX(0,AR237*(1+K$8)-BN238),2)</f>
        <v>0</v>
      </c>
      <c r="AS238" s="27" t="n">
        <f aca="false">SUM(AI238:AR238)</f>
        <v>0</v>
      </c>
      <c r="AT238" s="27" t="n">
        <f aca="false">SUMPRODUCT(AI237:AR237,$B$8:$K$8)</f>
        <v>0</v>
      </c>
      <c r="AU238" s="27" t="n">
        <f aca="false">MIN(AI237*(1+B$8),B$9)</f>
        <v>0</v>
      </c>
      <c r="AV238" s="27" t="n">
        <f aca="false">MIN(AJ237*(1+C$8),C$9)</f>
        <v>0</v>
      </c>
      <c r="AW238" s="27" t="n">
        <f aca="false">MIN(AK237*(1+D$8),D$9)</f>
        <v>0</v>
      </c>
      <c r="AX238" s="27" t="n">
        <f aca="false">MIN(AL237*(1+E$8),E$9)</f>
        <v>0</v>
      </c>
      <c r="AY238" s="27" t="n">
        <f aca="false">MIN(AM237*(1+F$8),F$9)</f>
        <v>0</v>
      </c>
      <c r="AZ238" s="27" t="n">
        <f aca="false">MIN(AN237*(1+G$8),G$9)</f>
        <v>0</v>
      </c>
      <c r="BA238" s="27" t="n">
        <f aca="false">MIN(AO237*(1+H$8),H$9)</f>
        <v>0</v>
      </c>
      <c r="BB238" s="27" t="n">
        <f aca="false">MIN(AP237*(1+I$8),I$9)</f>
        <v>0</v>
      </c>
      <c r="BC238" s="27" t="n">
        <f aca="false">MIN(AQ237*(1+J$8),J$9)</f>
        <v>0</v>
      </c>
      <c r="BD238" s="27" t="n">
        <f aca="false">MIN(AR237*(1+K$8),K$9)</f>
        <v>0</v>
      </c>
      <c r="BE238" s="27" t="n">
        <f aca="false">MIN(AI237*(1+B$8),MAX(AU238,$B$12-SUM(AV238:BD238)))</f>
        <v>0</v>
      </c>
      <c r="BF238" s="27" t="n">
        <f aca="false">MIN(AJ237*(1+C$8),MAX(AV238,$B$12-SUM(BE238:BE238)-SUM(AW238:BD238)))</f>
        <v>0</v>
      </c>
      <c r="BG238" s="27" t="n">
        <f aca="false">MIN(AK237*(1+D$8),MAX(AW238,$B$12-SUM(BE238:BF238)-SUM(AX238:BD238)))</f>
        <v>0</v>
      </c>
      <c r="BH238" s="27" t="n">
        <f aca="false">MIN(AL237*(1+E$8),MAX(AX238,$B$12-SUM(BE238:BG238)-SUM(AY238:BD238)))</f>
        <v>0</v>
      </c>
      <c r="BI238" s="27" t="n">
        <f aca="false">MIN(AM237*(1+F$8),MAX(AY238,$B$12-SUM(BE238:BH238)-SUM(AZ238:BD238)))</f>
        <v>0</v>
      </c>
      <c r="BJ238" s="27" t="n">
        <f aca="false">MIN(AN237*(1+G$8),MAX(AZ238,$B$12-SUM(BE238:BI238)-SUM(BA238:BD238)))</f>
        <v>0</v>
      </c>
      <c r="BK238" s="27" t="n">
        <f aca="false">MIN(AO237*(1+H$8),MAX(BA238,$B$12-SUM(BE238:BJ238)-SUM(BB238:BD238)))</f>
        <v>0</v>
      </c>
      <c r="BL238" s="27" t="n">
        <f aca="false">MIN(AP237*(1+I$8),MAX(BB238,$B$12-SUM(BE238:BK238)-SUM(BC238:BD238)))</f>
        <v>0</v>
      </c>
      <c r="BM238" s="27" t="n">
        <f aca="false">MIN(AQ237*(1+J$8),MAX(BC238,$B$12-SUM(BE238:BL238)-SUM(BD238:BD238)))</f>
        <v>0</v>
      </c>
      <c r="BN238" s="27" t="n">
        <f aca="false">MIN(AR237*(1+K$8),MAX(BD238,$B$12-SUM(BE238:BM238)))</f>
        <v>0</v>
      </c>
    </row>
    <row r="239" customFormat="false" ht="15" hidden="false" customHeight="false" outlineLevel="0" collapsed="false">
      <c r="A239" s="0" t="n">
        <v>225</v>
      </c>
      <c r="B239" s="27" t="n">
        <f aca="false">ROUND(MAX(0,B238*(1+B$8)-X239),2)</f>
        <v>0</v>
      </c>
      <c r="C239" s="27" t="n">
        <f aca="false">ROUND(MAX(0,C238*(1+C$8)-Y239),2)</f>
        <v>0</v>
      </c>
      <c r="D239" s="27" t="n">
        <f aca="false">ROUND(MAX(0,D238*(1+D$8)-Z239),2)</f>
        <v>0</v>
      </c>
      <c r="E239" s="27" t="n">
        <f aca="false">ROUND(MAX(0,E238*(1+E$8)-AA239),2)</f>
        <v>0</v>
      </c>
      <c r="F239" s="27" t="n">
        <f aca="false">ROUND(MAX(0,F238*(1+F$8)-AB239),2)</f>
        <v>0</v>
      </c>
      <c r="G239" s="27" t="n">
        <f aca="false">ROUND(MAX(0,G238*(1+G$8)-AC239),2)</f>
        <v>0</v>
      </c>
      <c r="H239" s="27" t="n">
        <f aca="false">ROUND(MAX(0,H238*(1+H$8)-AD239),2)</f>
        <v>0</v>
      </c>
      <c r="I239" s="27" t="n">
        <f aca="false">ROUND(MAX(0,I238*(1+I$8)-AE239),2)</f>
        <v>0</v>
      </c>
      <c r="J239" s="27" t="n">
        <f aca="false">ROUND(MAX(0,J238*(1+J$8)-AF239),2)</f>
        <v>0</v>
      </c>
      <c r="K239" s="27" t="n">
        <f aca="false">ROUND(MAX(0,K238*(1+K$8)-AG239),2)</f>
        <v>0</v>
      </c>
      <c r="L239" s="30" t="n">
        <f aca="false">SUM(B239:K239)</f>
        <v>0</v>
      </c>
      <c r="M239" s="27" t="n">
        <f aca="false">SUMPRODUCT(B238:K238,$B$8:$K$8)</f>
        <v>0</v>
      </c>
      <c r="N239" s="27" t="n">
        <f aca="false">MIN(B238*(1+B$8),B$9)</f>
        <v>0</v>
      </c>
      <c r="O239" s="27" t="n">
        <f aca="false">MIN(C238*(1+C$8),C$9)</f>
        <v>0</v>
      </c>
      <c r="P239" s="27" t="n">
        <f aca="false">MIN(D238*(1+D$8),D$9)</f>
        <v>0</v>
      </c>
      <c r="Q239" s="27" t="n">
        <f aca="false">MIN(E238*(1+E$8),E$9)</f>
        <v>0</v>
      </c>
      <c r="R239" s="27" t="n">
        <f aca="false">MIN(F238*(1+F$8),F$9)</f>
        <v>0</v>
      </c>
      <c r="S239" s="27" t="n">
        <f aca="false">MIN(G238*(1+G$8),G$9)</f>
        <v>0</v>
      </c>
      <c r="T239" s="27" t="n">
        <f aca="false">MIN(H238*(1+H$8),H$9)</f>
        <v>0</v>
      </c>
      <c r="U239" s="27" t="n">
        <f aca="false">MIN(I238*(1+I$8),I$9)</f>
        <v>0</v>
      </c>
      <c r="V239" s="27" t="n">
        <f aca="false">MIN(J238*(1+J$8),J$9)</f>
        <v>0</v>
      </c>
      <c r="W239" s="27" t="n">
        <f aca="false">MIN(K238*(1+K$8),K$9)</f>
        <v>0</v>
      </c>
      <c r="X239" s="27" t="n">
        <f aca="false">MIN(B238*(1+B$8),MAX(N239,$B$11-SUM(O239:W239)))</f>
        <v>0</v>
      </c>
      <c r="Y239" s="27" t="n">
        <f aca="false">MIN(C238*(1+C$8),MAX(O239,$B$11-SUM(X239:X239)-SUM(P239:W239)))</f>
        <v>0</v>
      </c>
      <c r="Z239" s="27" t="n">
        <f aca="false">MIN(D238*(1+D$8),MAX(P239,$B$11-SUM(X239:Y239)-SUM(Q239:W239)))</f>
        <v>0</v>
      </c>
      <c r="AA239" s="27" t="n">
        <f aca="false">MIN(E238*(1+E$8),MAX(Q239,$B$11-SUM(X239:Z239)-SUM(R239:W239)))</f>
        <v>0</v>
      </c>
      <c r="AB239" s="27" t="n">
        <f aca="false">MIN(F238*(1+F$8),MAX(R239,$B$11-SUM(X239:AA239)-SUM(S239:W239)))</f>
        <v>0</v>
      </c>
      <c r="AC239" s="27" t="n">
        <f aca="false">MIN(G238*(1+G$8),MAX(S239,$B$11-SUM(X239:AB239)-SUM(T239:W239)))</f>
        <v>0</v>
      </c>
      <c r="AD239" s="27" t="n">
        <f aca="false">MIN(H238*(1+H$8),MAX(T239,$B$11-SUM(X239:AC239)-SUM(U239:W239)))</f>
        <v>0</v>
      </c>
      <c r="AE239" s="27" t="n">
        <f aca="false">MIN(I238*(1+I$8),MAX(U239,$B$11-SUM(X239:AD239)-SUM(V239:W239)))</f>
        <v>0</v>
      </c>
      <c r="AF239" s="27" t="n">
        <f aca="false">MIN(J238*(1+J$8),MAX(V239,$B$11-SUM(X239:AE239)-SUM(W239:W239)))</f>
        <v>0</v>
      </c>
      <c r="AG239" s="27" t="n">
        <f aca="false">MIN(K238*(1+K$8),MAX(W239,$B$11-SUM(X239:AF239)))</f>
        <v>0</v>
      </c>
      <c r="AI239" s="27" t="n">
        <f aca="false">ROUND(MAX(0,AI238*(1+B$8)-BE239),2)</f>
        <v>0</v>
      </c>
      <c r="AJ239" s="27" t="n">
        <f aca="false">ROUND(MAX(0,AJ238*(1+C$8)-BF239),2)</f>
        <v>0</v>
      </c>
      <c r="AK239" s="27" t="n">
        <f aca="false">ROUND(MAX(0,AK238*(1+D$8)-BG239),2)</f>
        <v>0</v>
      </c>
      <c r="AL239" s="27" t="n">
        <f aca="false">ROUND(MAX(0,AL238*(1+E$8)-BH239),2)</f>
        <v>0</v>
      </c>
      <c r="AM239" s="27" t="n">
        <f aca="false">ROUND(MAX(0,AM238*(1+F$8)-BI239),2)</f>
        <v>0</v>
      </c>
      <c r="AN239" s="27" t="n">
        <f aca="false">ROUND(MAX(0,AN238*(1+G$8)-BJ239),2)</f>
        <v>0</v>
      </c>
      <c r="AO239" s="27" t="n">
        <f aca="false">ROUND(MAX(0,AO238*(1+H$8)-BK239),2)</f>
        <v>0</v>
      </c>
      <c r="AP239" s="27" t="n">
        <f aca="false">ROUND(MAX(0,AP238*(1+I$8)-BL239),2)</f>
        <v>0</v>
      </c>
      <c r="AQ239" s="27" t="n">
        <f aca="false">ROUND(MAX(0,AQ238*(1+J$8)-BM239),2)</f>
        <v>0</v>
      </c>
      <c r="AR239" s="27" t="n">
        <f aca="false">ROUND(MAX(0,AR238*(1+K$8)-BN239),2)</f>
        <v>0</v>
      </c>
      <c r="AS239" s="27" t="n">
        <f aca="false">SUM(AI239:AR239)</f>
        <v>0</v>
      </c>
      <c r="AT239" s="27" t="n">
        <f aca="false">SUMPRODUCT(AI238:AR238,$B$8:$K$8)</f>
        <v>0</v>
      </c>
      <c r="AU239" s="27" t="n">
        <f aca="false">MIN(AI238*(1+B$8),B$9)</f>
        <v>0</v>
      </c>
      <c r="AV239" s="27" t="n">
        <f aca="false">MIN(AJ238*(1+C$8),C$9)</f>
        <v>0</v>
      </c>
      <c r="AW239" s="27" t="n">
        <f aca="false">MIN(AK238*(1+D$8),D$9)</f>
        <v>0</v>
      </c>
      <c r="AX239" s="27" t="n">
        <f aca="false">MIN(AL238*(1+E$8),E$9)</f>
        <v>0</v>
      </c>
      <c r="AY239" s="27" t="n">
        <f aca="false">MIN(AM238*(1+F$8),F$9)</f>
        <v>0</v>
      </c>
      <c r="AZ239" s="27" t="n">
        <f aca="false">MIN(AN238*(1+G$8),G$9)</f>
        <v>0</v>
      </c>
      <c r="BA239" s="27" t="n">
        <f aca="false">MIN(AO238*(1+H$8),H$9)</f>
        <v>0</v>
      </c>
      <c r="BB239" s="27" t="n">
        <f aca="false">MIN(AP238*(1+I$8),I$9)</f>
        <v>0</v>
      </c>
      <c r="BC239" s="27" t="n">
        <f aca="false">MIN(AQ238*(1+J$8),J$9)</f>
        <v>0</v>
      </c>
      <c r="BD239" s="27" t="n">
        <f aca="false">MIN(AR238*(1+K$8),K$9)</f>
        <v>0</v>
      </c>
      <c r="BE239" s="27" t="n">
        <f aca="false">MIN(AI238*(1+B$8),MAX(AU239,$B$12-SUM(AV239:BD239)))</f>
        <v>0</v>
      </c>
      <c r="BF239" s="27" t="n">
        <f aca="false">MIN(AJ238*(1+C$8),MAX(AV239,$B$12-SUM(BE239:BE239)-SUM(AW239:BD239)))</f>
        <v>0</v>
      </c>
      <c r="BG239" s="27" t="n">
        <f aca="false">MIN(AK238*(1+D$8),MAX(AW239,$B$12-SUM(BE239:BF239)-SUM(AX239:BD239)))</f>
        <v>0</v>
      </c>
      <c r="BH239" s="27" t="n">
        <f aca="false">MIN(AL238*(1+E$8),MAX(AX239,$B$12-SUM(BE239:BG239)-SUM(AY239:BD239)))</f>
        <v>0</v>
      </c>
      <c r="BI239" s="27" t="n">
        <f aca="false">MIN(AM238*(1+F$8),MAX(AY239,$B$12-SUM(BE239:BH239)-SUM(AZ239:BD239)))</f>
        <v>0</v>
      </c>
      <c r="BJ239" s="27" t="n">
        <f aca="false">MIN(AN238*(1+G$8),MAX(AZ239,$B$12-SUM(BE239:BI239)-SUM(BA239:BD239)))</f>
        <v>0</v>
      </c>
      <c r="BK239" s="27" t="n">
        <f aca="false">MIN(AO238*(1+H$8),MAX(BA239,$B$12-SUM(BE239:BJ239)-SUM(BB239:BD239)))</f>
        <v>0</v>
      </c>
      <c r="BL239" s="27" t="n">
        <f aca="false">MIN(AP238*(1+I$8),MAX(BB239,$B$12-SUM(BE239:BK239)-SUM(BC239:BD239)))</f>
        <v>0</v>
      </c>
      <c r="BM239" s="27" t="n">
        <f aca="false">MIN(AQ238*(1+J$8),MAX(BC239,$B$12-SUM(BE239:BL239)-SUM(BD239:BD239)))</f>
        <v>0</v>
      </c>
      <c r="BN239" s="27" t="n">
        <f aca="false">MIN(AR238*(1+K$8),MAX(BD239,$B$12-SUM(BE239:BM239)))</f>
        <v>0</v>
      </c>
    </row>
    <row r="240" customFormat="false" ht="15" hidden="false" customHeight="false" outlineLevel="0" collapsed="false">
      <c r="A240" s="0" t="n">
        <v>226</v>
      </c>
      <c r="B240" s="27" t="n">
        <f aca="false">ROUND(MAX(0,B239*(1+B$8)-X240),2)</f>
        <v>0</v>
      </c>
      <c r="C240" s="27" t="n">
        <f aca="false">ROUND(MAX(0,C239*(1+C$8)-Y240),2)</f>
        <v>0</v>
      </c>
      <c r="D240" s="27" t="n">
        <f aca="false">ROUND(MAX(0,D239*(1+D$8)-Z240),2)</f>
        <v>0</v>
      </c>
      <c r="E240" s="27" t="n">
        <f aca="false">ROUND(MAX(0,E239*(1+E$8)-AA240),2)</f>
        <v>0</v>
      </c>
      <c r="F240" s="27" t="n">
        <f aca="false">ROUND(MAX(0,F239*(1+F$8)-AB240),2)</f>
        <v>0</v>
      </c>
      <c r="G240" s="27" t="n">
        <f aca="false">ROUND(MAX(0,G239*(1+G$8)-AC240),2)</f>
        <v>0</v>
      </c>
      <c r="H240" s="27" t="n">
        <f aca="false">ROUND(MAX(0,H239*(1+H$8)-AD240),2)</f>
        <v>0</v>
      </c>
      <c r="I240" s="27" t="n">
        <f aca="false">ROUND(MAX(0,I239*(1+I$8)-AE240),2)</f>
        <v>0</v>
      </c>
      <c r="J240" s="27" t="n">
        <f aca="false">ROUND(MAX(0,J239*(1+J$8)-AF240),2)</f>
        <v>0</v>
      </c>
      <c r="K240" s="27" t="n">
        <f aca="false">ROUND(MAX(0,K239*(1+K$8)-AG240),2)</f>
        <v>0</v>
      </c>
      <c r="L240" s="30" t="n">
        <f aca="false">SUM(B240:K240)</f>
        <v>0</v>
      </c>
      <c r="M240" s="27" t="n">
        <f aca="false">SUMPRODUCT(B239:K239,$B$8:$K$8)</f>
        <v>0</v>
      </c>
      <c r="N240" s="27" t="n">
        <f aca="false">MIN(B239*(1+B$8),B$9)</f>
        <v>0</v>
      </c>
      <c r="O240" s="27" t="n">
        <f aca="false">MIN(C239*(1+C$8),C$9)</f>
        <v>0</v>
      </c>
      <c r="P240" s="27" t="n">
        <f aca="false">MIN(D239*(1+D$8),D$9)</f>
        <v>0</v>
      </c>
      <c r="Q240" s="27" t="n">
        <f aca="false">MIN(E239*(1+E$8),E$9)</f>
        <v>0</v>
      </c>
      <c r="R240" s="27" t="n">
        <f aca="false">MIN(F239*(1+F$8),F$9)</f>
        <v>0</v>
      </c>
      <c r="S240" s="27" t="n">
        <f aca="false">MIN(G239*(1+G$8),G$9)</f>
        <v>0</v>
      </c>
      <c r="T240" s="27" t="n">
        <f aca="false">MIN(H239*(1+H$8),H$9)</f>
        <v>0</v>
      </c>
      <c r="U240" s="27" t="n">
        <f aca="false">MIN(I239*(1+I$8),I$9)</f>
        <v>0</v>
      </c>
      <c r="V240" s="27" t="n">
        <f aca="false">MIN(J239*(1+J$8),J$9)</f>
        <v>0</v>
      </c>
      <c r="W240" s="27" t="n">
        <f aca="false">MIN(K239*(1+K$8),K$9)</f>
        <v>0</v>
      </c>
      <c r="X240" s="27" t="n">
        <f aca="false">MIN(B239*(1+B$8),MAX(N240,$B$11-SUM(O240:W240)))</f>
        <v>0</v>
      </c>
      <c r="Y240" s="27" t="n">
        <f aca="false">MIN(C239*(1+C$8),MAX(O240,$B$11-SUM(X240:X240)-SUM(P240:W240)))</f>
        <v>0</v>
      </c>
      <c r="Z240" s="27" t="n">
        <f aca="false">MIN(D239*(1+D$8),MAX(P240,$B$11-SUM(X240:Y240)-SUM(Q240:W240)))</f>
        <v>0</v>
      </c>
      <c r="AA240" s="27" t="n">
        <f aca="false">MIN(E239*(1+E$8),MAX(Q240,$B$11-SUM(X240:Z240)-SUM(R240:W240)))</f>
        <v>0</v>
      </c>
      <c r="AB240" s="27" t="n">
        <f aca="false">MIN(F239*(1+F$8),MAX(R240,$B$11-SUM(X240:AA240)-SUM(S240:W240)))</f>
        <v>0</v>
      </c>
      <c r="AC240" s="27" t="n">
        <f aca="false">MIN(G239*(1+G$8),MAX(S240,$B$11-SUM(X240:AB240)-SUM(T240:W240)))</f>
        <v>0</v>
      </c>
      <c r="AD240" s="27" t="n">
        <f aca="false">MIN(H239*(1+H$8),MAX(T240,$B$11-SUM(X240:AC240)-SUM(U240:W240)))</f>
        <v>0</v>
      </c>
      <c r="AE240" s="27" t="n">
        <f aca="false">MIN(I239*(1+I$8),MAX(U240,$B$11-SUM(X240:AD240)-SUM(V240:W240)))</f>
        <v>0</v>
      </c>
      <c r="AF240" s="27" t="n">
        <f aca="false">MIN(J239*(1+J$8),MAX(V240,$B$11-SUM(X240:AE240)-SUM(W240:W240)))</f>
        <v>0</v>
      </c>
      <c r="AG240" s="27" t="n">
        <f aca="false">MIN(K239*(1+K$8),MAX(W240,$B$11-SUM(X240:AF240)))</f>
        <v>0</v>
      </c>
      <c r="AI240" s="27" t="n">
        <f aca="false">ROUND(MAX(0,AI239*(1+B$8)-BE240),2)</f>
        <v>0</v>
      </c>
      <c r="AJ240" s="27" t="n">
        <f aca="false">ROUND(MAX(0,AJ239*(1+C$8)-BF240),2)</f>
        <v>0</v>
      </c>
      <c r="AK240" s="27" t="n">
        <f aca="false">ROUND(MAX(0,AK239*(1+D$8)-BG240),2)</f>
        <v>0</v>
      </c>
      <c r="AL240" s="27" t="n">
        <f aca="false">ROUND(MAX(0,AL239*(1+E$8)-BH240),2)</f>
        <v>0</v>
      </c>
      <c r="AM240" s="27" t="n">
        <f aca="false">ROUND(MAX(0,AM239*(1+F$8)-BI240),2)</f>
        <v>0</v>
      </c>
      <c r="AN240" s="27" t="n">
        <f aca="false">ROUND(MAX(0,AN239*(1+G$8)-BJ240),2)</f>
        <v>0</v>
      </c>
      <c r="AO240" s="27" t="n">
        <f aca="false">ROUND(MAX(0,AO239*(1+H$8)-BK240),2)</f>
        <v>0</v>
      </c>
      <c r="AP240" s="27" t="n">
        <f aca="false">ROUND(MAX(0,AP239*(1+I$8)-BL240),2)</f>
        <v>0</v>
      </c>
      <c r="AQ240" s="27" t="n">
        <f aca="false">ROUND(MAX(0,AQ239*(1+J$8)-BM240),2)</f>
        <v>0</v>
      </c>
      <c r="AR240" s="27" t="n">
        <f aca="false">ROUND(MAX(0,AR239*(1+K$8)-BN240),2)</f>
        <v>0</v>
      </c>
      <c r="AS240" s="27" t="n">
        <f aca="false">SUM(AI240:AR240)</f>
        <v>0</v>
      </c>
      <c r="AT240" s="27" t="n">
        <f aca="false">SUMPRODUCT(AI239:AR239,$B$8:$K$8)</f>
        <v>0</v>
      </c>
      <c r="AU240" s="27" t="n">
        <f aca="false">MIN(AI239*(1+B$8),B$9)</f>
        <v>0</v>
      </c>
      <c r="AV240" s="27" t="n">
        <f aca="false">MIN(AJ239*(1+C$8),C$9)</f>
        <v>0</v>
      </c>
      <c r="AW240" s="27" t="n">
        <f aca="false">MIN(AK239*(1+D$8),D$9)</f>
        <v>0</v>
      </c>
      <c r="AX240" s="27" t="n">
        <f aca="false">MIN(AL239*(1+E$8),E$9)</f>
        <v>0</v>
      </c>
      <c r="AY240" s="27" t="n">
        <f aca="false">MIN(AM239*(1+F$8),F$9)</f>
        <v>0</v>
      </c>
      <c r="AZ240" s="27" t="n">
        <f aca="false">MIN(AN239*(1+G$8),G$9)</f>
        <v>0</v>
      </c>
      <c r="BA240" s="27" t="n">
        <f aca="false">MIN(AO239*(1+H$8),H$9)</f>
        <v>0</v>
      </c>
      <c r="BB240" s="27" t="n">
        <f aca="false">MIN(AP239*(1+I$8),I$9)</f>
        <v>0</v>
      </c>
      <c r="BC240" s="27" t="n">
        <f aca="false">MIN(AQ239*(1+J$8),J$9)</f>
        <v>0</v>
      </c>
      <c r="BD240" s="27" t="n">
        <f aca="false">MIN(AR239*(1+K$8),K$9)</f>
        <v>0</v>
      </c>
      <c r="BE240" s="27" t="n">
        <f aca="false">MIN(AI239*(1+B$8),MAX(AU240,$B$12-SUM(AV240:BD240)))</f>
        <v>0</v>
      </c>
      <c r="BF240" s="27" t="n">
        <f aca="false">MIN(AJ239*(1+C$8),MAX(AV240,$B$12-SUM(BE240:BE240)-SUM(AW240:BD240)))</f>
        <v>0</v>
      </c>
      <c r="BG240" s="27" t="n">
        <f aca="false">MIN(AK239*(1+D$8),MAX(AW240,$B$12-SUM(BE240:BF240)-SUM(AX240:BD240)))</f>
        <v>0</v>
      </c>
      <c r="BH240" s="27" t="n">
        <f aca="false">MIN(AL239*(1+E$8),MAX(AX240,$B$12-SUM(BE240:BG240)-SUM(AY240:BD240)))</f>
        <v>0</v>
      </c>
      <c r="BI240" s="27" t="n">
        <f aca="false">MIN(AM239*(1+F$8),MAX(AY240,$B$12-SUM(BE240:BH240)-SUM(AZ240:BD240)))</f>
        <v>0</v>
      </c>
      <c r="BJ240" s="27" t="n">
        <f aca="false">MIN(AN239*(1+G$8),MAX(AZ240,$B$12-SUM(BE240:BI240)-SUM(BA240:BD240)))</f>
        <v>0</v>
      </c>
      <c r="BK240" s="27" t="n">
        <f aca="false">MIN(AO239*(1+H$8),MAX(BA240,$B$12-SUM(BE240:BJ240)-SUM(BB240:BD240)))</f>
        <v>0</v>
      </c>
      <c r="BL240" s="27" t="n">
        <f aca="false">MIN(AP239*(1+I$8),MAX(BB240,$B$12-SUM(BE240:BK240)-SUM(BC240:BD240)))</f>
        <v>0</v>
      </c>
      <c r="BM240" s="27" t="n">
        <f aca="false">MIN(AQ239*(1+J$8),MAX(BC240,$B$12-SUM(BE240:BL240)-SUM(BD240:BD240)))</f>
        <v>0</v>
      </c>
      <c r="BN240" s="27" t="n">
        <f aca="false">MIN(AR239*(1+K$8),MAX(BD240,$B$12-SUM(BE240:BM240)))</f>
        <v>0</v>
      </c>
    </row>
    <row r="241" customFormat="false" ht="15" hidden="false" customHeight="false" outlineLevel="0" collapsed="false">
      <c r="A241" s="0" t="n">
        <v>227</v>
      </c>
      <c r="B241" s="27" t="n">
        <f aca="false">ROUND(MAX(0,B240*(1+B$8)-X241),2)</f>
        <v>0</v>
      </c>
      <c r="C241" s="27" t="n">
        <f aca="false">ROUND(MAX(0,C240*(1+C$8)-Y241),2)</f>
        <v>0</v>
      </c>
      <c r="D241" s="27" t="n">
        <f aca="false">ROUND(MAX(0,D240*(1+D$8)-Z241),2)</f>
        <v>0</v>
      </c>
      <c r="E241" s="27" t="n">
        <f aca="false">ROUND(MAX(0,E240*(1+E$8)-AA241),2)</f>
        <v>0</v>
      </c>
      <c r="F241" s="27" t="n">
        <f aca="false">ROUND(MAX(0,F240*(1+F$8)-AB241),2)</f>
        <v>0</v>
      </c>
      <c r="G241" s="27" t="n">
        <f aca="false">ROUND(MAX(0,G240*(1+G$8)-AC241),2)</f>
        <v>0</v>
      </c>
      <c r="H241" s="27" t="n">
        <f aca="false">ROUND(MAX(0,H240*(1+H$8)-AD241),2)</f>
        <v>0</v>
      </c>
      <c r="I241" s="27" t="n">
        <f aca="false">ROUND(MAX(0,I240*(1+I$8)-AE241),2)</f>
        <v>0</v>
      </c>
      <c r="J241" s="27" t="n">
        <f aca="false">ROUND(MAX(0,J240*(1+J$8)-AF241),2)</f>
        <v>0</v>
      </c>
      <c r="K241" s="27" t="n">
        <f aca="false">ROUND(MAX(0,K240*(1+K$8)-AG241),2)</f>
        <v>0</v>
      </c>
      <c r="L241" s="30" t="n">
        <f aca="false">SUM(B241:K241)</f>
        <v>0</v>
      </c>
      <c r="M241" s="27" t="n">
        <f aca="false">SUMPRODUCT(B240:K240,$B$8:$K$8)</f>
        <v>0</v>
      </c>
      <c r="N241" s="27" t="n">
        <f aca="false">MIN(B240*(1+B$8),B$9)</f>
        <v>0</v>
      </c>
      <c r="O241" s="27" t="n">
        <f aca="false">MIN(C240*(1+C$8),C$9)</f>
        <v>0</v>
      </c>
      <c r="P241" s="27" t="n">
        <f aca="false">MIN(D240*(1+D$8),D$9)</f>
        <v>0</v>
      </c>
      <c r="Q241" s="27" t="n">
        <f aca="false">MIN(E240*(1+E$8),E$9)</f>
        <v>0</v>
      </c>
      <c r="R241" s="27" t="n">
        <f aca="false">MIN(F240*(1+F$8),F$9)</f>
        <v>0</v>
      </c>
      <c r="S241" s="27" t="n">
        <f aca="false">MIN(G240*(1+G$8),G$9)</f>
        <v>0</v>
      </c>
      <c r="T241" s="27" t="n">
        <f aca="false">MIN(H240*(1+H$8),H$9)</f>
        <v>0</v>
      </c>
      <c r="U241" s="27" t="n">
        <f aca="false">MIN(I240*(1+I$8),I$9)</f>
        <v>0</v>
      </c>
      <c r="V241" s="27" t="n">
        <f aca="false">MIN(J240*(1+J$8),J$9)</f>
        <v>0</v>
      </c>
      <c r="W241" s="27" t="n">
        <f aca="false">MIN(K240*(1+K$8),K$9)</f>
        <v>0</v>
      </c>
      <c r="X241" s="27" t="n">
        <f aca="false">MIN(B240*(1+B$8),MAX(N241,$B$11-SUM(O241:W241)))</f>
        <v>0</v>
      </c>
      <c r="Y241" s="27" t="n">
        <f aca="false">MIN(C240*(1+C$8),MAX(O241,$B$11-SUM(X241:X241)-SUM(P241:W241)))</f>
        <v>0</v>
      </c>
      <c r="Z241" s="27" t="n">
        <f aca="false">MIN(D240*(1+D$8),MAX(P241,$B$11-SUM(X241:Y241)-SUM(Q241:W241)))</f>
        <v>0</v>
      </c>
      <c r="AA241" s="27" t="n">
        <f aca="false">MIN(E240*(1+E$8),MAX(Q241,$B$11-SUM(X241:Z241)-SUM(R241:W241)))</f>
        <v>0</v>
      </c>
      <c r="AB241" s="27" t="n">
        <f aca="false">MIN(F240*(1+F$8),MAX(R241,$B$11-SUM(X241:AA241)-SUM(S241:W241)))</f>
        <v>0</v>
      </c>
      <c r="AC241" s="27" t="n">
        <f aca="false">MIN(G240*(1+G$8),MAX(S241,$B$11-SUM(X241:AB241)-SUM(T241:W241)))</f>
        <v>0</v>
      </c>
      <c r="AD241" s="27" t="n">
        <f aca="false">MIN(H240*(1+H$8),MAX(T241,$B$11-SUM(X241:AC241)-SUM(U241:W241)))</f>
        <v>0</v>
      </c>
      <c r="AE241" s="27" t="n">
        <f aca="false">MIN(I240*(1+I$8),MAX(U241,$B$11-SUM(X241:AD241)-SUM(V241:W241)))</f>
        <v>0</v>
      </c>
      <c r="AF241" s="27" t="n">
        <f aca="false">MIN(J240*(1+J$8),MAX(V241,$B$11-SUM(X241:AE241)-SUM(W241:W241)))</f>
        <v>0</v>
      </c>
      <c r="AG241" s="27" t="n">
        <f aca="false">MIN(K240*(1+K$8),MAX(W241,$B$11-SUM(X241:AF241)))</f>
        <v>0</v>
      </c>
      <c r="AI241" s="27" t="n">
        <f aca="false">ROUND(MAX(0,AI240*(1+B$8)-BE241),2)</f>
        <v>0</v>
      </c>
      <c r="AJ241" s="27" t="n">
        <f aca="false">ROUND(MAX(0,AJ240*(1+C$8)-BF241),2)</f>
        <v>0</v>
      </c>
      <c r="AK241" s="27" t="n">
        <f aca="false">ROUND(MAX(0,AK240*(1+D$8)-BG241),2)</f>
        <v>0</v>
      </c>
      <c r="AL241" s="27" t="n">
        <f aca="false">ROUND(MAX(0,AL240*(1+E$8)-BH241),2)</f>
        <v>0</v>
      </c>
      <c r="AM241" s="27" t="n">
        <f aca="false">ROUND(MAX(0,AM240*(1+F$8)-BI241),2)</f>
        <v>0</v>
      </c>
      <c r="AN241" s="27" t="n">
        <f aca="false">ROUND(MAX(0,AN240*(1+G$8)-BJ241),2)</f>
        <v>0</v>
      </c>
      <c r="AO241" s="27" t="n">
        <f aca="false">ROUND(MAX(0,AO240*(1+H$8)-BK241),2)</f>
        <v>0</v>
      </c>
      <c r="AP241" s="27" t="n">
        <f aca="false">ROUND(MAX(0,AP240*(1+I$8)-BL241),2)</f>
        <v>0</v>
      </c>
      <c r="AQ241" s="27" t="n">
        <f aca="false">ROUND(MAX(0,AQ240*(1+J$8)-BM241),2)</f>
        <v>0</v>
      </c>
      <c r="AR241" s="27" t="n">
        <f aca="false">ROUND(MAX(0,AR240*(1+K$8)-BN241),2)</f>
        <v>0</v>
      </c>
      <c r="AS241" s="27" t="n">
        <f aca="false">SUM(AI241:AR241)</f>
        <v>0</v>
      </c>
      <c r="AT241" s="27" t="n">
        <f aca="false">SUMPRODUCT(AI240:AR240,$B$8:$K$8)</f>
        <v>0</v>
      </c>
      <c r="AU241" s="27" t="n">
        <f aca="false">MIN(AI240*(1+B$8),B$9)</f>
        <v>0</v>
      </c>
      <c r="AV241" s="27" t="n">
        <f aca="false">MIN(AJ240*(1+C$8),C$9)</f>
        <v>0</v>
      </c>
      <c r="AW241" s="27" t="n">
        <f aca="false">MIN(AK240*(1+D$8),D$9)</f>
        <v>0</v>
      </c>
      <c r="AX241" s="27" t="n">
        <f aca="false">MIN(AL240*(1+E$8),E$9)</f>
        <v>0</v>
      </c>
      <c r="AY241" s="27" t="n">
        <f aca="false">MIN(AM240*(1+F$8),F$9)</f>
        <v>0</v>
      </c>
      <c r="AZ241" s="27" t="n">
        <f aca="false">MIN(AN240*(1+G$8),G$9)</f>
        <v>0</v>
      </c>
      <c r="BA241" s="27" t="n">
        <f aca="false">MIN(AO240*(1+H$8),H$9)</f>
        <v>0</v>
      </c>
      <c r="BB241" s="27" t="n">
        <f aca="false">MIN(AP240*(1+I$8),I$9)</f>
        <v>0</v>
      </c>
      <c r="BC241" s="27" t="n">
        <f aca="false">MIN(AQ240*(1+J$8),J$9)</f>
        <v>0</v>
      </c>
      <c r="BD241" s="27" t="n">
        <f aca="false">MIN(AR240*(1+K$8),K$9)</f>
        <v>0</v>
      </c>
      <c r="BE241" s="27" t="n">
        <f aca="false">MIN(AI240*(1+B$8),MAX(AU241,$B$12-SUM(AV241:BD241)))</f>
        <v>0</v>
      </c>
      <c r="BF241" s="27" t="n">
        <f aca="false">MIN(AJ240*(1+C$8),MAX(AV241,$B$12-SUM(BE241:BE241)-SUM(AW241:BD241)))</f>
        <v>0</v>
      </c>
      <c r="BG241" s="27" t="n">
        <f aca="false">MIN(AK240*(1+D$8),MAX(AW241,$B$12-SUM(BE241:BF241)-SUM(AX241:BD241)))</f>
        <v>0</v>
      </c>
      <c r="BH241" s="27" t="n">
        <f aca="false">MIN(AL240*(1+E$8),MAX(AX241,$B$12-SUM(BE241:BG241)-SUM(AY241:BD241)))</f>
        <v>0</v>
      </c>
      <c r="BI241" s="27" t="n">
        <f aca="false">MIN(AM240*(1+F$8),MAX(AY241,$B$12-SUM(BE241:BH241)-SUM(AZ241:BD241)))</f>
        <v>0</v>
      </c>
      <c r="BJ241" s="27" t="n">
        <f aca="false">MIN(AN240*(1+G$8),MAX(AZ241,$B$12-SUM(BE241:BI241)-SUM(BA241:BD241)))</f>
        <v>0</v>
      </c>
      <c r="BK241" s="27" t="n">
        <f aca="false">MIN(AO240*(1+H$8),MAX(BA241,$B$12-SUM(BE241:BJ241)-SUM(BB241:BD241)))</f>
        <v>0</v>
      </c>
      <c r="BL241" s="27" t="n">
        <f aca="false">MIN(AP240*(1+I$8),MAX(BB241,$B$12-SUM(BE241:BK241)-SUM(BC241:BD241)))</f>
        <v>0</v>
      </c>
      <c r="BM241" s="27" t="n">
        <f aca="false">MIN(AQ240*(1+J$8),MAX(BC241,$B$12-SUM(BE241:BL241)-SUM(BD241:BD241)))</f>
        <v>0</v>
      </c>
      <c r="BN241" s="27" t="n">
        <f aca="false">MIN(AR240*(1+K$8),MAX(BD241,$B$12-SUM(BE241:BM241)))</f>
        <v>0</v>
      </c>
    </row>
    <row r="242" customFormat="false" ht="15" hidden="false" customHeight="false" outlineLevel="0" collapsed="false">
      <c r="A242" s="0" t="n">
        <v>228</v>
      </c>
      <c r="B242" s="27" t="n">
        <f aca="false">ROUND(MAX(0,B241*(1+B$8)-X242),2)</f>
        <v>0</v>
      </c>
      <c r="C242" s="27" t="n">
        <f aca="false">ROUND(MAX(0,C241*(1+C$8)-Y242),2)</f>
        <v>0</v>
      </c>
      <c r="D242" s="27" t="n">
        <f aca="false">ROUND(MAX(0,D241*(1+D$8)-Z242),2)</f>
        <v>0</v>
      </c>
      <c r="E242" s="27" t="n">
        <f aca="false">ROUND(MAX(0,E241*(1+E$8)-AA242),2)</f>
        <v>0</v>
      </c>
      <c r="F242" s="27" t="n">
        <f aca="false">ROUND(MAX(0,F241*(1+F$8)-AB242),2)</f>
        <v>0</v>
      </c>
      <c r="G242" s="27" t="n">
        <f aca="false">ROUND(MAX(0,G241*(1+G$8)-AC242),2)</f>
        <v>0</v>
      </c>
      <c r="H242" s="27" t="n">
        <f aca="false">ROUND(MAX(0,H241*(1+H$8)-AD242),2)</f>
        <v>0</v>
      </c>
      <c r="I242" s="27" t="n">
        <f aca="false">ROUND(MAX(0,I241*(1+I$8)-AE242),2)</f>
        <v>0</v>
      </c>
      <c r="J242" s="27" t="n">
        <f aca="false">ROUND(MAX(0,J241*(1+J$8)-AF242),2)</f>
        <v>0</v>
      </c>
      <c r="K242" s="27" t="n">
        <f aca="false">ROUND(MAX(0,K241*(1+K$8)-AG242),2)</f>
        <v>0</v>
      </c>
      <c r="L242" s="30" t="n">
        <f aca="false">SUM(B242:K242)</f>
        <v>0</v>
      </c>
      <c r="M242" s="27" t="n">
        <f aca="false">SUMPRODUCT(B241:K241,$B$8:$K$8)</f>
        <v>0</v>
      </c>
      <c r="N242" s="27" t="n">
        <f aca="false">MIN(B241*(1+B$8),B$9)</f>
        <v>0</v>
      </c>
      <c r="O242" s="27" t="n">
        <f aca="false">MIN(C241*(1+C$8),C$9)</f>
        <v>0</v>
      </c>
      <c r="P242" s="27" t="n">
        <f aca="false">MIN(D241*(1+D$8),D$9)</f>
        <v>0</v>
      </c>
      <c r="Q242" s="27" t="n">
        <f aca="false">MIN(E241*(1+E$8),E$9)</f>
        <v>0</v>
      </c>
      <c r="R242" s="27" t="n">
        <f aca="false">MIN(F241*(1+F$8),F$9)</f>
        <v>0</v>
      </c>
      <c r="S242" s="27" t="n">
        <f aca="false">MIN(G241*(1+G$8),G$9)</f>
        <v>0</v>
      </c>
      <c r="T242" s="27" t="n">
        <f aca="false">MIN(H241*(1+H$8),H$9)</f>
        <v>0</v>
      </c>
      <c r="U242" s="27" t="n">
        <f aca="false">MIN(I241*(1+I$8),I$9)</f>
        <v>0</v>
      </c>
      <c r="V242" s="27" t="n">
        <f aca="false">MIN(J241*(1+J$8),J$9)</f>
        <v>0</v>
      </c>
      <c r="W242" s="27" t="n">
        <f aca="false">MIN(K241*(1+K$8),K$9)</f>
        <v>0</v>
      </c>
      <c r="X242" s="27" t="n">
        <f aca="false">MIN(B241*(1+B$8),MAX(N242,$B$11-SUM(O242:W242)))</f>
        <v>0</v>
      </c>
      <c r="Y242" s="27" t="n">
        <f aca="false">MIN(C241*(1+C$8),MAX(O242,$B$11-SUM(X242:X242)-SUM(P242:W242)))</f>
        <v>0</v>
      </c>
      <c r="Z242" s="27" t="n">
        <f aca="false">MIN(D241*(1+D$8),MAX(P242,$B$11-SUM(X242:Y242)-SUM(Q242:W242)))</f>
        <v>0</v>
      </c>
      <c r="AA242" s="27" t="n">
        <f aca="false">MIN(E241*(1+E$8),MAX(Q242,$B$11-SUM(X242:Z242)-SUM(R242:W242)))</f>
        <v>0</v>
      </c>
      <c r="AB242" s="27" t="n">
        <f aca="false">MIN(F241*(1+F$8),MAX(R242,$B$11-SUM(X242:AA242)-SUM(S242:W242)))</f>
        <v>0</v>
      </c>
      <c r="AC242" s="27" t="n">
        <f aca="false">MIN(G241*(1+G$8),MAX(S242,$B$11-SUM(X242:AB242)-SUM(T242:W242)))</f>
        <v>0</v>
      </c>
      <c r="AD242" s="27" t="n">
        <f aca="false">MIN(H241*(1+H$8),MAX(T242,$B$11-SUM(X242:AC242)-SUM(U242:W242)))</f>
        <v>0</v>
      </c>
      <c r="AE242" s="27" t="n">
        <f aca="false">MIN(I241*(1+I$8),MAX(U242,$B$11-SUM(X242:AD242)-SUM(V242:W242)))</f>
        <v>0</v>
      </c>
      <c r="AF242" s="27" t="n">
        <f aca="false">MIN(J241*(1+J$8),MAX(V242,$B$11-SUM(X242:AE242)-SUM(W242:W242)))</f>
        <v>0</v>
      </c>
      <c r="AG242" s="27" t="n">
        <f aca="false">MIN(K241*(1+K$8),MAX(W242,$B$11-SUM(X242:AF242)))</f>
        <v>0</v>
      </c>
      <c r="AI242" s="27" t="n">
        <f aca="false">ROUND(MAX(0,AI241*(1+B$8)-BE242),2)</f>
        <v>0</v>
      </c>
      <c r="AJ242" s="27" t="n">
        <f aca="false">ROUND(MAX(0,AJ241*(1+C$8)-BF242),2)</f>
        <v>0</v>
      </c>
      <c r="AK242" s="27" t="n">
        <f aca="false">ROUND(MAX(0,AK241*(1+D$8)-BG242),2)</f>
        <v>0</v>
      </c>
      <c r="AL242" s="27" t="n">
        <f aca="false">ROUND(MAX(0,AL241*(1+E$8)-BH242),2)</f>
        <v>0</v>
      </c>
      <c r="AM242" s="27" t="n">
        <f aca="false">ROUND(MAX(0,AM241*(1+F$8)-BI242),2)</f>
        <v>0</v>
      </c>
      <c r="AN242" s="27" t="n">
        <f aca="false">ROUND(MAX(0,AN241*(1+G$8)-BJ242),2)</f>
        <v>0</v>
      </c>
      <c r="AO242" s="27" t="n">
        <f aca="false">ROUND(MAX(0,AO241*(1+H$8)-BK242),2)</f>
        <v>0</v>
      </c>
      <c r="AP242" s="27" t="n">
        <f aca="false">ROUND(MAX(0,AP241*(1+I$8)-BL242),2)</f>
        <v>0</v>
      </c>
      <c r="AQ242" s="27" t="n">
        <f aca="false">ROUND(MAX(0,AQ241*(1+J$8)-BM242),2)</f>
        <v>0</v>
      </c>
      <c r="AR242" s="27" t="n">
        <f aca="false">ROUND(MAX(0,AR241*(1+K$8)-BN242),2)</f>
        <v>0</v>
      </c>
      <c r="AS242" s="27" t="n">
        <f aca="false">SUM(AI242:AR242)</f>
        <v>0</v>
      </c>
      <c r="AT242" s="27" t="n">
        <f aca="false">SUMPRODUCT(AI241:AR241,$B$8:$K$8)</f>
        <v>0</v>
      </c>
      <c r="AU242" s="27" t="n">
        <f aca="false">MIN(AI241*(1+B$8),B$9)</f>
        <v>0</v>
      </c>
      <c r="AV242" s="27" t="n">
        <f aca="false">MIN(AJ241*(1+C$8),C$9)</f>
        <v>0</v>
      </c>
      <c r="AW242" s="27" t="n">
        <f aca="false">MIN(AK241*(1+D$8),D$9)</f>
        <v>0</v>
      </c>
      <c r="AX242" s="27" t="n">
        <f aca="false">MIN(AL241*(1+E$8),E$9)</f>
        <v>0</v>
      </c>
      <c r="AY242" s="27" t="n">
        <f aca="false">MIN(AM241*(1+F$8),F$9)</f>
        <v>0</v>
      </c>
      <c r="AZ242" s="27" t="n">
        <f aca="false">MIN(AN241*(1+G$8),G$9)</f>
        <v>0</v>
      </c>
      <c r="BA242" s="27" t="n">
        <f aca="false">MIN(AO241*(1+H$8),H$9)</f>
        <v>0</v>
      </c>
      <c r="BB242" s="27" t="n">
        <f aca="false">MIN(AP241*(1+I$8),I$9)</f>
        <v>0</v>
      </c>
      <c r="BC242" s="27" t="n">
        <f aca="false">MIN(AQ241*(1+J$8),J$9)</f>
        <v>0</v>
      </c>
      <c r="BD242" s="27" t="n">
        <f aca="false">MIN(AR241*(1+K$8),K$9)</f>
        <v>0</v>
      </c>
      <c r="BE242" s="27" t="n">
        <f aca="false">MIN(AI241*(1+B$8),MAX(AU242,$B$12-SUM(AV242:BD242)))</f>
        <v>0</v>
      </c>
      <c r="BF242" s="27" t="n">
        <f aca="false">MIN(AJ241*(1+C$8),MAX(AV242,$B$12-SUM(BE242:BE242)-SUM(AW242:BD242)))</f>
        <v>0</v>
      </c>
      <c r="BG242" s="27" t="n">
        <f aca="false">MIN(AK241*(1+D$8),MAX(AW242,$B$12-SUM(BE242:BF242)-SUM(AX242:BD242)))</f>
        <v>0</v>
      </c>
      <c r="BH242" s="27" t="n">
        <f aca="false">MIN(AL241*(1+E$8),MAX(AX242,$B$12-SUM(BE242:BG242)-SUM(AY242:BD242)))</f>
        <v>0</v>
      </c>
      <c r="BI242" s="27" t="n">
        <f aca="false">MIN(AM241*(1+F$8),MAX(AY242,$B$12-SUM(BE242:BH242)-SUM(AZ242:BD242)))</f>
        <v>0</v>
      </c>
      <c r="BJ242" s="27" t="n">
        <f aca="false">MIN(AN241*(1+G$8),MAX(AZ242,$B$12-SUM(BE242:BI242)-SUM(BA242:BD242)))</f>
        <v>0</v>
      </c>
      <c r="BK242" s="27" t="n">
        <f aca="false">MIN(AO241*(1+H$8),MAX(BA242,$B$12-SUM(BE242:BJ242)-SUM(BB242:BD242)))</f>
        <v>0</v>
      </c>
      <c r="BL242" s="27" t="n">
        <f aca="false">MIN(AP241*(1+I$8),MAX(BB242,$B$12-SUM(BE242:BK242)-SUM(BC242:BD242)))</f>
        <v>0</v>
      </c>
      <c r="BM242" s="27" t="n">
        <f aca="false">MIN(AQ241*(1+J$8),MAX(BC242,$B$12-SUM(BE242:BL242)-SUM(BD242:BD242)))</f>
        <v>0</v>
      </c>
      <c r="BN242" s="27" t="n">
        <f aca="false">MIN(AR241*(1+K$8),MAX(BD242,$B$12-SUM(BE242:BM242)))</f>
        <v>0</v>
      </c>
    </row>
    <row r="243" customFormat="false" ht="15" hidden="false" customHeight="false" outlineLevel="0" collapsed="false">
      <c r="A243" s="0" t="n">
        <v>229</v>
      </c>
      <c r="B243" s="27" t="n">
        <f aca="false">ROUND(MAX(0,B242*(1+B$8)-X243),2)</f>
        <v>0</v>
      </c>
      <c r="C243" s="27" t="n">
        <f aca="false">ROUND(MAX(0,C242*(1+C$8)-Y243),2)</f>
        <v>0</v>
      </c>
      <c r="D243" s="27" t="n">
        <f aca="false">ROUND(MAX(0,D242*(1+D$8)-Z243),2)</f>
        <v>0</v>
      </c>
      <c r="E243" s="27" t="n">
        <f aca="false">ROUND(MAX(0,E242*(1+E$8)-AA243),2)</f>
        <v>0</v>
      </c>
      <c r="F243" s="27" t="n">
        <f aca="false">ROUND(MAX(0,F242*(1+F$8)-AB243),2)</f>
        <v>0</v>
      </c>
      <c r="G243" s="27" t="n">
        <f aca="false">ROUND(MAX(0,G242*(1+G$8)-AC243),2)</f>
        <v>0</v>
      </c>
      <c r="H243" s="27" t="n">
        <f aca="false">ROUND(MAX(0,H242*(1+H$8)-AD243),2)</f>
        <v>0</v>
      </c>
      <c r="I243" s="27" t="n">
        <f aca="false">ROUND(MAX(0,I242*(1+I$8)-AE243),2)</f>
        <v>0</v>
      </c>
      <c r="J243" s="27" t="n">
        <f aca="false">ROUND(MAX(0,J242*(1+J$8)-AF243),2)</f>
        <v>0</v>
      </c>
      <c r="K243" s="27" t="n">
        <f aca="false">ROUND(MAX(0,K242*(1+K$8)-AG243),2)</f>
        <v>0</v>
      </c>
      <c r="L243" s="30" t="n">
        <f aca="false">SUM(B243:K243)</f>
        <v>0</v>
      </c>
      <c r="M243" s="27" t="n">
        <f aca="false">SUMPRODUCT(B242:K242,$B$8:$K$8)</f>
        <v>0</v>
      </c>
      <c r="N243" s="27" t="n">
        <f aca="false">MIN(B242*(1+B$8),B$9)</f>
        <v>0</v>
      </c>
      <c r="O243" s="27" t="n">
        <f aca="false">MIN(C242*(1+C$8),C$9)</f>
        <v>0</v>
      </c>
      <c r="P243" s="27" t="n">
        <f aca="false">MIN(D242*(1+D$8),D$9)</f>
        <v>0</v>
      </c>
      <c r="Q243" s="27" t="n">
        <f aca="false">MIN(E242*(1+E$8),E$9)</f>
        <v>0</v>
      </c>
      <c r="R243" s="27" t="n">
        <f aca="false">MIN(F242*(1+F$8),F$9)</f>
        <v>0</v>
      </c>
      <c r="S243" s="27" t="n">
        <f aca="false">MIN(G242*(1+G$8),G$9)</f>
        <v>0</v>
      </c>
      <c r="T243" s="27" t="n">
        <f aca="false">MIN(H242*(1+H$8),H$9)</f>
        <v>0</v>
      </c>
      <c r="U243" s="27" t="n">
        <f aca="false">MIN(I242*(1+I$8),I$9)</f>
        <v>0</v>
      </c>
      <c r="V243" s="27" t="n">
        <f aca="false">MIN(J242*(1+J$8),J$9)</f>
        <v>0</v>
      </c>
      <c r="W243" s="27" t="n">
        <f aca="false">MIN(K242*(1+K$8),K$9)</f>
        <v>0</v>
      </c>
      <c r="X243" s="27" t="n">
        <f aca="false">MIN(B242*(1+B$8),MAX(N243,$B$11-SUM(O243:W243)))</f>
        <v>0</v>
      </c>
      <c r="Y243" s="27" t="n">
        <f aca="false">MIN(C242*(1+C$8),MAX(O243,$B$11-SUM(X243:X243)-SUM(P243:W243)))</f>
        <v>0</v>
      </c>
      <c r="Z243" s="27" t="n">
        <f aca="false">MIN(D242*(1+D$8),MAX(P243,$B$11-SUM(X243:Y243)-SUM(Q243:W243)))</f>
        <v>0</v>
      </c>
      <c r="AA243" s="27" t="n">
        <f aca="false">MIN(E242*(1+E$8),MAX(Q243,$B$11-SUM(X243:Z243)-SUM(R243:W243)))</f>
        <v>0</v>
      </c>
      <c r="AB243" s="27" t="n">
        <f aca="false">MIN(F242*(1+F$8),MAX(R243,$B$11-SUM(X243:AA243)-SUM(S243:W243)))</f>
        <v>0</v>
      </c>
      <c r="AC243" s="27" t="n">
        <f aca="false">MIN(G242*(1+G$8),MAX(S243,$B$11-SUM(X243:AB243)-SUM(T243:W243)))</f>
        <v>0</v>
      </c>
      <c r="AD243" s="27" t="n">
        <f aca="false">MIN(H242*(1+H$8),MAX(T243,$B$11-SUM(X243:AC243)-SUM(U243:W243)))</f>
        <v>0</v>
      </c>
      <c r="AE243" s="27" t="n">
        <f aca="false">MIN(I242*(1+I$8),MAX(U243,$B$11-SUM(X243:AD243)-SUM(V243:W243)))</f>
        <v>0</v>
      </c>
      <c r="AF243" s="27" t="n">
        <f aca="false">MIN(J242*(1+J$8),MAX(V243,$B$11-SUM(X243:AE243)-SUM(W243:W243)))</f>
        <v>0</v>
      </c>
      <c r="AG243" s="27" t="n">
        <f aca="false">MIN(K242*(1+K$8),MAX(W243,$B$11-SUM(X243:AF243)))</f>
        <v>0</v>
      </c>
      <c r="AI243" s="27" t="n">
        <f aca="false">ROUND(MAX(0,AI242*(1+B$8)-BE243),2)</f>
        <v>0</v>
      </c>
      <c r="AJ243" s="27" t="n">
        <f aca="false">ROUND(MAX(0,AJ242*(1+C$8)-BF243),2)</f>
        <v>0</v>
      </c>
      <c r="AK243" s="27" t="n">
        <f aca="false">ROUND(MAX(0,AK242*(1+D$8)-BG243),2)</f>
        <v>0</v>
      </c>
      <c r="AL243" s="27" t="n">
        <f aca="false">ROUND(MAX(0,AL242*(1+E$8)-BH243),2)</f>
        <v>0</v>
      </c>
      <c r="AM243" s="27" t="n">
        <f aca="false">ROUND(MAX(0,AM242*(1+F$8)-BI243),2)</f>
        <v>0</v>
      </c>
      <c r="AN243" s="27" t="n">
        <f aca="false">ROUND(MAX(0,AN242*(1+G$8)-BJ243),2)</f>
        <v>0</v>
      </c>
      <c r="AO243" s="27" t="n">
        <f aca="false">ROUND(MAX(0,AO242*(1+H$8)-BK243),2)</f>
        <v>0</v>
      </c>
      <c r="AP243" s="27" t="n">
        <f aca="false">ROUND(MAX(0,AP242*(1+I$8)-BL243),2)</f>
        <v>0</v>
      </c>
      <c r="AQ243" s="27" t="n">
        <f aca="false">ROUND(MAX(0,AQ242*(1+J$8)-BM243),2)</f>
        <v>0</v>
      </c>
      <c r="AR243" s="27" t="n">
        <f aca="false">ROUND(MAX(0,AR242*(1+K$8)-BN243),2)</f>
        <v>0</v>
      </c>
      <c r="AS243" s="27" t="n">
        <f aca="false">SUM(AI243:AR243)</f>
        <v>0</v>
      </c>
      <c r="AT243" s="27" t="n">
        <f aca="false">SUMPRODUCT(AI242:AR242,$B$8:$K$8)</f>
        <v>0</v>
      </c>
      <c r="AU243" s="27" t="n">
        <f aca="false">MIN(AI242*(1+B$8),B$9)</f>
        <v>0</v>
      </c>
      <c r="AV243" s="27" t="n">
        <f aca="false">MIN(AJ242*(1+C$8),C$9)</f>
        <v>0</v>
      </c>
      <c r="AW243" s="27" t="n">
        <f aca="false">MIN(AK242*(1+D$8),D$9)</f>
        <v>0</v>
      </c>
      <c r="AX243" s="27" t="n">
        <f aca="false">MIN(AL242*(1+E$8),E$9)</f>
        <v>0</v>
      </c>
      <c r="AY243" s="27" t="n">
        <f aca="false">MIN(AM242*(1+F$8),F$9)</f>
        <v>0</v>
      </c>
      <c r="AZ243" s="27" t="n">
        <f aca="false">MIN(AN242*(1+G$8),G$9)</f>
        <v>0</v>
      </c>
      <c r="BA243" s="27" t="n">
        <f aca="false">MIN(AO242*(1+H$8),H$9)</f>
        <v>0</v>
      </c>
      <c r="BB243" s="27" t="n">
        <f aca="false">MIN(AP242*(1+I$8),I$9)</f>
        <v>0</v>
      </c>
      <c r="BC243" s="27" t="n">
        <f aca="false">MIN(AQ242*(1+J$8),J$9)</f>
        <v>0</v>
      </c>
      <c r="BD243" s="27" t="n">
        <f aca="false">MIN(AR242*(1+K$8),K$9)</f>
        <v>0</v>
      </c>
      <c r="BE243" s="27" t="n">
        <f aca="false">MIN(AI242*(1+B$8),MAX(AU243,$B$12-SUM(AV243:BD243)))</f>
        <v>0</v>
      </c>
      <c r="BF243" s="27" t="n">
        <f aca="false">MIN(AJ242*(1+C$8),MAX(AV243,$B$12-SUM(BE243:BE243)-SUM(AW243:BD243)))</f>
        <v>0</v>
      </c>
      <c r="BG243" s="27" t="n">
        <f aca="false">MIN(AK242*(1+D$8),MAX(AW243,$B$12-SUM(BE243:BF243)-SUM(AX243:BD243)))</f>
        <v>0</v>
      </c>
      <c r="BH243" s="27" t="n">
        <f aca="false">MIN(AL242*(1+E$8),MAX(AX243,$B$12-SUM(BE243:BG243)-SUM(AY243:BD243)))</f>
        <v>0</v>
      </c>
      <c r="BI243" s="27" t="n">
        <f aca="false">MIN(AM242*(1+F$8),MAX(AY243,$B$12-SUM(BE243:BH243)-SUM(AZ243:BD243)))</f>
        <v>0</v>
      </c>
      <c r="BJ243" s="27" t="n">
        <f aca="false">MIN(AN242*(1+G$8),MAX(AZ243,$B$12-SUM(BE243:BI243)-SUM(BA243:BD243)))</f>
        <v>0</v>
      </c>
      <c r="BK243" s="27" t="n">
        <f aca="false">MIN(AO242*(1+H$8),MAX(BA243,$B$12-SUM(BE243:BJ243)-SUM(BB243:BD243)))</f>
        <v>0</v>
      </c>
      <c r="BL243" s="27" t="n">
        <f aca="false">MIN(AP242*(1+I$8),MAX(BB243,$B$12-SUM(BE243:BK243)-SUM(BC243:BD243)))</f>
        <v>0</v>
      </c>
      <c r="BM243" s="27" t="n">
        <f aca="false">MIN(AQ242*(1+J$8),MAX(BC243,$B$12-SUM(BE243:BL243)-SUM(BD243:BD243)))</f>
        <v>0</v>
      </c>
      <c r="BN243" s="27" t="n">
        <f aca="false">MIN(AR242*(1+K$8),MAX(BD243,$B$12-SUM(BE243:BM243)))</f>
        <v>0</v>
      </c>
    </row>
    <row r="244" customFormat="false" ht="15" hidden="false" customHeight="false" outlineLevel="0" collapsed="false">
      <c r="A244" s="0" t="n">
        <v>230</v>
      </c>
      <c r="B244" s="27" t="n">
        <f aca="false">ROUND(MAX(0,B243*(1+B$8)-X244),2)</f>
        <v>0</v>
      </c>
      <c r="C244" s="27" t="n">
        <f aca="false">ROUND(MAX(0,C243*(1+C$8)-Y244),2)</f>
        <v>0</v>
      </c>
      <c r="D244" s="27" t="n">
        <f aca="false">ROUND(MAX(0,D243*(1+D$8)-Z244),2)</f>
        <v>0</v>
      </c>
      <c r="E244" s="27" t="n">
        <f aca="false">ROUND(MAX(0,E243*(1+E$8)-AA244),2)</f>
        <v>0</v>
      </c>
      <c r="F244" s="27" t="n">
        <f aca="false">ROUND(MAX(0,F243*(1+F$8)-AB244),2)</f>
        <v>0</v>
      </c>
      <c r="G244" s="27" t="n">
        <f aca="false">ROUND(MAX(0,G243*(1+G$8)-AC244),2)</f>
        <v>0</v>
      </c>
      <c r="H244" s="27" t="n">
        <f aca="false">ROUND(MAX(0,H243*(1+H$8)-AD244),2)</f>
        <v>0</v>
      </c>
      <c r="I244" s="27" t="n">
        <f aca="false">ROUND(MAX(0,I243*(1+I$8)-AE244),2)</f>
        <v>0</v>
      </c>
      <c r="J244" s="27" t="n">
        <f aca="false">ROUND(MAX(0,J243*(1+J$8)-AF244),2)</f>
        <v>0</v>
      </c>
      <c r="K244" s="27" t="n">
        <f aca="false">ROUND(MAX(0,K243*(1+K$8)-AG244),2)</f>
        <v>0</v>
      </c>
      <c r="L244" s="30" t="n">
        <f aca="false">SUM(B244:K244)</f>
        <v>0</v>
      </c>
      <c r="M244" s="27" t="n">
        <f aca="false">SUMPRODUCT(B243:K243,$B$8:$K$8)</f>
        <v>0</v>
      </c>
      <c r="N244" s="27" t="n">
        <f aca="false">MIN(B243*(1+B$8),B$9)</f>
        <v>0</v>
      </c>
      <c r="O244" s="27" t="n">
        <f aca="false">MIN(C243*(1+C$8),C$9)</f>
        <v>0</v>
      </c>
      <c r="P244" s="27" t="n">
        <f aca="false">MIN(D243*(1+D$8),D$9)</f>
        <v>0</v>
      </c>
      <c r="Q244" s="27" t="n">
        <f aca="false">MIN(E243*(1+E$8),E$9)</f>
        <v>0</v>
      </c>
      <c r="R244" s="27" t="n">
        <f aca="false">MIN(F243*(1+F$8),F$9)</f>
        <v>0</v>
      </c>
      <c r="S244" s="27" t="n">
        <f aca="false">MIN(G243*(1+G$8),G$9)</f>
        <v>0</v>
      </c>
      <c r="T244" s="27" t="n">
        <f aca="false">MIN(H243*(1+H$8),H$9)</f>
        <v>0</v>
      </c>
      <c r="U244" s="27" t="n">
        <f aca="false">MIN(I243*(1+I$8),I$9)</f>
        <v>0</v>
      </c>
      <c r="V244" s="27" t="n">
        <f aca="false">MIN(J243*(1+J$8),J$9)</f>
        <v>0</v>
      </c>
      <c r="W244" s="27" t="n">
        <f aca="false">MIN(K243*(1+K$8),K$9)</f>
        <v>0</v>
      </c>
      <c r="X244" s="27" t="n">
        <f aca="false">MIN(B243*(1+B$8),MAX(N244,$B$11-SUM(O244:W244)))</f>
        <v>0</v>
      </c>
      <c r="Y244" s="27" t="n">
        <f aca="false">MIN(C243*(1+C$8),MAX(O244,$B$11-SUM(X244:X244)-SUM(P244:W244)))</f>
        <v>0</v>
      </c>
      <c r="Z244" s="27" t="n">
        <f aca="false">MIN(D243*(1+D$8),MAX(P244,$B$11-SUM(X244:Y244)-SUM(Q244:W244)))</f>
        <v>0</v>
      </c>
      <c r="AA244" s="27" t="n">
        <f aca="false">MIN(E243*(1+E$8),MAX(Q244,$B$11-SUM(X244:Z244)-SUM(R244:W244)))</f>
        <v>0</v>
      </c>
      <c r="AB244" s="27" t="n">
        <f aca="false">MIN(F243*(1+F$8),MAX(R244,$B$11-SUM(X244:AA244)-SUM(S244:W244)))</f>
        <v>0</v>
      </c>
      <c r="AC244" s="27" t="n">
        <f aca="false">MIN(G243*(1+G$8),MAX(S244,$B$11-SUM(X244:AB244)-SUM(T244:W244)))</f>
        <v>0</v>
      </c>
      <c r="AD244" s="27" t="n">
        <f aca="false">MIN(H243*(1+H$8),MAX(T244,$B$11-SUM(X244:AC244)-SUM(U244:W244)))</f>
        <v>0</v>
      </c>
      <c r="AE244" s="27" t="n">
        <f aca="false">MIN(I243*(1+I$8),MAX(U244,$B$11-SUM(X244:AD244)-SUM(V244:W244)))</f>
        <v>0</v>
      </c>
      <c r="AF244" s="27" t="n">
        <f aca="false">MIN(J243*(1+J$8),MAX(V244,$B$11-SUM(X244:AE244)-SUM(W244:W244)))</f>
        <v>0</v>
      </c>
      <c r="AG244" s="27" t="n">
        <f aca="false">MIN(K243*(1+K$8),MAX(W244,$B$11-SUM(X244:AF244)))</f>
        <v>0</v>
      </c>
      <c r="AI244" s="27" t="n">
        <f aca="false">ROUND(MAX(0,AI243*(1+B$8)-BE244),2)</f>
        <v>0</v>
      </c>
      <c r="AJ244" s="27" t="n">
        <f aca="false">ROUND(MAX(0,AJ243*(1+C$8)-BF244),2)</f>
        <v>0</v>
      </c>
      <c r="AK244" s="27" t="n">
        <f aca="false">ROUND(MAX(0,AK243*(1+D$8)-BG244),2)</f>
        <v>0</v>
      </c>
      <c r="AL244" s="27" t="n">
        <f aca="false">ROUND(MAX(0,AL243*(1+E$8)-BH244),2)</f>
        <v>0</v>
      </c>
      <c r="AM244" s="27" t="n">
        <f aca="false">ROUND(MAX(0,AM243*(1+F$8)-BI244),2)</f>
        <v>0</v>
      </c>
      <c r="AN244" s="27" t="n">
        <f aca="false">ROUND(MAX(0,AN243*(1+G$8)-BJ244),2)</f>
        <v>0</v>
      </c>
      <c r="AO244" s="27" t="n">
        <f aca="false">ROUND(MAX(0,AO243*(1+H$8)-BK244),2)</f>
        <v>0</v>
      </c>
      <c r="AP244" s="27" t="n">
        <f aca="false">ROUND(MAX(0,AP243*(1+I$8)-BL244),2)</f>
        <v>0</v>
      </c>
      <c r="AQ244" s="27" t="n">
        <f aca="false">ROUND(MAX(0,AQ243*(1+J$8)-BM244),2)</f>
        <v>0</v>
      </c>
      <c r="AR244" s="27" t="n">
        <f aca="false">ROUND(MAX(0,AR243*(1+K$8)-BN244),2)</f>
        <v>0</v>
      </c>
      <c r="AS244" s="27" t="n">
        <f aca="false">SUM(AI244:AR244)</f>
        <v>0</v>
      </c>
      <c r="AT244" s="27" t="n">
        <f aca="false">SUMPRODUCT(AI243:AR243,$B$8:$K$8)</f>
        <v>0</v>
      </c>
      <c r="AU244" s="27" t="n">
        <f aca="false">MIN(AI243*(1+B$8),B$9)</f>
        <v>0</v>
      </c>
      <c r="AV244" s="27" t="n">
        <f aca="false">MIN(AJ243*(1+C$8),C$9)</f>
        <v>0</v>
      </c>
      <c r="AW244" s="27" t="n">
        <f aca="false">MIN(AK243*(1+D$8),D$9)</f>
        <v>0</v>
      </c>
      <c r="AX244" s="27" t="n">
        <f aca="false">MIN(AL243*(1+E$8),E$9)</f>
        <v>0</v>
      </c>
      <c r="AY244" s="27" t="n">
        <f aca="false">MIN(AM243*(1+F$8),F$9)</f>
        <v>0</v>
      </c>
      <c r="AZ244" s="27" t="n">
        <f aca="false">MIN(AN243*(1+G$8),G$9)</f>
        <v>0</v>
      </c>
      <c r="BA244" s="27" t="n">
        <f aca="false">MIN(AO243*(1+H$8),H$9)</f>
        <v>0</v>
      </c>
      <c r="BB244" s="27" t="n">
        <f aca="false">MIN(AP243*(1+I$8),I$9)</f>
        <v>0</v>
      </c>
      <c r="BC244" s="27" t="n">
        <f aca="false">MIN(AQ243*(1+J$8),J$9)</f>
        <v>0</v>
      </c>
      <c r="BD244" s="27" t="n">
        <f aca="false">MIN(AR243*(1+K$8),K$9)</f>
        <v>0</v>
      </c>
      <c r="BE244" s="27" t="n">
        <f aca="false">MIN(AI243*(1+B$8),MAX(AU244,$B$12-SUM(AV244:BD244)))</f>
        <v>0</v>
      </c>
      <c r="BF244" s="27" t="n">
        <f aca="false">MIN(AJ243*(1+C$8),MAX(AV244,$B$12-SUM(BE244:BE244)-SUM(AW244:BD244)))</f>
        <v>0</v>
      </c>
      <c r="BG244" s="27" t="n">
        <f aca="false">MIN(AK243*(1+D$8),MAX(AW244,$B$12-SUM(BE244:BF244)-SUM(AX244:BD244)))</f>
        <v>0</v>
      </c>
      <c r="BH244" s="27" t="n">
        <f aca="false">MIN(AL243*(1+E$8),MAX(AX244,$B$12-SUM(BE244:BG244)-SUM(AY244:BD244)))</f>
        <v>0</v>
      </c>
      <c r="BI244" s="27" t="n">
        <f aca="false">MIN(AM243*(1+F$8),MAX(AY244,$B$12-SUM(BE244:BH244)-SUM(AZ244:BD244)))</f>
        <v>0</v>
      </c>
      <c r="BJ244" s="27" t="n">
        <f aca="false">MIN(AN243*(1+G$8),MAX(AZ244,$B$12-SUM(BE244:BI244)-SUM(BA244:BD244)))</f>
        <v>0</v>
      </c>
      <c r="BK244" s="27" t="n">
        <f aca="false">MIN(AO243*(1+H$8),MAX(BA244,$B$12-SUM(BE244:BJ244)-SUM(BB244:BD244)))</f>
        <v>0</v>
      </c>
      <c r="BL244" s="27" t="n">
        <f aca="false">MIN(AP243*(1+I$8),MAX(BB244,$B$12-SUM(BE244:BK244)-SUM(BC244:BD244)))</f>
        <v>0</v>
      </c>
      <c r="BM244" s="27" t="n">
        <f aca="false">MIN(AQ243*(1+J$8),MAX(BC244,$B$12-SUM(BE244:BL244)-SUM(BD244:BD244)))</f>
        <v>0</v>
      </c>
      <c r="BN244" s="27" t="n">
        <f aca="false">MIN(AR243*(1+K$8),MAX(BD244,$B$12-SUM(BE244:BM244)))</f>
        <v>0</v>
      </c>
    </row>
    <row r="245" customFormat="false" ht="15" hidden="false" customHeight="false" outlineLevel="0" collapsed="false">
      <c r="A245" s="0" t="n">
        <v>231</v>
      </c>
      <c r="B245" s="27" t="n">
        <f aca="false">ROUND(MAX(0,B244*(1+B$8)-X245),2)</f>
        <v>0</v>
      </c>
      <c r="C245" s="27" t="n">
        <f aca="false">ROUND(MAX(0,C244*(1+C$8)-Y245),2)</f>
        <v>0</v>
      </c>
      <c r="D245" s="27" t="n">
        <f aca="false">ROUND(MAX(0,D244*(1+D$8)-Z245),2)</f>
        <v>0</v>
      </c>
      <c r="E245" s="27" t="n">
        <f aca="false">ROUND(MAX(0,E244*(1+E$8)-AA245),2)</f>
        <v>0</v>
      </c>
      <c r="F245" s="27" t="n">
        <f aca="false">ROUND(MAX(0,F244*(1+F$8)-AB245),2)</f>
        <v>0</v>
      </c>
      <c r="G245" s="27" t="n">
        <f aca="false">ROUND(MAX(0,G244*(1+G$8)-AC245),2)</f>
        <v>0</v>
      </c>
      <c r="H245" s="27" t="n">
        <f aca="false">ROUND(MAX(0,H244*(1+H$8)-AD245),2)</f>
        <v>0</v>
      </c>
      <c r="I245" s="27" t="n">
        <f aca="false">ROUND(MAX(0,I244*(1+I$8)-AE245),2)</f>
        <v>0</v>
      </c>
      <c r="J245" s="27" t="n">
        <f aca="false">ROUND(MAX(0,J244*(1+J$8)-AF245),2)</f>
        <v>0</v>
      </c>
      <c r="K245" s="27" t="n">
        <f aca="false">ROUND(MAX(0,K244*(1+K$8)-AG245),2)</f>
        <v>0</v>
      </c>
      <c r="L245" s="30" t="n">
        <f aca="false">SUM(B245:K245)</f>
        <v>0</v>
      </c>
      <c r="M245" s="27" t="n">
        <f aca="false">SUMPRODUCT(B244:K244,$B$8:$K$8)</f>
        <v>0</v>
      </c>
      <c r="N245" s="27" t="n">
        <f aca="false">MIN(B244*(1+B$8),B$9)</f>
        <v>0</v>
      </c>
      <c r="O245" s="27" t="n">
        <f aca="false">MIN(C244*(1+C$8),C$9)</f>
        <v>0</v>
      </c>
      <c r="P245" s="27" t="n">
        <f aca="false">MIN(D244*(1+D$8),D$9)</f>
        <v>0</v>
      </c>
      <c r="Q245" s="27" t="n">
        <f aca="false">MIN(E244*(1+E$8),E$9)</f>
        <v>0</v>
      </c>
      <c r="R245" s="27" t="n">
        <f aca="false">MIN(F244*(1+F$8),F$9)</f>
        <v>0</v>
      </c>
      <c r="S245" s="27" t="n">
        <f aca="false">MIN(G244*(1+G$8),G$9)</f>
        <v>0</v>
      </c>
      <c r="T245" s="27" t="n">
        <f aca="false">MIN(H244*(1+H$8),H$9)</f>
        <v>0</v>
      </c>
      <c r="U245" s="27" t="n">
        <f aca="false">MIN(I244*(1+I$8),I$9)</f>
        <v>0</v>
      </c>
      <c r="V245" s="27" t="n">
        <f aca="false">MIN(J244*(1+J$8),J$9)</f>
        <v>0</v>
      </c>
      <c r="W245" s="27" t="n">
        <f aca="false">MIN(K244*(1+K$8),K$9)</f>
        <v>0</v>
      </c>
      <c r="X245" s="27" t="n">
        <f aca="false">MIN(B244*(1+B$8),MAX(N245,$B$11-SUM(O245:W245)))</f>
        <v>0</v>
      </c>
      <c r="Y245" s="27" t="n">
        <f aca="false">MIN(C244*(1+C$8),MAX(O245,$B$11-SUM(X245:X245)-SUM(P245:W245)))</f>
        <v>0</v>
      </c>
      <c r="Z245" s="27" t="n">
        <f aca="false">MIN(D244*(1+D$8),MAX(P245,$B$11-SUM(X245:Y245)-SUM(Q245:W245)))</f>
        <v>0</v>
      </c>
      <c r="AA245" s="27" t="n">
        <f aca="false">MIN(E244*(1+E$8),MAX(Q245,$B$11-SUM(X245:Z245)-SUM(R245:W245)))</f>
        <v>0</v>
      </c>
      <c r="AB245" s="27" t="n">
        <f aca="false">MIN(F244*(1+F$8),MAX(R245,$B$11-SUM(X245:AA245)-SUM(S245:W245)))</f>
        <v>0</v>
      </c>
      <c r="AC245" s="27" t="n">
        <f aca="false">MIN(G244*(1+G$8),MAX(S245,$B$11-SUM(X245:AB245)-SUM(T245:W245)))</f>
        <v>0</v>
      </c>
      <c r="AD245" s="27" t="n">
        <f aca="false">MIN(H244*(1+H$8),MAX(T245,$B$11-SUM(X245:AC245)-SUM(U245:W245)))</f>
        <v>0</v>
      </c>
      <c r="AE245" s="27" t="n">
        <f aca="false">MIN(I244*(1+I$8),MAX(U245,$B$11-SUM(X245:AD245)-SUM(V245:W245)))</f>
        <v>0</v>
      </c>
      <c r="AF245" s="27" t="n">
        <f aca="false">MIN(J244*(1+J$8),MAX(V245,$B$11-SUM(X245:AE245)-SUM(W245:W245)))</f>
        <v>0</v>
      </c>
      <c r="AG245" s="27" t="n">
        <f aca="false">MIN(K244*(1+K$8),MAX(W245,$B$11-SUM(X245:AF245)))</f>
        <v>0</v>
      </c>
      <c r="AI245" s="27" t="n">
        <f aca="false">ROUND(MAX(0,AI244*(1+B$8)-BE245),2)</f>
        <v>0</v>
      </c>
      <c r="AJ245" s="27" t="n">
        <f aca="false">ROUND(MAX(0,AJ244*(1+C$8)-BF245),2)</f>
        <v>0</v>
      </c>
      <c r="AK245" s="27" t="n">
        <f aca="false">ROUND(MAX(0,AK244*(1+D$8)-BG245),2)</f>
        <v>0</v>
      </c>
      <c r="AL245" s="27" t="n">
        <f aca="false">ROUND(MAX(0,AL244*(1+E$8)-BH245),2)</f>
        <v>0</v>
      </c>
      <c r="AM245" s="27" t="n">
        <f aca="false">ROUND(MAX(0,AM244*(1+F$8)-BI245),2)</f>
        <v>0</v>
      </c>
      <c r="AN245" s="27" t="n">
        <f aca="false">ROUND(MAX(0,AN244*(1+G$8)-BJ245),2)</f>
        <v>0</v>
      </c>
      <c r="AO245" s="27" t="n">
        <f aca="false">ROUND(MAX(0,AO244*(1+H$8)-BK245),2)</f>
        <v>0</v>
      </c>
      <c r="AP245" s="27" t="n">
        <f aca="false">ROUND(MAX(0,AP244*(1+I$8)-BL245),2)</f>
        <v>0</v>
      </c>
      <c r="AQ245" s="27" t="n">
        <f aca="false">ROUND(MAX(0,AQ244*(1+J$8)-BM245),2)</f>
        <v>0</v>
      </c>
      <c r="AR245" s="27" t="n">
        <f aca="false">ROUND(MAX(0,AR244*(1+K$8)-BN245),2)</f>
        <v>0</v>
      </c>
      <c r="AS245" s="27" t="n">
        <f aca="false">SUM(AI245:AR245)</f>
        <v>0</v>
      </c>
      <c r="AT245" s="27" t="n">
        <f aca="false">SUMPRODUCT(AI244:AR244,$B$8:$K$8)</f>
        <v>0</v>
      </c>
      <c r="AU245" s="27" t="n">
        <f aca="false">MIN(AI244*(1+B$8),B$9)</f>
        <v>0</v>
      </c>
      <c r="AV245" s="27" t="n">
        <f aca="false">MIN(AJ244*(1+C$8),C$9)</f>
        <v>0</v>
      </c>
      <c r="AW245" s="27" t="n">
        <f aca="false">MIN(AK244*(1+D$8),D$9)</f>
        <v>0</v>
      </c>
      <c r="AX245" s="27" t="n">
        <f aca="false">MIN(AL244*(1+E$8),E$9)</f>
        <v>0</v>
      </c>
      <c r="AY245" s="27" t="n">
        <f aca="false">MIN(AM244*(1+F$8),F$9)</f>
        <v>0</v>
      </c>
      <c r="AZ245" s="27" t="n">
        <f aca="false">MIN(AN244*(1+G$8),G$9)</f>
        <v>0</v>
      </c>
      <c r="BA245" s="27" t="n">
        <f aca="false">MIN(AO244*(1+H$8),H$9)</f>
        <v>0</v>
      </c>
      <c r="BB245" s="27" t="n">
        <f aca="false">MIN(AP244*(1+I$8),I$9)</f>
        <v>0</v>
      </c>
      <c r="BC245" s="27" t="n">
        <f aca="false">MIN(AQ244*(1+J$8),J$9)</f>
        <v>0</v>
      </c>
      <c r="BD245" s="27" t="n">
        <f aca="false">MIN(AR244*(1+K$8),K$9)</f>
        <v>0</v>
      </c>
      <c r="BE245" s="27" t="n">
        <f aca="false">MIN(AI244*(1+B$8),MAX(AU245,$B$12-SUM(AV245:BD245)))</f>
        <v>0</v>
      </c>
      <c r="BF245" s="27" t="n">
        <f aca="false">MIN(AJ244*(1+C$8),MAX(AV245,$B$12-SUM(BE245:BE245)-SUM(AW245:BD245)))</f>
        <v>0</v>
      </c>
      <c r="BG245" s="27" t="n">
        <f aca="false">MIN(AK244*(1+D$8),MAX(AW245,$B$12-SUM(BE245:BF245)-SUM(AX245:BD245)))</f>
        <v>0</v>
      </c>
      <c r="BH245" s="27" t="n">
        <f aca="false">MIN(AL244*(1+E$8),MAX(AX245,$B$12-SUM(BE245:BG245)-SUM(AY245:BD245)))</f>
        <v>0</v>
      </c>
      <c r="BI245" s="27" t="n">
        <f aca="false">MIN(AM244*(1+F$8),MAX(AY245,$B$12-SUM(BE245:BH245)-SUM(AZ245:BD245)))</f>
        <v>0</v>
      </c>
      <c r="BJ245" s="27" t="n">
        <f aca="false">MIN(AN244*(1+G$8),MAX(AZ245,$B$12-SUM(BE245:BI245)-SUM(BA245:BD245)))</f>
        <v>0</v>
      </c>
      <c r="BK245" s="27" t="n">
        <f aca="false">MIN(AO244*(1+H$8),MAX(BA245,$B$12-SUM(BE245:BJ245)-SUM(BB245:BD245)))</f>
        <v>0</v>
      </c>
      <c r="BL245" s="27" t="n">
        <f aca="false">MIN(AP244*(1+I$8),MAX(BB245,$B$12-SUM(BE245:BK245)-SUM(BC245:BD245)))</f>
        <v>0</v>
      </c>
      <c r="BM245" s="27" t="n">
        <f aca="false">MIN(AQ244*(1+J$8),MAX(BC245,$B$12-SUM(BE245:BL245)-SUM(BD245:BD245)))</f>
        <v>0</v>
      </c>
      <c r="BN245" s="27" t="n">
        <f aca="false">MIN(AR244*(1+K$8),MAX(BD245,$B$12-SUM(BE245:BM245)))</f>
        <v>0</v>
      </c>
    </row>
    <row r="246" customFormat="false" ht="15" hidden="false" customHeight="false" outlineLevel="0" collapsed="false">
      <c r="A246" s="0" t="n">
        <v>232</v>
      </c>
      <c r="B246" s="27" t="n">
        <f aca="false">ROUND(MAX(0,B245*(1+B$8)-X246),2)</f>
        <v>0</v>
      </c>
      <c r="C246" s="27" t="n">
        <f aca="false">ROUND(MAX(0,C245*(1+C$8)-Y246),2)</f>
        <v>0</v>
      </c>
      <c r="D246" s="27" t="n">
        <f aca="false">ROUND(MAX(0,D245*(1+D$8)-Z246),2)</f>
        <v>0</v>
      </c>
      <c r="E246" s="27" t="n">
        <f aca="false">ROUND(MAX(0,E245*(1+E$8)-AA246),2)</f>
        <v>0</v>
      </c>
      <c r="F246" s="27" t="n">
        <f aca="false">ROUND(MAX(0,F245*(1+F$8)-AB246),2)</f>
        <v>0</v>
      </c>
      <c r="G246" s="27" t="n">
        <f aca="false">ROUND(MAX(0,G245*(1+G$8)-AC246),2)</f>
        <v>0</v>
      </c>
      <c r="H246" s="27" t="n">
        <f aca="false">ROUND(MAX(0,H245*(1+H$8)-AD246),2)</f>
        <v>0</v>
      </c>
      <c r="I246" s="27" t="n">
        <f aca="false">ROUND(MAX(0,I245*(1+I$8)-AE246),2)</f>
        <v>0</v>
      </c>
      <c r="J246" s="27" t="n">
        <f aca="false">ROUND(MAX(0,J245*(1+J$8)-AF246),2)</f>
        <v>0</v>
      </c>
      <c r="K246" s="27" t="n">
        <f aca="false">ROUND(MAX(0,K245*(1+K$8)-AG246),2)</f>
        <v>0</v>
      </c>
      <c r="L246" s="30" t="n">
        <f aca="false">SUM(B246:K246)</f>
        <v>0</v>
      </c>
      <c r="M246" s="27" t="n">
        <f aca="false">SUMPRODUCT(B245:K245,$B$8:$K$8)</f>
        <v>0</v>
      </c>
      <c r="N246" s="27" t="n">
        <f aca="false">MIN(B245*(1+B$8),B$9)</f>
        <v>0</v>
      </c>
      <c r="O246" s="27" t="n">
        <f aca="false">MIN(C245*(1+C$8),C$9)</f>
        <v>0</v>
      </c>
      <c r="P246" s="27" t="n">
        <f aca="false">MIN(D245*(1+D$8),D$9)</f>
        <v>0</v>
      </c>
      <c r="Q246" s="27" t="n">
        <f aca="false">MIN(E245*(1+E$8),E$9)</f>
        <v>0</v>
      </c>
      <c r="R246" s="27" t="n">
        <f aca="false">MIN(F245*(1+F$8),F$9)</f>
        <v>0</v>
      </c>
      <c r="S246" s="27" t="n">
        <f aca="false">MIN(G245*(1+G$8),G$9)</f>
        <v>0</v>
      </c>
      <c r="T246" s="27" t="n">
        <f aca="false">MIN(H245*(1+H$8),H$9)</f>
        <v>0</v>
      </c>
      <c r="U246" s="27" t="n">
        <f aca="false">MIN(I245*(1+I$8),I$9)</f>
        <v>0</v>
      </c>
      <c r="V246" s="27" t="n">
        <f aca="false">MIN(J245*(1+J$8),J$9)</f>
        <v>0</v>
      </c>
      <c r="W246" s="27" t="n">
        <f aca="false">MIN(K245*(1+K$8),K$9)</f>
        <v>0</v>
      </c>
      <c r="X246" s="27" t="n">
        <f aca="false">MIN(B245*(1+B$8),MAX(N246,$B$11-SUM(O246:W246)))</f>
        <v>0</v>
      </c>
      <c r="Y246" s="27" t="n">
        <f aca="false">MIN(C245*(1+C$8),MAX(O246,$B$11-SUM(X246:X246)-SUM(P246:W246)))</f>
        <v>0</v>
      </c>
      <c r="Z246" s="27" t="n">
        <f aca="false">MIN(D245*(1+D$8),MAX(P246,$B$11-SUM(X246:Y246)-SUM(Q246:W246)))</f>
        <v>0</v>
      </c>
      <c r="AA246" s="27" t="n">
        <f aca="false">MIN(E245*(1+E$8),MAX(Q246,$B$11-SUM(X246:Z246)-SUM(R246:W246)))</f>
        <v>0</v>
      </c>
      <c r="AB246" s="27" t="n">
        <f aca="false">MIN(F245*(1+F$8),MAX(R246,$B$11-SUM(X246:AA246)-SUM(S246:W246)))</f>
        <v>0</v>
      </c>
      <c r="AC246" s="27" t="n">
        <f aca="false">MIN(G245*(1+G$8),MAX(S246,$B$11-SUM(X246:AB246)-SUM(T246:W246)))</f>
        <v>0</v>
      </c>
      <c r="AD246" s="27" t="n">
        <f aca="false">MIN(H245*(1+H$8),MAX(T246,$B$11-SUM(X246:AC246)-SUM(U246:W246)))</f>
        <v>0</v>
      </c>
      <c r="AE246" s="27" t="n">
        <f aca="false">MIN(I245*(1+I$8),MAX(U246,$B$11-SUM(X246:AD246)-SUM(V246:W246)))</f>
        <v>0</v>
      </c>
      <c r="AF246" s="27" t="n">
        <f aca="false">MIN(J245*(1+J$8),MAX(V246,$B$11-SUM(X246:AE246)-SUM(W246:W246)))</f>
        <v>0</v>
      </c>
      <c r="AG246" s="27" t="n">
        <f aca="false">MIN(K245*(1+K$8),MAX(W246,$B$11-SUM(X246:AF246)))</f>
        <v>0</v>
      </c>
      <c r="AI246" s="27" t="n">
        <f aca="false">ROUND(MAX(0,AI245*(1+B$8)-BE246),2)</f>
        <v>0</v>
      </c>
      <c r="AJ246" s="27" t="n">
        <f aca="false">ROUND(MAX(0,AJ245*(1+C$8)-BF246),2)</f>
        <v>0</v>
      </c>
      <c r="AK246" s="27" t="n">
        <f aca="false">ROUND(MAX(0,AK245*(1+D$8)-BG246),2)</f>
        <v>0</v>
      </c>
      <c r="AL246" s="27" t="n">
        <f aca="false">ROUND(MAX(0,AL245*(1+E$8)-BH246),2)</f>
        <v>0</v>
      </c>
      <c r="AM246" s="27" t="n">
        <f aca="false">ROUND(MAX(0,AM245*(1+F$8)-BI246),2)</f>
        <v>0</v>
      </c>
      <c r="AN246" s="27" t="n">
        <f aca="false">ROUND(MAX(0,AN245*(1+G$8)-BJ246),2)</f>
        <v>0</v>
      </c>
      <c r="AO246" s="27" t="n">
        <f aca="false">ROUND(MAX(0,AO245*(1+H$8)-BK246),2)</f>
        <v>0</v>
      </c>
      <c r="AP246" s="27" t="n">
        <f aca="false">ROUND(MAX(0,AP245*(1+I$8)-BL246),2)</f>
        <v>0</v>
      </c>
      <c r="AQ246" s="27" t="n">
        <f aca="false">ROUND(MAX(0,AQ245*(1+J$8)-BM246),2)</f>
        <v>0</v>
      </c>
      <c r="AR246" s="27" t="n">
        <f aca="false">ROUND(MAX(0,AR245*(1+K$8)-BN246),2)</f>
        <v>0</v>
      </c>
      <c r="AS246" s="27" t="n">
        <f aca="false">SUM(AI246:AR246)</f>
        <v>0</v>
      </c>
      <c r="AT246" s="27" t="n">
        <f aca="false">SUMPRODUCT(AI245:AR245,$B$8:$K$8)</f>
        <v>0</v>
      </c>
      <c r="AU246" s="27" t="n">
        <f aca="false">MIN(AI245*(1+B$8),B$9)</f>
        <v>0</v>
      </c>
      <c r="AV246" s="27" t="n">
        <f aca="false">MIN(AJ245*(1+C$8),C$9)</f>
        <v>0</v>
      </c>
      <c r="AW246" s="27" t="n">
        <f aca="false">MIN(AK245*(1+D$8),D$9)</f>
        <v>0</v>
      </c>
      <c r="AX246" s="27" t="n">
        <f aca="false">MIN(AL245*(1+E$8),E$9)</f>
        <v>0</v>
      </c>
      <c r="AY246" s="27" t="n">
        <f aca="false">MIN(AM245*(1+F$8),F$9)</f>
        <v>0</v>
      </c>
      <c r="AZ246" s="27" t="n">
        <f aca="false">MIN(AN245*(1+G$8),G$9)</f>
        <v>0</v>
      </c>
      <c r="BA246" s="27" t="n">
        <f aca="false">MIN(AO245*(1+H$8),H$9)</f>
        <v>0</v>
      </c>
      <c r="BB246" s="27" t="n">
        <f aca="false">MIN(AP245*(1+I$8),I$9)</f>
        <v>0</v>
      </c>
      <c r="BC246" s="27" t="n">
        <f aca="false">MIN(AQ245*(1+J$8),J$9)</f>
        <v>0</v>
      </c>
      <c r="BD246" s="27" t="n">
        <f aca="false">MIN(AR245*(1+K$8),K$9)</f>
        <v>0</v>
      </c>
      <c r="BE246" s="27" t="n">
        <f aca="false">MIN(AI245*(1+B$8),MAX(AU246,$B$12-SUM(AV246:BD246)))</f>
        <v>0</v>
      </c>
      <c r="BF246" s="27" t="n">
        <f aca="false">MIN(AJ245*(1+C$8),MAX(AV246,$B$12-SUM(BE246:BE246)-SUM(AW246:BD246)))</f>
        <v>0</v>
      </c>
      <c r="BG246" s="27" t="n">
        <f aca="false">MIN(AK245*(1+D$8),MAX(AW246,$B$12-SUM(BE246:BF246)-SUM(AX246:BD246)))</f>
        <v>0</v>
      </c>
      <c r="BH246" s="27" t="n">
        <f aca="false">MIN(AL245*(1+E$8),MAX(AX246,$B$12-SUM(BE246:BG246)-SUM(AY246:BD246)))</f>
        <v>0</v>
      </c>
      <c r="BI246" s="27" t="n">
        <f aca="false">MIN(AM245*(1+F$8),MAX(AY246,$B$12-SUM(BE246:BH246)-SUM(AZ246:BD246)))</f>
        <v>0</v>
      </c>
      <c r="BJ246" s="27" t="n">
        <f aca="false">MIN(AN245*(1+G$8),MAX(AZ246,$B$12-SUM(BE246:BI246)-SUM(BA246:BD246)))</f>
        <v>0</v>
      </c>
      <c r="BK246" s="27" t="n">
        <f aca="false">MIN(AO245*(1+H$8),MAX(BA246,$B$12-SUM(BE246:BJ246)-SUM(BB246:BD246)))</f>
        <v>0</v>
      </c>
      <c r="BL246" s="27" t="n">
        <f aca="false">MIN(AP245*(1+I$8),MAX(BB246,$B$12-SUM(BE246:BK246)-SUM(BC246:BD246)))</f>
        <v>0</v>
      </c>
      <c r="BM246" s="27" t="n">
        <f aca="false">MIN(AQ245*(1+J$8),MAX(BC246,$B$12-SUM(BE246:BL246)-SUM(BD246:BD246)))</f>
        <v>0</v>
      </c>
      <c r="BN246" s="27" t="n">
        <f aca="false">MIN(AR245*(1+K$8),MAX(BD246,$B$12-SUM(BE246:BM246)))</f>
        <v>0</v>
      </c>
    </row>
    <row r="247" customFormat="false" ht="15" hidden="false" customHeight="false" outlineLevel="0" collapsed="false">
      <c r="A247" s="0" t="n">
        <v>233</v>
      </c>
      <c r="B247" s="27" t="n">
        <f aca="false">ROUND(MAX(0,B246*(1+B$8)-X247),2)</f>
        <v>0</v>
      </c>
      <c r="C247" s="27" t="n">
        <f aca="false">ROUND(MAX(0,C246*(1+C$8)-Y247),2)</f>
        <v>0</v>
      </c>
      <c r="D247" s="27" t="n">
        <f aca="false">ROUND(MAX(0,D246*(1+D$8)-Z247),2)</f>
        <v>0</v>
      </c>
      <c r="E247" s="27" t="n">
        <f aca="false">ROUND(MAX(0,E246*(1+E$8)-AA247),2)</f>
        <v>0</v>
      </c>
      <c r="F247" s="27" t="n">
        <f aca="false">ROUND(MAX(0,F246*(1+F$8)-AB247),2)</f>
        <v>0</v>
      </c>
      <c r="G247" s="27" t="n">
        <f aca="false">ROUND(MAX(0,G246*(1+G$8)-AC247),2)</f>
        <v>0</v>
      </c>
      <c r="H247" s="27" t="n">
        <f aca="false">ROUND(MAX(0,H246*(1+H$8)-AD247),2)</f>
        <v>0</v>
      </c>
      <c r="I247" s="27" t="n">
        <f aca="false">ROUND(MAX(0,I246*(1+I$8)-AE247),2)</f>
        <v>0</v>
      </c>
      <c r="J247" s="27" t="n">
        <f aca="false">ROUND(MAX(0,J246*(1+J$8)-AF247),2)</f>
        <v>0</v>
      </c>
      <c r="K247" s="27" t="n">
        <f aca="false">ROUND(MAX(0,K246*(1+K$8)-AG247),2)</f>
        <v>0</v>
      </c>
      <c r="L247" s="30" t="n">
        <f aca="false">SUM(B247:K247)</f>
        <v>0</v>
      </c>
      <c r="M247" s="27" t="n">
        <f aca="false">SUMPRODUCT(B246:K246,$B$8:$K$8)</f>
        <v>0</v>
      </c>
      <c r="N247" s="27" t="n">
        <f aca="false">MIN(B246*(1+B$8),B$9)</f>
        <v>0</v>
      </c>
      <c r="O247" s="27" t="n">
        <f aca="false">MIN(C246*(1+C$8),C$9)</f>
        <v>0</v>
      </c>
      <c r="P247" s="27" t="n">
        <f aca="false">MIN(D246*(1+D$8),D$9)</f>
        <v>0</v>
      </c>
      <c r="Q247" s="27" t="n">
        <f aca="false">MIN(E246*(1+E$8),E$9)</f>
        <v>0</v>
      </c>
      <c r="R247" s="27" t="n">
        <f aca="false">MIN(F246*(1+F$8),F$9)</f>
        <v>0</v>
      </c>
      <c r="S247" s="27" t="n">
        <f aca="false">MIN(G246*(1+G$8),G$9)</f>
        <v>0</v>
      </c>
      <c r="T247" s="27" t="n">
        <f aca="false">MIN(H246*(1+H$8),H$9)</f>
        <v>0</v>
      </c>
      <c r="U247" s="27" t="n">
        <f aca="false">MIN(I246*(1+I$8),I$9)</f>
        <v>0</v>
      </c>
      <c r="V247" s="27" t="n">
        <f aca="false">MIN(J246*(1+J$8),J$9)</f>
        <v>0</v>
      </c>
      <c r="W247" s="27" t="n">
        <f aca="false">MIN(K246*(1+K$8),K$9)</f>
        <v>0</v>
      </c>
      <c r="X247" s="27" t="n">
        <f aca="false">MIN(B246*(1+B$8),MAX(N247,$B$11-SUM(O247:W247)))</f>
        <v>0</v>
      </c>
      <c r="Y247" s="27" t="n">
        <f aca="false">MIN(C246*(1+C$8),MAX(O247,$B$11-SUM(X247:X247)-SUM(P247:W247)))</f>
        <v>0</v>
      </c>
      <c r="Z247" s="27" t="n">
        <f aca="false">MIN(D246*(1+D$8),MAX(P247,$B$11-SUM(X247:Y247)-SUM(Q247:W247)))</f>
        <v>0</v>
      </c>
      <c r="AA247" s="27" t="n">
        <f aca="false">MIN(E246*(1+E$8),MAX(Q247,$B$11-SUM(X247:Z247)-SUM(R247:W247)))</f>
        <v>0</v>
      </c>
      <c r="AB247" s="27" t="n">
        <f aca="false">MIN(F246*(1+F$8),MAX(R247,$B$11-SUM(X247:AA247)-SUM(S247:W247)))</f>
        <v>0</v>
      </c>
      <c r="AC247" s="27" t="n">
        <f aca="false">MIN(G246*(1+G$8),MAX(S247,$B$11-SUM(X247:AB247)-SUM(T247:W247)))</f>
        <v>0</v>
      </c>
      <c r="AD247" s="27" t="n">
        <f aca="false">MIN(H246*(1+H$8),MAX(T247,$B$11-SUM(X247:AC247)-SUM(U247:W247)))</f>
        <v>0</v>
      </c>
      <c r="AE247" s="27" t="n">
        <f aca="false">MIN(I246*(1+I$8),MAX(U247,$B$11-SUM(X247:AD247)-SUM(V247:W247)))</f>
        <v>0</v>
      </c>
      <c r="AF247" s="27" t="n">
        <f aca="false">MIN(J246*(1+J$8),MAX(V247,$B$11-SUM(X247:AE247)-SUM(W247:W247)))</f>
        <v>0</v>
      </c>
      <c r="AG247" s="27" t="n">
        <f aca="false">MIN(K246*(1+K$8),MAX(W247,$B$11-SUM(X247:AF247)))</f>
        <v>0</v>
      </c>
      <c r="AI247" s="27" t="n">
        <f aca="false">ROUND(MAX(0,AI246*(1+B$8)-BE247),2)</f>
        <v>0</v>
      </c>
      <c r="AJ247" s="27" t="n">
        <f aca="false">ROUND(MAX(0,AJ246*(1+C$8)-BF247),2)</f>
        <v>0</v>
      </c>
      <c r="AK247" s="27" t="n">
        <f aca="false">ROUND(MAX(0,AK246*(1+D$8)-BG247),2)</f>
        <v>0</v>
      </c>
      <c r="AL247" s="27" t="n">
        <f aca="false">ROUND(MAX(0,AL246*(1+E$8)-BH247),2)</f>
        <v>0</v>
      </c>
      <c r="AM247" s="27" t="n">
        <f aca="false">ROUND(MAX(0,AM246*(1+F$8)-BI247),2)</f>
        <v>0</v>
      </c>
      <c r="AN247" s="27" t="n">
        <f aca="false">ROUND(MAX(0,AN246*(1+G$8)-BJ247),2)</f>
        <v>0</v>
      </c>
      <c r="AO247" s="27" t="n">
        <f aca="false">ROUND(MAX(0,AO246*(1+H$8)-BK247),2)</f>
        <v>0</v>
      </c>
      <c r="AP247" s="27" t="n">
        <f aca="false">ROUND(MAX(0,AP246*(1+I$8)-BL247),2)</f>
        <v>0</v>
      </c>
      <c r="AQ247" s="27" t="n">
        <f aca="false">ROUND(MAX(0,AQ246*(1+J$8)-BM247),2)</f>
        <v>0</v>
      </c>
      <c r="AR247" s="27" t="n">
        <f aca="false">ROUND(MAX(0,AR246*(1+K$8)-BN247),2)</f>
        <v>0</v>
      </c>
      <c r="AS247" s="27" t="n">
        <f aca="false">SUM(AI247:AR247)</f>
        <v>0</v>
      </c>
      <c r="AT247" s="27" t="n">
        <f aca="false">SUMPRODUCT(AI246:AR246,$B$8:$K$8)</f>
        <v>0</v>
      </c>
      <c r="AU247" s="27" t="n">
        <f aca="false">MIN(AI246*(1+B$8),B$9)</f>
        <v>0</v>
      </c>
      <c r="AV247" s="27" t="n">
        <f aca="false">MIN(AJ246*(1+C$8),C$9)</f>
        <v>0</v>
      </c>
      <c r="AW247" s="27" t="n">
        <f aca="false">MIN(AK246*(1+D$8),D$9)</f>
        <v>0</v>
      </c>
      <c r="AX247" s="27" t="n">
        <f aca="false">MIN(AL246*(1+E$8),E$9)</f>
        <v>0</v>
      </c>
      <c r="AY247" s="27" t="n">
        <f aca="false">MIN(AM246*(1+F$8),F$9)</f>
        <v>0</v>
      </c>
      <c r="AZ247" s="27" t="n">
        <f aca="false">MIN(AN246*(1+G$8),G$9)</f>
        <v>0</v>
      </c>
      <c r="BA247" s="27" t="n">
        <f aca="false">MIN(AO246*(1+H$8),H$9)</f>
        <v>0</v>
      </c>
      <c r="BB247" s="27" t="n">
        <f aca="false">MIN(AP246*(1+I$8),I$9)</f>
        <v>0</v>
      </c>
      <c r="BC247" s="27" t="n">
        <f aca="false">MIN(AQ246*(1+J$8),J$9)</f>
        <v>0</v>
      </c>
      <c r="BD247" s="27" t="n">
        <f aca="false">MIN(AR246*(1+K$8),K$9)</f>
        <v>0</v>
      </c>
      <c r="BE247" s="27" t="n">
        <f aca="false">MIN(AI246*(1+B$8),MAX(AU247,$B$12-SUM(AV247:BD247)))</f>
        <v>0</v>
      </c>
      <c r="BF247" s="27" t="n">
        <f aca="false">MIN(AJ246*(1+C$8),MAX(AV247,$B$12-SUM(BE247:BE247)-SUM(AW247:BD247)))</f>
        <v>0</v>
      </c>
      <c r="BG247" s="27" t="n">
        <f aca="false">MIN(AK246*(1+D$8),MAX(AW247,$B$12-SUM(BE247:BF247)-SUM(AX247:BD247)))</f>
        <v>0</v>
      </c>
      <c r="BH247" s="27" t="n">
        <f aca="false">MIN(AL246*(1+E$8),MAX(AX247,$B$12-SUM(BE247:BG247)-SUM(AY247:BD247)))</f>
        <v>0</v>
      </c>
      <c r="BI247" s="27" t="n">
        <f aca="false">MIN(AM246*(1+F$8),MAX(AY247,$B$12-SUM(BE247:BH247)-SUM(AZ247:BD247)))</f>
        <v>0</v>
      </c>
      <c r="BJ247" s="27" t="n">
        <f aca="false">MIN(AN246*(1+G$8),MAX(AZ247,$B$12-SUM(BE247:BI247)-SUM(BA247:BD247)))</f>
        <v>0</v>
      </c>
      <c r="BK247" s="27" t="n">
        <f aca="false">MIN(AO246*(1+H$8),MAX(BA247,$B$12-SUM(BE247:BJ247)-SUM(BB247:BD247)))</f>
        <v>0</v>
      </c>
      <c r="BL247" s="27" t="n">
        <f aca="false">MIN(AP246*(1+I$8),MAX(BB247,$B$12-SUM(BE247:BK247)-SUM(BC247:BD247)))</f>
        <v>0</v>
      </c>
      <c r="BM247" s="27" t="n">
        <f aca="false">MIN(AQ246*(1+J$8),MAX(BC247,$B$12-SUM(BE247:BL247)-SUM(BD247:BD247)))</f>
        <v>0</v>
      </c>
      <c r="BN247" s="27" t="n">
        <f aca="false">MIN(AR246*(1+K$8),MAX(BD247,$B$12-SUM(BE247:BM247)))</f>
        <v>0</v>
      </c>
    </row>
    <row r="248" customFormat="false" ht="15" hidden="false" customHeight="false" outlineLevel="0" collapsed="false">
      <c r="A248" s="0" t="n">
        <v>234</v>
      </c>
      <c r="B248" s="27" t="n">
        <f aca="false">ROUND(MAX(0,B247*(1+B$8)-X248),2)</f>
        <v>0</v>
      </c>
      <c r="C248" s="27" t="n">
        <f aca="false">ROUND(MAX(0,C247*(1+C$8)-Y248),2)</f>
        <v>0</v>
      </c>
      <c r="D248" s="27" t="n">
        <f aca="false">ROUND(MAX(0,D247*(1+D$8)-Z248),2)</f>
        <v>0</v>
      </c>
      <c r="E248" s="27" t="n">
        <f aca="false">ROUND(MAX(0,E247*(1+E$8)-AA248),2)</f>
        <v>0</v>
      </c>
      <c r="F248" s="27" t="n">
        <f aca="false">ROUND(MAX(0,F247*(1+F$8)-AB248),2)</f>
        <v>0</v>
      </c>
      <c r="G248" s="27" t="n">
        <f aca="false">ROUND(MAX(0,G247*(1+G$8)-AC248),2)</f>
        <v>0</v>
      </c>
      <c r="H248" s="27" t="n">
        <f aca="false">ROUND(MAX(0,H247*(1+H$8)-AD248),2)</f>
        <v>0</v>
      </c>
      <c r="I248" s="27" t="n">
        <f aca="false">ROUND(MAX(0,I247*(1+I$8)-AE248),2)</f>
        <v>0</v>
      </c>
      <c r="J248" s="27" t="n">
        <f aca="false">ROUND(MAX(0,J247*(1+J$8)-AF248),2)</f>
        <v>0</v>
      </c>
      <c r="K248" s="27" t="n">
        <f aca="false">ROUND(MAX(0,K247*(1+K$8)-AG248),2)</f>
        <v>0</v>
      </c>
      <c r="L248" s="30" t="n">
        <f aca="false">SUM(B248:K248)</f>
        <v>0</v>
      </c>
      <c r="M248" s="27" t="n">
        <f aca="false">SUMPRODUCT(B247:K247,$B$8:$K$8)</f>
        <v>0</v>
      </c>
      <c r="N248" s="27" t="n">
        <f aca="false">MIN(B247*(1+B$8),B$9)</f>
        <v>0</v>
      </c>
      <c r="O248" s="27" t="n">
        <f aca="false">MIN(C247*(1+C$8),C$9)</f>
        <v>0</v>
      </c>
      <c r="P248" s="27" t="n">
        <f aca="false">MIN(D247*(1+D$8),D$9)</f>
        <v>0</v>
      </c>
      <c r="Q248" s="27" t="n">
        <f aca="false">MIN(E247*(1+E$8),E$9)</f>
        <v>0</v>
      </c>
      <c r="R248" s="27" t="n">
        <f aca="false">MIN(F247*(1+F$8),F$9)</f>
        <v>0</v>
      </c>
      <c r="S248" s="27" t="n">
        <f aca="false">MIN(G247*(1+G$8),G$9)</f>
        <v>0</v>
      </c>
      <c r="T248" s="27" t="n">
        <f aca="false">MIN(H247*(1+H$8),H$9)</f>
        <v>0</v>
      </c>
      <c r="U248" s="27" t="n">
        <f aca="false">MIN(I247*(1+I$8),I$9)</f>
        <v>0</v>
      </c>
      <c r="V248" s="27" t="n">
        <f aca="false">MIN(J247*(1+J$8),J$9)</f>
        <v>0</v>
      </c>
      <c r="W248" s="27" t="n">
        <f aca="false">MIN(K247*(1+K$8),K$9)</f>
        <v>0</v>
      </c>
      <c r="X248" s="27" t="n">
        <f aca="false">MIN(B247*(1+B$8),MAX(N248,$B$11-SUM(O248:W248)))</f>
        <v>0</v>
      </c>
      <c r="Y248" s="27" t="n">
        <f aca="false">MIN(C247*(1+C$8),MAX(O248,$B$11-SUM(X248:X248)-SUM(P248:W248)))</f>
        <v>0</v>
      </c>
      <c r="Z248" s="27" t="n">
        <f aca="false">MIN(D247*(1+D$8),MAX(P248,$B$11-SUM(X248:Y248)-SUM(Q248:W248)))</f>
        <v>0</v>
      </c>
      <c r="AA248" s="27" t="n">
        <f aca="false">MIN(E247*(1+E$8),MAX(Q248,$B$11-SUM(X248:Z248)-SUM(R248:W248)))</f>
        <v>0</v>
      </c>
      <c r="AB248" s="27" t="n">
        <f aca="false">MIN(F247*(1+F$8),MAX(R248,$B$11-SUM(X248:AA248)-SUM(S248:W248)))</f>
        <v>0</v>
      </c>
      <c r="AC248" s="27" t="n">
        <f aca="false">MIN(G247*(1+G$8),MAX(S248,$B$11-SUM(X248:AB248)-SUM(T248:W248)))</f>
        <v>0</v>
      </c>
      <c r="AD248" s="27" t="n">
        <f aca="false">MIN(H247*(1+H$8),MAX(T248,$B$11-SUM(X248:AC248)-SUM(U248:W248)))</f>
        <v>0</v>
      </c>
      <c r="AE248" s="27" t="n">
        <f aca="false">MIN(I247*(1+I$8),MAX(U248,$B$11-SUM(X248:AD248)-SUM(V248:W248)))</f>
        <v>0</v>
      </c>
      <c r="AF248" s="27" t="n">
        <f aca="false">MIN(J247*(1+J$8),MAX(V248,$B$11-SUM(X248:AE248)-SUM(W248:W248)))</f>
        <v>0</v>
      </c>
      <c r="AG248" s="27" t="n">
        <f aca="false">MIN(K247*(1+K$8),MAX(W248,$B$11-SUM(X248:AF248)))</f>
        <v>0</v>
      </c>
      <c r="AI248" s="27" t="n">
        <f aca="false">ROUND(MAX(0,AI247*(1+B$8)-BE248),2)</f>
        <v>0</v>
      </c>
      <c r="AJ248" s="27" t="n">
        <f aca="false">ROUND(MAX(0,AJ247*(1+C$8)-BF248),2)</f>
        <v>0</v>
      </c>
      <c r="AK248" s="27" t="n">
        <f aca="false">ROUND(MAX(0,AK247*(1+D$8)-BG248),2)</f>
        <v>0</v>
      </c>
      <c r="AL248" s="27" t="n">
        <f aca="false">ROUND(MAX(0,AL247*(1+E$8)-BH248),2)</f>
        <v>0</v>
      </c>
      <c r="AM248" s="27" t="n">
        <f aca="false">ROUND(MAX(0,AM247*(1+F$8)-BI248),2)</f>
        <v>0</v>
      </c>
      <c r="AN248" s="27" t="n">
        <f aca="false">ROUND(MAX(0,AN247*(1+G$8)-BJ248),2)</f>
        <v>0</v>
      </c>
      <c r="AO248" s="27" t="n">
        <f aca="false">ROUND(MAX(0,AO247*(1+H$8)-BK248),2)</f>
        <v>0</v>
      </c>
      <c r="AP248" s="27" t="n">
        <f aca="false">ROUND(MAX(0,AP247*(1+I$8)-BL248),2)</f>
        <v>0</v>
      </c>
      <c r="AQ248" s="27" t="n">
        <f aca="false">ROUND(MAX(0,AQ247*(1+J$8)-BM248),2)</f>
        <v>0</v>
      </c>
      <c r="AR248" s="27" t="n">
        <f aca="false">ROUND(MAX(0,AR247*(1+K$8)-BN248),2)</f>
        <v>0</v>
      </c>
      <c r="AS248" s="27" t="n">
        <f aca="false">SUM(AI248:AR248)</f>
        <v>0</v>
      </c>
      <c r="AT248" s="27" t="n">
        <f aca="false">SUMPRODUCT(AI247:AR247,$B$8:$K$8)</f>
        <v>0</v>
      </c>
      <c r="AU248" s="27" t="n">
        <f aca="false">MIN(AI247*(1+B$8),B$9)</f>
        <v>0</v>
      </c>
      <c r="AV248" s="27" t="n">
        <f aca="false">MIN(AJ247*(1+C$8),C$9)</f>
        <v>0</v>
      </c>
      <c r="AW248" s="27" t="n">
        <f aca="false">MIN(AK247*(1+D$8),D$9)</f>
        <v>0</v>
      </c>
      <c r="AX248" s="27" t="n">
        <f aca="false">MIN(AL247*(1+E$8),E$9)</f>
        <v>0</v>
      </c>
      <c r="AY248" s="27" t="n">
        <f aca="false">MIN(AM247*(1+F$8),F$9)</f>
        <v>0</v>
      </c>
      <c r="AZ248" s="27" t="n">
        <f aca="false">MIN(AN247*(1+G$8),G$9)</f>
        <v>0</v>
      </c>
      <c r="BA248" s="27" t="n">
        <f aca="false">MIN(AO247*(1+H$8),H$9)</f>
        <v>0</v>
      </c>
      <c r="BB248" s="27" t="n">
        <f aca="false">MIN(AP247*(1+I$8),I$9)</f>
        <v>0</v>
      </c>
      <c r="BC248" s="27" t="n">
        <f aca="false">MIN(AQ247*(1+J$8),J$9)</f>
        <v>0</v>
      </c>
      <c r="BD248" s="27" t="n">
        <f aca="false">MIN(AR247*(1+K$8),K$9)</f>
        <v>0</v>
      </c>
      <c r="BE248" s="27" t="n">
        <f aca="false">MIN(AI247*(1+B$8),MAX(AU248,$B$12-SUM(AV248:BD248)))</f>
        <v>0</v>
      </c>
      <c r="BF248" s="27" t="n">
        <f aca="false">MIN(AJ247*(1+C$8),MAX(AV248,$B$12-SUM(BE248:BE248)-SUM(AW248:BD248)))</f>
        <v>0</v>
      </c>
      <c r="BG248" s="27" t="n">
        <f aca="false">MIN(AK247*(1+D$8),MAX(AW248,$B$12-SUM(BE248:BF248)-SUM(AX248:BD248)))</f>
        <v>0</v>
      </c>
      <c r="BH248" s="27" t="n">
        <f aca="false">MIN(AL247*(1+E$8),MAX(AX248,$B$12-SUM(BE248:BG248)-SUM(AY248:BD248)))</f>
        <v>0</v>
      </c>
      <c r="BI248" s="27" t="n">
        <f aca="false">MIN(AM247*(1+F$8),MAX(AY248,$B$12-SUM(BE248:BH248)-SUM(AZ248:BD248)))</f>
        <v>0</v>
      </c>
      <c r="BJ248" s="27" t="n">
        <f aca="false">MIN(AN247*(1+G$8),MAX(AZ248,$B$12-SUM(BE248:BI248)-SUM(BA248:BD248)))</f>
        <v>0</v>
      </c>
      <c r="BK248" s="27" t="n">
        <f aca="false">MIN(AO247*(1+H$8),MAX(BA248,$B$12-SUM(BE248:BJ248)-SUM(BB248:BD248)))</f>
        <v>0</v>
      </c>
      <c r="BL248" s="27" t="n">
        <f aca="false">MIN(AP247*(1+I$8),MAX(BB248,$B$12-SUM(BE248:BK248)-SUM(BC248:BD248)))</f>
        <v>0</v>
      </c>
      <c r="BM248" s="27" t="n">
        <f aca="false">MIN(AQ247*(1+J$8),MAX(BC248,$B$12-SUM(BE248:BL248)-SUM(BD248:BD248)))</f>
        <v>0</v>
      </c>
      <c r="BN248" s="27" t="n">
        <f aca="false">MIN(AR247*(1+K$8),MAX(BD248,$B$12-SUM(BE248:BM248)))</f>
        <v>0</v>
      </c>
    </row>
    <row r="249" customFormat="false" ht="15" hidden="false" customHeight="false" outlineLevel="0" collapsed="false">
      <c r="A249" s="0" t="n">
        <v>235</v>
      </c>
      <c r="B249" s="27" t="n">
        <f aca="false">ROUND(MAX(0,B248*(1+B$8)-X249),2)</f>
        <v>0</v>
      </c>
      <c r="C249" s="27" t="n">
        <f aca="false">ROUND(MAX(0,C248*(1+C$8)-Y249),2)</f>
        <v>0</v>
      </c>
      <c r="D249" s="27" t="n">
        <f aca="false">ROUND(MAX(0,D248*(1+D$8)-Z249),2)</f>
        <v>0</v>
      </c>
      <c r="E249" s="27" t="n">
        <f aca="false">ROUND(MAX(0,E248*(1+E$8)-AA249),2)</f>
        <v>0</v>
      </c>
      <c r="F249" s="27" t="n">
        <f aca="false">ROUND(MAX(0,F248*(1+F$8)-AB249),2)</f>
        <v>0</v>
      </c>
      <c r="G249" s="27" t="n">
        <f aca="false">ROUND(MAX(0,G248*(1+G$8)-AC249),2)</f>
        <v>0</v>
      </c>
      <c r="H249" s="27" t="n">
        <f aca="false">ROUND(MAX(0,H248*(1+H$8)-AD249),2)</f>
        <v>0</v>
      </c>
      <c r="I249" s="27" t="n">
        <f aca="false">ROUND(MAX(0,I248*(1+I$8)-AE249),2)</f>
        <v>0</v>
      </c>
      <c r="J249" s="27" t="n">
        <f aca="false">ROUND(MAX(0,J248*(1+J$8)-AF249),2)</f>
        <v>0</v>
      </c>
      <c r="K249" s="27" t="n">
        <f aca="false">ROUND(MAX(0,K248*(1+K$8)-AG249),2)</f>
        <v>0</v>
      </c>
      <c r="L249" s="30" t="n">
        <f aca="false">SUM(B249:K249)</f>
        <v>0</v>
      </c>
      <c r="M249" s="27" t="n">
        <f aca="false">SUMPRODUCT(B248:K248,$B$8:$K$8)</f>
        <v>0</v>
      </c>
      <c r="N249" s="27" t="n">
        <f aca="false">MIN(B248*(1+B$8),B$9)</f>
        <v>0</v>
      </c>
      <c r="O249" s="27" t="n">
        <f aca="false">MIN(C248*(1+C$8),C$9)</f>
        <v>0</v>
      </c>
      <c r="P249" s="27" t="n">
        <f aca="false">MIN(D248*(1+D$8),D$9)</f>
        <v>0</v>
      </c>
      <c r="Q249" s="27" t="n">
        <f aca="false">MIN(E248*(1+E$8),E$9)</f>
        <v>0</v>
      </c>
      <c r="R249" s="27" t="n">
        <f aca="false">MIN(F248*(1+F$8),F$9)</f>
        <v>0</v>
      </c>
      <c r="S249" s="27" t="n">
        <f aca="false">MIN(G248*(1+G$8),G$9)</f>
        <v>0</v>
      </c>
      <c r="T249" s="27" t="n">
        <f aca="false">MIN(H248*(1+H$8),H$9)</f>
        <v>0</v>
      </c>
      <c r="U249" s="27" t="n">
        <f aca="false">MIN(I248*(1+I$8),I$9)</f>
        <v>0</v>
      </c>
      <c r="V249" s="27" t="n">
        <f aca="false">MIN(J248*(1+J$8),J$9)</f>
        <v>0</v>
      </c>
      <c r="W249" s="27" t="n">
        <f aca="false">MIN(K248*(1+K$8),K$9)</f>
        <v>0</v>
      </c>
      <c r="X249" s="27" t="n">
        <f aca="false">MIN(B248*(1+B$8),MAX(N249,$B$11-SUM(O249:W249)))</f>
        <v>0</v>
      </c>
      <c r="Y249" s="27" t="n">
        <f aca="false">MIN(C248*(1+C$8),MAX(O249,$B$11-SUM(X249:X249)-SUM(P249:W249)))</f>
        <v>0</v>
      </c>
      <c r="Z249" s="27" t="n">
        <f aca="false">MIN(D248*(1+D$8),MAX(P249,$B$11-SUM(X249:Y249)-SUM(Q249:W249)))</f>
        <v>0</v>
      </c>
      <c r="AA249" s="27" t="n">
        <f aca="false">MIN(E248*(1+E$8),MAX(Q249,$B$11-SUM(X249:Z249)-SUM(R249:W249)))</f>
        <v>0</v>
      </c>
      <c r="AB249" s="27" t="n">
        <f aca="false">MIN(F248*(1+F$8),MAX(R249,$B$11-SUM(X249:AA249)-SUM(S249:W249)))</f>
        <v>0</v>
      </c>
      <c r="AC249" s="27" t="n">
        <f aca="false">MIN(G248*(1+G$8),MAX(S249,$B$11-SUM(X249:AB249)-SUM(T249:W249)))</f>
        <v>0</v>
      </c>
      <c r="AD249" s="27" t="n">
        <f aca="false">MIN(H248*(1+H$8),MAX(T249,$B$11-SUM(X249:AC249)-SUM(U249:W249)))</f>
        <v>0</v>
      </c>
      <c r="AE249" s="27" t="n">
        <f aca="false">MIN(I248*(1+I$8),MAX(U249,$B$11-SUM(X249:AD249)-SUM(V249:W249)))</f>
        <v>0</v>
      </c>
      <c r="AF249" s="27" t="n">
        <f aca="false">MIN(J248*(1+J$8),MAX(V249,$B$11-SUM(X249:AE249)-SUM(W249:W249)))</f>
        <v>0</v>
      </c>
      <c r="AG249" s="27" t="n">
        <f aca="false">MIN(K248*(1+K$8),MAX(W249,$B$11-SUM(X249:AF249)))</f>
        <v>0</v>
      </c>
      <c r="AI249" s="27" t="n">
        <f aca="false">ROUND(MAX(0,AI248*(1+B$8)-BE249),2)</f>
        <v>0</v>
      </c>
      <c r="AJ249" s="27" t="n">
        <f aca="false">ROUND(MAX(0,AJ248*(1+C$8)-BF249),2)</f>
        <v>0</v>
      </c>
      <c r="AK249" s="27" t="n">
        <f aca="false">ROUND(MAX(0,AK248*(1+D$8)-BG249),2)</f>
        <v>0</v>
      </c>
      <c r="AL249" s="27" t="n">
        <f aca="false">ROUND(MAX(0,AL248*(1+E$8)-BH249),2)</f>
        <v>0</v>
      </c>
      <c r="AM249" s="27" t="n">
        <f aca="false">ROUND(MAX(0,AM248*(1+F$8)-BI249),2)</f>
        <v>0</v>
      </c>
      <c r="AN249" s="27" t="n">
        <f aca="false">ROUND(MAX(0,AN248*(1+G$8)-BJ249),2)</f>
        <v>0</v>
      </c>
      <c r="AO249" s="27" t="n">
        <f aca="false">ROUND(MAX(0,AO248*(1+H$8)-BK249),2)</f>
        <v>0</v>
      </c>
      <c r="AP249" s="27" t="n">
        <f aca="false">ROUND(MAX(0,AP248*(1+I$8)-BL249),2)</f>
        <v>0</v>
      </c>
      <c r="AQ249" s="27" t="n">
        <f aca="false">ROUND(MAX(0,AQ248*(1+J$8)-BM249),2)</f>
        <v>0</v>
      </c>
      <c r="AR249" s="27" t="n">
        <f aca="false">ROUND(MAX(0,AR248*(1+K$8)-BN249),2)</f>
        <v>0</v>
      </c>
      <c r="AS249" s="27" t="n">
        <f aca="false">SUM(AI249:AR249)</f>
        <v>0</v>
      </c>
      <c r="AT249" s="27" t="n">
        <f aca="false">SUMPRODUCT(AI248:AR248,$B$8:$K$8)</f>
        <v>0</v>
      </c>
      <c r="AU249" s="27" t="n">
        <f aca="false">MIN(AI248*(1+B$8),B$9)</f>
        <v>0</v>
      </c>
      <c r="AV249" s="27" t="n">
        <f aca="false">MIN(AJ248*(1+C$8),C$9)</f>
        <v>0</v>
      </c>
      <c r="AW249" s="27" t="n">
        <f aca="false">MIN(AK248*(1+D$8),D$9)</f>
        <v>0</v>
      </c>
      <c r="AX249" s="27" t="n">
        <f aca="false">MIN(AL248*(1+E$8),E$9)</f>
        <v>0</v>
      </c>
      <c r="AY249" s="27" t="n">
        <f aca="false">MIN(AM248*(1+F$8),F$9)</f>
        <v>0</v>
      </c>
      <c r="AZ249" s="27" t="n">
        <f aca="false">MIN(AN248*(1+G$8),G$9)</f>
        <v>0</v>
      </c>
      <c r="BA249" s="27" t="n">
        <f aca="false">MIN(AO248*(1+H$8),H$9)</f>
        <v>0</v>
      </c>
      <c r="BB249" s="27" t="n">
        <f aca="false">MIN(AP248*(1+I$8),I$9)</f>
        <v>0</v>
      </c>
      <c r="BC249" s="27" t="n">
        <f aca="false">MIN(AQ248*(1+J$8),J$9)</f>
        <v>0</v>
      </c>
      <c r="BD249" s="27" t="n">
        <f aca="false">MIN(AR248*(1+K$8),K$9)</f>
        <v>0</v>
      </c>
      <c r="BE249" s="27" t="n">
        <f aca="false">MIN(AI248*(1+B$8),MAX(AU249,$B$12-SUM(AV249:BD249)))</f>
        <v>0</v>
      </c>
      <c r="BF249" s="27" t="n">
        <f aca="false">MIN(AJ248*(1+C$8),MAX(AV249,$B$12-SUM(BE249:BE249)-SUM(AW249:BD249)))</f>
        <v>0</v>
      </c>
      <c r="BG249" s="27" t="n">
        <f aca="false">MIN(AK248*(1+D$8),MAX(AW249,$B$12-SUM(BE249:BF249)-SUM(AX249:BD249)))</f>
        <v>0</v>
      </c>
      <c r="BH249" s="27" t="n">
        <f aca="false">MIN(AL248*(1+E$8),MAX(AX249,$B$12-SUM(BE249:BG249)-SUM(AY249:BD249)))</f>
        <v>0</v>
      </c>
      <c r="BI249" s="27" t="n">
        <f aca="false">MIN(AM248*(1+F$8),MAX(AY249,$B$12-SUM(BE249:BH249)-SUM(AZ249:BD249)))</f>
        <v>0</v>
      </c>
      <c r="BJ249" s="27" t="n">
        <f aca="false">MIN(AN248*(1+G$8),MAX(AZ249,$B$12-SUM(BE249:BI249)-SUM(BA249:BD249)))</f>
        <v>0</v>
      </c>
      <c r="BK249" s="27" t="n">
        <f aca="false">MIN(AO248*(1+H$8),MAX(BA249,$B$12-SUM(BE249:BJ249)-SUM(BB249:BD249)))</f>
        <v>0</v>
      </c>
      <c r="BL249" s="27" t="n">
        <f aca="false">MIN(AP248*(1+I$8),MAX(BB249,$B$12-SUM(BE249:BK249)-SUM(BC249:BD249)))</f>
        <v>0</v>
      </c>
      <c r="BM249" s="27" t="n">
        <f aca="false">MIN(AQ248*(1+J$8),MAX(BC249,$B$12-SUM(BE249:BL249)-SUM(BD249:BD249)))</f>
        <v>0</v>
      </c>
      <c r="BN249" s="27" t="n">
        <f aca="false">MIN(AR248*(1+K$8),MAX(BD249,$B$12-SUM(BE249:BM249)))</f>
        <v>0</v>
      </c>
    </row>
    <row r="250" customFormat="false" ht="15" hidden="false" customHeight="false" outlineLevel="0" collapsed="false">
      <c r="A250" s="0" t="n">
        <v>236</v>
      </c>
      <c r="B250" s="27" t="n">
        <f aca="false">ROUND(MAX(0,B249*(1+B$8)-X250),2)</f>
        <v>0</v>
      </c>
      <c r="C250" s="27" t="n">
        <f aca="false">ROUND(MAX(0,C249*(1+C$8)-Y250),2)</f>
        <v>0</v>
      </c>
      <c r="D250" s="27" t="n">
        <f aca="false">ROUND(MAX(0,D249*(1+D$8)-Z250),2)</f>
        <v>0</v>
      </c>
      <c r="E250" s="27" t="n">
        <f aca="false">ROUND(MAX(0,E249*(1+E$8)-AA250),2)</f>
        <v>0</v>
      </c>
      <c r="F250" s="27" t="n">
        <f aca="false">ROUND(MAX(0,F249*(1+F$8)-AB250),2)</f>
        <v>0</v>
      </c>
      <c r="G250" s="27" t="n">
        <f aca="false">ROUND(MAX(0,G249*(1+G$8)-AC250),2)</f>
        <v>0</v>
      </c>
      <c r="H250" s="27" t="n">
        <f aca="false">ROUND(MAX(0,H249*(1+H$8)-AD250),2)</f>
        <v>0</v>
      </c>
      <c r="I250" s="27" t="n">
        <f aca="false">ROUND(MAX(0,I249*(1+I$8)-AE250),2)</f>
        <v>0</v>
      </c>
      <c r="J250" s="27" t="n">
        <f aca="false">ROUND(MAX(0,J249*(1+J$8)-AF250),2)</f>
        <v>0</v>
      </c>
      <c r="K250" s="27" t="n">
        <f aca="false">ROUND(MAX(0,K249*(1+K$8)-AG250),2)</f>
        <v>0</v>
      </c>
      <c r="L250" s="30" t="n">
        <f aca="false">SUM(B250:K250)</f>
        <v>0</v>
      </c>
      <c r="M250" s="27" t="n">
        <f aca="false">SUMPRODUCT(B249:K249,$B$8:$K$8)</f>
        <v>0</v>
      </c>
      <c r="N250" s="27" t="n">
        <f aca="false">MIN(B249*(1+B$8),B$9)</f>
        <v>0</v>
      </c>
      <c r="O250" s="27" t="n">
        <f aca="false">MIN(C249*(1+C$8),C$9)</f>
        <v>0</v>
      </c>
      <c r="P250" s="27" t="n">
        <f aca="false">MIN(D249*(1+D$8),D$9)</f>
        <v>0</v>
      </c>
      <c r="Q250" s="27" t="n">
        <f aca="false">MIN(E249*(1+E$8),E$9)</f>
        <v>0</v>
      </c>
      <c r="R250" s="27" t="n">
        <f aca="false">MIN(F249*(1+F$8),F$9)</f>
        <v>0</v>
      </c>
      <c r="S250" s="27" t="n">
        <f aca="false">MIN(G249*(1+G$8),G$9)</f>
        <v>0</v>
      </c>
      <c r="T250" s="27" t="n">
        <f aca="false">MIN(H249*(1+H$8),H$9)</f>
        <v>0</v>
      </c>
      <c r="U250" s="27" t="n">
        <f aca="false">MIN(I249*(1+I$8),I$9)</f>
        <v>0</v>
      </c>
      <c r="V250" s="27" t="n">
        <f aca="false">MIN(J249*(1+J$8),J$9)</f>
        <v>0</v>
      </c>
      <c r="W250" s="27" t="n">
        <f aca="false">MIN(K249*(1+K$8),K$9)</f>
        <v>0</v>
      </c>
      <c r="X250" s="27" t="n">
        <f aca="false">MIN(B249*(1+B$8),MAX(N250,$B$11-SUM(O250:W250)))</f>
        <v>0</v>
      </c>
      <c r="Y250" s="27" t="n">
        <f aca="false">MIN(C249*(1+C$8),MAX(O250,$B$11-SUM(X250:X250)-SUM(P250:W250)))</f>
        <v>0</v>
      </c>
      <c r="Z250" s="27" t="n">
        <f aca="false">MIN(D249*(1+D$8),MAX(P250,$B$11-SUM(X250:Y250)-SUM(Q250:W250)))</f>
        <v>0</v>
      </c>
      <c r="AA250" s="27" t="n">
        <f aca="false">MIN(E249*(1+E$8),MAX(Q250,$B$11-SUM(X250:Z250)-SUM(R250:W250)))</f>
        <v>0</v>
      </c>
      <c r="AB250" s="27" t="n">
        <f aca="false">MIN(F249*(1+F$8),MAX(R250,$B$11-SUM(X250:AA250)-SUM(S250:W250)))</f>
        <v>0</v>
      </c>
      <c r="AC250" s="27" t="n">
        <f aca="false">MIN(G249*(1+G$8),MAX(S250,$B$11-SUM(X250:AB250)-SUM(T250:W250)))</f>
        <v>0</v>
      </c>
      <c r="AD250" s="27" t="n">
        <f aca="false">MIN(H249*(1+H$8),MAX(T250,$B$11-SUM(X250:AC250)-SUM(U250:W250)))</f>
        <v>0</v>
      </c>
      <c r="AE250" s="27" t="n">
        <f aca="false">MIN(I249*(1+I$8),MAX(U250,$B$11-SUM(X250:AD250)-SUM(V250:W250)))</f>
        <v>0</v>
      </c>
      <c r="AF250" s="27" t="n">
        <f aca="false">MIN(J249*(1+J$8),MAX(V250,$B$11-SUM(X250:AE250)-SUM(W250:W250)))</f>
        <v>0</v>
      </c>
      <c r="AG250" s="27" t="n">
        <f aca="false">MIN(K249*(1+K$8),MAX(W250,$B$11-SUM(X250:AF250)))</f>
        <v>0</v>
      </c>
      <c r="AI250" s="27" t="n">
        <f aca="false">ROUND(MAX(0,AI249*(1+B$8)-BE250),2)</f>
        <v>0</v>
      </c>
      <c r="AJ250" s="27" t="n">
        <f aca="false">ROUND(MAX(0,AJ249*(1+C$8)-BF250),2)</f>
        <v>0</v>
      </c>
      <c r="AK250" s="27" t="n">
        <f aca="false">ROUND(MAX(0,AK249*(1+D$8)-BG250),2)</f>
        <v>0</v>
      </c>
      <c r="AL250" s="27" t="n">
        <f aca="false">ROUND(MAX(0,AL249*(1+E$8)-BH250),2)</f>
        <v>0</v>
      </c>
      <c r="AM250" s="27" t="n">
        <f aca="false">ROUND(MAX(0,AM249*(1+F$8)-BI250),2)</f>
        <v>0</v>
      </c>
      <c r="AN250" s="27" t="n">
        <f aca="false">ROUND(MAX(0,AN249*(1+G$8)-BJ250),2)</f>
        <v>0</v>
      </c>
      <c r="AO250" s="27" t="n">
        <f aca="false">ROUND(MAX(0,AO249*(1+H$8)-BK250),2)</f>
        <v>0</v>
      </c>
      <c r="AP250" s="27" t="n">
        <f aca="false">ROUND(MAX(0,AP249*(1+I$8)-BL250),2)</f>
        <v>0</v>
      </c>
      <c r="AQ250" s="27" t="n">
        <f aca="false">ROUND(MAX(0,AQ249*(1+J$8)-BM250),2)</f>
        <v>0</v>
      </c>
      <c r="AR250" s="27" t="n">
        <f aca="false">ROUND(MAX(0,AR249*(1+K$8)-BN250),2)</f>
        <v>0</v>
      </c>
      <c r="AS250" s="27" t="n">
        <f aca="false">SUM(AI250:AR250)</f>
        <v>0</v>
      </c>
      <c r="AT250" s="27" t="n">
        <f aca="false">SUMPRODUCT(AI249:AR249,$B$8:$K$8)</f>
        <v>0</v>
      </c>
      <c r="AU250" s="27" t="n">
        <f aca="false">MIN(AI249*(1+B$8),B$9)</f>
        <v>0</v>
      </c>
      <c r="AV250" s="27" t="n">
        <f aca="false">MIN(AJ249*(1+C$8),C$9)</f>
        <v>0</v>
      </c>
      <c r="AW250" s="27" t="n">
        <f aca="false">MIN(AK249*(1+D$8),D$9)</f>
        <v>0</v>
      </c>
      <c r="AX250" s="27" t="n">
        <f aca="false">MIN(AL249*(1+E$8),E$9)</f>
        <v>0</v>
      </c>
      <c r="AY250" s="27" t="n">
        <f aca="false">MIN(AM249*(1+F$8),F$9)</f>
        <v>0</v>
      </c>
      <c r="AZ250" s="27" t="n">
        <f aca="false">MIN(AN249*(1+G$8),G$9)</f>
        <v>0</v>
      </c>
      <c r="BA250" s="27" t="n">
        <f aca="false">MIN(AO249*(1+H$8),H$9)</f>
        <v>0</v>
      </c>
      <c r="BB250" s="27" t="n">
        <f aca="false">MIN(AP249*(1+I$8),I$9)</f>
        <v>0</v>
      </c>
      <c r="BC250" s="27" t="n">
        <f aca="false">MIN(AQ249*(1+J$8),J$9)</f>
        <v>0</v>
      </c>
      <c r="BD250" s="27" t="n">
        <f aca="false">MIN(AR249*(1+K$8),K$9)</f>
        <v>0</v>
      </c>
      <c r="BE250" s="27" t="n">
        <f aca="false">MIN(AI249*(1+B$8),MAX(AU250,$B$12-SUM(AV250:BD250)))</f>
        <v>0</v>
      </c>
      <c r="BF250" s="27" t="n">
        <f aca="false">MIN(AJ249*(1+C$8),MAX(AV250,$B$12-SUM(BE250:BE250)-SUM(AW250:BD250)))</f>
        <v>0</v>
      </c>
      <c r="BG250" s="27" t="n">
        <f aca="false">MIN(AK249*(1+D$8),MAX(AW250,$B$12-SUM(BE250:BF250)-SUM(AX250:BD250)))</f>
        <v>0</v>
      </c>
      <c r="BH250" s="27" t="n">
        <f aca="false">MIN(AL249*(1+E$8),MAX(AX250,$B$12-SUM(BE250:BG250)-SUM(AY250:BD250)))</f>
        <v>0</v>
      </c>
      <c r="BI250" s="27" t="n">
        <f aca="false">MIN(AM249*(1+F$8),MAX(AY250,$B$12-SUM(BE250:BH250)-SUM(AZ250:BD250)))</f>
        <v>0</v>
      </c>
      <c r="BJ250" s="27" t="n">
        <f aca="false">MIN(AN249*(1+G$8),MAX(AZ250,$B$12-SUM(BE250:BI250)-SUM(BA250:BD250)))</f>
        <v>0</v>
      </c>
      <c r="BK250" s="27" t="n">
        <f aca="false">MIN(AO249*(1+H$8),MAX(BA250,$B$12-SUM(BE250:BJ250)-SUM(BB250:BD250)))</f>
        <v>0</v>
      </c>
      <c r="BL250" s="27" t="n">
        <f aca="false">MIN(AP249*(1+I$8),MAX(BB250,$B$12-SUM(BE250:BK250)-SUM(BC250:BD250)))</f>
        <v>0</v>
      </c>
      <c r="BM250" s="27" t="n">
        <f aca="false">MIN(AQ249*(1+J$8),MAX(BC250,$B$12-SUM(BE250:BL250)-SUM(BD250:BD250)))</f>
        <v>0</v>
      </c>
      <c r="BN250" s="27" t="n">
        <f aca="false">MIN(AR249*(1+K$8),MAX(BD250,$B$12-SUM(BE250:BM250)))</f>
        <v>0</v>
      </c>
    </row>
    <row r="251" customFormat="false" ht="15" hidden="false" customHeight="false" outlineLevel="0" collapsed="false">
      <c r="A251" s="0" t="n">
        <v>237</v>
      </c>
      <c r="B251" s="27" t="n">
        <f aca="false">ROUND(MAX(0,B250*(1+B$8)-X251),2)</f>
        <v>0</v>
      </c>
      <c r="C251" s="27" t="n">
        <f aca="false">ROUND(MAX(0,C250*(1+C$8)-Y251),2)</f>
        <v>0</v>
      </c>
      <c r="D251" s="27" t="n">
        <f aca="false">ROUND(MAX(0,D250*(1+D$8)-Z251),2)</f>
        <v>0</v>
      </c>
      <c r="E251" s="27" t="n">
        <f aca="false">ROUND(MAX(0,E250*(1+E$8)-AA251),2)</f>
        <v>0</v>
      </c>
      <c r="F251" s="27" t="n">
        <f aca="false">ROUND(MAX(0,F250*(1+F$8)-AB251),2)</f>
        <v>0</v>
      </c>
      <c r="G251" s="27" t="n">
        <f aca="false">ROUND(MAX(0,G250*(1+G$8)-AC251),2)</f>
        <v>0</v>
      </c>
      <c r="H251" s="27" t="n">
        <f aca="false">ROUND(MAX(0,H250*(1+H$8)-AD251),2)</f>
        <v>0</v>
      </c>
      <c r="I251" s="27" t="n">
        <f aca="false">ROUND(MAX(0,I250*(1+I$8)-AE251),2)</f>
        <v>0</v>
      </c>
      <c r="J251" s="27" t="n">
        <f aca="false">ROUND(MAX(0,J250*(1+J$8)-AF251),2)</f>
        <v>0</v>
      </c>
      <c r="K251" s="27" t="n">
        <f aca="false">ROUND(MAX(0,K250*(1+K$8)-AG251),2)</f>
        <v>0</v>
      </c>
      <c r="L251" s="30" t="n">
        <f aca="false">SUM(B251:K251)</f>
        <v>0</v>
      </c>
      <c r="M251" s="27" t="n">
        <f aca="false">SUMPRODUCT(B250:K250,$B$8:$K$8)</f>
        <v>0</v>
      </c>
      <c r="N251" s="27" t="n">
        <f aca="false">MIN(B250*(1+B$8),B$9)</f>
        <v>0</v>
      </c>
      <c r="O251" s="27" t="n">
        <f aca="false">MIN(C250*(1+C$8),C$9)</f>
        <v>0</v>
      </c>
      <c r="P251" s="27" t="n">
        <f aca="false">MIN(D250*(1+D$8),D$9)</f>
        <v>0</v>
      </c>
      <c r="Q251" s="27" t="n">
        <f aca="false">MIN(E250*(1+E$8),E$9)</f>
        <v>0</v>
      </c>
      <c r="R251" s="27" t="n">
        <f aca="false">MIN(F250*(1+F$8),F$9)</f>
        <v>0</v>
      </c>
      <c r="S251" s="27" t="n">
        <f aca="false">MIN(G250*(1+G$8),G$9)</f>
        <v>0</v>
      </c>
      <c r="T251" s="27" t="n">
        <f aca="false">MIN(H250*(1+H$8),H$9)</f>
        <v>0</v>
      </c>
      <c r="U251" s="27" t="n">
        <f aca="false">MIN(I250*(1+I$8),I$9)</f>
        <v>0</v>
      </c>
      <c r="V251" s="27" t="n">
        <f aca="false">MIN(J250*(1+J$8),J$9)</f>
        <v>0</v>
      </c>
      <c r="W251" s="27" t="n">
        <f aca="false">MIN(K250*(1+K$8),K$9)</f>
        <v>0</v>
      </c>
      <c r="X251" s="27" t="n">
        <f aca="false">MIN(B250*(1+B$8),MAX(N251,$B$11-SUM(O251:W251)))</f>
        <v>0</v>
      </c>
      <c r="Y251" s="27" t="n">
        <f aca="false">MIN(C250*(1+C$8),MAX(O251,$B$11-SUM(X251:X251)-SUM(P251:W251)))</f>
        <v>0</v>
      </c>
      <c r="Z251" s="27" t="n">
        <f aca="false">MIN(D250*(1+D$8),MAX(P251,$B$11-SUM(X251:Y251)-SUM(Q251:W251)))</f>
        <v>0</v>
      </c>
      <c r="AA251" s="27" t="n">
        <f aca="false">MIN(E250*(1+E$8),MAX(Q251,$B$11-SUM(X251:Z251)-SUM(R251:W251)))</f>
        <v>0</v>
      </c>
      <c r="AB251" s="27" t="n">
        <f aca="false">MIN(F250*(1+F$8),MAX(R251,$B$11-SUM(X251:AA251)-SUM(S251:W251)))</f>
        <v>0</v>
      </c>
      <c r="AC251" s="27" t="n">
        <f aca="false">MIN(G250*(1+G$8),MAX(S251,$B$11-SUM(X251:AB251)-SUM(T251:W251)))</f>
        <v>0</v>
      </c>
      <c r="AD251" s="27" t="n">
        <f aca="false">MIN(H250*(1+H$8),MAX(T251,$B$11-SUM(X251:AC251)-SUM(U251:W251)))</f>
        <v>0</v>
      </c>
      <c r="AE251" s="27" t="n">
        <f aca="false">MIN(I250*(1+I$8),MAX(U251,$B$11-SUM(X251:AD251)-SUM(V251:W251)))</f>
        <v>0</v>
      </c>
      <c r="AF251" s="27" t="n">
        <f aca="false">MIN(J250*(1+J$8),MAX(V251,$B$11-SUM(X251:AE251)-SUM(W251:W251)))</f>
        <v>0</v>
      </c>
      <c r="AG251" s="27" t="n">
        <f aca="false">MIN(K250*(1+K$8),MAX(W251,$B$11-SUM(X251:AF251)))</f>
        <v>0</v>
      </c>
      <c r="AI251" s="27" t="n">
        <f aca="false">ROUND(MAX(0,AI250*(1+B$8)-BE251),2)</f>
        <v>0</v>
      </c>
      <c r="AJ251" s="27" t="n">
        <f aca="false">ROUND(MAX(0,AJ250*(1+C$8)-BF251),2)</f>
        <v>0</v>
      </c>
      <c r="AK251" s="27" t="n">
        <f aca="false">ROUND(MAX(0,AK250*(1+D$8)-BG251),2)</f>
        <v>0</v>
      </c>
      <c r="AL251" s="27" t="n">
        <f aca="false">ROUND(MAX(0,AL250*(1+E$8)-BH251),2)</f>
        <v>0</v>
      </c>
      <c r="AM251" s="27" t="n">
        <f aca="false">ROUND(MAX(0,AM250*(1+F$8)-BI251),2)</f>
        <v>0</v>
      </c>
      <c r="AN251" s="27" t="n">
        <f aca="false">ROUND(MAX(0,AN250*(1+G$8)-BJ251),2)</f>
        <v>0</v>
      </c>
      <c r="AO251" s="27" t="n">
        <f aca="false">ROUND(MAX(0,AO250*(1+H$8)-BK251),2)</f>
        <v>0</v>
      </c>
      <c r="AP251" s="27" t="n">
        <f aca="false">ROUND(MAX(0,AP250*(1+I$8)-BL251),2)</f>
        <v>0</v>
      </c>
      <c r="AQ251" s="27" t="n">
        <f aca="false">ROUND(MAX(0,AQ250*(1+J$8)-BM251),2)</f>
        <v>0</v>
      </c>
      <c r="AR251" s="27" t="n">
        <f aca="false">ROUND(MAX(0,AR250*(1+K$8)-BN251),2)</f>
        <v>0</v>
      </c>
      <c r="AS251" s="27" t="n">
        <f aca="false">SUM(AI251:AR251)</f>
        <v>0</v>
      </c>
      <c r="AT251" s="27" t="n">
        <f aca="false">SUMPRODUCT(AI250:AR250,$B$8:$K$8)</f>
        <v>0</v>
      </c>
      <c r="AU251" s="27" t="n">
        <f aca="false">MIN(AI250*(1+B$8),B$9)</f>
        <v>0</v>
      </c>
      <c r="AV251" s="27" t="n">
        <f aca="false">MIN(AJ250*(1+C$8),C$9)</f>
        <v>0</v>
      </c>
      <c r="AW251" s="27" t="n">
        <f aca="false">MIN(AK250*(1+D$8),D$9)</f>
        <v>0</v>
      </c>
      <c r="AX251" s="27" t="n">
        <f aca="false">MIN(AL250*(1+E$8),E$9)</f>
        <v>0</v>
      </c>
      <c r="AY251" s="27" t="n">
        <f aca="false">MIN(AM250*(1+F$8),F$9)</f>
        <v>0</v>
      </c>
      <c r="AZ251" s="27" t="n">
        <f aca="false">MIN(AN250*(1+G$8),G$9)</f>
        <v>0</v>
      </c>
      <c r="BA251" s="27" t="n">
        <f aca="false">MIN(AO250*(1+H$8),H$9)</f>
        <v>0</v>
      </c>
      <c r="BB251" s="27" t="n">
        <f aca="false">MIN(AP250*(1+I$8),I$9)</f>
        <v>0</v>
      </c>
      <c r="BC251" s="27" t="n">
        <f aca="false">MIN(AQ250*(1+J$8),J$9)</f>
        <v>0</v>
      </c>
      <c r="BD251" s="27" t="n">
        <f aca="false">MIN(AR250*(1+K$8),K$9)</f>
        <v>0</v>
      </c>
      <c r="BE251" s="27" t="n">
        <f aca="false">MIN(AI250*(1+B$8),MAX(AU251,$B$12-SUM(AV251:BD251)))</f>
        <v>0</v>
      </c>
      <c r="BF251" s="27" t="n">
        <f aca="false">MIN(AJ250*(1+C$8),MAX(AV251,$B$12-SUM(BE251:BE251)-SUM(AW251:BD251)))</f>
        <v>0</v>
      </c>
      <c r="BG251" s="27" t="n">
        <f aca="false">MIN(AK250*(1+D$8),MAX(AW251,$B$12-SUM(BE251:BF251)-SUM(AX251:BD251)))</f>
        <v>0</v>
      </c>
      <c r="BH251" s="27" t="n">
        <f aca="false">MIN(AL250*(1+E$8),MAX(AX251,$B$12-SUM(BE251:BG251)-SUM(AY251:BD251)))</f>
        <v>0</v>
      </c>
      <c r="BI251" s="27" t="n">
        <f aca="false">MIN(AM250*(1+F$8),MAX(AY251,$B$12-SUM(BE251:BH251)-SUM(AZ251:BD251)))</f>
        <v>0</v>
      </c>
      <c r="BJ251" s="27" t="n">
        <f aca="false">MIN(AN250*(1+G$8),MAX(AZ251,$B$12-SUM(BE251:BI251)-SUM(BA251:BD251)))</f>
        <v>0</v>
      </c>
      <c r="BK251" s="27" t="n">
        <f aca="false">MIN(AO250*(1+H$8),MAX(BA251,$B$12-SUM(BE251:BJ251)-SUM(BB251:BD251)))</f>
        <v>0</v>
      </c>
      <c r="BL251" s="27" t="n">
        <f aca="false">MIN(AP250*(1+I$8),MAX(BB251,$B$12-SUM(BE251:BK251)-SUM(BC251:BD251)))</f>
        <v>0</v>
      </c>
      <c r="BM251" s="27" t="n">
        <f aca="false">MIN(AQ250*(1+J$8),MAX(BC251,$B$12-SUM(BE251:BL251)-SUM(BD251:BD251)))</f>
        <v>0</v>
      </c>
      <c r="BN251" s="27" t="n">
        <f aca="false">MIN(AR250*(1+K$8),MAX(BD251,$B$12-SUM(BE251:BM251)))</f>
        <v>0</v>
      </c>
    </row>
    <row r="252" customFormat="false" ht="15" hidden="false" customHeight="false" outlineLevel="0" collapsed="false">
      <c r="A252" s="0" t="n">
        <v>238</v>
      </c>
      <c r="B252" s="27" t="n">
        <f aca="false">ROUND(MAX(0,B251*(1+B$8)-X252),2)</f>
        <v>0</v>
      </c>
      <c r="C252" s="27" t="n">
        <f aca="false">ROUND(MAX(0,C251*(1+C$8)-Y252),2)</f>
        <v>0</v>
      </c>
      <c r="D252" s="27" t="n">
        <f aca="false">ROUND(MAX(0,D251*(1+D$8)-Z252),2)</f>
        <v>0</v>
      </c>
      <c r="E252" s="27" t="n">
        <f aca="false">ROUND(MAX(0,E251*(1+E$8)-AA252),2)</f>
        <v>0</v>
      </c>
      <c r="F252" s="27" t="n">
        <f aca="false">ROUND(MAX(0,F251*(1+F$8)-AB252),2)</f>
        <v>0</v>
      </c>
      <c r="G252" s="27" t="n">
        <f aca="false">ROUND(MAX(0,G251*(1+G$8)-AC252),2)</f>
        <v>0</v>
      </c>
      <c r="H252" s="27" t="n">
        <f aca="false">ROUND(MAX(0,H251*(1+H$8)-AD252),2)</f>
        <v>0</v>
      </c>
      <c r="I252" s="27" t="n">
        <f aca="false">ROUND(MAX(0,I251*(1+I$8)-AE252),2)</f>
        <v>0</v>
      </c>
      <c r="J252" s="27" t="n">
        <f aca="false">ROUND(MAX(0,J251*(1+J$8)-AF252),2)</f>
        <v>0</v>
      </c>
      <c r="K252" s="27" t="n">
        <f aca="false">ROUND(MAX(0,K251*(1+K$8)-AG252),2)</f>
        <v>0</v>
      </c>
      <c r="L252" s="30" t="n">
        <f aca="false">SUM(B252:K252)</f>
        <v>0</v>
      </c>
      <c r="M252" s="27" t="n">
        <f aca="false">SUMPRODUCT(B251:K251,$B$8:$K$8)</f>
        <v>0</v>
      </c>
      <c r="N252" s="27" t="n">
        <f aca="false">MIN(B251*(1+B$8),B$9)</f>
        <v>0</v>
      </c>
      <c r="O252" s="27" t="n">
        <f aca="false">MIN(C251*(1+C$8),C$9)</f>
        <v>0</v>
      </c>
      <c r="P252" s="27" t="n">
        <f aca="false">MIN(D251*(1+D$8),D$9)</f>
        <v>0</v>
      </c>
      <c r="Q252" s="27" t="n">
        <f aca="false">MIN(E251*(1+E$8),E$9)</f>
        <v>0</v>
      </c>
      <c r="R252" s="27" t="n">
        <f aca="false">MIN(F251*(1+F$8),F$9)</f>
        <v>0</v>
      </c>
      <c r="S252" s="27" t="n">
        <f aca="false">MIN(G251*(1+G$8),G$9)</f>
        <v>0</v>
      </c>
      <c r="T252" s="27" t="n">
        <f aca="false">MIN(H251*(1+H$8),H$9)</f>
        <v>0</v>
      </c>
      <c r="U252" s="27" t="n">
        <f aca="false">MIN(I251*(1+I$8),I$9)</f>
        <v>0</v>
      </c>
      <c r="V252" s="27" t="n">
        <f aca="false">MIN(J251*(1+J$8),J$9)</f>
        <v>0</v>
      </c>
      <c r="W252" s="27" t="n">
        <f aca="false">MIN(K251*(1+K$8),K$9)</f>
        <v>0</v>
      </c>
      <c r="X252" s="27" t="n">
        <f aca="false">MIN(B251*(1+B$8),MAX(N252,$B$11-SUM(O252:W252)))</f>
        <v>0</v>
      </c>
      <c r="Y252" s="27" t="n">
        <f aca="false">MIN(C251*(1+C$8),MAX(O252,$B$11-SUM(X252:X252)-SUM(P252:W252)))</f>
        <v>0</v>
      </c>
      <c r="Z252" s="27" t="n">
        <f aca="false">MIN(D251*(1+D$8),MAX(P252,$B$11-SUM(X252:Y252)-SUM(Q252:W252)))</f>
        <v>0</v>
      </c>
      <c r="AA252" s="27" t="n">
        <f aca="false">MIN(E251*(1+E$8),MAX(Q252,$B$11-SUM(X252:Z252)-SUM(R252:W252)))</f>
        <v>0</v>
      </c>
      <c r="AB252" s="27" t="n">
        <f aca="false">MIN(F251*(1+F$8),MAX(R252,$B$11-SUM(X252:AA252)-SUM(S252:W252)))</f>
        <v>0</v>
      </c>
      <c r="AC252" s="27" t="n">
        <f aca="false">MIN(G251*(1+G$8),MAX(S252,$B$11-SUM(X252:AB252)-SUM(T252:W252)))</f>
        <v>0</v>
      </c>
      <c r="AD252" s="27" t="n">
        <f aca="false">MIN(H251*(1+H$8),MAX(T252,$B$11-SUM(X252:AC252)-SUM(U252:W252)))</f>
        <v>0</v>
      </c>
      <c r="AE252" s="27" t="n">
        <f aca="false">MIN(I251*(1+I$8),MAX(U252,$B$11-SUM(X252:AD252)-SUM(V252:W252)))</f>
        <v>0</v>
      </c>
      <c r="AF252" s="27" t="n">
        <f aca="false">MIN(J251*(1+J$8),MAX(V252,$B$11-SUM(X252:AE252)-SUM(W252:W252)))</f>
        <v>0</v>
      </c>
      <c r="AG252" s="27" t="n">
        <f aca="false">MIN(K251*(1+K$8),MAX(W252,$B$11-SUM(X252:AF252)))</f>
        <v>0</v>
      </c>
      <c r="AI252" s="27" t="n">
        <f aca="false">ROUND(MAX(0,AI251*(1+B$8)-BE252),2)</f>
        <v>0</v>
      </c>
      <c r="AJ252" s="27" t="n">
        <f aca="false">ROUND(MAX(0,AJ251*(1+C$8)-BF252),2)</f>
        <v>0</v>
      </c>
      <c r="AK252" s="27" t="n">
        <f aca="false">ROUND(MAX(0,AK251*(1+D$8)-BG252),2)</f>
        <v>0</v>
      </c>
      <c r="AL252" s="27" t="n">
        <f aca="false">ROUND(MAX(0,AL251*(1+E$8)-BH252),2)</f>
        <v>0</v>
      </c>
      <c r="AM252" s="27" t="n">
        <f aca="false">ROUND(MAX(0,AM251*(1+F$8)-BI252),2)</f>
        <v>0</v>
      </c>
      <c r="AN252" s="27" t="n">
        <f aca="false">ROUND(MAX(0,AN251*(1+G$8)-BJ252),2)</f>
        <v>0</v>
      </c>
      <c r="AO252" s="27" t="n">
        <f aca="false">ROUND(MAX(0,AO251*(1+H$8)-BK252),2)</f>
        <v>0</v>
      </c>
      <c r="AP252" s="27" t="n">
        <f aca="false">ROUND(MAX(0,AP251*(1+I$8)-BL252),2)</f>
        <v>0</v>
      </c>
      <c r="AQ252" s="27" t="n">
        <f aca="false">ROUND(MAX(0,AQ251*(1+J$8)-BM252),2)</f>
        <v>0</v>
      </c>
      <c r="AR252" s="27" t="n">
        <f aca="false">ROUND(MAX(0,AR251*(1+K$8)-BN252),2)</f>
        <v>0</v>
      </c>
      <c r="AS252" s="27" t="n">
        <f aca="false">SUM(AI252:AR252)</f>
        <v>0</v>
      </c>
      <c r="AT252" s="27" t="n">
        <f aca="false">SUMPRODUCT(AI251:AR251,$B$8:$K$8)</f>
        <v>0</v>
      </c>
      <c r="AU252" s="27" t="n">
        <f aca="false">MIN(AI251*(1+B$8),B$9)</f>
        <v>0</v>
      </c>
      <c r="AV252" s="27" t="n">
        <f aca="false">MIN(AJ251*(1+C$8),C$9)</f>
        <v>0</v>
      </c>
      <c r="AW252" s="27" t="n">
        <f aca="false">MIN(AK251*(1+D$8),D$9)</f>
        <v>0</v>
      </c>
      <c r="AX252" s="27" t="n">
        <f aca="false">MIN(AL251*(1+E$8),E$9)</f>
        <v>0</v>
      </c>
      <c r="AY252" s="27" t="n">
        <f aca="false">MIN(AM251*(1+F$8),F$9)</f>
        <v>0</v>
      </c>
      <c r="AZ252" s="27" t="n">
        <f aca="false">MIN(AN251*(1+G$8),G$9)</f>
        <v>0</v>
      </c>
      <c r="BA252" s="27" t="n">
        <f aca="false">MIN(AO251*(1+H$8),H$9)</f>
        <v>0</v>
      </c>
      <c r="BB252" s="27" t="n">
        <f aca="false">MIN(AP251*(1+I$8),I$9)</f>
        <v>0</v>
      </c>
      <c r="BC252" s="27" t="n">
        <f aca="false">MIN(AQ251*(1+J$8),J$9)</f>
        <v>0</v>
      </c>
      <c r="BD252" s="27" t="n">
        <f aca="false">MIN(AR251*(1+K$8),K$9)</f>
        <v>0</v>
      </c>
      <c r="BE252" s="27" t="n">
        <f aca="false">MIN(AI251*(1+B$8),MAX(AU252,$B$12-SUM(AV252:BD252)))</f>
        <v>0</v>
      </c>
      <c r="BF252" s="27" t="n">
        <f aca="false">MIN(AJ251*(1+C$8),MAX(AV252,$B$12-SUM(BE252:BE252)-SUM(AW252:BD252)))</f>
        <v>0</v>
      </c>
      <c r="BG252" s="27" t="n">
        <f aca="false">MIN(AK251*(1+D$8),MAX(AW252,$B$12-SUM(BE252:BF252)-SUM(AX252:BD252)))</f>
        <v>0</v>
      </c>
      <c r="BH252" s="27" t="n">
        <f aca="false">MIN(AL251*(1+E$8),MAX(AX252,$B$12-SUM(BE252:BG252)-SUM(AY252:BD252)))</f>
        <v>0</v>
      </c>
      <c r="BI252" s="27" t="n">
        <f aca="false">MIN(AM251*(1+F$8),MAX(AY252,$B$12-SUM(BE252:BH252)-SUM(AZ252:BD252)))</f>
        <v>0</v>
      </c>
      <c r="BJ252" s="27" t="n">
        <f aca="false">MIN(AN251*(1+G$8),MAX(AZ252,$B$12-SUM(BE252:BI252)-SUM(BA252:BD252)))</f>
        <v>0</v>
      </c>
      <c r="BK252" s="27" t="n">
        <f aca="false">MIN(AO251*(1+H$8),MAX(BA252,$B$12-SUM(BE252:BJ252)-SUM(BB252:BD252)))</f>
        <v>0</v>
      </c>
      <c r="BL252" s="27" t="n">
        <f aca="false">MIN(AP251*(1+I$8),MAX(BB252,$B$12-SUM(BE252:BK252)-SUM(BC252:BD252)))</f>
        <v>0</v>
      </c>
      <c r="BM252" s="27" t="n">
        <f aca="false">MIN(AQ251*(1+J$8),MAX(BC252,$B$12-SUM(BE252:BL252)-SUM(BD252:BD252)))</f>
        <v>0</v>
      </c>
      <c r="BN252" s="27" t="n">
        <f aca="false">MIN(AR251*(1+K$8),MAX(BD252,$B$12-SUM(BE252:BM252)))</f>
        <v>0</v>
      </c>
    </row>
    <row r="253" customFormat="false" ht="15" hidden="false" customHeight="false" outlineLevel="0" collapsed="false">
      <c r="A253" s="0" t="n">
        <v>239</v>
      </c>
      <c r="B253" s="27" t="n">
        <f aca="false">ROUND(MAX(0,B252*(1+B$8)-X253),2)</f>
        <v>0</v>
      </c>
      <c r="C253" s="27" t="n">
        <f aca="false">ROUND(MAX(0,C252*(1+C$8)-Y253),2)</f>
        <v>0</v>
      </c>
      <c r="D253" s="27" t="n">
        <f aca="false">ROUND(MAX(0,D252*(1+D$8)-Z253),2)</f>
        <v>0</v>
      </c>
      <c r="E253" s="27" t="n">
        <f aca="false">ROUND(MAX(0,E252*(1+E$8)-AA253),2)</f>
        <v>0</v>
      </c>
      <c r="F253" s="27" t="n">
        <f aca="false">ROUND(MAX(0,F252*(1+F$8)-AB253),2)</f>
        <v>0</v>
      </c>
      <c r="G253" s="27" t="n">
        <f aca="false">ROUND(MAX(0,G252*(1+G$8)-AC253),2)</f>
        <v>0</v>
      </c>
      <c r="H253" s="27" t="n">
        <f aca="false">ROUND(MAX(0,H252*(1+H$8)-AD253),2)</f>
        <v>0</v>
      </c>
      <c r="I253" s="27" t="n">
        <f aca="false">ROUND(MAX(0,I252*(1+I$8)-AE253),2)</f>
        <v>0</v>
      </c>
      <c r="J253" s="27" t="n">
        <f aca="false">ROUND(MAX(0,J252*(1+J$8)-AF253),2)</f>
        <v>0</v>
      </c>
      <c r="K253" s="27" t="n">
        <f aca="false">ROUND(MAX(0,K252*(1+K$8)-AG253),2)</f>
        <v>0</v>
      </c>
      <c r="L253" s="30" t="n">
        <f aca="false">SUM(B253:K253)</f>
        <v>0</v>
      </c>
      <c r="M253" s="27" t="n">
        <f aca="false">SUMPRODUCT(B252:K252,$B$8:$K$8)</f>
        <v>0</v>
      </c>
      <c r="N253" s="27" t="n">
        <f aca="false">MIN(B252*(1+B$8),B$9)</f>
        <v>0</v>
      </c>
      <c r="O253" s="27" t="n">
        <f aca="false">MIN(C252*(1+C$8),C$9)</f>
        <v>0</v>
      </c>
      <c r="P253" s="27" t="n">
        <f aca="false">MIN(D252*(1+D$8),D$9)</f>
        <v>0</v>
      </c>
      <c r="Q253" s="27" t="n">
        <f aca="false">MIN(E252*(1+E$8),E$9)</f>
        <v>0</v>
      </c>
      <c r="R253" s="27" t="n">
        <f aca="false">MIN(F252*(1+F$8),F$9)</f>
        <v>0</v>
      </c>
      <c r="S253" s="27" t="n">
        <f aca="false">MIN(G252*(1+G$8),G$9)</f>
        <v>0</v>
      </c>
      <c r="T253" s="27" t="n">
        <f aca="false">MIN(H252*(1+H$8),H$9)</f>
        <v>0</v>
      </c>
      <c r="U253" s="27" t="n">
        <f aca="false">MIN(I252*(1+I$8),I$9)</f>
        <v>0</v>
      </c>
      <c r="V253" s="27" t="n">
        <f aca="false">MIN(J252*(1+J$8),J$9)</f>
        <v>0</v>
      </c>
      <c r="W253" s="27" t="n">
        <f aca="false">MIN(K252*(1+K$8),K$9)</f>
        <v>0</v>
      </c>
      <c r="X253" s="27" t="n">
        <f aca="false">MIN(B252*(1+B$8),MAX(N253,$B$11-SUM(O253:W253)))</f>
        <v>0</v>
      </c>
      <c r="Y253" s="27" t="n">
        <f aca="false">MIN(C252*(1+C$8),MAX(O253,$B$11-SUM(X253:X253)-SUM(P253:W253)))</f>
        <v>0</v>
      </c>
      <c r="Z253" s="27" t="n">
        <f aca="false">MIN(D252*(1+D$8),MAX(P253,$B$11-SUM(X253:Y253)-SUM(Q253:W253)))</f>
        <v>0</v>
      </c>
      <c r="AA253" s="27" t="n">
        <f aca="false">MIN(E252*(1+E$8),MAX(Q253,$B$11-SUM(X253:Z253)-SUM(R253:W253)))</f>
        <v>0</v>
      </c>
      <c r="AB253" s="27" t="n">
        <f aca="false">MIN(F252*(1+F$8),MAX(R253,$B$11-SUM(X253:AA253)-SUM(S253:W253)))</f>
        <v>0</v>
      </c>
      <c r="AC253" s="27" t="n">
        <f aca="false">MIN(G252*(1+G$8),MAX(S253,$B$11-SUM(X253:AB253)-SUM(T253:W253)))</f>
        <v>0</v>
      </c>
      <c r="AD253" s="27" t="n">
        <f aca="false">MIN(H252*(1+H$8),MAX(T253,$B$11-SUM(X253:AC253)-SUM(U253:W253)))</f>
        <v>0</v>
      </c>
      <c r="AE253" s="27" t="n">
        <f aca="false">MIN(I252*(1+I$8),MAX(U253,$B$11-SUM(X253:AD253)-SUM(V253:W253)))</f>
        <v>0</v>
      </c>
      <c r="AF253" s="27" t="n">
        <f aca="false">MIN(J252*(1+J$8),MAX(V253,$B$11-SUM(X253:AE253)-SUM(W253:W253)))</f>
        <v>0</v>
      </c>
      <c r="AG253" s="27" t="n">
        <f aca="false">MIN(K252*(1+K$8),MAX(W253,$B$11-SUM(X253:AF253)))</f>
        <v>0</v>
      </c>
      <c r="AI253" s="27" t="n">
        <f aca="false">ROUND(MAX(0,AI252*(1+B$8)-BE253),2)</f>
        <v>0</v>
      </c>
      <c r="AJ253" s="27" t="n">
        <f aca="false">ROUND(MAX(0,AJ252*(1+C$8)-BF253),2)</f>
        <v>0</v>
      </c>
      <c r="AK253" s="27" t="n">
        <f aca="false">ROUND(MAX(0,AK252*(1+D$8)-BG253),2)</f>
        <v>0</v>
      </c>
      <c r="AL253" s="27" t="n">
        <f aca="false">ROUND(MAX(0,AL252*(1+E$8)-BH253),2)</f>
        <v>0</v>
      </c>
      <c r="AM253" s="27" t="n">
        <f aca="false">ROUND(MAX(0,AM252*(1+F$8)-BI253),2)</f>
        <v>0</v>
      </c>
      <c r="AN253" s="27" t="n">
        <f aca="false">ROUND(MAX(0,AN252*(1+G$8)-BJ253),2)</f>
        <v>0</v>
      </c>
      <c r="AO253" s="27" t="n">
        <f aca="false">ROUND(MAX(0,AO252*(1+H$8)-BK253),2)</f>
        <v>0</v>
      </c>
      <c r="AP253" s="27" t="n">
        <f aca="false">ROUND(MAX(0,AP252*(1+I$8)-BL253),2)</f>
        <v>0</v>
      </c>
      <c r="AQ253" s="27" t="n">
        <f aca="false">ROUND(MAX(0,AQ252*(1+J$8)-BM253),2)</f>
        <v>0</v>
      </c>
      <c r="AR253" s="27" t="n">
        <f aca="false">ROUND(MAX(0,AR252*(1+K$8)-BN253),2)</f>
        <v>0</v>
      </c>
      <c r="AS253" s="27" t="n">
        <f aca="false">SUM(AI253:AR253)</f>
        <v>0</v>
      </c>
      <c r="AT253" s="27" t="n">
        <f aca="false">SUMPRODUCT(AI252:AR252,$B$8:$K$8)</f>
        <v>0</v>
      </c>
      <c r="AU253" s="27" t="n">
        <f aca="false">MIN(AI252*(1+B$8),B$9)</f>
        <v>0</v>
      </c>
      <c r="AV253" s="27" t="n">
        <f aca="false">MIN(AJ252*(1+C$8),C$9)</f>
        <v>0</v>
      </c>
      <c r="AW253" s="27" t="n">
        <f aca="false">MIN(AK252*(1+D$8),D$9)</f>
        <v>0</v>
      </c>
      <c r="AX253" s="27" t="n">
        <f aca="false">MIN(AL252*(1+E$8),E$9)</f>
        <v>0</v>
      </c>
      <c r="AY253" s="27" t="n">
        <f aca="false">MIN(AM252*(1+F$8),F$9)</f>
        <v>0</v>
      </c>
      <c r="AZ253" s="27" t="n">
        <f aca="false">MIN(AN252*(1+G$8),G$9)</f>
        <v>0</v>
      </c>
      <c r="BA253" s="27" t="n">
        <f aca="false">MIN(AO252*(1+H$8),H$9)</f>
        <v>0</v>
      </c>
      <c r="BB253" s="27" t="n">
        <f aca="false">MIN(AP252*(1+I$8),I$9)</f>
        <v>0</v>
      </c>
      <c r="BC253" s="27" t="n">
        <f aca="false">MIN(AQ252*(1+J$8),J$9)</f>
        <v>0</v>
      </c>
      <c r="BD253" s="27" t="n">
        <f aca="false">MIN(AR252*(1+K$8),K$9)</f>
        <v>0</v>
      </c>
      <c r="BE253" s="27" t="n">
        <f aca="false">MIN(AI252*(1+B$8),MAX(AU253,$B$12-SUM(AV253:BD253)))</f>
        <v>0</v>
      </c>
      <c r="BF253" s="27" t="n">
        <f aca="false">MIN(AJ252*(1+C$8),MAX(AV253,$B$12-SUM(BE253:BE253)-SUM(AW253:BD253)))</f>
        <v>0</v>
      </c>
      <c r="BG253" s="27" t="n">
        <f aca="false">MIN(AK252*(1+D$8),MAX(AW253,$B$12-SUM(BE253:BF253)-SUM(AX253:BD253)))</f>
        <v>0</v>
      </c>
      <c r="BH253" s="27" t="n">
        <f aca="false">MIN(AL252*(1+E$8),MAX(AX253,$B$12-SUM(BE253:BG253)-SUM(AY253:BD253)))</f>
        <v>0</v>
      </c>
      <c r="BI253" s="27" t="n">
        <f aca="false">MIN(AM252*(1+F$8),MAX(AY253,$B$12-SUM(BE253:BH253)-SUM(AZ253:BD253)))</f>
        <v>0</v>
      </c>
      <c r="BJ253" s="27" t="n">
        <f aca="false">MIN(AN252*(1+G$8),MAX(AZ253,$B$12-SUM(BE253:BI253)-SUM(BA253:BD253)))</f>
        <v>0</v>
      </c>
      <c r="BK253" s="27" t="n">
        <f aca="false">MIN(AO252*(1+H$8),MAX(BA253,$B$12-SUM(BE253:BJ253)-SUM(BB253:BD253)))</f>
        <v>0</v>
      </c>
      <c r="BL253" s="27" t="n">
        <f aca="false">MIN(AP252*(1+I$8),MAX(BB253,$B$12-SUM(BE253:BK253)-SUM(BC253:BD253)))</f>
        <v>0</v>
      </c>
      <c r="BM253" s="27" t="n">
        <f aca="false">MIN(AQ252*(1+J$8),MAX(BC253,$B$12-SUM(BE253:BL253)-SUM(BD253:BD253)))</f>
        <v>0</v>
      </c>
      <c r="BN253" s="27" t="n">
        <f aca="false">MIN(AR252*(1+K$8),MAX(BD253,$B$12-SUM(BE253:BM253)))</f>
        <v>0</v>
      </c>
    </row>
    <row r="254" customFormat="false" ht="15" hidden="false" customHeight="false" outlineLevel="0" collapsed="false">
      <c r="A254" s="0" t="n">
        <v>240</v>
      </c>
      <c r="B254" s="27" t="n">
        <f aca="false">ROUND(MAX(0,B253*(1+B$8)-X254),2)</f>
        <v>0</v>
      </c>
      <c r="C254" s="27" t="n">
        <f aca="false">ROUND(MAX(0,C253*(1+C$8)-Y254),2)</f>
        <v>0</v>
      </c>
      <c r="D254" s="27" t="n">
        <f aca="false">ROUND(MAX(0,D253*(1+D$8)-Z254),2)</f>
        <v>0</v>
      </c>
      <c r="E254" s="27" t="n">
        <f aca="false">ROUND(MAX(0,E253*(1+E$8)-AA254),2)</f>
        <v>0</v>
      </c>
      <c r="F254" s="27" t="n">
        <f aca="false">ROUND(MAX(0,F253*(1+F$8)-AB254),2)</f>
        <v>0</v>
      </c>
      <c r="G254" s="27" t="n">
        <f aca="false">ROUND(MAX(0,G253*(1+G$8)-AC254),2)</f>
        <v>0</v>
      </c>
      <c r="H254" s="27" t="n">
        <f aca="false">ROUND(MAX(0,H253*(1+H$8)-AD254),2)</f>
        <v>0</v>
      </c>
      <c r="I254" s="27" t="n">
        <f aca="false">ROUND(MAX(0,I253*(1+I$8)-AE254),2)</f>
        <v>0</v>
      </c>
      <c r="J254" s="27" t="n">
        <f aca="false">ROUND(MAX(0,J253*(1+J$8)-AF254),2)</f>
        <v>0</v>
      </c>
      <c r="K254" s="27" t="n">
        <f aca="false">ROUND(MAX(0,K253*(1+K$8)-AG254),2)</f>
        <v>0</v>
      </c>
      <c r="L254" s="30" t="n">
        <f aca="false">SUM(B254:K254)</f>
        <v>0</v>
      </c>
      <c r="M254" s="27" t="n">
        <f aca="false">SUMPRODUCT(B253:K253,$B$8:$K$8)</f>
        <v>0</v>
      </c>
      <c r="N254" s="27" t="n">
        <f aca="false">MIN(B253*(1+B$8),B$9)</f>
        <v>0</v>
      </c>
      <c r="O254" s="27" t="n">
        <f aca="false">MIN(C253*(1+C$8),C$9)</f>
        <v>0</v>
      </c>
      <c r="P254" s="27" t="n">
        <f aca="false">MIN(D253*(1+D$8),D$9)</f>
        <v>0</v>
      </c>
      <c r="Q254" s="27" t="n">
        <f aca="false">MIN(E253*(1+E$8),E$9)</f>
        <v>0</v>
      </c>
      <c r="R254" s="27" t="n">
        <f aca="false">MIN(F253*(1+F$8),F$9)</f>
        <v>0</v>
      </c>
      <c r="S254" s="27" t="n">
        <f aca="false">MIN(G253*(1+G$8),G$9)</f>
        <v>0</v>
      </c>
      <c r="T254" s="27" t="n">
        <f aca="false">MIN(H253*(1+H$8),H$9)</f>
        <v>0</v>
      </c>
      <c r="U254" s="27" t="n">
        <f aca="false">MIN(I253*(1+I$8),I$9)</f>
        <v>0</v>
      </c>
      <c r="V254" s="27" t="n">
        <f aca="false">MIN(J253*(1+J$8),J$9)</f>
        <v>0</v>
      </c>
      <c r="W254" s="27" t="n">
        <f aca="false">MIN(K253*(1+K$8),K$9)</f>
        <v>0</v>
      </c>
      <c r="X254" s="27" t="n">
        <f aca="false">MIN(B253*(1+B$8),MAX(N254,$B$11-SUM(O254:W254)))</f>
        <v>0</v>
      </c>
      <c r="Y254" s="27" t="n">
        <f aca="false">MIN(C253*(1+C$8),MAX(O254,$B$11-SUM(X254:X254)-SUM(P254:W254)))</f>
        <v>0</v>
      </c>
      <c r="Z254" s="27" t="n">
        <f aca="false">MIN(D253*(1+D$8),MAX(P254,$B$11-SUM(X254:Y254)-SUM(Q254:W254)))</f>
        <v>0</v>
      </c>
      <c r="AA254" s="27" t="n">
        <f aca="false">MIN(E253*(1+E$8),MAX(Q254,$B$11-SUM(X254:Z254)-SUM(R254:W254)))</f>
        <v>0</v>
      </c>
      <c r="AB254" s="27" t="n">
        <f aca="false">MIN(F253*(1+F$8),MAX(R254,$B$11-SUM(X254:AA254)-SUM(S254:W254)))</f>
        <v>0</v>
      </c>
      <c r="AC254" s="27" t="n">
        <f aca="false">MIN(G253*(1+G$8),MAX(S254,$B$11-SUM(X254:AB254)-SUM(T254:W254)))</f>
        <v>0</v>
      </c>
      <c r="AD254" s="27" t="n">
        <f aca="false">MIN(H253*(1+H$8),MAX(T254,$B$11-SUM(X254:AC254)-SUM(U254:W254)))</f>
        <v>0</v>
      </c>
      <c r="AE254" s="27" t="n">
        <f aca="false">MIN(I253*(1+I$8),MAX(U254,$B$11-SUM(X254:AD254)-SUM(V254:W254)))</f>
        <v>0</v>
      </c>
      <c r="AF254" s="27" t="n">
        <f aca="false">MIN(J253*(1+J$8),MAX(V254,$B$11-SUM(X254:AE254)-SUM(W254:W254)))</f>
        <v>0</v>
      </c>
      <c r="AG254" s="27" t="n">
        <f aca="false">MIN(K253*(1+K$8),MAX(W254,$B$11-SUM(X254:AF254)))</f>
        <v>0</v>
      </c>
      <c r="AI254" s="27" t="n">
        <f aca="false">ROUND(MAX(0,AI253*(1+B$8)-BE254),2)</f>
        <v>0</v>
      </c>
      <c r="AJ254" s="27" t="n">
        <f aca="false">ROUND(MAX(0,AJ253*(1+C$8)-BF254),2)</f>
        <v>0</v>
      </c>
      <c r="AK254" s="27" t="n">
        <f aca="false">ROUND(MAX(0,AK253*(1+D$8)-BG254),2)</f>
        <v>0</v>
      </c>
      <c r="AL254" s="27" t="n">
        <f aca="false">ROUND(MAX(0,AL253*(1+E$8)-BH254),2)</f>
        <v>0</v>
      </c>
      <c r="AM254" s="27" t="n">
        <f aca="false">ROUND(MAX(0,AM253*(1+F$8)-BI254),2)</f>
        <v>0</v>
      </c>
      <c r="AN254" s="27" t="n">
        <f aca="false">ROUND(MAX(0,AN253*(1+G$8)-BJ254),2)</f>
        <v>0</v>
      </c>
      <c r="AO254" s="27" t="n">
        <f aca="false">ROUND(MAX(0,AO253*(1+H$8)-BK254),2)</f>
        <v>0</v>
      </c>
      <c r="AP254" s="27" t="n">
        <f aca="false">ROUND(MAX(0,AP253*(1+I$8)-BL254),2)</f>
        <v>0</v>
      </c>
      <c r="AQ254" s="27" t="n">
        <f aca="false">ROUND(MAX(0,AQ253*(1+J$8)-BM254),2)</f>
        <v>0</v>
      </c>
      <c r="AR254" s="27" t="n">
        <f aca="false">ROUND(MAX(0,AR253*(1+K$8)-BN254),2)</f>
        <v>0</v>
      </c>
      <c r="AS254" s="27" t="n">
        <f aca="false">SUM(AI254:AR254)</f>
        <v>0</v>
      </c>
      <c r="AT254" s="27" t="n">
        <f aca="false">SUMPRODUCT(AI253:AR253,$B$8:$K$8)</f>
        <v>0</v>
      </c>
      <c r="AU254" s="27" t="n">
        <f aca="false">MIN(AI253*(1+B$8),B$9)</f>
        <v>0</v>
      </c>
      <c r="AV254" s="27" t="n">
        <f aca="false">MIN(AJ253*(1+C$8),C$9)</f>
        <v>0</v>
      </c>
      <c r="AW254" s="27" t="n">
        <f aca="false">MIN(AK253*(1+D$8),D$9)</f>
        <v>0</v>
      </c>
      <c r="AX254" s="27" t="n">
        <f aca="false">MIN(AL253*(1+E$8),E$9)</f>
        <v>0</v>
      </c>
      <c r="AY254" s="27" t="n">
        <f aca="false">MIN(AM253*(1+F$8),F$9)</f>
        <v>0</v>
      </c>
      <c r="AZ254" s="27" t="n">
        <f aca="false">MIN(AN253*(1+G$8),G$9)</f>
        <v>0</v>
      </c>
      <c r="BA254" s="27" t="n">
        <f aca="false">MIN(AO253*(1+H$8),H$9)</f>
        <v>0</v>
      </c>
      <c r="BB254" s="27" t="n">
        <f aca="false">MIN(AP253*(1+I$8),I$9)</f>
        <v>0</v>
      </c>
      <c r="BC254" s="27" t="n">
        <f aca="false">MIN(AQ253*(1+J$8),J$9)</f>
        <v>0</v>
      </c>
      <c r="BD254" s="27" t="n">
        <f aca="false">MIN(AR253*(1+K$8),K$9)</f>
        <v>0</v>
      </c>
      <c r="BE254" s="27" t="n">
        <f aca="false">MIN(AI253*(1+B$8),MAX(AU254,$B$12-SUM(AV254:BD254)))</f>
        <v>0</v>
      </c>
      <c r="BF254" s="27" t="n">
        <f aca="false">MIN(AJ253*(1+C$8),MAX(AV254,$B$12-SUM(BE254:BE254)-SUM(AW254:BD254)))</f>
        <v>0</v>
      </c>
      <c r="BG254" s="27" t="n">
        <f aca="false">MIN(AK253*(1+D$8),MAX(AW254,$B$12-SUM(BE254:BF254)-SUM(AX254:BD254)))</f>
        <v>0</v>
      </c>
      <c r="BH254" s="27" t="n">
        <f aca="false">MIN(AL253*(1+E$8),MAX(AX254,$B$12-SUM(BE254:BG254)-SUM(AY254:BD254)))</f>
        <v>0</v>
      </c>
      <c r="BI254" s="27" t="n">
        <f aca="false">MIN(AM253*(1+F$8),MAX(AY254,$B$12-SUM(BE254:BH254)-SUM(AZ254:BD254)))</f>
        <v>0</v>
      </c>
      <c r="BJ254" s="27" t="n">
        <f aca="false">MIN(AN253*(1+G$8),MAX(AZ254,$B$12-SUM(BE254:BI254)-SUM(BA254:BD254)))</f>
        <v>0</v>
      </c>
      <c r="BK254" s="27" t="n">
        <f aca="false">MIN(AO253*(1+H$8),MAX(BA254,$B$12-SUM(BE254:BJ254)-SUM(BB254:BD254)))</f>
        <v>0</v>
      </c>
      <c r="BL254" s="27" t="n">
        <f aca="false">MIN(AP253*(1+I$8),MAX(BB254,$B$12-SUM(BE254:BK254)-SUM(BC254:BD254)))</f>
        <v>0</v>
      </c>
      <c r="BM254" s="27" t="n">
        <f aca="false">MIN(AQ253*(1+J$8),MAX(BC254,$B$12-SUM(BE254:BL254)-SUM(BD254:BD254)))</f>
        <v>0</v>
      </c>
      <c r="BN254" s="27" t="n">
        <f aca="false">MIN(AR253*(1+K$8),MAX(BD254,$B$12-SUM(BE254:BM254)))</f>
        <v>0</v>
      </c>
    </row>
    <row r="255" customFormat="false" ht="15" hidden="false" customHeight="false" outlineLevel="0" collapsed="false">
      <c r="A255" s="0" t="n">
        <v>241</v>
      </c>
      <c r="B255" s="27" t="n">
        <f aca="false">ROUND(MAX(0,B254*(1+B$8)-X255),2)</f>
        <v>0</v>
      </c>
      <c r="C255" s="27" t="n">
        <f aca="false">ROUND(MAX(0,C254*(1+C$8)-Y255),2)</f>
        <v>0</v>
      </c>
      <c r="D255" s="27" t="n">
        <f aca="false">ROUND(MAX(0,D254*(1+D$8)-Z255),2)</f>
        <v>0</v>
      </c>
      <c r="E255" s="27" t="n">
        <f aca="false">ROUND(MAX(0,E254*(1+E$8)-AA255),2)</f>
        <v>0</v>
      </c>
      <c r="F255" s="27" t="n">
        <f aca="false">ROUND(MAX(0,F254*(1+F$8)-AB255),2)</f>
        <v>0</v>
      </c>
      <c r="G255" s="27" t="n">
        <f aca="false">ROUND(MAX(0,G254*(1+G$8)-AC255),2)</f>
        <v>0</v>
      </c>
      <c r="H255" s="27" t="n">
        <f aca="false">ROUND(MAX(0,H254*(1+H$8)-AD255),2)</f>
        <v>0</v>
      </c>
      <c r="I255" s="27" t="n">
        <f aca="false">ROUND(MAX(0,I254*(1+I$8)-AE255),2)</f>
        <v>0</v>
      </c>
      <c r="J255" s="27" t="n">
        <f aca="false">ROUND(MAX(0,J254*(1+J$8)-AF255),2)</f>
        <v>0</v>
      </c>
      <c r="K255" s="27" t="n">
        <f aca="false">ROUND(MAX(0,K254*(1+K$8)-AG255),2)</f>
        <v>0</v>
      </c>
      <c r="L255" s="30" t="n">
        <f aca="false">SUM(B255:K255)</f>
        <v>0</v>
      </c>
      <c r="M255" s="27" t="n">
        <f aca="false">SUMPRODUCT(B254:K254,$B$8:$K$8)</f>
        <v>0</v>
      </c>
      <c r="N255" s="27" t="n">
        <f aca="false">MIN(B254*(1+B$8),B$9)</f>
        <v>0</v>
      </c>
      <c r="O255" s="27" t="n">
        <f aca="false">MIN(C254*(1+C$8),C$9)</f>
        <v>0</v>
      </c>
      <c r="P255" s="27" t="n">
        <f aca="false">MIN(D254*(1+D$8),D$9)</f>
        <v>0</v>
      </c>
      <c r="Q255" s="27" t="n">
        <f aca="false">MIN(E254*(1+E$8),E$9)</f>
        <v>0</v>
      </c>
      <c r="R255" s="27" t="n">
        <f aca="false">MIN(F254*(1+F$8),F$9)</f>
        <v>0</v>
      </c>
      <c r="S255" s="27" t="n">
        <f aca="false">MIN(G254*(1+G$8),G$9)</f>
        <v>0</v>
      </c>
      <c r="T255" s="27" t="n">
        <f aca="false">MIN(H254*(1+H$8),H$9)</f>
        <v>0</v>
      </c>
      <c r="U255" s="27" t="n">
        <f aca="false">MIN(I254*(1+I$8),I$9)</f>
        <v>0</v>
      </c>
      <c r="V255" s="27" t="n">
        <f aca="false">MIN(J254*(1+J$8),J$9)</f>
        <v>0</v>
      </c>
      <c r="W255" s="27" t="n">
        <f aca="false">MIN(K254*(1+K$8),K$9)</f>
        <v>0</v>
      </c>
      <c r="X255" s="27" t="n">
        <f aca="false">MIN(B254*(1+B$8),MAX(N255,$B$11-SUM(O255:W255)))</f>
        <v>0</v>
      </c>
      <c r="Y255" s="27" t="n">
        <f aca="false">MIN(C254*(1+C$8),MAX(O255,$B$11-SUM(X255:X255)-SUM(P255:W255)))</f>
        <v>0</v>
      </c>
      <c r="Z255" s="27" t="n">
        <f aca="false">MIN(D254*(1+D$8),MAX(P255,$B$11-SUM(X255:Y255)-SUM(Q255:W255)))</f>
        <v>0</v>
      </c>
      <c r="AA255" s="27" t="n">
        <f aca="false">MIN(E254*(1+E$8),MAX(Q255,$B$11-SUM(X255:Z255)-SUM(R255:W255)))</f>
        <v>0</v>
      </c>
      <c r="AB255" s="27" t="n">
        <f aca="false">MIN(F254*(1+F$8),MAX(R255,$B$11-SUM(X255:AA255)-SUM(S255:W255)))</f>
        <v>0</v>
      </c>
      <c r="AC255" s="27" t="n">
        <f aca="false">MIN(G254*(1+G$8),MAX(S255,$B$11-SUM(X255:AB255)-SUM(T255:W255)))</f>
        <v>0</v>
      </c>
      <c r="AD255" s="27" t="n">
        <f aca="false">MIN(H254*(1+H$8),MAX(T255,$B$11-SUM(X255:AC255)-SUM(U255:W255)))</f>
        <v>0</v>
      </c>
      <c r="AE255" s="27" t="n">
        <f aca="false">MIN(I254*(1+I$8),MAX(U255,$B$11-SUM(X255:AD255)-SUM(V255:W255)))</f>
        <v>0</v>
      </c>
      <c r="AF255" s="27" t="n">
        <f aca="false">MIN(J254*(1+J$8),MAX(V255,$B$11-SUM(X255:AE255)-SUM(W255:W255)))</f>
        <v>0</v>
      </c>
      <c r="AG255" s="27" t="n">
        <f aca="false">MIN(K254*(1+K$8),MAX(W255,$B$11-SUM(X255:AF255)))</f>
        <v>0</v>
      </c>
      <c r="AI255" s="27" t="n">
        <f aca="false">ROUND(MAX(0,AI254*(1+B$8)-BE255),2)</f>
        <v>0</v>
      </c>
      <c r="AJ255" s="27" t="n">
        <f aca="false">ROUND(MAX(0,AJ254*(1+C$8)-BF255),2)</f>
        <v>0</v>
      </c>
      <c r="AK255" s="27" t="n">
        <f aca="false">ROUND(MAX(0,AK254*(1+D$8)-BG255),2)</f>
        <v>0</v>
      </c>
      <c r="AL255" s="27" t="n">
        <f aca="false">ROUND(MAX(0,AL254*(1+E$8)-BH255),2)</f>
        <v>0</v>
      </c>
      <c r="AM255" s="27" t="n">
        <f aca="false">ROUND(MAX(0,AM254*(1+F$8)-BI255),2)</f>
        <v>0</v>
      </c>
      <c r="AN255" s="27" t="n">
        <f aca="false">ROUND(MAX(0,AN254*(1+G$8)-BJ255),2)</f>
        <v>0</v>
      </c>
      <c r="AO255" s="27" t="n">
        <f aca="false">ROUND(MAX(0,AO254*(1+H$8)-BK255),2)</f>
        <v>0</v>
      </c>
      <c r="AP255" s="27" t="n">
        <f aca="false">ROUND(MAX(0,AP254*(1+I$8)-BL255),2)</f>
        <v>0</v>
      </c>
      <c r="AQ255" s="27" t="n">
        <f aca="false">ROUND(MAX(0,AQ254*(1+J$8)-BM255),2)</f>
        <v>0</v>
      </c>
      <c r="AR255" s="27" t="n">
        <f aca="false">ROUND(MAX(0,AR254*(1+K$8)-BN255),2)</f>
        <v>0</v>
      </c>
      <c r="AS255" s="27" t="n">
        <f aca="false">SUM(AI255:AR255)</f>
        <v>0</v>
      </c>
      <c r="AT255" s="27" t="n">
        <f aca="false">SUMPRODUCT(AI254:AR254,$B$8:$K$8)</f>
        <v>0</v>
      </c>
      <c r="AU255" s="27" t="n">
        <f aca="false">MIN(AI254*(1+B$8),B$9)</f>
        <v>0</v>
      </c>
      <c r="AV255" s="27" t="n">
        <f aca="false">MIN(AJ254*(1+C$8),C$9)</f>
        <v>0</v>
      </c>
      <c r="AW255" s="27" t="n">
        <f aca="false">MIN(AK254*(1+D$8),D$9)</f>
        <v>0</v>
      </c>
      <c r="AX255" s="27" t="n">
        <f aca="false">MIN(AL254*(1+E$8),E$9)</f>
        <v>0</v>
      </c>
      <c r="AY255" s="27" t="n">
        <f aca="false">MIN(AM254*(1+F$8),F$9)</f>
        <v>0</v>
      </c>
      <c r="AZ255" s="27" t="n">
        <f aca="false">MIN(AN254*(1+G$8),G$9)</f>
        <v>0</v>
      </c>
      <c r="BA255" s="27" t="n">
        <f aca="false">MIN(AO254*(1+H$8),H$9)</f>
        <v>0</v>
      </c>
      <c r="BB255" s="27" t="n">
        <f aca="false">MIN(AP254*(1+I$8),I$9)</f>
        <v>0</v>
      </c>
      <c r="BC255" s="27" t="n">
        <f aca="false">MIN(AQ254*(1+J$8),J$9)</f>
        <v>0</v>
      </c>
      <c r="BD255" s="27" t="n">
        <f aca="false">MIN(AR254*(1+K$8),K$9)</f>
        <v>0</v>
      </c>
      <c r="BE255" s="27" t="n">
        <f aca="false">MIN(AI254*(1+B$8),MAX(AU255,$B$12-SUM(AV255:BD255)))</f>
        <v>0</v>
      </c>
      <c r="BF255" s="27" t="n">
        <f aca="false">MIN(AJ254*(1+C$8),MAX(AV255,$B$12-SUM(BE255:BE255)-SUM(AW255:BD255)))</f>
        <v>0</v>
      </c>
      <c r="BG255" s="27" t="n">
        <f aca="false">MIN(AK254*(1+D$8),MAX(AW255,$B$12-SUM(BE255:BF255)-SUM(AX255:BD255)))</f>
        <v>0</v>
      </c>
      <c r="BH255" s="27" t="n">
        <f aca="false">MIN(AL254*(1+E$8),MAX(AX255,$B$12-SUM(BE255:BG255)-SUM(AY255:BD255)))</f>
        <v>0</v>
      </c>
      <c r="BI255" s="27" t="n">
        <f aca="false">MIN(AM254*(1+F$8),MAX(AY255,$B$12-SUM(BE255:BH255)-SUM(AZ255:BD255)))</f>
        <v>0</v>
      </c>
      <c r="BJ255" s="27" t="n">
        <f aca="false">MIN(AN254*(1+G$8),MAX(AZ255,$B$12-SUM(BE255:BI255)-SUM(BA255:BD255)))</f>
        <v>0</v>
      </c>
      <c r="BK255" s="27" t="n">
        <f aca="false">MIN(AO254*(1+H$8),MAX(BA255,$B$12-SUM(BE255:BJ255)-SUM(BB255:BD255)))</f>
        <v>0</v>
      </c>
      <c r="BL255" s="27" t="n">
        <f aca="false">MIN(AP254*(1+I$8),MAX(BB255,$B$12-SUM(BE255:BK255)-SUM(BC255:BD255)))</f>
        <v>0</v>
      </c>
      <c r="BM255" s="27" t="n">
        <f aca="false">MIN(AQ254*(1+J$8),MAX(BC255,$B$12-SUM(BE255:BL255)-SUM(BD255:BD255)))</f>
        <v>0</v>
      </c>
      <c r="BN255" s="27" t="n">
        <f aca="false">MIN(AR254*(1+K$8),MAX(BD255,$B$12-SUM(BE255:BM255)))</f>
        <v>0</v>
      </c>
    </row>
    <row r="256" customFormat="false" ht="15" hidden="false" customHeight="false" outlineLevel="0" collapsed="false">
      <c r="A256" s="0" t="n">
        <v>242</v>
      </c>
      <c r="B256" s="27" t="n">
        <f aca="false">ROUND(MAX(0,B255*(1+B$8)-X256),2)</f>
        <v>0</v>
      </c>
      <c r="C256" s="27" t="n">
        <f aca="false">ROUND(MAX(0,C255*(1+C$8)-Y256),2)</f>
        <v>0</v>
      </c>
      <c r="D256" s="27" t="n">
        <f aca="false">ROUND(MAX(0,D255*(1+D$8)-Z256),2)</f>
        <v>0</v>
      </c>
      <c r="E256" s="27" t="n">
        <f aca="false">ROUND(MAX(0,E255*(1+E$8)-AA256),2)</f>
        <v>0</v>
      </c>
      <c r="F256" s="27" t="n">
        <f aca="false">ROUND(MAX(0,F255*(1+F$8)-AB256),2)</f>
        <v>0</v>
      </c>
      <c r="G256" s="27" t="n">
        <f aca="false">ROUND(MAX(0,G255*(1+G$8)-AC256),2)</f>
        <v>0</v>
      </c>
      <c r="H256" s="27" t="n">
        <f aca="false">ROUND(MAX(0,H255*(1+H$8)-AD256),2)</f>
        <v>0</v>
      </c>
      <c r="I256" s="27" t="n">
        <f aca="false">ROUND(MAX(0,I255*(1+I$8)-AE256),2)</f>
        <v>0</v>
      </c>
      <c r="J256" s="27" t="n">
        <f aca="false">ROUND(MAX(0,J255*(1+J$8)-AF256),2)</f>
        <v>0</v>
      </c>
      <c r="K256" s="27" t="n">
        <f aca="false">ROUND(MAX(0,K255*(1+K$8)-AG256),2)</f>
        <v>0</v>
      </c>
      <c r="L256" s="30" t="n">
        <f aca="false">SUM(B256:K256)</f>
        <v>0</v>
      </c>
      <c r="M256" s="27" t="n">
        <f aca="false">SUMPRODUCT(B255:K255,$B$8:$K$8)</f>
        <v>0</v>
      </c>
      <c r="N256" s="27" t="n">
        <f aca="false">MIN(B255*(1+B$8),B$9)</f>
        <v>0</v>
      </c>
      <c r="O256" s="27" t="n">
        <f aca="false">MIN(C255*(1+C$8),C$9)</f>
        <v>0</v>
      </c>
      <c r="P256" s="27" t="n">
        <f aca="false">MIN(D255*(1+D$8),D$9)</f>
        <v>0</v>
      </c>
      <c r="Q256" s="27" t="n">
        <f aca="false">MIN(E255*(1+E$8),E$9)</f>
        <v>0</v>
      </c>
      <c r="R256" s="27" t="n">
        <f aca="false">MIN(F255*(1+F$8),F$9)</f>
        <v>0</v>
      </c>
      <c r="S256" s="27" t="n">
        <f aca="false">MIN(G255*(1+G$8),G$9)</f>
        <v>0</v>
      </c>
      <c r="T256" s="27" t="n">
        <f aca="false">MIN(H255*(1+H$8),H$9)</f>
        <v>0</v>
      </c>
      <c r="U256" s="27" t="n">
        <f aca="false">MIN(I255*(1+I$8),I$9)</f>
        <v>0</v>
      </c>
      <c r="V256" s="27" t="n">
        <f aca="false">MIN(J255*(1+J$8),J$9)</f>
        <v>0</v>
      </c>
      <c r="W256" s="27" t="n">
        <f aca="false">MIN(K255*(1+K$8),K$9)</f>
        <v>0</v>
      </c>
      <c r="X256" s="27" t="n">
        <f aca="false">MIN(B255*(1+B$8),MAX(N256,$B$11-SUM(O256:W256)))</f>
        <v>0</v>
      </c>
      <c r="Y256" s="27" t="n">
        <f aca="false">MIN(C255*(1+C$8),MAX(O256,$B$11-SUM(X256:X256)-SUM(P256:W256)))</f>
        <v>0</v>
      </c>
      <c r="Z256" s="27" t="n">
        <f aca="false">MIN(D255*(1+D$8),MAX(P256,$B$11-SUM(X256:Y256)-SUM(Q256:W256)))</f>
        <v>0</v>
      </c>
      <c r="AA256" s="27" t="n">
        <f aca="false">MIN(E255*(1+E$8),MAX(Q256,$B$11-SUM(X256:Z256)-SUM(R256:W256)))</f>
        <v>0</v>
      </c>
      <c r="AB256" s="27" t="n">
        <f aca="false">MIN(F255*(1+F$8),MAX(R256,$B$11-SUM(X256:AA256)-SUM(S256:W256)))</f>
        <v>0</v>
      </c>
      <c r="AC256" s="27" t="n">
        <f aca="false">MIN(G255*(1+G$8),MAX(S256,$B$11-SUM(X256:AB256)-SUM(T256:W256)))</f>
        <v>0</v>
      </c>
      <c r="AD256" s="27" t="n">
        <f aca="false">MIN(H255*(1+H$8),MAX(T256,$B$11-SUM(X256:AC256)-SUM(U256:W256)))</f>
        <v>0</v>
      </c>
      <c r="AE256" s="27" t="n">
        <f aca="false">MIN(I255*(1+I$8),MAX(U256,$B$11-SUM(X256:AD256)-SUM(V256:W256)))</f>
        <v>0</v>
      </c>
      <c r="AF256" s="27" t="n">
        <f aca="false">MIN(J255*(1+J$8),MAX(V256,$B$11-SUM(X256:AE256)-SUM(W256:W256)))</f>
        <v>0</v>
      </c>
      <c r="AG256" s="27" t="n">
        <f aca="false">MIN(K255*(1+K$8),MAX(W256,$B$11-SUM(X256:AF256)))</f>
        <v>0</v>
      </c>
      <c r="AI256" s="27" t="n">
        <f aca="false">ROUND(MAX(0,AI255*(1+B$8)-BE256),2)</f>
        <v>0</v>
      </c>
      <c r="AJ256" s="27" t="n">
        <f aca="false">ROUND(MAX(0,AJ255*(1+C$8)-BF256),2)</f>
        <v>0</v>
      </c>
      <c r="AK256" s="27" t="n">
        <f aca="false">ROUND(MAX(0,AK255*(1+D$8)-BG256),2)</f>
        <v>0</v>
      </c>
      <c r="AL256" s="27" t="n">
        <f aca="false">ROUND(MAX(0,AL255*(1+E$8)-BH256),2)</f>
        <v>0</v>
      </c>
      <c r="AM256" s="27" t="n">
        <f aca="false">ROUND(MAX(0,AM255*(1+F$8)-BI256),2)</f>
        <v>0</v>
      </c>
      <c r="AN256" s="27" t="n">
        <f aca="false">ROUND(MAX(0,AN255*(1+G$8)-BJ256),2)</f>
        <v>0</v>
      </c>
      <c r="AO256" s="27" t="n">
        <f aca="false">ROUND(MAX(0,AO255*(1+H$8)-BK256),2)</f>
        <v>0</v>
      </c>
      <c r="AP256" s="27" t="n">
        <f aca="false">ROUND(MAX(0,AP255*(1+I$8)-BL256),2)</f>
        <v>0</v>
      </c>
      <c r="AQ256" s="27" t="n">
        <f aca="false">ROUND(MAX(0,AQ255*(1+J$8)-BM256),2)</f>
        <v>0</v>
      </c>
      <c r="AR256" s="27" t="n">
        <f aca="false">ROUND(MAX(0,AR255*(1+K$8)-BN256),2)</f>
        <v>0</v>
      </c>
      <c r="AS256" s="27" t="n">
        <f aca="false">SUM(AI256:AR256)</f>
        <v>0</v>
      </c>
      <c r="AT256" s="27" t="n">
        <f aca="false">SUMPRODUCT(AI255:AR255,$B$8:$K$8)</f>
        <v>0</v>
      </c>
      <c r="AU256" s="27" t="n">
        <f aca="false">MIN(AI255*(1+B$8),B$9)</f>
        <v>0</v>
      </c>
      <c r="AV256" s="27" t="n">
        <f aca="false">MIN(AJ255*(1+C$8),C$9)</f>
        <v>0</v>
      </c>
      <c r="AW256" s="27" t="n">
        <f aca="false">MIN(AK255*(1+D$8),D$9)</f>
        <v>0</v>
      </c>
      <c r="AX256" s="27" t="n">
        <f aca="false">MIN(AL255*(1+E$8),E$9)</f>
        <v>0</v>
      </c>
      <c r="AY256" s="27" t="n">
        <f aca="false">MIN(AM255*(1+F$8),F$9)</f>
        <v>0</v>
      </c>
      <c r="AZ256" s="27" t="n">
        <f aca="false">MIN(AN255*(1+G$8),G$9)</f>
        <v>0</v>
      </c>
      <c r="BA256" s="27" t="n">
        <f aca="false">MIN(AO255*(1+H$8),H$9)</f>
        <v>0</v>
      </c>
      <c r="BB256" s="27" t="n">
        <f aca="false">MIN(AP255*(1+I$8),I$9)</f>
        <v>0</v>
      </c>
      <c r="BC256" s="27" t="n">
        <f aca="false">MIN(AQ255*(1+J$8),J$9)</f>
        <v>0</v>
      </c>
      <c r="BD256" s="27" t="n">
        <f aca="false">MIN(AR255*(1+K$8),K$9)</f>
        <v>0</v>
      </c>
      <c r="BE256" s="27" t="n">
        <f aca="false">MIN(AI255*(1+B$8),MAX(AU256,$B$12-SUM(AV256:BD256)))</f>
        <v>0</v>
      </c>
      <c r="BF256" s="27" t="n">
        <f aca="false">MIN(AJ255*(1+C$8),MAX(AV256,$B$12-SUM(BE256:BE256)-SUM(AW256:BD256)))</f>
        <v>0</v>
      </c>
      <c r="BG256" s="27" t="n">
        <f aca="false">MIN(AK255*(1+D$8),MAX(AW256,$B$12-SUM(BE256:BF256)-SUM(AX256:BD256)))</f>
        <v>0</v>
      </c>
      <c r="BH256" s="27" t="n">
        <f aca="false">MIN(AL255*(1+E$8),MAX(AX256,$B$12-SUM(BE256:BG256)-SUM(AY256:BD256)))</f>
        <v>0</v>
      </c>
      <c r="BI256" s="27" t="n">
        <f aca="false">MIN(AM255*(1+F$8),MAX(AY256,$B$12-SUM(BE256:BH256)-SUM(AZ256:BD256)))</f>
        <v>0</v>
      </c>
      <c r="BJ256" s="27" t="n">
        <f aca="false">MIN(AN255*(1+G$8),MAX(AZ256,$B$12-SUM(BE256:BI256)-SUM(BA256:BD256)))</f>
        <v>0</v>
      </c>
      <c r="BK256" s="27" t="n">
        <f aca="false">MIN(AO255*(1+H$8),MAX(BA256,$B$12-SUM(BE256:BJ256)-SUM(BB256:BD256)))</f>
        <v>0</v>
      </c>
      <c r="BL256" s="27" t="n">
        <f aca="false">MIN(AP255*(1+I$8),MAX(BB256,$B$12-SUM(BE256:BK256)-SUM(BC256:BD256)))</f>
        <v>0</v>
      </c>
      <c r="BM256" s="27" t="n">
        <f aca="false">MIN(AQ255*(1+J$8),MAX(BC256,$B$12-SUM(BE256:BL256)-SUM(BD256:BD256)))</f>
        <v>0</v>
      </c>
      <c r="BN256" s="27" t="n">
        <f aca="false">MIN(AR255*(1+K$8),MAX(BD256,$B$12-SUM(BE256:BM256)))</f>
        <v>0</v>
      </c>
    </row>
    <row r="257" customFormat="false" ht="15" hidden="false" customHeight="false" outlineLevel="0" collapsed="false">
      <c r="A257" s="0" t="n">
        <v>243</v>
      </c>
      <c r="B257" s="27" t="n">
        <f aca="false">ROUND(MAX(0,B256*(1+B$8)-X257),2)</f>
        <v>0</v>
      </c>
      <c r="C257" s="27" t="n">
        <f aca="false">ROUND(MAX(0,C256*(1+C$8)-Y257),2)</f>
        <v>0</v>
      </c>
      <c r="D257" s="27" t="n">
        <f aca="false">ROUND(MAX(0,D256*(1+D$8)-Z257),2)</f>
        <v>0</v>
      </c>
      <c r="E257" s="27" t="n">
        <f aca="false">ROUND(MAX(0,E256*(1+E$8)-AA257),2)</f>
        <v>0</v>
      </c>
      <c r="F257" s="27" t="n">
        <f aca="false">ROUND(MAX(0,F256*(1+F$8)-AB257),2)</f>
        <v>0</v>
      </c>
      <c r="G257" s="27" t="n">
        <f aca="false">ROUND(MAX(0,G256*(1+G$8)-AC257),2)</f>
        <v>0</v>
      </c>
      <c r="H257" s="27" t="n">
        <f aca="false">ROUND(MAX(0,H256*(1+H$8)-AD257),2)</f>
        <v>0</v>
      </c>
      <c r="I257" s="27" t="n">
        <f aca="false">ROUND(MAX(0,I256*(1+I$8)-AE257),2)</f>
        <v>0</v>
      </c>
      <c r="J257" s="27" t="n">
        <f aca="false">ROUND(MAX(0,J256*(1+J$8)-AF257),2)</f>
        <v>0</v>
      </c>
      <c r="K257" s="27" t="n">
        <f aca="false">ROUND(MAX(0,K256*(1+K$8)-AG257),2)</f>
        <v>0</v>
      </c>
      <c r="L257" s="30" t="n">
        <f aca="false">SUM(B257:K257)</f>
        <v>0</v>
      </c>
      <c r="M257" s="27" t="n">
        <f aca="false">SUMPRODUCT(B256:K256,$B$8:$K$8)</f>
        <v>0</v>
      </c>
      <c r="N257" s="27" t="n">
        <f aca="false">MIN(B256*(1+B$8),B$9)</f>
        <v>0</v>
      </c>
      <c r="O257" s="27" t="n">
        <f aca="false">MIN(C256*(1+C$8),C$9)</f>
        <v>0</v>
      </c>
      <c r="P257" s="27" t="n">
        <f aca="false">MIN(D256*(1+D$8),D$9)</f>
        <v>0</v>
      </c>
      <c r="Q257" s="27" t="n">
        <f aca="false">MIN(E256*(1+E$8),E$9)</f>
        <v>0</v>
      </c>
      <c r="R257" s="27" t="n">
        <f aca="false">MIN(F256*(1+F$8),F$9)</f>
        <v>0</v>
      </c>
      <c r="S257" s="27" t="n">
        <f aca="false">MIN(G256*(1+G$8),G$9)</f>
        <v>0</v>
      </c>
      <c r="T257" s="27" t="n">
        <f aca="false">MIN(H256*(1+H$8),H$9)</f>
        <v>0</v>
      </c>
      <c r="U257" s="27" t="n">
        <f aca="false">MIN(I256*(1+I$8),I$9)</f>
        <v>0</v>
      </c>
      <c r="V257" s="27" t="n">
        <f aca="false">MIN(J256*(1+J$8),J$9)</f>
        <v>0</v>
      </c>
      <c r="W257" s="27" t="n">
        <f aca="false">MIN(K256*(1+K$8),K$9)</f>
        <v>0</v>
      </c>
      <c r="X257" s="27" t="n">
        <f aca="false">MIN(B256*(1+B$8),MAX(N257,$B$11-SUM(O257:W257)))</f>
        <v>0</v>
      </c>
      <c r="Y257" s="27" t="n">
        <f aca="false">MIN(C256*(1+C$8),MAX(O257,$B$11-SUM(X257:X257)-SUM(P257:W257)))</f>
        <v>0</v>
      </c>
      <c r="Z257" s="27" t="n">
        <f aca="false">MIN(D256*(1+D$8),MAX(P257,$B$11-SUM(X257:Y257)-SUM(Q257:W257)))</f>
        <v>0</v>
      </c>
      <c r="AA257" s="27" t="n">
        <f aca="false">MIN(E256*(1+E$8),MAX(Q257,$B$11-SUM(X257:Z257)-SUM(R257:W257)))</f>
        <v>0</v>
      </c>
      <c r="AB257" s="27" t="n">
        <f aca="false">MIN(F256*(1+F$8),MAX(R257,$B$11-SUM(X257:AA257)-SUM(S257:W257)))</f>
        <v>0</v>
      </c>
      <c r="AC257" s="27" t="n">
        <f aca="false">MIN(G256*(1+G$8),MAX(S257,$B$11-SUM(X257:AB257)-SUM(T257:W257)))</f>
        <v>0</v>
      </c>
      <c r="AD257" s="27" t="n">
        <f aca="false">MIN(H256*(1+H$8),MAX(T257,$B$11-SUM(X257:AC257)-SUM(U257:W257)))</f>
        <v>0</v>
      </c>
      <c r="AE257" s="27" t="n">
        <f aca="false">MIN(I256*(1+I$8),MAX(U257,$B$11-SUM(X257:AD257)-SUM(V257:W257)))</f>
        <v>0</v>
      </c>
      <c r="AF257" s="27" t="n">
        <f aca="false">MIN(J256*(1+J$8),MAX(V257,$B$11-SUM(X257:AE257)-SUM(W257:W257)))</f>
        <v>0</v>
      </c>
      <c r="AG257" s="27" t="n">
        <f aca="false">MIN(K256*(1+K$8),MAX(W257,$B$11-SUM(X257:AF257)))</f>
        <v>0</v>
      </c>
      <c r="AI257" s="27" t="n">
        <f aca="false">ROUND(MAX(0,AI256*(1+B$8)-BE257),2)</f>
        <v>0</v>
      </c>
      <c r="AJ257" s="27" t="n">
        <f aca="false">ROUND(MAX(0,AJ256*(1+C$8)-BF257),2)</f>
        <v>0</v>
      </c>
      <c r="AK257" s="27" t="n">
        <f aca="false">ROUND(MAX(0,AK256*(1+D$8)-BG257),2)</f>
        <v>0</v>
      </c>
      <c r="AL257" s="27" t="n">
        <f aca="false">ROUND(MAX(0,AL256*(1+E$8)-BH257),2)</f>
        <v>0</v>
      </c>
      <c r="AM257" s="27" t="n">
        <f aca="false">ROUND(MAX(0,AM256*(1+F$8)-BI257),2)</f>
        <v>0</v>
      </c>
      <c r="AN257" s="27" t="n">
        <f aca="false">ROUND(MAX(0,AN256*(1+G$8)-BJ257),2)</f>
        <v>0</v>
      </c>
      <c r="AO257" s="27" t="n">
        <f aca="false">ROUND(MAX(0,AO256*(1+H$8)-BK257),2)</f>
        <v>0</v>
      </c>
      <c r="AP257" s="27" t="n">
        <f aca="false">ROUND(MAX(0,AP256*(1+I$8)-BL257),2)</f>
        <v>0</v>
      </c>
      <c r="AQ257" s="27" t="n">
        <f aca="false">ROUND(MAX(0,AQ256*(1+J$8)-BM257),2)</f>
        <v>0</v>
      </c>
      <c r="AR257" s="27" t="n">
        <f aca="false">ROUND(MAX(0,AR256*(1+K$8)-BN257),2)</f>
        <v>0</v>
      </c>
      <c r="AS257" s="27" t="n">
        <f aca="false">SUM(AI257:AR257)</f>
        <v>0</v>
      </c>
      <c r="AT257" s="27" t="n">
        <f aca="false">SUMPRODUCT(AI256:AR256,$B$8:$K$8)</f>
        <v>0</v>
      </c>
      <c r="AU257" s="27" t="n">
        <f aca="false">MIN(AI256*(1+B$8),B$9)</f>
        <v>0</v>
      </c>
      <c r="AV257" s="27" t="n">
        <f aca="false">MIN(AJ256*(1+C$8),C$9)</f>
        <v>0</v>
      </c>
      <c r="AW257" s="27" t="n">
        <f aca="false">MIN(AK256*(1+D$8),D$9)</f>
        <v>0</v>
      </c>
      <c r="AX257" s="27" t="n">
        <f aca="false">MIN(AL256*(1+E$8),E$9)</f>
        <v>0</v>
      </c>
      <c r="AY257" s="27" t="n">
        <f aca="false">MIN(AM256*(1+F$8),F$9)</f>
        <v>0</v>
      </c>
      <c r="AZ257" s="27" t="n">
        <f aca="false">MIN(AN256*(1+G$8),G$9)</f>
        <v>0</v>
      </c>
      <c r="BA257" s="27" t="n">
        <f aca="false">MIN(AO256*(1+H$8),H$9)</f>
        <v>0</v>
      </c>
      <c r="BB257" s="27" t="n">
        <f aca="false">MIN(AP256*(1+I$8),I$9)</f>
        <v>0</v>
      </c>
      <c r="BC257" s="27" t="n">
        <f aca="false">MIN(AQ256*(1+J$8),J$9)</f>
        <v>0</v>
      </c>
      <c r="BD257" s="27" t="n">
        <f aca="false">MIN(AR256*(1+K$8),K$9)</f>
        <v>0</v>
      </c>
      <c r="BE257" s="27" t="n">
        <f aca="false">MIN(AI256*(1+B$8),MAX(AU257,$B$12-SUM(AV257:BD257)))</f>
        <v>0</v>
      </c>
      <c r="BF257" s="27" t="n">
        <f aca="false">MIN(AJ256*(1+C$8),MAX(AV257,$B$12-SUM(BE257:BE257)-SUM(AW257:BD257)))</f>
        <v>0</v>
      </c>
      <c r="BG257" s="27" t="n">
        <f aca="false">MIN(AK256*(1+D$8),MAX(AW257,$B$12-SUM(BE257:BF257)-SUM(AX257:BD257)))</f>
        <v>0</v>
      </c>
      <c r="BH257" s="27" t="n">
        <f aca="false">MIN(AL256*(1+E$8),MAX(AX257,$B$12-SUM(BE257:BG257)-SUM(AY257:BD257)))</f>
        <v>0</v>
      </c>
      <c r="BI257" s="27" t="n">
        <f aca="false">MIN(AM256*(1+F$8),MAX(AY257,$B$12-SUM(BE257:BH257)-SUM(AZ257:BD257)))</f>
        <v>0</v>
      </c>
      <c r="BJ257" s="27" t="n">
        <f aca="false">MIN(AN256*(1+G$8),MAX(AZ257,$B$12-SUM(BE257:BI257)-SUM(BA257:BD257)))</f>
        <v>0</v>
      </c>
      <c r="BK257" s="27" t="n">
        <f aca="false">MIN(AO256*(1+H$8),MAX(BA257,$B$12-SUM(BE257:BJ257)-SUM(BB257:BD257)))</f>
        <v>0</v>
      </c>
      <c r="BL257" s="27" t="n">
        <f aca="false">MIN(AP256*(1+I$8),MAX(BB257,$B$12-SUM(BE257:BK257)-SUM(BC257:BD257)))</f>
        <v>0</v>
      </c>
      <c r="BM257" s="27" t="n">
        <f aca="false">MIN(AQ256*(1+J$8),MAX(BC257,$B$12-SUM(BE257:BL257)-SUM(BD257:BD257)))</f>
        <v>0</v>
      </c>
      <c r="BN257" s="27" t="n">
        <f aca="false">MIN(AR256*(1+K$8),MAX(BD257,$B$12-SUM(BE257:BM257)))</f>
        <v>0</v>
      </c>
    </row>
    <row r="258" customFormat="false" ht="15" hidden="false" customHeight="false" outlineLevel="0" collapsed="false">
      <c r="A258" s="0" t="n">
        <v>244</v>
      </c>
      <c r="B258" s="27" t="n">
        <f aca="false">ROUND(MAX(0,B257*(1+B$8)-X258),2)</f>
        <v>0</v>
      </c>
      <c r="C258" s="27" t="n">
        <f aca="false">ROUND(MAX(0,C257*(1+C$8)-Y258),2)</f>
        <v>0</v>
      </c>
      <c r="D258" s="27" t="n">
        <f aca="false">ROUND(MAX(0,D257*(1+D$8)-Z258),2)</f>
        <v>0</v>
      </c>
      <c r="E258" s="27" t="n">
        <f aca="false">ROUND(MAX(0,E257*(1+E$8)-AA258),2)</f>
        <v>0</v>
      </c>
      <c r="F258" s="27" t="n">
        <f aca="false">ROUND(MAX(0,F257*(1+F$8)-AB258),2)</f>
        <v>0</v>
      </c>
      <c r="G258" s="27" t="n">
        <f aca="false">ROUND(MAX(0,G257*(1+G$8)-AC258),2)</f>
        <v>0</v>
      </c>
      <c r="H258" s="27" t="n">
        <f aca="false">ROUND(MAX(0,H257*(1+H$8)-AD258),2)</f>
        <v>0</v>
      </c>
      <c r="I258" s="27" t="n">
        <f aca="false">ROUND(MAX(0,I257*(1+I$8)-AE258),2)</f>
        <v>0</v>
      </c>
      <c r="J258" s="27" t="n">
        <f aca="false">ROUND(MAX(0,J257*(1+J$8)-AF258),2)</f>
        <v>0</v>
      </c>
      <c r="K258" s="27" t="n">
        <f aca="false">ROUND(MAX(0,K257*(1+K$8)-AG258),2)</f>
        <v>0</v>
      </c>
      <c r="L258" s="30" t="n">
        <f aca="false">SUM(B258:K258)</f>
        <v>0</v>
      </c>
      <c r="M258" s="27" t="n">
        <f aca="false">SUMPRODUCT(B257:K257,$B$8:$K$8)</f>
        <v>0</v>
      </c>
      <c r="N258" s="27" t="n">
        <f aca="false">MIN(B257*(1+B$8),B$9)</f>
        <v>0</v>
      </c>
      <c r="O258" s="27" t="n">
        <f aca="false">MIN(C257*(1+C$8),C$9)</f>
        <v>0</v>
      </c>
      <c r="P258" s="27" t="n">
        <f aca="false">MIN(D257*(1+D$8),D$9)</f>
        <v>0</v>
      </c>
      <c r="Q258" s="27" t="n">
        <f aca="false">MIN(E257*(1+E$8),E$9)</f>
        <v>0</v>
      </c>
      <c r="R258" s="27" t="n">
        <f aca="false">MIN(F257*(1+F$8),F$9)</f>
        <v>0</v>
      </c>
      <c r="S258" s="27" t="n">
        <f aca="false">MIN(G257*(1+G$8),G$9)</f>
        <v>0</v>
      </c>
      <c r="T258" s="27" t="n">
        <f aca="false">MIN(H257*(1+H$8),H$9)</f>
        <v>0</v>
      </c>
      <c r="U258" s="27" t="n">
        <f aca="false">MIN(I257*(1+I$8),I$9)</f>
        <v>0</v>
      </c>
      <c r="V258" s="27" t="n">
        <f aca="false">MIN(J257*(1+J$8),J$9)</f>
        <v>0</v>
      </c>
      <c r="W258" s="27" t="n">
        <f aca="false">MIN(K257*(1+K$8),K$9)</f>
        <v>0</v>
      </c>
      <c r="X258" s="27" t="n">
        <f aca="false">MIN(B257*(1+B$8),MAX(N258,$B$11-SUM(O258:W258)))</f>
        <v>0</v>
      </c>
      <c r="Y258" s="27" t="n">
        <f aca="false">MIN(C257*(1+C$8),MAX(O258,$B$11-SUM(X258:X258)-SUM(P258:W258)))</f>
        <v>0</v>
      </c>
      <c r="Z258" s="27" t="n">
        <f aca="false">MIN(D257*(1+D$8),MAX(P258,$B$11-SUM(X258:Y258)-SUM(Q258:W258)))</f>
        <v>0</v>
      </c>
      <c r="AA258" s="27" t="n">
        <f aca="false">MIN(E257*(1+E$8),MAX(Q258,$B$11-SUM(X258:Z258)-SUM(R258:W258)))</f>
        <v>0</v>
      </c>
      <c r="AB258" s="27" t="n">
        <f aca="false">MIN(F257*(1+F$8),MAX(R258,$B$11-SUM(X258:AA258)-SUM(S258:W258)))</f>
        <v>0</v>
      </c>
      <c r="AC258" s="27" t="n">
        <f aca="false">MIN(G257*(1+G$8),MAX(S258,$B$11-SUM(X258:AB258)-SUM(T258:W258)))</f>
        <v>0</v>
      </c>
      <c r="AD258" s="27" t="n">
        <f aca="false">MIN(H257*(1+H$8),MAX(T258,$B$11-SUM(X258:AC258)-SUM(U258:W258)))</f>
        <v>0</v>
      </c>
      <c r="AE258" s="27" t="n">
        <f aca="false">MIN(I257*(1+I$8),MAX(U258,$B$11-SUM(X258:AD258)-SUM(V258:W258)))</f>
        <v>0</v>
      </c>
      <c r="AF258" s="27" t="n">
        <f aca="false">MIN(J257*(1+J$8),MAX(V258,$B$11-SUM(X258:AE258)-SUM(W258:W258)))</f>
        <v>0</v>
      </c>
      <c r="AG258" s="27" t="n">
        <f aca="false">MIN(K257*(1+K$8),MAX(W258,$B$11-SUM(X258:AF258)))</f>
        <v>0</v>
      </c>
      <c r="AI258" s="27" t="n">
        <f aca="false">ROUND(MAX(0,AI257*(1+B$8)-BE258),2)</f>
        <v>0</v>
      </c>
      <c r="AJ258" s="27" t="n">
        <f aca="false">ROUND(MAX(0,AJ257*(1+C$8)-BF258),2)</f>
        <v>0</v>
      </c>
      <c r="AK258" s="27" t="n">
        <f aca="false">ROUND(MAX(0,AK257*(1+D$8)-BG258),2)</f>
        <v>0</v>
      </c>
      <c r="AL258" s="27" t="n">
        <f aca="false">ROUND(MAX(0,AL257*(1+E$8)-BH258),2)</f>
        <v>0</v>
      </c>
      <c r="AM258" s="27" t="n">
        <f aca="false">ROUND(MAX(0,AM257*(1+F$8)-BI258),2)</f>
        <v>0</v>
      </c>
      <c r="AN258" s="27" t="n">
        <f aca="false">ROUND(MAX(0,AN257*(1+G$8)-BJ258),2)</f>
        <v>0</v>
      </c>
      <c r="AO258" s="27" t="n">
        <f aca="false">ROUND(MAX(0,AO257*(1+H$8)-BK258),2)</f>
        <v>0</v>
      </c>
      <c r="AP258" s="27" t="n">
        <f aca="false">ROUND(MAX(0,AP257*(1+I$8)-BL258),2)</f>
        <v>0</v>
      </c>
      <c r="AQ258" s="27" t="n">
        <f aca="false">ROUND(MAX(0,AQ257*(1+J$8)-BM258),2)</f>
        <v>0</v>
      </c>
      <c r="AR258" s="27" t="n">
        <f aca="false">ROUND(MAX(0,AR257*(1+K$8)-BN258),2)</f>
        <v>0</v>
      </c>
      <c r="AS258" s="27" t="n">
        <f aca="false">SUM(AI258:AR258)</f>
        <v>0</v>
      </c>
      <c r="AT258" s="27" t="n">
        <f aca="false">SUMPRODUCT(AI257:AR257,$B$8:$K$8)</f>
        <v>0</v>
      </c>
      <c r="AU258" s="27" t="n">
        <f aca="false">MIN(AI257*(1+B$8),B$9)</f>
        <v>0</v>
      </c>
      <c r="AV258" s="27" t="n">
        <f aca="false">MIN(AJ257*(1+C$8),C$9)</f>
        <v>0</v>
      </c>
      <c r="AW258" s="27" t="n">
        <f aca="false">MIN(AK257*(1+D$8),D$9)</f>
        <v>0</v>
      </c>
      <c r="AX258" s="27" t="n">
        <f aca="false">MIN(AL257*(1+E$8),E$9)</f>
        <v>0</v>
      </c>
      <c r="AY258" s="27" t="n">
        <f aca="false">MIN(AM257*(1+F$8),F$9)</f>
        <v>0</v>
      </c>
      <c r="AZ258" s="27" t="n">
        <f aca="false">MIN(AN257*(1+G$8),G$9)</f>
        <v>0</v>
      </c>
      <c r="BA258" s="27" t="n">
        <f aca="false">MIN(AO257*(1+H$8),H$9)</f>
        <v>0</v>
      </c>
      <c r="BB258" s="27" t="n">
        <f aca="false">MIN(AP257*(1+I$8),I$9)</f>
        <v>0</v>
      </c>
      <c r="BC258" s="27" t="n">
        <f aca="false">MIN(AQ257*(1+J$8),J$9)</f>
        <v>0</v>
      </c>
      <c r="BD258" s="27" t="n">
        <f aca="false">MIN(AR257*(1+K$8),K$9)</f>
        <v>0</v>
      </c>
      <c r="BE258" s="27" t="n">
        <f aca="false">MIN(AI257*(1+B$8),MAX(AU258,$B$12-SUM(AV258:BD258)))</f>
        <v>0</v>
      </c>
      <c r="BF258" s="27" t="n">
        <f aca="false">MIN(AJ257*(1+C$8),MAX(AV258,$B$12-SUM(BE258:BE258)-SUM(AW258:BD258)))</f>
        <v>0</v>
      </c>
      <c r="BG258" s="27" t="n">
        <f aca="false">MIN(AK257*(1+D$8),MAX(AW258,$B$12-SUM(BE258:BF258)-SUM(AX258:BD258)))</f>
        <v>0</v>
      </c>
      <c r="BH258" s="27" t="n">
        <f aca="false">MIN(AL257*(1+E$8),MAX(AX258,$B$12-SUM(BE258:BG258)-SUM(AY258:BD258)))</f>
        <v>0</v>
      </c>
      <c r="BI258" s="27" t="n">
        <f aca="false">MIN(AM257*(1+F$8),MAX(AY258,$B$12-SUM(BE258:BH258)-SUM(AZ258:BD258)))</f>
        <v>0</v>
      </c>
      <c r="BJ258" s="27" t="n">
        <f aca="false">MIN(AN257*(1+G$8),MAX(AZ258,$B$12-SUM(BE258:BI258)-SUM(BA258:BD258)))</f>
        <v>0</v>
      </c>
      <c r="BK258" s="27" t="n">
        <f aca="false">MIN(AO257*(1+H$8),MAX(BA258,$B$12-SUM(BE258:BJ258)-SUM(BB258:BD258)))</f>
        <v>0</v>
      </c>
      <c r="BL258" s="27" t="n">
        <f aca="false">MIN(AP257*(1+I$8),MAX(BB258,$B$12-SUM(BE258:BK258)-SUM(BC258:BD258)))</f>
        <v>0</v>
      </c>
      <c r="BM258" s="27" t="n">
        <f aca="false">MIN(AQ257*(1+J$8),MAX(BC258,$B$12-SUM(BE258:BL258)-SUM(BD258:BD258)))</f>
        <v>0</v>
      </c>
      <c r="BN258" s="27" t="n">
        <f aca="false">MIN(AR257*(1+K$8),MAX(BD258,$B$12-SUM(BE258:BM258)))</f>
        <v>0</v>
      </c>
    </row>
    <row r="259" customFormat="false" ht="15" hidden="false" customHeight="false" outlineLevel="0" collapsed="false">
      <c r="A259" s="0" t="n">
        <v>245</v>
      </c>
      <c r="B259" s="27" t="n">
        <f aca="false">ROUND(MAX(0,B258*(1+B$8)-X259),2)</f>
        <v>0</v>
      </c>
      <c r="C259" s="27" t="n">
        <f aca="false">ROUND(MAX(0,C258*(1+C$8)-Y259),2)</f>
        <v>0</v>
      </c>
      <c r="D259" s="27" t="n">
        <f aca="false">ROUND(MAX(0,D258*(1+D$8)-Z259),2)</f>
        <v>0</v>
      </c>
      <c r="E259" s="27" t="n">
        <f aca="false">ROUND(MAX(0,E258*(1+E$8)-AA259),2)</f>
        <v>0</v>
      </c>
      <c r="F259" s="27" t="n">
        <f aca="false">ROUND(MAX(0,F258*(1+F$8)-AB259),2)</f>
        <v>0</v>
      </c>
      <c r="G259" s="27" t="n">
        <f aca="false">ROUND(MAX(0,G258*(1+G$8)-AC259),2)</f>
        <v>0</v>
      </c>
      <c r="H259" s="27" t="n">
        <f aca="false">ROUND(MAX(0,H258*(1+H$8)-AD259),2)</f>
        <v>0</v>
      </c>
      <c r="I259" s="27" t="n">
        <f aca="false">ROUND(MAX(0,I258*(1+I$8)-AE259),2)</f>
        <v>0</v>
      </c>
      <c r="J259" s="27" t="n">
        <f aca="false">ROUND(MAX(0,J258*(1+J$8)-AF259),2)</f>
        <v>0</v>
      </c>
      <c r="K259" s="27" t="n">
        <f aca="false">ROUND(MAX(0,K258*(1+K$8)-AG259),2)</f>
        <v>0</v>
      </c>
      <c r="L259" s="30" t="n">
        <f aca="false">SUM(B259:K259)</f>
        <v>0</v>
      </c>
      <c r="M259" s="27" t="n">
        <f aca="false">SUMPRODUCT(B258:K258,$B$8:$K$8)</f>
        <v>0</v>
      </c>
      <c r="N259" s="27" t="n">
        <f aca="false">MIN(B258*(1+B$8),B$9)</f>
        <v>0</v>
      </c>
      <c r="O259" s="27" t="n">
        <f aca="false">MIN(C258*(1+C$8),C$9)</f>
        <v>0</v>
      </c>
      <c r="P259" s="27" t="n">
        <f aca="false">MIN(D258*(1+D$8),D$9)</f>
        <v>0</v>
      </c>
      <c r="Q259" s="27" t="n">
        <f aca="false">MIN(E258*(1+E$8),E$9)</f>
        <v>0</v>
      </c>
      <c r="R259" s="27" t="n">
        <f aca="false">MIN(F258*(1+F$8),F$9)</f>
        <v>0</v>
      </c>
      <c r="S259" s="27" t="n">
        <f aca="false">MIN(G258*(1+G$8),G$9)</f>
        <v>0</v>
      </c>
      <c r="T259" s="27" t="n">
        <f aca="false">MIN(H258*(1+H$8),H$9)</f>
        <v>0</v>
      </c>
      <c r="U259" s="27" t="n">
        <f aca="false">MIN(I258*(1+I$8),I$9)</f>
        <v>0</v>
      </c>
      <c r="V259" s="27" t="n">
        <f aca="false">MIN(J258*(1+J$8),J$9)</f>
        <v>0</v>
      </c>
      <c r="W259" s="27" t="n">
        <f aca="false">MIN(K258*(1+K$8),K$9)</f>
        <v>0</v>
      </c>
      <c r="X259" s="27" t="n">
        <f aca="false">MIN(B258*(1+B$8),MAX(N259,$B$11-SUM(O259:W259)))</f>
        <v>0</v>
      </c>
      <c r="Y259" s="27" t="n">
        <f aca="false">MIN(C258*(1+C$8),MAX(O259,$B$11-SUM(X259:X259)-SUM(P259:W259)))</f>
        <v>0</v>
      </c>
      <c r="Z259" s="27" t="n">
        <f aca="false">MIN(D258*(1+D$8),MAX(P259,$B$11-SUM(X259:Y259)-SUM(Q259:W259)))</f>
        <v>0</v>
      </c>
      <c r="AA259" s="27" t="n">
        <f aca="false">MIN(E258*(1+E$8),MAX(Q259,$B$11-SUM(X259:Z259)-SUM(R259:W259)))</f>
        <v>0</v>
      </c>
      <c r="AB259" s="27" t="n">
        <f aca="false">MIN(F258*(1+F$8),MAX(R259,$B$11-SUM(X259:AA259)-SUM(S259:W259)))</f>
        <v>0</v>
      </c>
      <c r="AC259" s="27" t="n">
        <f aca="false">MIN(G258*(1+G$8),MAX(S259,$B$11-SUM(X259:AB259)-SUM(T259:W259)))</f>
        <v>0</v>
      </c>
      <c r="AD259" s="27" t="n">
        <f aca="false">MIN(H258*(1+H$8),MAX(T259,$B$11-SUM(X259:AC259)-SUM(U259:W259)))</f>
        <v>0</v>
      </c>
      <c r="AE259" s="27" t="n">
        <f aca="false">MIN(I258*(1+I$8),MAX(U259,$B$11-SUM(X259:AD259)-SUM(V259:W259)))</f>
        <v>0</v>
      </c>
      <c r="AF259" s="27" t="n">
        <f aca="false">MIN(J258*(1+J$8),MAX(V259,$B$11-SUM(X259:AE259)-SUM(W259:W259)))</f>
        <v>0</v>
      </c>
      <c r="AG259" s="27" t="n">
        <f aca="false">MIN(K258*(1+K$8),MAX(W259,$B$11-SUM(X259:AF259)))</f>
        <v>0</v>
      </c>
      <c r="AI259" s="27" t="n">
        <f aca="false">ROUND(MAX(0,AI258*(1+B$8)-BE259),2)</f>
        <v>0</v>
      </c>
      <c r="AJ259" s="27" t="n">
        <f aca="false">ROUND(MAX(0,AJ258*(1+C$8)-BF259),2)</f>
        <v>0</v>
      </c>
      <c r="AK259" s="27" t="n">
        <f aca="false">ROUND(MAX(0,AK258*(1+D$8)-BG259),2)</f>
        <v>0</v>
      </c>
      <c r="AL259" s="27" t="n">
        <f aca="false">ROUND(MAX(0,AL258*(1+E$8)-BH259),2)</f>
        <v>0</v>
      </c>
      <c r="AM259" s="27" t="n">
        <f aca="false">ROUND(MAX(0,AM258*(1+F$8)-BI259),2)</f>
        <v>0</v>
      </c>
      <c r="AN259" s="27" t="n">
        <f aca="false">ROUND(MAX(0,AN258*(1+G$8)-BJ259),2)</f>
        <v>0</v>
      </c>
      <c r="AO259" s="27" t="n">
        <f aca="false">ROUND(MAX(0,AO258*(1+H$8)-BK259),2)</f>
        <v>0</v>
      </c>
      <c r="AP259" s="27" t="n">
        <f aca="false">ROUND(MAX(0,AP258*(1+I$8)-BL259),2)</f>
        <v>0</v>
      </c>
      <c r="AQ259" s="27" t="n">
        <f aca="false">ROUND(MAX(0,AQ258*(1+J$8)-BM259),2)</f>
        <v>0</v>
      </c>
      <c r="AR259" s="27" t="n">
        <f aca="false">ROUND(MAX(0,AR258*(1+K$8)-BN259),2)</f>
        <v>0</v>
      </c>
      <c r="AS259" s="27" t="n">
        <f aca="false">SUM(AI259:AR259)</f>
        <v>0</v>
      </c>
      <c r="AT259" s="27" t="n">
        <f aca="false">SUMPRODUCT(AI258:AR258,$B$8:$K$8)</f>
        <v>0</v>
      </c>
      <c r="AU259" s="27" t="n">
        <f aca="false">MIN(AI258*(1+B$8),B$9)</f>
        <v>0</v>
      </c>
      <c r="AV259" s="27" t="n">
        <f aca="false">MIN(AJ258*(1+C$8),C$9)</f>
        <v>0</v>
      </c>
      <c r="AW259" s="27" t="n">
        <f aca="false">MIN(AK258*(1+D$8),D$9)</f>
        <v>0</v>
      </c>
      <c r="AX259" s="27" t="n">
        <f aca="false">MIN(AL258*(1+E$8),E$9)</f>
        <v>0</v>
      </c>
      <c r="AY259" s="27" t="n">
        <f aca="false">MIN(AM258*(1+F$8),F$9)</f>
        <v>0</v>
      </c>
      <c r="AZ259" s="27" t="n">
        <f aca="false">MIN(AN258*(1+G$8),G$9)</f>
        <v>0</v>
      </c>
      <c r="BA259" s="27" t="n">
        <f aca="false">MIN(AO258*(1+H$8),H$9)</f>
        <v>0</v>
      </c>
      <c r="BB259" s="27" t="n">
        <f aca="false">MIN(AP258*(1+I$8),I$9)</f>
        <v>0</v>
      </c>
      <c r="BC259" s="27" t="n">
        <f aca="false">MIN(AQ258*(1+J$8),J$9)</f>
        <v>0</v>
      </c>
      <c r="BD259" s="27" t="n">
        <f aca="false">MIN(AR258*(1+K$8),K$9)</f>
        <v>0</v>
      </c>
      <c r="BE259" s="27" t="n">
        <f aca="false">MIN(AI258*(1+B$8),MAX(AU259,$B$12-SUM(AV259:BD259)))</f>
        <v>0</v>
      </c>
      <c r="BF259" s="27" t="n">
        <f aca="false">MIN(AJ258*(1+C$8),MAX(AV259,$B$12-SUM(BE259:BE259)-SUM(AW259:BD259)))</f>
        <v>0</v>
      </c>
      <c r="BG259" s="27" t="n">
        <f aca="false">MIN(AK258*(1+D$8),MAX(AW259,$B$12-SUM(BE259:BF259)-SUM(AX259:BD259)))</f>
        <v>0</v>
      </c>
      <c r="BH259" s="27" t="n">
        <f aca="false">MIN(AL258*(1+E$8),MAX(AX259,$B$12-SUM(BE259:BG259)-SUM(AY259:BD259)))</f>
        <v>0</v>
      </c>
      <c r="BI259" s="27" t="n">
        <f aca="false">MIN(AM258*(1+F$8),MAX(AY259,$B$12-SUM(BE259:BH259)-SUM(AZ259:BD259)))</f>
        <v>0</v>
      </c>
      <c r="BJ259" s="27" t="n">
        <f aca="false">MIN(AN258*(1+G$8),MAX(AZ259,$B$12-SUM(BE259:BI259)-SUM(BA259:BD259)))</f>
        <v>0</v>
      </c>
      <c r="BK259" s="27" t="n">
        <f aca="false">MIN(AO258*(1+H$8),MAX(BA259,$B$12-SUM(BE259:BJ259)-SUM(BB259:BD259)))</f>
        <v>0</v>
      </c>
      <c r="BL259" s="27" t="n">
        <f aca="false">MIN(AP258*(1+I$8),MAX(BB259,$B$12-SUM(BE259:BK259)-SUM(BC259:BD259)))</f>
        <v>0</v>
      </c>
      <c r="BM259" s="27" t="n">
        <f aca="false">MIN(AQ258*(1+J$8),MAX(BC259,$B$12-SUM(BE259:BL259)-SUM(BD259:BD259)))</f>
        <v>0</v>
      </c>
      <c r="BN259" s="27" t="n">
        <f aca="false">MIN(AR258*(1+K$8),MAX(BD259,$B$12-SUM(BE259:BM259)))</f>
        <v>0</v>
      </c>
    </row>
    <row r="260" customFormat="false" ht="15" hidden="false" customHeight="false" outlineLevel="0" collapsed="false">
      <c r="A260" s="0" t="n">
        <v>246</v>
      </c>
      <c r="B260" s="27" t="n">
        <f aca="false">ROUND(MAX(0,B259*(1+B$8)-X260),2)</f>
        <v>0</v>
      </c>
      <c r="C260" s="27" t="n">
        <f aca="false">ROUND(MAX(0,C259*(1+C$8)-Y260),2)</f>
        <v>0</v>
      </c>
      <c r="D260" s="27" t="n">
        <f aca="false">ROUND(MAX(0,D259*(1+D$8)-Z260),2)</f>
        <v>0</v>
      </c>
      <c r="E260" s="27" t="n">
        <f aca="false">ROUND(MAX(0,E259*(1+E$8)-AA260),2)</f>
        <v>0</v>
      </c>
      <c r="F260" s="27" t="n">
        <f aca="false">ROUND(MAX(0,F259*(1+F$8)-AB260),2)</f>
        <v>0</v>
      </c>
      <c r="G260" s="27" t="n">
        <f aca="false">ROUND(MAX(0,G259*(1+G$8)-AC260),2)</f>
        <v>0</v>
      </c>
      <c r="H260" s="27" t="n">
        <f aca="false">ROUND(MAX(0,H259*(1+H$8)-AD260),2)</f>
        <v>0</v>
      </c>
      <c r="I260" s="27" t="n">
        <f aca="false">ROUND(MAX(0,I259*(1+I$8)-AE260),2)</f>
        <v>0</v>
      </c>
      <c r="J260" s="27" t="n">
        <f aca="false">ROUND(MAX(0,J259*(1+J$8)-AF260),2)</f>
        <v>0</v>
      </c>
      <c r="K260" s="27" t="n">
        <f aca="false">ROUND(MAX(0,K259*(1+K$8)-AG260),2)</f>
        <v>0</v>
      </c>
      <c r="L260" s="30" t="n">
        <f aca="false">SUM(B260:K260)</f>
        <v>0</v>
      </c>
      <c r="M260" s="27" t="n">
        <f aca="false">SUMPRODUCT(B259:K259,$B$8:$K$8)</f>
        <v>0</v>
      </c>
      <c r="N260" s="27" t="n">
        <f aca="false">MIN(B259*(1+B$8),B$9)</f>
        <v>0</v>
      </c>
      <c r="O260" s="27" t="n">
        <f aca="false">MIN(C259*(1+C$8),C$9)</f>
        <v>0</v>
      </c>
      <c r="P260" s="27" t="n">
        <f aca="false">MIN(D259*(1+D$8),D$9)</f>
        <v>0</v>
      </c>
      <c r="Q260" s="27" t="n">
        <f aca="false">MIN(E259*(1+E$8),E$9)</f>
        <v>0</v>
      </c>
      <c r="R260" s="27" t="n">
        <f aca="false">MIN(F259*(1+F$8),F$9)</f>
        <v>0</v>
      </c>
      <c r="S260" s="27" t="n">
        <f aca="false">MIN(G259*(1+G$8),G$9)</f>
        <v>0</v>
      </c>
      <c r="T260" s="27" t="n">
        <f aca="false">MIN(H259*(1+H$8),H$9)</f>
        <v>0</v>
      </c>
      <c r="U260" s="27" t="n">
        <f aca="false">MIN(I259*(1+I$8),I$9)</f>
        <v>0</v>
      </c>
      <c r="V260" s="27" t="n">
        <f aca="false">MIN(J259*(1+J$8),J$9)</f>
        <v>0</v>
      </c>
      <c r="W260" s="27" t="n">
        <f aca="false">MIN(K259*(1+K$8),K$9)</f>
        <v>0</v>
      </c>
      <c r="X260" s="27" t="n">
        <f aca="false">MIN(B259*(1+B$8),MAX(N260,$B$11-SUM(O260:W260)))</f>
        <v>0</v>
      </c>
      <c r="Y260" s="27" t="n">
        <f aca="false">MIN(C259*(1+C$8),MAX(O260,$B$11-SUM(X260:X260)-SUM(P260:W260)))</f>
        <v>0</v>
      </c>
      <c r="Z260" s="27" t="n">
        <f aca="false">MIN(D259*(1+D$8),MAX(P260,$B$11-SUM(X260:Y260)-SUM(Q260:W260)))</f>
        <v>0</v>
      </c>
      <c r="AA260" s="27" t="n">
        <f aca="false">MIN(E259*(1+E$8),MAX(Q260,$B$11-SUM(X260:Z260)-SUM(R260:W260)))</f>
        <v>0</v>
      </c>
      <c r="AB260" s="27" t="n">
        <f aca="false">MIN(F259*(1+F$8),MAX(R260,$B$11-SUM(X260:AA260)-SUM(S260:W260)))</f>
        <v>0</v>
      </c>
      <c r="AC260" s="27" t="n">
        <f aca="false">MIN(G259*(1+G$8),MAX(S260,$B$11-SUM(X260:AB260)-SUM(T260:W260)))</f>
        <v>0</v>
      </c>
      <c r="AD260" s="27" t="n">
        <f aca="false">MIN(H259*(1+H$8),MAX(T260,$B$11-SUM(X260:AC260)-SUM(U260:W260)))</f>
        <v>0</v>
      </c>
      <c r="AE260" s="27" t="n">
        <f aca="false">MIN(I259*(1+I$8),MAX(U260,$B$11-SUM(X260:AD260)-SUM(V260:W260)))</f>
        <v>0</v>
      </c>
      <c r="AF260" s="27" t="n">
        <f aca="false">MIN(J259*(1+J$8),MAX(V260,$B$11-SUM(X260:AE260)-SUM(W260:W260)))</f>
        <v>0</v>
      </c>
      <c r="AG260" s="27" t="n">
        <f aca="false">MIN(K259*(1+K$8),MAX(W260,$B$11-SUM(X260:AF260)))</f>
        <v>0</v>
      </c>
      <c r="AI260" s="27" t="n">
        <f aca="false">ROUND(MAX(0,AI259*(1+B$8)-BE260),2)</f>
        <v>0</v>
      </c>
      <c r="AJ260" s="27" t="n">
        <f aca="false">ROUND(MAX(0,AJ259*(1+C$8)-BF260),2)</f>
        <v>0</v>
      </c>
      <c r="AK260" s="27" t="n">
        <f aca="false">ROUND(MAX(0,AK259*(1+D$8)-BG260),2)</f>
        <v>0</v>
      </c>
      <c r="AL260" s="27" t="n">
        <f aca="false">ROUND(MAX(0,AL259*(1+E$8)-BH260),2)</f>
        <v>0</v>
      </c>
      <c r="AM260" s="27" t="n">
        <f aca="false">ROUND(MAX(0,AM259*(1+F$8)-BI260),2)</f>
        <v>0</v>
      </c>
      <c r="AN260" s="27" t="n">
        <f aca="false">ROUND(MAX(0,AN259*(1+G$8)-BJ260),2)</f>
        <v>0</v>
      </c>
      <c r="AO260" s="27" t="n">
        <f aca="false">ROUND(MAX(0,AO259*(1+H$8)-BK260),2)</f>
        <v>0</v>
      </c>
      <c r="AP260" s="27" t="n">
        <f aca="false">ROUND(MAX(0,AP259*(1+I$8)-BL260),2)</f>
        <v>0</v>
      </c>
      <c r="AQ260" s="27" t="n">
        <f aca="false">ROUND(MAX(0,AQ259*(1+J$8)-BM260),2)</f>
        <v>0</v>
      </c>
      <c r="AR260" s="27" t="n">
        <f aca="false">ROUND(MAX(0,AR259*(1+K$8)-BN260),2)</f>
        <v>0</v>
      </c>
      <c r="AS260" s="27" t="n">
        <f aca="false">SUM(AI260:AR260)</f>
        <v>0</v>
      </c>
      <c r="AT260" s="27" t="n">
        <f aca="false">SUMPRODUCT(AI259:AR259,$B$8:$K$8)</f>
        <v>0</v>
      </c>
      <c r="AU260" s="27" t="n">
        <f aca="false">MIN(AI259*(1+B$8),B$9)</f>
        <v>0</v>
      </c>
      <c r="AV260" s="27" t="n">
        <f aca="false">MIN(AJ259*(1+C$8),C$9)</f>
        <v>0</v>
      </c>
      <c r="AW260" s="27" t="n">
        <f aca="false">MIN(AK259*(1+D$8),D$9)</f>
        <v>0</v>
      </c>
      <c r="AX260" s="27" t="n">
        <f aca="false">MIN(AL259*(1+E$8),E$9)</f>
        <v>0</v>
      </c>
      <c r="AY260" s="27" t="n">
        <f aca="false">MIN(AM259*(1+F$8),F$9)</f>
        <v>0</v>
      </c>
      <c r="AZ260" s="27" t="n">
        <f aca="false">MIN(AN259*(1+G$8),G$9)</f>
        <v>0</v>
      </c>
      <c r="BA260" s="27" t="n">
        <f aca="false">MIN(AO259*(1+H$8),H$9)</f>
        <v>0</v>
      </c>
      <c r="BB260" s="27" t="n">
        <f aca="false">MIN(AP259*(1+I$8),I$9)</f>
        <v>0</v>
      </c>
      <c r="BC260" s="27" t="n">
        <f aca="false">MIN(AQ259*(1+J$8),J$9)</f>
        <v>0</v>
      </c>
      <c r="BD260" s="27" t="n">
        <f aca="false">MIN(AR259*(1+K$8),K$9)</f>
        <v>0</v>
      </c>
      <c r="BE260" s="27" t="n">
        <f aca="false">MIN(AI259*(1+B$8),MAX(AU260,$B$12-SUM(AV260:BD260)))</f>
        <v>0</v>
      </c>
      <c r="BF260" s="27" t="n">
        <f aca="false">MIN(AJ259*(1+C$8),MAX(AV260,$B$12-SUM(BE260:BE260)-SUM(AW260:BD260)))</f>
        <v>0</v>
      </c>
      <c r="BG260" s="27" t="n">
        <f aca="false">MIN(AK259*(1+D$8),MAX(AW260,$B$12-SUM(BE260:BF260)-SUM(AX260:BD260)))</f>
        <v>0</v>
      </c>
      <c r="BH260" s="27" t="n">
        <f aca="false">MIN(AL259*(1+E$8),MAX(AX260,$B$12-SUM(BE260:BG260)-SUM(AY260:BD260)))</f>
        <v>0</v>
      </c>
      <c r="BI260" s="27" t="n">
        <f aca="false">MIN(AM259*(1+F$8),MAX(AY260,$B$12-SUM(BE260:BH260)-SUM(AZ260:BD260)))</f>
        <v>0</v>
      </c>
      <c r="BJ260" s="27" t="n">
        <f aca="false">MIN(AN259*(1+G$8),MAX(AZ260,$B$12-SUM(BE260:BI260)-SUM(BA260:BD260)))</f>
        <v>0</v>
      </c>
      <c r="BK260" s="27" t="n">
        <f aca="false">MIN(AO259*(1+H$8),MAX(BA260,$B$12-SUM(BE260:BJ260)-SUM(BB260:BD260)))</f>
        <v>0</v>
      </c>
      <c r="BL260" s="27" t="n">
        <f aca="false">MIN(AP259*(1+I$8),MAX(BB260,$B$12-SUM(BE260:BK260)-SUM(BC260:BD260)))</f>
        <v>0</v>
      </c>
      <c r="BM260" s="27" t="n">
        <f aca="false">MIN(AQ259*(1+J$8),MAX(BC260,$B$12-SUM(BE260:BL260)-SUM(BD260:BD260)))</f>
        <v>0</v>
      </c>
      <c r="BN260" s="27" t="n">
        <f aca="false">MIN(AR259*(1+K$8),MAX(BD260,$B$12-SUM(BE260:BM260)))</f>
        <v>0</v>
      </c>
    </row>
    <row r="261" customFormat="false" ht="15" hidden="false" customHeight="false" outlineLevel="0" collapsed="false">
      <c r="A261" s="0" t="n">
        <v>247</v>
      </c>
      <c r="B261" s="27" t="n">
        <f aca="false">ROUND(MAX(0,B260*(1+B$8)-X261),2)</f>
        <v>0</v>
      </c>
      <c r="C261" s="27" t="n">
        <f aca="false">ROUND(MAX(0,C260*(1+C$8)-Y261),2)</f>
        <v>0</v>
      </c>
      <c r="D261" s="27" t="n">
        <f aca="false">ROUND(MAX(0,D260*(1+D$8)-Z261),2)</f>
        <v>0</v>
      </c>
      <c r="E261" s="27" t="n">
        <f aca="false">ROUND(MAX(0,E260*(1+E$8)-AA261),2)</f>
        <v>0</v>
      </c>
      <c r="F261" s="27" t="n">
        <f aca="false">ROUND(MAX(0,F260*(1+F$8)-AB261),2)</f>
        <v>0</v>
      </c>
      <c r="G261" s="27" t="n">
        <f aca="false">ROUND(MAX(0,G260*(1+G$8)-AC261),2)</f>
        <v>0</v>
      </c>
      <c r="H261" s="27" t="n">
        <f aca="false">ROUND(MAX(0,H260*(1+H$8)-AD261),2)</f>
        <v>0</v>
      </c>
      <c r="I261" s="27" t="n">
        <f aca="false">ROUND(MAX(0,I260*(1+I$8)-AE261),2)</f>
        <v>0</v>
      </c>
      <c r="J261" s="27" t="n">
        <f aca="false">ROUND(MAX(0,J260*(1+J$8)-AF261),2)</f>
        <v>0</v>
      </c>
      <c r="K261" s="27" t="n">
        <f aca="false">ROUND(MAX(0,K260*(1+K$8)-AG261),2)</f>
        <v>0</v>
      </c>
      <c r="L261" s="30" t="n">
        <f aca="false">SUM(B261:K261)</f>
        <v>0</v>
      </c>
      <c r="M261" s="27" t="n">
        <f aca="false">SUMPRODUCT(B260:K260,$B$8:$K$8)</f>
        <v>0</v>
      </c>
      <c r="N261" s="27" t="n">
        <f aca="false">MIN(B260*(1+B$8),B$9)</f>
        <v>0</v>
      </c>
      <c r="O261" s="27" t="n">
        <f aca="false">MIN(C260*(1+C$8),C$9)</f>
        <v>0</v>
      </c>
      <c r="P261" s="27" t="n">
        <f aca="false">MIN(D260*(1+D$8),D$9)</f>
        <v>0</v>
      </c>
      <c r="Q261" s="27" t="n">
        <f aca="false">MIN(E260*(1+E$8),E$9)</f>
        <v>0</v>
      </c>
      <c r="R261" s="27" t="n">
        <f aca="false">MIN(F260*(1+F$8),F$9)</f>
        <v>0</v>
      </c>
      <c r="S261" s="27" t="n">
        <f aca="false">MIN(G260*(1+G$8),G$9)</f>
        <v>0</v>
      </c>
      <c r="T261" s="27" t="n">
        <f aca="false">MIN(H260*(1+H$8),H$9)</f>
        <v>0</v>
      </c>
      <c r="U261" s="27" t="n">
        <f aca="false">MIN(I260*(1+I$8),I$9)</f>
        <v>0</v>
      </c>
      <c r="V261" s="27" t="n">
        <f aca="false">MIN(J260*(1+J$8),J$9)</f>
        <v>0</v>
      </c>
      <c r="W261" s="27" t="n">
        <f aca="false">MIN(K260*(1+K$8),K$9)</f>
        <v>0</v>
      </c>
      <c r="X261" s="27" t="n">
        <f aca="false">MIN(B260*(1+B$8),MAX(N261,$B$11-SUM(O261:W261)))</f>
        <v>0</v>
      </c>
      <c r="Y261" s="27" t="n">
        <f aca="false">MIN(C260*(1+C$8),MAX(O261,$B$11-SUM(X261:X261)-SUM(P261:W261)))</f>
        <v>0</v>
      </c>
      <c r="Z261" s="27" t="n">
        <f aca="false">MIN(D260*(1+D$8),MAX(P261,$B$11-SUM(X261:Y261)-SUM(Q261:W261)))</f>
        <v>0</v>
      </c>
      <c r="AA261" s="27" t="n">
        <f aca="false">MIN(E260*(1+E$8),MAX(Q261,$B$11-SUM(X261:Z261)-SUM(R261:W261)))</f>
        <v>0</v>
      </c>
      <c r="AB261" s="27" t="n">
        <f aca="false">MIN(F260*(1+F$8),MAX(R261,$B$11-SUM(X261:AA261)-SUM(S261:W261)))</f>
        <v>0</v>
      </c>
      <c r="AC261" s="27" t="n">
        <f aca="false">MIN(G260*(1+G$8),MAX(S261,$B$11-SUM(X261:AB261)-SUM(T261:W261)))</f>
        <v>0</v>
      </c>
      <c r="AD261" s="27" t="n">
        <f aca="false">MIN(H260*(1+H$8),MAX(T261,$B$11-SUM(X261:AC261)-SUM(U261:W261)))</f>
        <v>0</v>
      </c>
      <c r="AE261" s="27" t="n">
        <f aca="false">MIN(I260*(1+I$8),MAX(U261,$B$11-SUM(X261:AD261)-SUM(V261:W261)))</f>
        <v>0</v>
      </c>
      <c r="AF261" s="27" t="n">
        <f aca="false">MIN(J260*(1+J$8),MAX(V261,$B$11-SUM(X261:AE261)-SUM(W261:W261)))</f>
        <v>0</v>
      </c>
      <c r="AG261" s="27" t="n">
        <f aca="false">MIN(K260*(1+K$8),MAX(W261,$B$11-SUM(X261:AF261)))</f>
        <v>0</v>
      </c>
      <c r="AI261" s="27" t="n">
        <f aca="false">ROUND(MAX(0,AI260*(1+B$8)-BE261),2)</f>
        <v>0</v>
      </c>
      <c r="AJ261" s="27" t="n">
        <f aca="false">ROUND(MAX(0,AJ260*(1+C$8)-BF261),2)</f>
        <v>0</v>
      </c>
      <c r="AK261" s="27" t="n">
        <f aca="false">ROUND(MAX(0,AK260*(1+D$8)-BG261),2)</f>
        <v>0</v>
      </c>
      <c r="AL261" s="27" t="n">
        <f aca="false">ROUND(MAX(0,AL260*(1+E$8)-BH261),2)</f>
        <v>0</v>
      </c>
      <c r="AM261" s="27" t="n">
        <f aca="false">ROUND(MAX(0,AM260*(1+F$8)-BI261),2)</f>
        <v>0</v>
      </c>
      <c r="AN261" s="27" t="n">
        <f aca="false">ROUND(MAX(0,AN260*(1+G$8)-BJ261),2)</f>
        <v>0</v>
      </c>
      <c r="AO261" s="27" t="n">
        <f aca="false">ROUND(MAX(0,AO260*(1+H$8)-BK261),2)</f>
        <v>0</v>
      </c>
      <c r="AP261" s="27" t="n">
        <f aca="false">ROUND(MAX(0,AP260*(1+I$8)-BL261),2)</f>
        <v>0</v>
      </c>
      <c r="AQ261" s="27" t="n">
        <f aca="false">ROUND(MAX(0,AQ260*(1+J$8)-BM261),2)</f>
        <v>0</v>
      </c>
      <c r="AR261" s="27" t="n">
        <f aca="false">ROUND(MAX(0,AR260*(1+K$8)-BN261),2)</f>
        <v>0</v>
      </c>
      <c r="AS261" s="27" t="n">
        <f aca="false">SUM(AI261:AR261)</f>
        <v>0</v>
      </c>
      <c r="AT261" s="27" t="n">
        <f aca="false">SUMPRODUCT(AI260:AR260,$B$8:$K$8)</f>
        <v>0</v>
      </c>
      <c r="AU261" s="27" t="n">
        <f aca="false">MIN(AI260*(1+B$8),B$9)</f>
        <v>0</v>
      </c>
      <c r="AV261" s="27" t="n">
        <f aca="false">MIN(AJ260*(1+C$8),C$9)</f>
        <v>0</v>
      </c>
      <c r="AW261" s="27" t="n">
        <f aca="false">MIN(AK260*(1+D$8),D$9)</f>
        <v>0</v>
      </c>
      <c r="AX261" s="27" t="n">
        <f aca="false">MIN(AL260*(1+E$8),E$9)</f>
        <v>0</v>
      </c>
      <c r="AY261" s="27" t="n">
        <f aca="false">MIN(AM260*(1+F$8),F$9)</f>
        <v>0</v>
      </c>
      <c r="AZ261" s="27" t="n">
        <f aca="false">MIN(AN260*(1+G$8),G$9)</f>
        <v>0</v>
      </c>
      <c r="BA261" s="27" t="n">
        <f aca="false">MIN(AO260*(1+H$8),H$9)</f>
        <v>0</v>
      </c>
      <c r="BB261" s="27" t="n">
        <f aca="false">MIN(AP260*(1+I$8),I$9)</f>
        <v>0</v>
      </c>
      <c r="BC261" s="27" t="n">
        <f aca="false">MIN(AQ260*(1+J$8),J$9)</f>
        <v>0</v>
      </c>
      <c r="BD261" s="27" t="n">
        <f aca="false">MIN(AR260*(1+K$8),K$9)</f>
        <v>0</v>
      </c>
      <c r="BE261" s="27" t="n">
        <f aca="false">MIN(AI260*(1+B$8),MAX(AU261,$B$12-SUM(AV261:BD261)))</f>
        <v>0</v>
      </c>
      <c r="BF261" s="27" t="n">
        <f aca="false">MIN(AJ260*(1+C$8),MAX(AV261,$B$12-SUM(BE261:BE261)-SUM(AW261:BD261)))</f>
        <v>0</v>
      </c>
      <c r="BG261" s="27" t="n">
        <f aca="false">MIN(AK260*(1+D$8),MAX(AW261,$B$12-SUM(BE261:BF261)-SUM(AX261:BD261)))</f>
        <v>0</v>
      </c>
      <c r="BH261" s="27" t="n">
        <f aca="false">MIN(AL260*(1+E$8),MAX(AX261,$B$12-SUM(BE261:BG261)-SUM(AY261:BD261)))</f>
        <v>0</v>
      </c>
      <c r="BI261" s="27" t="n">
        <f aca="false">MIN(AM260*(1+F$8),MAX(AY261,$B$12-SUM(BE261:BH261)-SUM(AZ261:BD261)))</f>
        <v>0</v>
      </c>
      <c r="BJ261" s="27" t="n">
        <f aca="false">MIN(AN260*(1+G$8),MAX(AZ261,$B$12-SUM(BE261:BI261)-SUM(BA261:BD261)))</f>
        <v>0</v>
      </c>
      <c r="BK261" s="27" t="n">
        <f aca="false">MIN(AO260*(1+H$8),MAX(BA261,$B$12-SUM(BE261:BJ261)-SUM(BB261:BD261)))</f>
        <v>0</v>
      </c>
      <c r="BL261" s="27" t="n">
        <f aca="false">MIN(AP260*(1+I$8),MAX(BB261,$B$12-SUM(BE261:BK261)-SUM(BC261:BD261)))</f>
        <v>0</v>
      </c>
      <c r="BM261" s="27" t="n">
        <f aca="false">MIN(AQ260*(1+J$8),MAX(BC261,$B$12-SUM(BE261:BL261)-SUM(BD261:BD261)))</f>
        <v>0</v>
      </c>
      <c r="BN261" s="27" t="n">
        <f aca="false">MIN(AR260*(1+K$8),MAX(BD261,$B$12-SUM(BE261:BM261)))</f>
        <v>0</v>
      </c>
    </row>
    <row r="262" customFormat="false" ht="15" hidden="false" customHeight="false" outlineLevel="0" collapsed="false">
      <c r="A262" s="0" t="n">
        <v>248</v>
      </c>
      <c r="B262" s="27" t="n">
        <f aca="false">ROUND(MAX(0,B261*(1+B$8)-X262),2)</f>
        <v>0</v>
      </c>
      <c r="C262" s="27" t="n">
        <f aca="false">ROUND(MAX(0,C261*(1+C$8)-Y262),2)</f>
        <v>0</v>
      </c>
      <c r="D262" s="27" t="n">
        <f aca="false">ROUND(MAX(0,D261*(1+D$8)-Z262),2)</f>
        <v>0</v>
      </c>
      <c r="E262" s="27" t="n">
        <f aca="false">ROUND(MAX(0,E261*(1+E$8)-AA262),2)</f>
        <v>0</v>
      </c>
      <c r="F262" s="27" t="n">
        <f aca="false">ROUND(MAX(0,F261*(1+F$8)-AB262),2)</f>
        <v>0</v>
      </c>
      <c r="G262" s="27" t="n">
        <f aca="false">ROUND(MAX(0,G261*(1+G$8)-AC262),2)</f>
        <v>0</v>
      </c>
      <c r="H262" s="27" t="n">
        <f aca="false">ROUND(MAX(0,H261*(1+H$8)-AD262),2)</f>
        <v>0</v>
      </c>
      <c r="I262" s="27" t="n">
        <f aca="false">ROUND(MAX(0,I261*(1+I$8)-AE262),2)</f>
        <v>0</v>
      </c>
      <c r="J262" s="27" t="n">
        <f aca="false">ROUND(MAX(0,J261*(1+J$8)-AF262),2)</f>
        <v>0</v>
      </c>
      <c r="K262" s="27" t="n">
        <f aca="false">ROUND(MAX(0,K261*(1+K$8)-AG262),2)</f>
        <v>0</v>
      </c>
      <c r="L262" s="30" t="n">
        <f aca="false">SUM(B262:K262)</f>
        <v>0</v>
      </c>
      <c r="M262" s="27" t="n">
        <f aca="false">SUMPRODUCT(B261:K261,$B$8:$K$8)</f>
        <v>0</v>
      </c>
      <c r="N262" s="27" t="n">
        <f aca="false">MIN(B261*(1+B$8),B$9)</f>
        <v>0</v>
      </c>
      <c r="O262" s="27" t="n">
        <f aca="false">MIN(C261*(1+C$8),C$9)</f>
        <v>0</v>
      </c>
      <c r="P262" s="27" t="n">
        <f aca="false">MIN(D261*(1+D$8),D$9)</f>
        <v>0</v>
      </c>
      <c r="Q262" s="27" t="n">
        <f aca="false">MIN(E261*(1+E$8),E$9)</f>
        <v>0</v>
      </c>
      <c r="R262" s="27" t="n">
        <f aca="false">MIN(F261*(1+F$8),F$9)</f>
        <v>0</v>
      </c>
      <c r="S262" s="27" t="n">
        <f aca="false">MIN(G261*(1+G$8),G$9)</f>
        <v>0</v>
      </c>
      <c r="T262" s="27" t="n">
        <f aca="false">MIN(H261*(1+H$8),H$9)</f>
        <v>0</v>
      </c>
      <c r="U262" s="27" t="n">
        <f aca="false">MIN(I261*(1+I$8),I$9)</f>
        <v>0</v>
      </c>
      <c r="V262" s="27" t="n">
        <f aca="false">MIN(J261*(1+J$8),J$9)</f>
        <v>0</v>
      </c>
      <c r="W262" s="27" t="n">
        <f aca="false">MIN(K261*(1+K$8),K$9)</f>
        <v>0</v>
      </c>
      <c r="X262" s="27" t="n">
        <f aca="false">MIN(B261*(1+B$8),MAX(N262,$B$11-SUM(O262:W262)))</f>
        <v>0</v>
      </c>
      <c r="Y262" s="27" t="n">
        <f aca="false">MIN(C261*(1+C$8),MAX(O262,$B$11-SUM(X262:X262)-SUM(P262:W262)))</f>
        <v>0</v>
      </c>
      <c r="Z262" s="27" t="n">
        <f aca="false">MIN(D261*(1+D$8),MAX(P262,$B$11-SUM(X262:Y262)-SUM(Q262:W262)))</f>
        <v>0</v>
      </c>
      <c r="AA262" s="27" t="n">
        <f aca="false">MIN(E261*(1+E$8),MAX(Q262,$B$11-SUM(X262:Z262)-SUM(R262:W262)))</f>
        <v>0</v>
      </c>
      <c r="AB262" s="27" t="n">
        <f aca="false">MIN(F261*(1+F$8),MAX(R262,$B$11-SUM(X262:AA262)-SUM(S262:W262)))</f>
        <v>0</v>
      </c>
      <c r="AC262" s="27" t="n">
        <f aca="false">MIN(G261*(1+G$8),MAX(S262,$B$11-SUM(X262:AB262)-SUM(T262:W262)))</f>
        <v>0</v>
      </c>
      <c r="AD262" s="27" t="n">
        <f aca="false">MIN(H261*(1+H$8),MAX(T262,$B$11-SUM(X262:AC262)-SUM(U262:W262)))</f>
        <v>0</v>
      </c>
      <c r="AE262" s="27" t="n">
        <f aca="false">MIN(I261*(1+I$8),MAX(U262,$B$11-SUM(X262:AD262)-SUM(V262:W262)))</f>
        <v>0</v>
      </c>
      <c r="AF262" s="27" t="n">
        <f aca="false">MIN(J261*(1+J$8),MAX(V262,$B$11-SUM(X262:AE262)-SUM(W262:W262)))</f>
        <v>0</v>
      </c>
      <c r="AG262" s="27" t="n">
        <f aca="false">MIN(K261*(1+K$8),MAX(W262,$B$11-SUM(X262:AF262)))</f>
        <v>0</v>
      </c>
      <c r="AI262" s="27" t="n">
        <f aca="false">ROUND(MAX(0,AI261*(1+B$8)-BE262),2)</f>
        <v>0</v>
      </c>
      <c r="AJ262" s="27" t="n">
        <f aca="false">ROUND(MAX(0,AJ261*(1+C$8)-BF262),2)</f>
        <v>0</v>
      </c>
      <c r="AK262" s="27" t="n">
        <f aca="false">ROUND(MAX(0,AK261*(1+D$8)-BG262),2)</f>
        <v>0</v>
      </c>
      <c r="AL262" s="27" t="n">
        <f aca="false">ROUND(MAX(0,AL261*(1+E$8)-BH262),2)</f>
        <v>0</v>
      </c>
      <c r="AM262" s="27" t="n">
        <f aca="false">ROUND(MAX(0,AM261*(1+F$8)-BI262),2)</f>
        <v>0</v>
      </c>
      <c r="AN262" s="27" t="n">
        <f aca="false">ROUND(MAX(0,AN261*(1+G$8)-BJ262),2)</f>
        <v>0</v>
      </c>
      <c r="AO262" s="27" t="n">
        <f aca="false">ROUND(MAX(0,AO261*(1+H$8)-BK262),2)</f>
        <v>0</v>
      </c>
      <c r="AP262" s="27" t="n">
        <f aca="false">ROUND(MAX(0,AP261*(1+I$8)-BL262),2)</f>
        <v>0</v>
      </c>
      <c r="AQ262" s="27" t="n">
        <f aca="false">ROUND(MAX(0,AQ261*(1+J$8)-BM262),2)</f>
        <v>0</v>
      </c>
      <c r="AR262" s="27" t="n">
        <f aca="false">ROUND(MAX(0,AR261*(1+K$8)-BN262),2)</f>
        <v>0</v>
      </c>
      <c r="AS262" s="27" t="n">
        <f aca="false">SUM(AI262:AR262)</f>
        <v>0</v>
      </c>
      <c r="AT262" s="27" t="n">
        <f aca="false">SUMPRODUCT(AI261:AR261,$B$8:$K$8)</f>
        <v>0</v>
      </c>
      <c r="AU262" s="27" t="n">
        <f aca="false">MIN(AI261*(1+B$8),B$9)</f>
        <v>0</v>
      </c>
      <c r="AV262" s="27" t="n">
        <f aca="false">MIN(AJ261*(1+C$8),C$9)</f>
        <v>0</v>
      </c>
      <c r="AW262" s="27" t="n">
        <f aca="false">MIN(AK261*(1+D$8),D$9)</f>
        <v>0</v>
      </c>
      <c r="AX262" s="27" t="n">
        <f aca="false">MIN(AL261*(1+E$8),E$9)</f>
        <v>0</v>
      </c>
      <c r="AY262" s="27" t="n">
        <f aca="false">MIN(AM261*(1+F$8),F$9)</f>
        <v>0</v>
      </c>
      <c r="AZ262" s="27" t="n">
        <f aca="false">MIN(AN261*(1+G$8),G$9)</f>
        <v>0</v>
      </c>
      <c r="BA262" s="27" t="n">
        <f aca="false">MIN(AO261*(1+H$8),H$9)</f>
        <v>0</v>
      </c>
      <c r="BB262" s="27" t="n">
        <f aca="false">MIN(AP261*(1+I$8),I$9)</f>
        <v>0</v>
      </c>
      <c r="BC262" s="27" t="n">
        <f aca="false">MIN(AQ261*(1+J$8),J$9)</f>
        <v>0</v>
      </c>
      <c r="BD262" s="27" t="n">
        <f aca="false">MIN(AR261*(1+K$8),K$9)</f>
        <v>0</v>
      </c>
      <c r="BE262" s="27" t="n">
        <f aca="false">MIN(AI261*(1+B$8),MAX(AU262,$B$12-SUM(AV262:BD262)))</f>
        <v>0</v>
      </c>
      <c r="BF262" s="27" t="n">
        <f aca="false">MIN(AJ261*(1+C$8),MAX(AV262,$B$12-SUM(BE262:BE262)-SUM(AW262:BD262)))</f>
        <v>0</v>
      </c>
      <c r="BG262" s="27" t="n">
        <f aca="false">MIN(AK261*(1+D$8),MAX(AW262,$B$12-SUM(BE262:BF262)-SUM(AX262:BD262)))</f>
        <v>0</v>
      </c>
      <c r="BH262" s="27" t="n">
        <f aca="false">MIN(AL261*(1+E$8),MAX(AX262,$B$12-SUM(BE262:BG262)-SUM(AY262:BD262)))</f>
        <v>0</v>
      </c>
      <c r="BI262" s="27" t="n">
        <f aca="false">MIN(AM261*(1+F$8),MAX(AY262,$B$12-SUM(BE262:BH262)-SUM(AZ262:BD262)))</f>
        <v>0</v>
      </c>
      <c r="BJ262" s="27" t="n">
        <f aca="false">MIN(AN261*(1+G$8),MAX(AZ262,$B$12-SUM(BE262:BI262)-SUM(BA262:BD262)))</f>
        <v>0</v>
      </c>
      <c r="BK262" s="27" t="n">
        <f aca="false">MIN(AO261*(1+H$8),MAX(BA262,$B$12-SUM(BE262:BJ262)-SUM(BB262:BD262)))</f>
        <v>0</v>
      </c>
      <c r="BL262" s="27" t="n">
        <f aca="false">MIN(AP261*(1+I$8),MAX(BB262,$B$12-SUM(BE262:BK262)-SUM(BC262:BD262)))</f>
        <v>0</v>
      </c>
      <c r="BM262" s="27" t="n">
        <f aca="false">MIN(AQ261*(1+J$8),MAX(BC262,$B$12-SUM(BE262:BL262)-SUM(BD262:BD262)))</f>
        <v>0</v>
      </c>
      <c r="BN262" s="27" t="n">
        <f aca="false">MIN(AR261*(1+K$8),MAX(BD262,$B$12-SUM(BE262:BM262)))</f>
        <v>0</v>
      </c>
    </row>
    <row r="263" customFormat="false" ht="15" hidden="false" customHeight="false" outlineLevel="0" collapsed="false">
      <c r="A263" s="0" t="n">
        <v>249</v>
      </c>
      <c r="B263" s="27" t="n">
        <f aca="false">ROUND(MAX(0,B262*(1+B$8)-X263),2)</f>
        <v>0</v>
      </c>
      <c r="C263" s="27" t="n">
        <f aca="false">ROUND(MAX(0,C262*(1+C$8)-Y263),2)</f>
        <v>0</v>
      </c>
      <c r="D263" s="27" t="n">
        <f aca="false">ROUND(MAX(0,D262*(1+D$8)-Z263),2)</f>
        <v>0</v>
      </c>
      <c r="E263" s="27" t="n">
        <f aca="false">ROUND(MAX(0,E262*(1+E$8)-AA263),2)</f>
        <v>0</v>
      </c>
      <c r="F263" s="27" t="n">
        <f aca="false">ROUND(MAX(0,F262*(1+F$8)-AB263),2)</f>
        <v>0</v>
      </c>
      <c r="G263" s="27" t="n">
        <f aca="false">ROUND(MAX(0,G262*(1+G$8)-AC263),2)</f>
        <v>0</v>
      </c>
      <c r="H263" s="27" t="n">
        <f aca="false">ROUND(MAX(0,H262*(1+H$8)-AD263),2)</f>
        <v>0</v>
      </c>
      <c r="I263" s="27" t="n">
        <f aca="false">ROUND(MAX(0,I262*(1+I$8)-AE263),2)</f>
        <v>0</v>
      </c>
      <c r="J263" s="27" t="n">
        <f aca="false">ROUND(MAX(0,J262*(1+J$8)-AF263),2)</f>
        <v>0</v>
      </c>
      <c r="K263" s="27" t="n">
        <f aca="false">ROUND(MAX(0,K262*(1+K$8)-AG263),2)</f>
        <v>0</v>
      </c>
      <c r="L263" s="30" t="n">
        <f aca="false">SUM(B263:K263)</f>
        <v>0</v>
      </c>
      <c r="M263" s="27" t="n">
        <f aca="false">SUMPRODUCT(B262:K262,$B$8:$K$8)</f>
        <v>0</v>
      </c>
      <c r="N263" s="27" t="n">
        <f aca="false">MIN(B262*(1+B$8),B$9)</f>
        <v>0</v>
      </c>
      <c r="O263" s="27" t="n">
        <f aca="false">MIN(C262*(1+C$8),C$9)</f>
        <v>0</v>
      </c>
      <c r="P263" s="27" t="n">
        <f aca="false">MIN(D262*(1+D$8),D$9)</f>
        <v>0</v>
      </c>
      <c r="Q263" s="27" t="n">
        <f aca="false">MIN(E262*(1+E$8),E$9)</f>
        <v>0</v>
      </c>
      <c r="R263" s="27" t="n">
        <f aca="false">MIN(F262*(1+F$8),F$9)</f>
        <v>0</v>
      </c>
      <c r="S263" s="27" t="n">
        <f aca="false">MIN(G262*(1+G$8),G$9)</f>
        <v>0</v>
      </c>
      <c r="T263" s="27" t="n">
        <f aca="false">MIN(H262*(1+H$8),H$9)</f>
        <v>0</v>
      </c>
      <c r="U263" s="27" t="n">
        <f aca="false">MIN(I262*(1+I$8),I$9)</f>
        <v>0</v>
      </c>
      <c r="V263" s="27" t="n">
        <f aca="false">MIN(J262*(1+J$8),J$9)</f>
        <v>0</v>
      </c>
      <c r="W263" s="27" t="n">
        <f aca="false">MIN(K262*(1+K$8),K$9)</f>
        <v>0</v>
      </c>
      <c r="X263" s="27" t="n">
        <f aca="false">MIN(B262*(1+B$8),MAX(N263,$B$11-SUM(O263:W263)))</f>
        <v>0</v>
      </c>
      <c r="Y263" s="27" t="n">
        <f aca="false">MIN(C262*(1+C$8),MAX(O263,$B$11-SUM(X263:X263)-SUM(P263:W263)))</f>
        <v>0</v>
      </c>
      <c r="Z263" s="27" t="n">
        <f aca="false">MIN(D262*(1+D$8),MAX(P263,$B$11-SUM(X263:Y263)-SUM(Q263:W263)))</f>
        <v>0</v>
      </c>
      <c r="AA263" s="27" t="n">
        <f aca="false">MIN(E262*(1+E$8),MAX(Q263,$B$11-SUM(X263:Z263)-SUM(R263:W263)))</f>
        <v>0</v>
      </c>
      <c r="AB263" s="27" t="n">
        <f aca="false">MIN(F262*(1+F$8),MAX(R263,$B$11-SUM(X263:AA263)-SUM(S263:W263)))</f>
        <v>0</v>
      </c>
      <c r="AC263" s="27" t="n">
        <f aca="false">MIN(G262*(1+G$8),MAX(S263,$B$11-SUM(X263:AB263)-SUM(T263:W263)))</f>
        <v>0</v>
      </c>
      <c r="AD263" s="27" t="n">
        <f aca="false">MIN(H262*(1+H$8),MAX(T263,$B$11-SUM(X263:AC263)-SUM(U263:W263)))</f>
        <v>0</v>
      </c>
      <c r="AE263" s="27" t="n">
        <f aca="false">MIN(I262*(1+I$8),MAX(U263,$B$11-SUM(X263:AD263)-SUM(V263:W263)))</f>
        <v>0</v>
      </c>
      <c r="AF263" s="27" t="n">
        <f aca="false">MIN(J262*(1+J$8),MAX(V263,$B$11-SUM(X263:AE263)-SUM(W263:W263)))</f>
        <v>0</v>
      </c>
      <c r="AG263" s="27" t="n">
        <f aca="false">MIN(K262*(1+K$8),MAX(W263,$B$11-SUM(X263:AF263)))</f>
        <v>0</v>
      </c>
      <c r="AI263" s="27" t="n">
        <f aca="false">ROUND(MAX(0,AI262*(1+B$8)-BE263),2)</f>
        <v>0</v>
      </c>
      <c r="AJ263" s="27" t="n">
        <f aca="false">ROUND(MAX(0,AJ262*(1+C$8)-BF263),2)</f>
        <v>0</v>
      </c>
      <c r="AK263" s="27" t="n">
        <f aca="false">ROUND(MAX(0,AK262*(1+D$8)-BG263),2)</f>
        <v>0</v>
      </c>
      <c r="AL263" s="27" t="n">
        <f aca="false">ROUND(MAX(0,AL262*(1+E$8)-BH263),2)</f>
        <v>0</v>
      </c>
      <c r="AM263" s="27" t="n">
        <f aca="false">ROUND(MAX(0,AM262*(1+F$8)-BI263),2)</f>
        <v>0</v>
      </c>
      <c r="AN263" s="27" t="n">
        <f aca="false">ROUND(MAX(0,AN262*(1+G$8)-BJ263),2)</f>
        <v>0</v>
      </c>
      <c r="AO263" s="27" t="n">
        <f aca="false">ROUND(MAX(0,AO262*(1+H$8)-BK263),2)</f>
        <v>0</v>
      </c>
      <c r="AP263" s="27" t="n">
        <f aca="false">ROUND(MAX(0,AP262*(1+I$8)-BL263),2)</f>
        <v>0</v>
      </c>
      <c r="AQ263" s="27" t="n">
        <f aca="false">ROUND(MAX(0,AQ262*(1+J$8)-BM263),2)</f>
        <v>0</v>
      </c>
      <c r="AR263" s="27" t="n">
        <f aca="false">ROUND(MAX(0,AR262*(1+K$8)-BN263),2)</f>
        <v>0</v>
      </c>
      <c r="AS263" s="27" t="n">
        <f aca="false">SUM(AI263:AR263)</f>
        <v>0</v>
      </c>
      <c r="AT263" s="27" t="n">
        <f aca="false">SUMPRODUCT(AI262:AR262,$B$8:$K$8)</f>
        <v>0</v>
      </c>
      <c r="AU263" s="27" t="n">
        <f aca="false">MIN(AI262*(1+B$8),B$9)</f>
        <v>0</v>
      </c>
      <c r="AV263" s="27" t="n">
        <f aca="false">MIN(AJ262*(1+C$8),C$9)</f>
        <v>0</v>
      </c>
      <c r="AW263" s="27" t="n">
        <f aca="false">MIN(AK262*(1+D$8),D$9)</f>
        <v>0</v>
      </c>
      <c r="AX263" s="27" t="n">
        <f aca="false">MIN(AL262*(1+E$8),E$9)</f>
        <v>0</v>
      </c>
      <c r="AY263" s="27" t="n">
        <f aca="false">MIN(AM262*(1+F$8),F$9)</f>
        <v>0</v>
      </c>
      <c r="AZ263" s="27" t="n">
        <f aca="false">MIN(AN262*(1+G$8),G$9)</f>
        <v>0</v>
      </c>
      <c r="BA263" s="27" t="n">
        <f aca="false">MIN(AO262*(1+H$8),H$9)</f>
        <v>0</v>
      </c>
      <c r="BB263" s="27" t="n">
        <f aca="false">MIN(AP262*(1+I$8),I$9)</f>
        <v>0</v>
      </c>
      <c r="BC263" s="27" t="n">
        <f aca="false">MIN(AQ262*(1+J$8),J$9)</f>
        <v>0</v>
      </c>
      <c r="BD263" s="27" t="n">
        <f aca="false">MIN(AR262*(1+K$8),K$9)</f>
        <v>0</v>
      </c>
      <c r="BE263" s="27" t="n">
        <f aca="false">MIN(AI262*(1+B$8),MAX(AU263,$B$12-SUM(AV263:BD263)))</f>
        <v>0</v>
      </c>
      <c r="BF263" s="27" t="n">
        <f aca="false">MIN(AJ262*(1+C$8),MAX(AV263,$B$12-SUM(BE263:BE263)-SUM(AW263:BD263)))</f>
        <v>0</v>
      </c>
      <c r="BG263" s="27" t="n">
        <f aca="false">MIN(AK262*(1+D$8),MAX(AW263,$B$12-SUM(BE263:BF263)-SUM(AX263:BD263)))</f>
        <v>0</v>
      </c>
      <c r="BH263" s="27" t="n">
        <f aca="false">MIN(AL262*(1+E$8),MAX(AX263,$B$12-SUM(BE263:BG263)-SUM(AY263:BD263)))</f>
        <v>0</v>
      </c>
      <c r="BI263" s="27" t="n">
        <f aca="false">MIN(AM262*(1+F$8),MAX(AY263,$B$12-SUM(BE263:BH263)-SUM(AZ263:BD263)))</f>
        <v>0</v>
      </c>
      <c r="BJ263" s="27" t="n">
        <f aca="false">MIN(AN262*(1+G$8),MAX(AZ263,$B$12-SUM(BE263:BI263)-SUM(BA263:BD263)))</f>
        <v>0</v>
      </c>
      <c r="BK263" s="27" t="n">
        <f aca="false">MIN(AO262*(1+H$8),MAX(BA263,$B$12-SUM(BE263:BJ263)-SUM(BB263:BD263)))</f>
        <v>0</v>
      </c>
      <c r="BL263" s="27" t="n">
        <f aca="false">MIN(AP262*(1+I$8),MAX(BB263,$B$12-SUM(BE263:BK263)-SUM(BC263:BD263)))</f>
        <v>0</v>
      </c>
      <c r="BM263" s="27" t="n">
        <f aca="false">MIN(AQ262*(1+J$8),MAX(BC263,$B$12-SUM(BE263:BL263)-SUM(BD263:BD263)))</f>
        <v>0</v>
      </c>
      <c r="BN263" s="27" t="n">
        <f aca="false">MIN(AR262*(1+K$8),MAX(BD263,$B$12-SUM(BE263:BM263)))</f>
        <v>0</v>
      </c>
    </row>
    <row r="264" customFormat="false" ht="15" hidden="false" customHeight="false" outlineLevel="0" collapsed="false">
      <c r="A264" s="0" t="n">
        <v>250</v>
      </c>
      <c r="B264" s="27" t="n">
        <f aca="false">ROUND(MAX(0,B263*(1+B$8)-X264),2)</f>
        <v>0</v>
      </c>
      <c r="C264" s="27" t="n">
        <f aca="false">ROUND(MAX(0,C263*(1+C$8)-Y264),2)</f>
        <v>0</v>
      </c>
      <c r="D264" s="27" t="n">
        <f aca="false">ROUND(MAX(0,D263*(1+D$8)-Z264),2)</f>
        <v>0</v>
      </c>
      <c r="E264" s="27" t="n">
        <f aca="false">ROUND(MAX(0,E263*(1+E$8)-AA264),2)</f>
        <v>0</v>
      </c>
      <c r="F264" s="27" t="n">
        <f aca="false">ROUND(MAX(0,F263*(1+F$8)-AB264),2)</f>
        <v>0</v>
      </c>
      <c r="G264" s="27" t="n">
        <f aca="false">ROUND(MAX(0,G263*(1+G$8)-AC264),2)</f>
        <v>0</v>
      </c>
      <c r="H264" s="27" t="n">
        <f aca="false">ROUND(MAX(0,H263*(1+H$8)-AD264),2)</f>
        <v>0</v>
      </c>
      <c r="I264" s="27" t="n">
        <f aca="false">ROUND(MAX(0,I263*(1+I$8)-AE264),2)</f>
        <v>0</v>
      </c>
      <c r="J264" s="27" t="n">
        <f aca="false">ROUND(MAX(0,J263*(1+J$8)-AF264),2)</f>
        <v>0</v>
      </c>
      <c r="K264" s="27" t="n">
        <f aca="false">ROUND(MAX(0,K263*(1+K$8)-AG264),2)</f>
        <v>0</v>
      </c>
      <c r="L264" s="30" t="n">
        <f aca="false">SUM(B264:K264)</f>
        <v>0</v>
      </c>
      <c r="M264" s="27" t="n">
        <f aca="false">SUMPRODUCT(B263:K263,$B$8:$K$8)</f>
        <v>0</v>
      </c>
      <c r="N264" s="27" t="n">
        <f aca="false">MIN(B263*(1+B$8),B$9)</f>
        <v>0</v>
      </c>
      <c r="O264" s="27" t="n">
        <f aca="false">MIN(C263*(1+C$8),C$9)</f>
        <v>0</v>
      </c>
      <c r="P264" s="27" t="n">
        <f aca="false">MIN(D263*(1+D$8),D$9)</f>
        <v>0</v>
      </c>
      <c r="Q264" s="27" t="n">
        <f aca="false">MIN(E263*(1+E$8),E$9)</f>
        <v>0</v>
      </c>
      <c r="R264" s="27" t="n">
        <f aca="false">MIN(F263*(1+F$8),F$9)</f>
        <v>0</v>
      </c>
      <c r="S264" s="27" t="n">
        <f aca="false">MIN(G263*(1+G$8),G$9)</f>
        <v>0</v>
      </c>
      <c r="T264" s="27" t="n">
        <f aca="false">MIN(H263*(1+H$8),H$9)</f>
        <v>0</v>
      </c>
      <c r="U264" s="27" t="n">
        <f aca="false">MIN(I263*(1+I$8),I$9)</f>
        <v>0</v>
      </c>
      <c r="V264" s="27" t="n">
        <f aca="false">MIN(J263*(1+J$8),J$9)</f>
        <v>0</v>
      </c>
      <c r="W264" s="27" t="n">
        <f aca="false">MIN(K263*(1+K$8),K$9)</f>
        <v>0</v>
      </c>
      <c r="X264" s="27" t="n">
        <f aca="false">MIN(B263*(1+B$8),MAX(N264,$B$11-SUM(O264:W264)))</f>
        <v>0</v>
      </c>
      <c r="Y264" s="27" t="n">
        <f aca="false">MIN(C263*(1+C$8),MAX(O264,$B$11-SUM(X264:X264)-SUM(P264:W264)))</f>
        <v>0</v>
      </c>
      <c r="Z264" s="27" t="n">
        <f aca="false">MIN(D263*(1+D$8),MAX(P264,$B$11-SUM(X264:Y264)-SUM(Q264:W264)))</f>
        <v>0</v>
      </c>
      <c r="AA264" s="27" t="n">
        <f aca="false">MIN(E263*(1+E$8),MAX(Q264,$B$11-SUM(X264:Z264)-SUM(R264:W264)))</f>
        <v>0</v>
      </c>
      <c r="AB264" s="27" t="n">
        <f aca="false">MIN(F263*(1+F$8),MAX(R264,$B$11-SUM(X264:AA264)-SUM(S264:W264)))</f>
        <v>0</v>
      </c>
      <c r="AC264" s="27" t="n">
        <f aca="false">MIN(G263*(1+G$8),MAX(S264,$B$11-SUM(X264:AB264)-SUM(T264:W264)))</f>
        <v>0</v>
      </c>
      <c r="AD264" s="27" t="n">
        <f aca="false">MIN(H263*(1+H$8),MAX(T264,$B$11-SUM(X264:AC264)-SUM(U264:W264)))</f>
        <v>0</v>
      </c>
      <c r="AE264" s="27" t="n">
        <f aca="false">MIN(I263*(1+I$8),MAX(U264,$B$11-SUM(X264:AD264)-SUM(V264:W264)))</f>
        <v>0</v>
      </c>
      <c r="AF264" s="27" t="n">
        <f aca="false">MIN(J263*(1+J$8),MAX(V264,$B$11-SUM(X264:AE264)-SUM(W264:W264)))</f>
        <v>0</v>
      </c>
      <c r="AG264" s="27" t="n">
        <f aca="false">MIN(K263*(1+K$8),MAX(W264,$B$11-SUM(X264:AF264)))</f>
        <v>0</v>
      </c>
      <c r="AI264" s="27" t="n">
        <f aca="false">ROUND(MAX(0,AI263*(1+B$8)-BE264),2)</f>
        <v>0</v>
      </c>
      <c r="AJ264" s="27" t="n">
        <f aca="false">ROUND(MAX(0,AJ263*(1+C$8)-BF264),2)</f>
        <v>0</v>
      </c>
      <c r="AK264" s="27" t="n">
        <f aca="false">ROUND(MAX(0,AK263*(1+D$8)-BG264),2)</f>
        <v>0</v>
      </c>
      <c r="AL264" s="27" t="n">
        <f aca="false">ROUND(MAX(0,AL263*(1+E$8)-BH264),2)</f>
        <v>0</v>
      </c>
      <c r="AM264" s="27" t="n">
        <f aca="false">ROUND(MAX(0,AM263*(1+F$8)-BI264),2)</f>
        <v>0</v>
      </c>
      <c r="AN264" s="27" t="n">
        <f aca="false">ROUND(MAX(0,AN263*(1+G$8)-BJ264),2)</f>
        <v>0</v>
      </c>
      <c r="AO264" s="27" t="n">
        <f aca="false">ROUND(MAX(0,AO263*(1+H$8)-BK264),2)</f>
        <v>0</v>
      </c>
      <c r="AP264" s="27" t="n">
        <f aca="false">ROUND(MAX(0,AP263*(1+I$8)-BL264),2)</f>
        <v>0</v>
      </c>
      <c r="AQ264" s="27" t="n">
        <f aca="false">ROUND(MAX(0,AQ263*(1+J$8)-BM264),2)</f>
        <v>0</v>
      </c>
      <c r="AR264" s="27" t="n">
        <f aca="false">ROUND(MAX(0,AR263*(1+K$8)-BN264),2)</f>
        <v>0</v>
      </c>
      <c r="AS264" s="27" t="n">
        <f aca="false">SUM(AI264:AR264)</f>
        <v>0</v>
      </c>
      <c r="AT264" s="27" t="n">
        <f aca="false">SUMPRODUCT(AI263:AR263,$B$8:$K$8)</f>
        <v>0</v>
      </c>
      <c r="AU264" s="27" t="n">
        <f aca="false">MIN(AI263*(1+B$8),B$9)</f>
        <v>0</v>
      </c>
      <c r="AV264" s="27" t="n">
        <f aca="false">MIN(AJ263*(1+C$8),C$9)</f>
        <v>0</v>
      </c>
      <c r="AW264" s="27" t="n">
        <f aca="false">MIN(AK263*(1+D$8),D$9)</f>
        <v>0</v>
      </c>
      <c r="AX264" s="27" t="n">
        <f aca="false">MIN(AL263*(1+E$8),E$9)</f>
        <v>0</v>
      </c>
      <c r="AY264" s="27" t="n">
        <f aca="false">MIN(AM263*(1+F$8),F$9)</f>
        <v>0</v>
      </c>
      <c r="AZ264" s="27" t="n">
        <f aca="false">MIN(AN263*(1+G$8),G$9)</f>
        <v>0</v>
      </c>
      <c r="BA264" s="27" t="n">
        <f aca="false">MIN(AO263*(1+H$8),H$9)</f>
        <v>0</v>
      </c>
      <c r="BB264" s="27" t="n">
        <f aca="false">MIN(AP263*(1+I$8),I$9)</f>
        <v>0</v>
      </c>
      <c r="BC264" s="27" t="n">
        <f aca="false">MIN(AQ263*(1+J$8),J$9)</f>
        <v>0</v>
      </c>
      <c r="BD264" s="27" t="n">
        <f aca="false">MIN(AR263*(1+K$8),K$9)</f>
        <v>0</v>
      </c>
      <c r="BE264" s="27" t="n">
        <f aca="false">MIN(AI263*(1+B$8),MAX(AU264,$B$12-SUM(AV264:BD264)))</f>
        <v>0</v>
      </c>
      <c r="BF264" s="27" t="n">
        <f aca="false">MIN(AJ263*(1+C$8),MAX(AV264,$B$12-SUM(BE264:BE264)-SUM(AW264:BD264)))</f>
        <v>0</v>
      </c>
      <c r="BG264" s="27" t="n">
        <f aca="false">MIN(AK263*(1+D$8),MAX(AW264,$B$12-SUM(BE264:BF264)-SUM(AX264:BD264)))</f>
        <v>0</v>
      </c>
      <c r="BH264" s="27" t="n">
        <f aca="false">MIN(AL263*(1+E$8),MAX(AX264,$B$12-SUM(BE264:BG264)-SUM(AY264:BD264)))</f>
        <v>0</v>
      </c>
      <c r="BI264" s="27" t="n">
        <f aca="false">MIN(AM263*(1+F$8),MAX(AY264,$B$12-SUM(BE264:BH264)-SUM(AZ264:BD264)))</f>
        <v>0</v>
      </c>
      <c r="BJ264" s="27" t="n">
        <f aca="false">MIN(AN263*(1+G$8),MAX(AZ264,$B$12-SUM(BE264:BI264)-SUM(BA264:BD264)))</f>
        <v>0</v>
      </c>
      <c r="BK264" s="27" t="n">
        <f aca="false">MIN(AO263*(1+H$8),MAX(BA264,$B$12-SUM(BE264:BJ264)-SUM(BB264:BD264)))</f>
        <v>0</v>
      </c>
      <c r="BL264" s="27" t="n">
        <f aca="false">MIN(AP263*(1+I$8),MAX(BB264,$B$12-SUM(BE264:BK264)-SUM(BC264:BD264)))</f>
        <v>0</v>
      </c>
      <c r="BM264" s="27" t="n">
        <f aca="false">MIN(AQ263*(1+J$8),MAX(BC264,$B$12-SUM(BE264:BL264)-SUM(BD264:BD264)))</f>
        <v>0</v>
      </c>
      <c r="BN264" s="27" t="n">
        <f aca="false">MIN(AR263*(1+K$8),MAX(BD264,$B$12-SUM(BE264:BM264)))</f>
        <v>0</v>
      </c>
    </row>
    <row r="265" customFormat="false" ht="15" hidden="false" customHeight="false" outlineLevel="0" collapsed="false">
      <c r="A265" s="0" t="n">
        <v>251</v>
      </c>
      <c r="B265" s="27" t="n">
        <f aca="false">ROUND(MAX(0,B264*(1+B$8)-X265),2)</f>
        <v>0</v>
      </c>
      <c r="C265" s="27" t="n">
        <f aca="false">ROUND(MAX(0,C264*(1+C$8)-Y265),2)</f>
        <v>0</v>
      </c>
      <c r="D265" s="27" t="n">
        <f aca="false">ROUND(MAX(0,D264*(1+D$8)-Z265),2)</f>
        <v>0</v>
      </c>
      <c r="E265" s="27" t="n">
        <f aca="false">ROUND(MAX(0,E264*(1+E$8)-AA265),2)</f>
        <v>0</v>
      </c>
      <c r="F265" s="27" t="n">
        <f aca="false">ROUND(MAX(0,F264*(1+F$8)-AB265),2)</f>
        <v>0</v>
      </c>
      <c r="G265" s="27" t="n">
        <f aca="false">ROUND(MAX(0,G264*(1+G$8)-AC265),2)</f>
        <v>0</v>
      </c>
      <c r="H265" s="27" t="n">
        <f aca="false">ROUND(MAX(0,H264*(1+H$8)-AD265),2)</f>
        <v>0</v>
      </c>
      <c r="I265" s="27" t="n">
        <f aca="false">ROUND(MAX(0,I264*(1+I$8)-AE265),2)</f>
        <v>0</v>
      </c>
      <c r="J265" s="27" t="n">
        <f aca="false">ROUND(MAX(0,J264*(1+J$8)-AF265),2)</f>
        <v>0</v>
      </c>
      <c r="K265" s="27" t="n">
        <f aca="false">ROUND(MAX(0,K264*(1+K$8)-AG265),2)</f>
        <v>0</v>
      </c>
      <c r="L265" s="30" t="n">
        <f aca="false">SUM(B265:K265)</f>
        <v>0</v>
      </c>
      <c r="M265" s="27" t="n">
        <f aca="false">SUMPRODUCT(B264:K264,$B$8:$K$8)</f>
        <v>0</v>
      </c>
      <c r="N265" s="27" t="n">
        <f aca="false">MIN(B264*(1+B$8),B$9)</f>
        <v>0</v>
      </c>
      <c r="O265" s="27" t="n">
        <f aca="false">MIN(C264*(1+C$8),C$9)</f>
        <v>0</v>
      </c>
      <c r="P265" s="27" t="n">
        <f aca="false">MIN(D264*(1+D$8),D$9)</f>
        <v>0</v>
      </c>
      <c r="Q265" s="27" t="n">
        <f aca="false">MIN(E264*(1+E$8),E$9)</f>
        <v>0</v>
      </c>
      <c r="R265" s="27" t="n">
        <f aca="false">MIN(F264*(1+F$8),F$9)</f>
        <v>0</v>
      </c>
      <c r="S265" s="27" t="n">
        <f aca="false">MIN(G264*(1+G$8),G$9)</f>
        <v>0</v>
      </c>
      <c r="T265" s="27" t="n">
        <f aca="false">MIN(H264*(1+H$8),H$9)</f>
        <v>0</v>
      </c>
      <c r="U265" s="27" t="n">
        <f aca="false">MIN(I264*(1+I$8),I$9)</f>
        <v>0</v>
      </c>
      <c r="V265" s="27" t="n">
        <f aca="false">MIN(J264*(1+J$8),J$9)</f>
        <v>0</v>
      </c>
      <c r="W265" s="27" t="n">
        <f aca="false">MIN(K264*(1+K$8),K$9)</f>
        <v>0</v>
      </c>
      <c r="X265" s="27" t="n">
        <f aca="false">MIN(B264*(1+B$8),MAX(N265,$B$11-SUM(O265:W265)))</f>
        <v>0</v>
      </c>
      <c r="Y265" s="27" t="n">
        <f aca="false">MIN(C264*(1+C$8),MAX(O265,$B$11-SUM(X265:X265)-SUM(P265:W265)))</f>
        <v>0</v>
      </c>
      <c r="Z265" s="27" t="n">
        <f aca="false">MIN(D264*(1+D$8),MAX(P265,$B$11-SUM(X265:Y265)-SUM(Q265:W265)))</f>
        <v>0</v>
      </c>
      <c r="AA265" s="27" t="n">
        <f aca="false">MIN(E264*(1+E$8),MAX(Q265,$B$11-SUM(X265:Z265)-SUM(R265:W265)))</f>
        <v>0</v>
      </c>
      <c r="AB265" s="27" t="n">
        <f aca="false">MIN(F264*(1+F$8),MAX(R265,$B$11-SUM(X265:AA265)-SUM(S265:W265)))</f>
        <v>0</v>
      </c>
      <c r="AC265" s="27" t="n">
        <f aca="false">MIN(G264*(1+G$8),MAX(S265,$B$11-SUM(X265:AB265)-SUM(T265:W265)))</f>
        <v>0</v>
      </c>
      <c r="AD265" s="27" t="n">
        <f aca="false">MIN(H264*(1+H$8),MAX(T265,$B$11-SUM(X265:AC265)-SUM(U265:W265)))</f>
        <v>0</v>
      </c>
      <c r="AE265" s="27" t="n">
        <f aca="false">MIN(I264*(1+I$8),MAX(U265,$B$11-SUM(X265:AD265)-SUM(V265:W265)))</f>
        <v>0</v>
      </c>
      <c r="AF265" s="27" t="n">
        <f aca="false">MIN(J264*(1+J$8),MAX(V265,$B$11-SUM(X265:AE265)-SUM(W265:W265)))</f>
        <v>0</v>
      </c>
      <c r="AG265" s="27" t="n">
        <f aca="false">MIN(K264*(1+K$8),MAX(W265,$B$11-SUM(X265:AF265)))</f>
        <v>0</v>
      </c>
      <c r="AI265" s="27" t="n">
        <f aca="false">ROUND(MAX(0,AI264*(1+B$8)-BE265),2)</f>
        <v>0</v>
      </c>
      <c r="AJ265" s="27" t="n">
        <f aca="false">ROUND(MAX(0,AJ264*(1+C$8)-BF265),2)</f>
        <v>0</v>
      </c>
      <c r="AK265" s="27" t="n">
        <f aca="false">ROUND(MAX(0,AK264*(1+D$8)-BG265),2)</f>
        <v>0</v>
      </c>
      <c r="AL265" s="27" t="n">
        <f aca="false">ROUND(MAX(0,AL264*(1+E$8)-BH265),2)</f>
        <v>0</v>
      </c>
      <c r="AM265" s="27" t="n">
        <f aca="false">ROUND(MAX(0,AM264*(1+F$8)-BI265),2)</f>
        <v>0</v>
      </c>
      <c r="AN265" s="27" t="n">
        <f aca="false">ROUND(MAX(0,AN264*(1+G$8)-BJ265),2)</f>
        <v>0</v>
      </c>
      <c r="AO265" s="27" t="n">
        <f aca="false">ROUND(MAX(0,AO264*(1+H$8)-BK265),2)</f>
        <v>0</v>
      </c>
      <c r="AP265" s="27" t="n">
        <f aca="false">ROUND(MAX(0,AP264*(1+I$8)-BL265),2)</f>
        <v>0</v>
      </c>
      <c r="AQ265" s="27" t="n">
        <f aca="false">ROUND(MAX(0,AQ264*(1+J$8)-BM265),2)</f>
        <v>0</v>
      </c>
      <c r="AR265" s="27" t="n">
        <f aca="false">ROUND(MAX(0,AR264*(1+K$8)-BN265),2)</f>
        <v>0</v>
      </c>
      <c r="AS265" s="27" t="n">
        <f aca="false">SUM(AI265:AR265)</f>
        <v>0</v>
      </c>
      <c r="AT265" s="27" t="n">
        <f aca="false">SUMPRODUCT(AI264:AR264,$B$8:$K$8)</f>
        <v>0</v>
      </c>
      <c r="AU265" s="27" t="n">
        <f aca="false">MIN(AI264*(1+B$8),B$9)</f>
        <v>0</v>
      </c>
      <c r="AV265" s="27" t="n">
        <f aca="false">MIN(AJ264*(1+C$8),C$9)</f>
        <v>0</v>
      </c>
      <c r="AW265" s="27" t="n">
        <f aca="false">MIN(AK264*(1+D$8),D$9)</f>
        <v>0</v>
      </c>
      <c r="AX265" s="27" t="n">
        <f aca="false">MIN(AL264*(1+E$8),E$9)</f>
        <v>0</v>
      </c>
      <c r="AY265" s="27" t="n">
        <f aca="false">MIN(AM264*(1+F$8),F$9)</f>
        <v>0</v>
      </c>
      <c r="AZ265" s="27" t="n">
        <f aca="false">MIN(AN264*(1+G$8),G$9)</f>
        <v>0</v>
      </c>
      <c r="BA265" s="27" t="n">
        <f aca="false">MIN(AO264*(1+H$8),H$9)</f>
        <v>0</v>
      </c>
      <c r="BB265" s="27" t="n">
        <f aca="false">MIN(AP264*(1+I$8),I$9)</f>
        <v>0</v>
      </c>
      <c r="BC265" s="27" t="n">
        <f aca="false">MIN(AQ264*(1+J$8),J$9)</f>
        <v>0</v>
      </c>
      <c r="BD265" s="27" t="n">
        <f aca="false">MIN(AR264*(1+K$8),K$9)</f>
        <v>0</v>
      </c>
      <c r="BE265" s="27" t="n">
        <f aca="false">MIN(AI264*(1+B$8),MAX(AU265,$B$12-SUM(AV265:BD265)))</f>
        <v>0</v>
      </c>
      <c r="BF265" s="27" t="n">
        <f aca="false">MIN(AJ264*(1+C$8),MAX(AV265,$B$12-SUM(BE265:BE265)-SUM(AW265:BD265)))</f>
        <v>0</v>
      </c>
      <c r="BG265" s="27" t="n">
        <f aca="false">MIN(AK264*(1+D$8),MAX(AW265,$B$12-SUM(BE265:BF265)-SUM(AX265:BD265)))</f>
        <v>0</v>
      </c>
      <c r="BH265" s="27" t="n">
        <f aca="false">MIN(AL264*(1+E$8),MAX(AX265,$B$12-SUM(BE265:BG265)-SUM(AY265:BD265)))</f>
        <v>0</v>
      </c>
      <c r="BI265" s="27" t="n">
        <f aca="false">MIN(AM264*(1+F$8),MAX(AY265,$B$12-SUM(BE265:BH265)-SUM(AZ265:BD265)))</f>
        <v>0</v>
      </c>
      <c r="BJ265" s="27" t="n">
        <f aca="false">MIN(AN264*(1+G$8),MAX(AZ265,$B$12-SUM(BE265:BI265)-SUM(BA265:BD265)))</f>
        <v>0</v>
      </c>
      <c r="BK265" s="27" t="n">
        <f aca="false">MIN(AO264*(1+H$8),MAX(BA265,$B$12-SUM(BE265:BJ265)-SUM(BB265:BD265)))</f>
        <v>0</v>
      </c>
      <c r="BL265" s="27" t="n">
        <f aca="false">MIN(AP264*(1+I$8),MAX(BB265,$B$12-SUM(BE265:BK265)-SUM(BC265:BD265)))</f>
        <v>0</v>
      </c>
      <c r="BM265" s="27" t="n">
        <f aca="false">MIN(AQ264*(1+J$8),MAX(BC265,$B$12-SUM(BE265:BL265)-SUM(BD265:BD265)))</f>
        <v>0</v>
      </c>
      <c r="BN265" s="27" t="n">
        <f aca="false">MIN(AR264*(1+K$8),MAX(BD265,$B$12-SUM(BE265:BM265)))</f>
        <v>0</v>
      </c>
    </row>
    <row r="266" customFormat="false" ht="15" hidden="false" customHeight="false" outlineLevel="0" collapsed="false">
      <c r="A266" s="0" t="n">
        <v>252</v>
      </c>
      <c r="B266" s="27" t="n">
        <f aca="false">ROUND(MAX(0,B265*(1+B$8)-X266),2)</f>
        <v>0</v>
      </c>
      <c r="C266" s="27" t="n">
        <f aca="false">ROUND(MAX(0,C265*(1+C$8)-Y266),2)</f>
        <v>0</v>
      </c>
      <c r="D266" s="27" t="n">
        <f aca="false">ROUND(MAX(0,D265*(1+D$8)-Z266),2)</f>
        <v>0</v>
      </c>
      <c r="E266" s="27" t="n">
        <f aca="false">ROUND(MAX(0,E265*(1+E$8)-AA266),2)</f>
        <v>0</v>
      </c>
      <c r="F266" s="27" t="n">
        <f aca="false">ROUND(MAX(0,F265*(1+F$8)-AB266),2)</f>
        <v>0</v>
      </c>
      <c r="G266" s="27" t="n">
        <f aca="false">ROUND(MAX(0,G265*(1+G$8)-AC266),2)</f>
        <v>0</v>
      </c>
      <c r="H266" s="27" t="n">
        <f aca="false">ROUND(MAX(0,H265*(1+H$8)-AD266),2)</f>
        <v>0</v>
      </c>
      <c r="I266" s="27" t="n">
        <f aca="false">ROUND(MAX(0,I265*(1+I$8)-AE266),2)</f>
        <v>0</v>
      </c>
      <c r="J266" s="27" t="n">
        <f aca="false">ROUND(MAX(0,J265*(1+J$8)-AF266),2)</f>
        <v>0</v>
      </c>
      <c r="K266" s="27" t="n">
        <f aca="false">ROUND(MAX(0,K265*(1+K$8)-AG266),2)</f>
        <v>0</v>
      </c>
      <c r="L266" s="30" t="n">
        <f aca="false">SUM(B266:K266)</f>
        <v>0</v>
      </c>
      <c r="M266" s="27" t="n">
        <f aca="false">SUMPRODUCT(B265:K265,$B$8:$K$8)</f>
        <v>0</v>
      </c>
      <c r="N266" s="27" t="n">
        <f aca="false">MIN(B265*(1+B$8),B$9)</f>
        <v>0</v>
      </c>
      <c r="O266" s="27" t="n">
        <f aca="false">MIN(C265*(1+C$8),C$9)</f>
        <v>0</v>
      </c>
      <c r="P266" s="27" t="n">
        <f aca="false">MIN(D265*(1+D$8),D$9)</f>
        <v>0</v>
      </c>
      <c r="Q266" s="27" t="n">
        <f aca="false">MIN(E265*(1+E$8),E$9)</f>
        <v>0</v>
      </c>
      <c r="R266" s="27" t="n">
        <f aca="false">MIN(F265*(1+F$8),F$9)</f>
        <v>0</v>
      </c>
      <c r="S266" s="27" t="n">
        <f aca="false">MIN(G265*(1+G$8),G$9)</f>
        <v>0</v>
      </c>
      <c r="T266" s="27" t="n">
        <f aca="false">MIN(H265*(1+H$8),H$9)</f>
        <v>0</v>
      </c>
      <c r="U266" s="27" t="n">
        <f aca="false">MIN(I265*(1+I$8),I$9)</f>
        <v>0</v>
      </c>
      <c r="V266" s="27" t="n">
        <f aca="false">MIN(J265*(1+J$8),J$9)</f>
        <v>0</v>
      </c>
      <c r="W266" s="27" t="n">
        <f aca="false">MIN(K265*(1+K$8),K$9)</f>
        <v>0</v>
      </c>
      <c r="X266" s="27" t="n">
        <f aca="false">MIN(B265*(1+B$8),MAX(N266,$B$11-SUM(O266:W266)))</f>
        <v>0</v>
      </c>
      <c r="Y266" s="27" t="n">
        <f aca="false">MIN(C265*(1+C$8),MAX(O266,$B$11-SUM(X266:X266)-SUM(P266:W266)))</f>
        <v>0</v>
      </c>
      <c r="Z266" s="27" t="n">
        <f aca="false">MIN(D265*(1+D$8),MAX(P266,$B$11-SUM(X266:Y266)-SUM(Q266:W266)))</f>
        <v>0</v>
      </c>
      <c r="AA266" s="27" t="n">
        <f aca="false">MIN(E265*(1+E$8),MAX(Q266,$B$11-SUM(X266:Z266)-SUM(R266:W266)))</f>
        <v>0</v>
      </c>
      <c r="AB266" s="27" t="n">
        <f aca="false">MIN(F265*(1+F$8),MAX(R266,$B$11-SUM(X266:AA266)-SUM(S266:W266)))</f>
        <v>0</v>
      </c>
      <c r="AC266" s="27" t="n">
        <f aca="false">MIN(G265*(1+G$8),MAX(S266,$B$11-SUM(X266:AB266)-SUM(T266:W266)))</f>
        <v>0</v>
      </c>
      <c r="AD266" s="27" t="n">
        <f aca="false">MIN(H265*(1+H$8),MAX(T266,$B$11-SUM(X266:AC266)-SUM(U266:W266)))</f>
        <v>0</v>
      </c>
      <c r="AE266" s="27" t="n">
        <f aca="false">MIN(I265*(1+I$8),MAX(U266,$B$11-SUM(X266:AD266)-SUM(V266:W266)))</f>
        <v>0</v>
      </c>
      <c r="AF266" s="27" t="n">
        <f aca="false">MIN(J265*(1+J$8),MAX(V266,$B$11-SUM(X266:AE266)-SUM(W266:W266)))</f>
        <v>0</v>
      </c>
      <c r="AG266" s="27" t="n">
        <f aca="false">MIN(K265*(1+K$8),MAX(W266,$B$11-SUM(X266:AF266)))</f>
        <v>0</v>
      </c>
      <c r="AI266" s="27" t="n">
        <f aca="false">ROUND(MAX(0,AI265*(1+B$8)-BE266),2)</f>
        <v>0</v>
      </c>
      <c r="AJ266" s="27" t="n">
        <f aca="false">ROUND(MAX(0,AJ265*(1+C$8)-BF266),2)</f>
        <v>0</v>
      </c>
      <c r="AK266" s="27" t="n">
        <f aca="false">ROUND(MAX(0,AK265*(1+D$8)-BG266),2)</f>
        <v>0</v>
      </c>
      <c r="AL266" s="27" t="n">
        <f aca="false">ROUND(MAX(0,AL265*(1+E$8)-BH266),2)</f>
        <v>0</v>
      </c>
      <c r="AM266" s="27" t="n">
        <f aca="false">ROUND(MAX(0,AM265*(1+F$8)-BI266),2)</f>
        <v>0</v>
      </c>
      <c r="AN266" s="27" t="n">
        <f aca="false">ROUND(MAX(0,AN265*(1+G$8)-BJ266),2)</f>
        <v>0</v>
      </c>
      <c r="AO266" s="27" t="n">
        <f aca="false">ROUND(MAX(0,AO265*(1+H$8)-BK266),2)</f>
        <v>0</v>
      </c>
      <c r="AP266" s="27" t="n">
        <f aca="false">ROUND(MAX(0,AP265*(1+I$8)-BL266),2)</f>
        <v>0</v>
      </c>
      <c r="AQ266" s="27" t="n">
        <f aca="false">ROUND(MAX(0,AQ265*(1+J$8)-BM266),2)</f>
        <v>0</v>
      </c>
      <c r="AR266" s="27" t="n">
        <f aca="false">ROUND(MAX(0,AR265*(1+K$8)-BN266),2)</f>
        <v>0</v>
      </c>
      <c r="AS266" s="27" t="n">
        <f aca="false">SUM(AI266:AR266)</f>
        <v>0</v>
      </c>
      <c r="AT266" s="27" t="n">
        <f aca="false">SUMPRODUCT(AI265:AR265,$B$8:$K$8)</f>
        <v>0</v>
      </c>
      <c r="AU266" s="27" t="n">
        <f aca="false">MIN(AI265*(1+B$8),B$9)</f>
        <v>0</v>
      </c>
      <c r="AV266" s="27" t="n">
        <f aca="false">MIN(AJ265*(1+C$8),C$9)</f>
        <v>0</v>
      </c>
      <c r="AW266" s="27" t="n">
        <f aca="false">MIN(AK265*(1+D$8),D$9)</f>
        <v>0</v>
      </c>
      <c r="AX266" s="27" t="n">
        <f aca="false">MIN(AL265*(1+E$8),E$9)</f>
        <v>0</v>
      </c>
      <c r="AY266" s="27" t="n">
        <f aca="false">MIN(AM265*(1+F$8),F$9)</f>
        <v>0</v>
      </c>
      <c r="AZ266" s="27" t="n">
        <f aca="false">MIN(AN265*(1+G$8),G$9)</f>
        <v>0</v>
      </c>
      <c r="BA266" s="27" t="n">
        <f aca="false">MIN(AO265*(1+H$8),H$9)</f>
        <v>0</v>
      </c>
      <c r="BB266" s="27" t="n">
        <f aca="false">MIN(AP265*(1+I$8),I$9)</f>
        <v>0</v>
      </c>
      <c r="BC266" s="27" t="n">
        <f aca="false">MIN(AQ265*(1+J$8),J$9)</f>
        <v>0</v>
      </c>
      <c r="BD266" s="27" t="n">
        <f aca="false">MIN(AR265*(1+K$8),K$9)</f>
        <v>0</v>
      </c>
      <c r="BE266" s="27" t="n">
        <f aca="false">MIN(AI265*(1+B$8),MAX(AU266,$B$12-SUM(AV266:BD266)))</f>
        <v>0</v>
      </c>
      <c r="BF266" s="27" t="n">
        <f aca="false">MIN(AJ265*(1+C$8),MAX(AV266,$B$12-SUM(BE266:BE266)-SUM(AW266:BD266)))</f>
        <v>0</v>
      </c>
      <c r="BG266" s="27" t="n">
        <f aca="false">MIN(AK265*(1+D$8),MAX(AW266,$B$12-SUM(BE266:BF266)-SUM(AX266:BD266)))</f>
        <v>0</v>
      </c>
      <c r="BH266" s="27" t="n">
        <f aca="false">MIN(AL265*(1+E$8),MAX(AX266,$B$12-SUM(BE266:BG266)-SUM(AY266:BD266)))</f>
        <v>0</v>
      </c>
      <c r="BI266" s="27" t="n">
        <f aca="false">MIN(AM265*(1+F$8),MAX(AY266,$B$12-SUM(BE266:BH266)-SUM(AZ266:BD266)))</f>
        <v>0</v>
      </c>
      <c r="BJ266" s="27" t="n">
        <f aca="false">MIN(AN265*(1+G$8),MAX(AZ266,$B$12-SUM(BE266:BI266)-SUM(BA266:BD266)))</f>
        <v>0</v>
      </c>
      <c r="BK266" s="27" t="n">
        <f aca="false">MIN(AO265*(1+H$8),MAX(BA266,$B$12-SUM(BE266:BJ266)-SUM(BB266:BD266)))</f>
        <v>0</v>
      </c>
      <c r="BL266" s="27" t="n">
        <f aca="false">MIN(AP265*(1+I$8),MAX(BB266,$B$12-SUM(BE266:BK266)-SUM(BC266:BD266)))</f>
        <v>0</v>
      </c>
      <c r="BM266" s="27" t="n">
        <f aca="false">MIN(AQ265*(1+J$8),MAX(BC266,$B$12-SUM(BE266:BL266)-SUM(BD266:BD266)))</f>
        <v>0</v>
      </c>
      <c r="BN266" s="27" t="n">
        <f aca="false">MIN(AR265*(1+K$8),MAX(BD266,$B$12-SUM(BE266:BM266)))</f>
        <v>0</v>
      </c>
    </row>
    <row r="267" customFormat="false" ht="15" hidden="false" customHeight="false" outlineLevel="0" collapsed="false">
      <c r="A267" s="0" t="n">
        <v>253</v>
      </c>
      <c r="B267" s="27" t="n">
        <f aca="false">ROUND(MAX(0,B266*(1+B$8)-X267),2)</f>
        <v>0</v>
      </c>
      <c r="C267" s="27" t="n">
        <f aca="false">ROUND(MAX(0,C266*(1+C$8)-Y267),2)</f>
        <v>0</v>
      </c>
      <c r="D267" s="27" t="n">
        <f aca="false">ROUND(MAX(0,D266*(1+D$8)-Z267),2)</f>
        <v>0</v>
      </c>
      <c r="E267" s="27" t="n">
        <f aca="false">ROUND(MAX(0,E266*(1+E$8)-AA267),2)</f>
        <v>0</v>
      </c>
      <c r="F267" s="27" t="n">
        <f aca="false">ROUND(MAX(0,F266*(1+F$8)-AB267),2)</f>
        <v>0</v>
      </c>
      <c r="G267" s="27" t="n">
        <f aca="false">ROUND(MAX(0,G266*(1+G$8)-AC267),2)</f>
        <v>0</v>
      </c>
      <c r="H267" s="27" t="n">
        <f aca="false">ROUND(MAX(0,H266*(1+H$8)-AD267),2)</f>
        <v>0</v>
      </c>
      <c r="I267" s="27" t="n">
        <f aca="false">ROUND(MAX(0,I266*(1+I$8)-AE267),2)</f>
        <v>0</v>
      </c>
      <c r="J267" s="27" t="n">
        <f aca="false">ROUND(MAX(0,J266*(1+J$8)-AF267),2)</f>
        <v>0</v>
      </c>
      <c r="K267" s="27" t="n">
        <f aca="false">ROUND(MAX(0,K266*(1+K$8)-AG267),2)</f>
        <v>0</v>
      </c>
      <c r="L267" s="30" t="n">
        <f aca="false">SUM(B267:K267)</f>
        <v>0</v>
      </c>
      <c r="M267" s="27" t="n">
        <f aca="false">SUMPRODUCT(B266:K266,$B$8:$K$8)</f>
        <v>0</v>
      </c>
      <c r="N267" s="27" t="n">
        <f aca="false">MIN(B266*(1+B$8),B$9)</f>
        <v>0</v>
      </c>
      <c r="O267" s="27" t="n">
        <f aca="false">MIN(C266*(1+C$8),C$9)</f>
        <v>0</v>
      </c>
      <c r="P267" s="27" t="n">
        <f aca="false">MIN(D266*(1+D$8),D$9)</f>
        <v>0</v>
      </c>
      <c r="Q267" s="27" t="n">
        <f aca="false">MIN(E266*(1+E$8),E$9)</f>
        <v>0</v>
      </c>
      <c r="R267" s="27" t="n">
        <f aca="false">MIN(F266*(1+F$8),F$9)</f>
        <v>0</v>
      </c>
      <c r="S267" s="27" t="n">
        <f aca="false">MIN(G266*(1+G$8),G$9)</f>
        <v>0</v>
      </c>
      <c r="T267" s="27" t="n">
        <f aca="false">MIN(H266*(1+H$8),H$9)</f>
        <v>0</v>
      </c>
      <c r="U267" s="27" t="n">
        <f aca="false">MIN(I266*(1+I$8),I$9)</f>
        <v>0</v>
      </c>
      <c r="V267" s="27" t="n">
        <f aca="false">MIN(J266*(1+J$8),J$9)</f>
        <v>0</v>
      </c>
      <c r="W267" s="27" t="n">
        <f aca="false">MIN(K266*(1+K$8),K$9)</f>
        <v>0</v>
      </c>
      <c r="X267" s="27" t="n">
        <f aca="false">MIN(B266*(1+B$8),MAX(N267,$B$11-SUM(O267:W267)))</f>
        <v>0</v>
      </c>
      <c r="Y267" s="27" t="n">
        <f aca="false">MIN(C266*(1+C$8),MAX(O267,$B$11-SUM(X267:X267)-SUM(P267:W267)))</f>
        <v>0</v>
      </c>
      <c r="Z267" s="27" t="n">
        <f aca="false">MIN(D266*(1+D$8),MAX(P267,$B$11-SUM(X267:Y267)-SUM(Q267:W267)))</f>
        <v>0</v>
      </c>
      <c r="AA267" s="27" t="n">
        <f aca="false">MIN(E266*(1+E$8),MAX(Q267,$B$11-SUM(X267:Z267)-SUM(R267:W267)))</f>
        <v>0</v>
      </c>
      <c r="AB267" s="27" t="n">
        <f aca="false">MIN(F266*(1+F$8),MAX(R267,$B$11-SUM(X267:AA267)-SUM(S267:W267)))</f>
        <v>0</v>
      </c>
      <c r="AC267" s="27" t="n">
        <f aca="false">MIN(G266*(1+G$8),MAX(S267,$B$11-SUM(X267:AB267)-SUM(T267:W267)))</f>
        <v>0</v>
      </c>
      <c r="AD267" s="27" t="n">
        <f aca="false">MIN(H266*(1+H$8),MAX(T267,$B$11-SUM(X267:AC267)-SUM(U267:W267)))</f>
        <v>0</v>
      </c>
      <c r="AE267" s="27" t="n">
        <f aca="false">MIN(I266*(1+I$8),MAX(U267,$B$11-SUM(X267:AD267)-SUM(V267:W267)))</f>
        <v>0</v>
      </c>
      <c r="AF267" s="27" t="n">
        <f aca="false">MIN(J266*(1+J$8),MAX(V267,$B$11-SUM(X267:AE267)-SUM(W267:W267)))</f>
        <v>0</v>
      </c>
      <c r="AG267" s="27" t="n">
        <f aca="false">MIN(K266*(1+K$8),MAX(W267,$B$11-SUM(X267:AF267)))</f>
        <v>0</v>
      </c>
      <c r="AI267" s="27" t="n">
        <f aca="false">ROUND(MAX(0,AI266*(1+B$8)-BE267),2)</f>
        <v>0</v>
      </c>
      <c r="AJ267" s="27" t="n">
        <f aca="false">ROUND(MAX(0,AJ266*(1+C$8)-BF267),2)</f>
        <v>0</v>
      </c>
      <c r="AK267" s="27" t="n">
        <f aca="false">ROUND(MAX(0,AK266*(1+D$8)-BG267),2)</f>
        <v>0</v>
      </c>
      <c r="AL267" s="27" t="n">
        <f aca="false">ROUND(MAX(0,AL266*(1+E$8)-BH267),2)</f>
        <v>0</v>
      </c>
      <c r="AM267" s="27" t="n">
        <f aca="false">ROUND(MAX(0,AM266*(1+F$8)-BI267),2)</f>
        <v>0</v>
      </c>
      <c r="AN267" s="27" t="n">
        <f aca="false">ROUND(MAX(0,AN266*(1+G$8)-BJ267),2)</f>
        <v>0</v>
      </c>
      <c r="AO267" s="27" t="n">
        <f aca="false">ROUND(MAX(0,AO266*(1+H$8)-BK267),2)</f>
        <v>0</v>
      </c>
      <c r="AP267" s="27" t="n">
        <f aca="false">ROUND(MAX(0,AP266*(1+I$8)-BL267),2)</f>
        <v>0</v>
      </c>
      <c r="AQ267" s="27" t="n">
        <f aca="false">ROUND(MAX(0,AQ266*(1+J$8)-BM267),2)</f>
        <v>0</v>
      </c>
      <c r="AR267" s="27" t="n">
        <f aca="false">ROUND(MAX(0,AR266*(1+K$8)-BN267),2)</f>
        <v>0</v>
      </c>
      <c r="AS267" s="27" t="n">
        <f aca="false">SUM(AI267:AR267)</f>
        <v>0</v>
      </c>
      <c r="AT267" s="27" t="n">
        <f aca="false">SUMPRODUCT(AI266:AR266,$B$8:$K$8)</f>
        <v>0</v>
      </c>
      <c r="AU267" s="27" t="n">
        <f aca="false">MIN(AI266*(1+B$8),B$9)</f>
        <v>0</v>
      </c>
      <c r="AV267" s="27" t="n">
        <f aca="false">MIN(AJ266*(1+C$8),C$9)</f>
        <v>0</v>
      </c>
      <c r="AW267" s="27" t="n">
        <f aca="false">MIN(AK266*(1+D$8),D$9)</f>
        <v>0</v>
      </c>
      <c r="AX267" s="27" t="n">
        <f aca="false">MIN(AL266*(1+E$8),E$9)</f>
        <v>0</v>
      </c>
      <c r="AY267" s="27" t="n">
        <f aca="false">MIN(AM266*(1+F$8),F$9)</f>
        <v>0</v>
      </c>
      <c r="AZ267" s="27" t="n">
        <f aca="false">MIN(AN266*(1+G$8),G$9)</f>
        <v>0</v>
      </c>
      <c r="BA267" s="27" t="n">
        <f aca="false">MIN(AO266*(1+H$8),H$9)</f>
        <v>0</v>
      </c>
      <c r="BB267" s="27" t="n">
        <f aca="false">MIN(AP266*(1+I$8),I$9)</f>
        <v>0</v>
      </c>
      <c r="BC267" s="27" t="n">
        <f aca="false">MIN(AQ266*(1+J$8),J$9)</f>
        <v>0</v>
      </c>
      <c r="BD267" s="27" t="n">
        <f aca="false">MIN(AR266*(1+K$8),K$9)</f>
        <v>0</v>
      </c>
      <c r="BE267" s="27" t="n">
        <f aca="false">MIN(AI266*(1+B$8),MAX(AU267,$B$12-SUM(AV267:BD267)))</f>
        <v>0</v>
      </c>
      <c r="BF267" s="27" t="n">
        <f aca="false">MIN(AJ266*(1+C$8),MAX(AV267,$B$12-SUM(BE267:BE267)-SUM(AW267:BD267)))</f>
        <v>0</v>
      </c>
      <c r="BG267" s="27" t="n">
        <f aca="false">MIN(AK266*(1+D$8),MAX(AW267,$B$12-SUM(BE267:BF267)-SUM(AX267:BD267)))</f>
        <v>0</v>
      </c>
      <c r="BH267" s="27" t="n">
        <f aca="false">MIN(AL266*(1+E$8),MAX(AX267,$B$12-SUM(BE267:BG267)-SUM(AY267:BD267)))</f>
        <v>0</v>
      </c>
      <c r="BI267" s="27" t="n">
        <f aca="false">MIN(AM266*(1+F$8),MAX(AY267,$B$12-SUM(BE267:BH267)-SUM(AZ267:BD267)))</f>
        <v>0</v>
      </c>
      <c r="BJ267" s="27" t="n">
        <f aca="false">MIN(AN266*(1+G$8),MAX(AZ267,$B$12-SUM(BE267:BI267)-SUM(BA267:BD267)))</f>
        <v>0</v>
      </c>
      <c r="BK267" s="27" t="n">
        <f aca="false">MIN(AO266*(1+H$8),MAX(BA267,$B$12-SUM(BE267:BJ267)-SUM(BB267:BD267)))</f>
        <v>0</v>
      </c>
      <c r="BL267" s="27" t="n">
        <f aca="false">MIN(AP266*(1+I$8),MAX(BB267,$B$12-SUM(BE267:BK267)-SUM(BC267:BD267)))</f>
        <v>0</v>
      </c>
      <c r="BM267" s="27" t="n">
        <f aca="false">MIN(AQ266*(1+J$8),MAX(BC267,$B$12-SUM(BE267:BL267)-SUM(BD267:BD267)))</f>
        <v>0</v>
      </c>
      <c r="BN267" s="27" t="n">
        <f aca="false">MIN(AR266*(1+K$8),MAX(BD267,$B$12-SUM(BE267:BM267)))</f>
        <v>0</v>
      </c>
    </row>
    <row r="268" customFormat="false" ht="15" hidden="false" customHeight="false" outlineLevel="0" collapsed="false">
      <c r="A268" s="0" t="n">
        <v>254</v>
      </c>
      <c r="B268" s="27" t="n">
        <f aca="false">ROUND(MAX(0,B267*(1+B$8)-X268),2)</f>
        <v>0</v>
      </c>
      <c r="C268" s="27" t="n">
        <f aca="false">ROUND(MAX(0,C267*(1+C$8)-Y268),2)</f>
        <v>0</v>
      </c>
      <c r="D268" s="27" t="n">
        <f aca="false">ROUND(MAX(0,D267*(1+D$8)-Z268),2)</f>
        <v>0</v>
      </c>
      <c r="E268" s="27" t="n">
        <f aca="false">ROUND(MAX(0,E267*(1+E$8)-AA268),2)</f>
        <v>0</v>
      </c>
      <c r="F268" s="27" t="n">
        <f aca="false">ROUND(MAX(0,F267*(1+F$8)-AB268),2)</f>
        <v>0</v>
      </c>
      <c r="G268" s="27" t="n">
        <f aca="false">ROUND(MAX(0,G267*(1+G$8)-AC268),2)</f>
        <v>0</v>
      </c>
      <c r="H268" s="27" t="n">
        <f aca="false">ROUND(MAX(0,H267*(1+H$8)-AD268),2)</f>
        <v>0</v>
      </c>
      <c r="I268" s="27" t="n">
        <f aca="false">ROUND(MAX(0,I267*(1+I$8)-AE268),2)</f>
        <v>0</v>
      </c>
      <c r="J268" s="27" t="n">
        <f aca="false">ROUND(MAX(0,J267*(1+J$8)-AF268),2)</f>
        <v>0</v>
      </c>
      <c r="K268" s="27" t="n">
        <f aca="false">ROUND(MAX(0,K267*(1+K$8)-AG268),2)</f>
        <v>0</v>
      </c>
      <c r="L268" s="30" t="n">
        <f aca="false">SUM(B268:K268)</f>
        <v>0</v>
      </c>
      <c r="M268" s="27" t="n">
        <f aca="false">SUMPRODUCT(B267:K267,$B$8:$K$8)</f>
        <v>0</v>
      </c>
      <c r="N268" s="27" t="n">
        <f aca="false">MIN(B267*(1+B$8),B$9)</f>
        <v>0</v>
      </c>
      <c r="O268" s="27" t="n">
        <f aca="false">MIN(C267*(1+C$8),C$9)</f>
        <v>0</v>
      </c>
      <c r="P268" s="27" t="n">
        <f aca="false">MIN(D267*(1+D$8),D$9)</f>
        <v>0</v>
      </c>
      <c r="Q268" s="27" t="n">
        <f aca="false">MIN(E267*(1+E$8),E$9)</f>
        <v>0</v>
      </c>
      <c r="R268" s="27" t="n">
        <f aca="false">MIN(F267*(1+F$8),F$9)</f>
        <v>0</v>
      </c>
      <c r="S268" s="27" t="n">
        <f aca="false">MIN(G267*(1+G$8),G$9)</f>
        <v>0</v>
      </c>
      <c r="T268" s="27" t="n">
        <f aca="false">MIN(H267*(1+H$8),H$9)</f>
        <v>0</v>
      </c>
      <c r="U268" s="27" t="n">
        <f aca="false">MIN(I267*(1+I$8),I$9)</f>
        <v>0</v>
      </c>
      <c r="V268" s="27" t="n">
        <f aca="false">MIN(J267*(1+J$8),J$9)</f>
        <v>0</v>
      </c>
      <c r="W268" s="27" t="n">
        <f aca="false">MIN(K267*(1+K$8),K$9)</f>
        <v>0</v>
      </c>
      <c r="X268" s="27" t="n">
        <f aca="false">MIN(B267*(1+B$8),MAX(N268,$B$11-SUM(O268:W268)))</f>
        <v>0</v>
      </c>
      <c r="Y268" s="27" t="n">
        <f aca="false">MIN(C267*(1+C$8),MAX(O268,$B$11-SUM(X268:X268)-SUM(P268:W268)))</f>
        <v>0</v>
      </c>
      <c r="Z268" s="27" t="n">
        <f aca="false">MIN(D267*(1+D$8),MAX(P268,$B$11-SUM(X268:Y268)-SUM(Q268:W268)))</f>
        <v>0</v>
      </c>
      <c r="AA268" s="27" t="n">
        <f aca="false">MIN(E267*(1+E$8),MAX(Q268,$B$11-SUM(X268:Z268)-SUM(R268:W268)))</f>
        <v>0</v>
      </c>
      <c r="AB268" s="27" t="n">
        <f aca="false">MIN(F267*(1+F$8),MAX(R268,$B$11-SUM(X268:AA268)-SUM(S268:W268)))</f>
        <v>0</v>
      </c>
      <c r="AC268" s="27" t="n">
        <f aca="false">MIN(G267*(1+G$8),MAX(S268,$B$11-SUM(X268:AB268)-SUM(T268:W268)))</f>
        <v>0</v>
      </c>
      <c r="AD268" s="27" t="n">
        <f aca="false">MIN(H267*(1+H$8),MAX(T268,$B$11-SUM(X268:AC268)-SUM(U268:W268)))</f>
        <v>0</v>
      </c>
      <c r="AE268" s="27" t="n">
        <f aca="false">MIN(I267*(1+I$8),MAX(U268,$B$11-SUM(X268:AD268)-SUM(V268:W268)))</f>
        <v>0</v>
      </c>
      <c r="AF268" s="27" t="n">
        <f aca="false">MIN(J267*(1+J$8),MAX(V268,$B$11-SUM(X268:AE268)-SUM(W268:W268)))</f>
        <v>0</v>
      </c>
      <c r="AG268" s="27" t="n">
        <f aca="false">MIN(K267*(1+K$8),MAX(W268,$B$11-SUM(X268:AF268)))</f>
        <v>0</v>
      </c>
      <c r="AI268" s="27" t="n">
        <f aca="false">ROUND(MAX(0,AI267*(1+B$8)-BE268),2)</f>
        <v>0</v>
      </c>
      <c r="AJ268" s="27" t="n">
        <f aca="false">ROUND(MAX(0,AJ267*(1+C$8)-BF268),2)</f>
        <v>0</v>
      </c>
      <c r="AK268" s="27" t="n">
        <f aca="false">ROUND(MAX(0,AK267*(1+D$8)-BG268),2)</f>
        <v>0</v>
      </c>
      <c r="AL268" s="27" t="n">
        <f aca="false">ROUND(MAX(0,AL267*(1+E$8)-BH268),2)</f>
        <v>0</v>
      </c>
      <c r="AM268" s="27" t="n">
        <f aca="false">ROUND(MAX(0,AM267*(1+F$8)-BI268),2)</f>
        <v>0</v>
      </c>
      <c r="AN268" s="27" t="n">
        <f aca="false">ROUND(MAX(0,AN267*(1+G$8)-BJ268),2)</f>
        <v>0</v>
      </c>
      <c r="AO268" s="27" t="n">
        <f aca="false">ROUND(MAX(0,AO267*(1+H$8)-BK268),2)</f>
        <v>0</v>
      </c>
      <c r="AP268" s="27" t="n">
        <f aca="false">ROUND(MAX(0,AP267*(1+I$8)-BL268),2)</f>
        <v>0</v>
      </c>
      <c r="AQ268" s="27" t="n">
        <f aca="false">ROUND(MAX(0,AQ267*(1+J$8)-BM268),2)</f>
        <v>0</v>
      </c>
      <c r="AR268" s="27" t="n">
        <f aca="false">ROUND(MAX(0,AR267*(1+K$8)-BN268),2)</f>
        <v>0</v>
      </c>
      <c r="AS268" s="27" t="n">
        <f aca="false">SUM(AI268:AR268)</f>
        <v>0</v>
      </c>
      <c r="AT268" s="27" t="n">
        <f aca="false">SUMPRODUCT(AI267:AR267,$B$8:$K$8)</f>
        <v>0</v>
      </c>
      <c r="AU268" s="27" t="n">
        <f aca="false">MIN(AI267*(1+B$8),B$9)</f>
        <v>0</v>
      </c>
      <c r="AV268" s="27" t="n">
        <f aca="false">MIN(AJ267*(1+C$8),C$9)</f>
        <v>0</v>
      </c>
      <c r="AW268" s="27" t="n">
        <f aca="false">MIN(AK267*(1+D$8),D$9)</f>
        <v>0</v>
      </c>
      <c r="AX268" s="27" t="n">
        <f aca="false">MIN(AL267*(1+E$8),E$9)</f>
        <v>0</v>
      </c>
      <c r="AY268" s="27" t="n">
        <f aca="false">MIN(AM267*(1+F$8),F$9)</f>
        <v>0</v>
      </c>
      <c r="AZ268" s="27" t="n">
        <f aca="false">MIN(AN267*(1+G$8),G$9)</f>
        <v>0</v>
      </c>
      <c r="BA268" s="27" t="n">
        <f aca="false">MIN(AO267*(1+H$8),H$9)</f>
        <v>0</v>
      </c>
      <c r="BB268" s="27" t="n">
        <f aca="false">MIN(AP267*(1+I$8),I$9)</f>
        <v>0</v>
      </c>
      <c r="BC268" s="27" t="n">
        <f aca="false">MIN(AQ267*(1+J$8),J$9)</f>
        <v>0</v>
      </c>
      <c r="BD268" s="27" t="n">
        <f aca="false">MIN(AR267*(1+K$8),K$9)</f>
        <v>0</v>
      </c>
      <c r="BE268" s="27" t="n">
        <f aca="false">MIN(AI267*(1+B$8),MAX(AU268,$B$12-SUM(AV268:BD268)))</f>
        <v>0</v>
      </c>
      <c r="BF268" s="27" t="n">
        <f aca="false">MIN(AJ267*(1+C$8),MAX(AV268,$B$12-SUM(BE268:BE268)-SUM(AW268:BD268)))</f>
        <v>0</v>
      </c>
      <c r="BG268" s="27" t="n">
        <f aca="false">MIN(AK267*(1+D$8),MAX(AW268,$B$12-SUM(BE268:BF268)-SUM(AX268:BD268)))</f>
        <v>0</v>
      </c>
      <c r="BH268" s="27" t="n">
        <f aca="false">MIN(AL267*(1+E$8),MAX(AX268,$B$12-SUM(BE268:BG268)-SUM(AY268:BD268)))</f>
        <v>0</v>
      </c>
      <c r="BI268" s="27" t="n">
        <f aca="false">MIN(AM267*(1+F$8),MAX(AY268,$B$12-SUM(BE268:BH268)-SUM(AZ268:BD268)))</f>
        <v>0</v>
      </c>
      <c r="BJ268" s="27" t="n">
        <f aca="false">MIN(AN267*(1+G$8),MAX(AZ268,$B$12-SUM(BE268:BI268)-SUM(BA268:BD268)))</f>
        <v>0</v>
      </c>
      <c r="BK268" s="27" t="n">
        <f aca="false">MIN(AO267*(1+H$8),MAX(BA268,$B$12-SUM(BE268:BJ268)-SUM(BB268:BD268)))</f>
        <v>0</v>
      </c>
      <c r="BL268" s="27" t="n">
        <f aca="false">MIN(AP267*(1+I$8),MAX(BB268,$B$12-SUM(BE268:BK268)-SUM(BC268:BD268)))</f>
        <v>0</v>
      </c>
      <c r="BM268" s="27" t="n">
        <f aca="false">MIN(AQ267*(1+J$8),MAX(BC268,$B$12-SUM(BE268:BL268)-SUM(BD268:BD268)))</f>
        <v>0</v>
      </c>
      <c r="BN268" s="27" t="n">
        <f aca="false">MIN(AR267*(1+K$8),MAX(BD268,$B$12-SUM(BE268:BM268)))</f>
        <v>0</v>
      </c>
    </row>
    <row r="269" customFormat="false" ht="15" hidden="false" customHeight="false" outlineLevel="0" collapsed="false">
      <c r="A269" s="0" t="n">
        <v>255</v>
      </c>
      <c r="B269" s="27" t="n">
        <f aca="false">ROUND(MAX(0,B268*(1+B$8)-X269),2)</f>
        <v>0</v>
      </c>
      <c r="C269" s="27" t="n">
        <f aca="false">ROUND(MAX(0,C268*(1+C$8)-Y269),2)</f>
        <v>0</v>
      </c>
      <c r="D269" s="27" t="n">
        <f aca="false">ROUND(MAX(0,D268*(1+D$8)-Z269),2)</f>
        <v>0</v>
      </c>
      <c r="E269" s="27" t="n">
        <f aca="false">ROUND(MAX(0,E268*(1+E$8)-AA269),2)</f>
        <v>0</v>
      </c>
      <c r="F269" s="27" t="n">
        <f aca="false">ROUND(MAX(0,F268*(1+F$8)-AB269),2)</f>
        <v>0</v>
      </c>
      <c r="G269" s="27" t="n">
        <f aca="false">ROUND(MAX(0,G268*(1+G$8)-AC269),2)</f>
        <v>0</v>
      </c>
      <c r="H269" s="27" t="n">
        <f aca="false">ROUND(MAX(0,H268*(1+H$8)-AD269),2)</f>
        <v>0</v>
      </c>
      <c r="I269" s="27" t="n">
        <f aca="false">ROUND(MAX(0,I268*(1+I$8)-AE269),2)</f>
        <v>0</v>
      </c>
      <c r="J269" s="27" t="n">
        <f aca="false">ROUND(MAX(0,J268*(1+J$8)-AF269),2)</f>
        <v>0</v>
      </c>
      <c r="K269" s="27" t="n">
        <f aca="false">ROUND(MAX(0,K268*(1+K$8)-AG269),2)</f>
        <v>0</v>
      </c>
      <c r="L269" s="30" t="n">
        <f aca="false">SUM(B269:K269)</f>
        <v>0</v>
      </c>
      <c r="M269" s="27" t="n">
        <f aca="false">SUMPRODUCT(B268:K268,$B$8:$K$8)</f>
        <v>0</v>
      </c>
      <c r="N269" s="27" t="n">
        <f aca="false">MIN(B268*(1+B$8),B$9)</f>
        <v>0</v>
      </c>
      <c r="O269" s="27" t="n">
        <f aca="false">MIN(C268*(1+C$8),C$9)</f>
        <v>0</v>
      </c>
      <c r="P269" s="27" t="n">
        <f aca="false">MIN(D268*(1+D$8),D$9)</f>
        <v>0</v>
      </c>
      <c r="Q269" s="27" t="n">
        <f aca="false">MIN(E268*(1+E$8),E$9)</f>
        <v>0</v>
      </c>
      <c r="R269" s="27" t="n">
        <f aca="false">MIN(F268*(1+F$8),F$9)</f>
        <v>0</v>
      </c>
      <c r="S269" s="27" t="n">
        <f aca="false">MIN(G268*(1+G$8),G$9)</f>
        <v>0</v>
      </c>
      <c r="T269" s="27" t="n">
        <f aca="false">MIN(H268*(1+H$8),H$9)</f>
        <v>0</v>
      </c>
      <c r="U269" s="27" t="n">
        <f aca="false">MIN(I268*(1+I$8),I$9)</f>
        <v>0</v>
      </c>
      <c r="V269" s="27" t="n">
        <f aca="false">MIN(J268*(1+J$8),J$9)</f>
        <v>0</v>
      </c>
      <c r="W269" s="27" t="n">
        <f aca="false">MIN(K268*(1+K$8),K$9)</f>
        <v>0</v>
      </c>
      <c r="X269" s="27" t="n">
        <f aca="false">MIN(B268*(1+B$8),MAX(N269,$B$11-SUM(O269:W269)))</f>
        <v>0</v>
      </c>
      <c r="Y269" s="27" t="n">
        <f aca="false">MIN(C268*(1+C$8),MAX(O269,$B$11-SUM(X269:X269)-SUM(P269:W269)))</f>
        <v>0</v>
      </c>
      <c r="Z269" s="27" t="n">
        <f aca="false">MIN(D268*(1+D$8),MAX(P269,$B$11-SUM(X269:Y269)-SUM(Q269:W269)))</f>
        <v>0</v>
      </c>
      <c r="AA269" s="27" t="n">
        <f aca="false">MIN(E268*(1+E$8),MAX(Q269,$B$11-SUM(X269:Z269)-SUM(R269:W269)))</f>
        <v>0</v>
      </c>
      <c r="AB269" s="27" t="n">
        <f aca="false">MIN(F268*(1+F$8),MAX(R269,$B$11-SUM(X269:AA269)-SUM(S269:W269)))</f>
        <v>0</v>
      </c>
      <c r="AC269" s="27" t="n">
        <f aca="false">MIN(G268*(1+G$8),MAX(S269,$B$11-SUM(X269:AB269)-SUM(T269:W269)))</f>
        <v>0</v>
      </c>
      <c r="AD269" s="27" t="n">
        <f aca="false">MIN(H268*(1+H$8),MAX(T269,$B$11-SUM(X269:AC269)-SUM(U269:W269)))</f>
        <v>0</v>
      </c>
      <c r="AE269" s="27" t="n">
        <f aca="false">MIN(I268*(1+I$8),MAX(U269,$B$11-SUM(X269:AD269)-SUM(V269:W269)))</f>
        <v>0</v>
      </c>
      <c r="AF269" s="27" t="n">
        <f aca="false">MIN(J268*(1+J$8),MAX(V269,$B$11-SUM(X269:AE269)-SUM(W269:W269)))</f>
        <v>0</v>
      </c>
      <c r="AG269" s="27" t="n">
        <f aca="false">MIN(K268*(1+K$8),MAX(W269,$B$11-SUM(X269:AF269)))</f>
        <v>0</v>
      </c>
      <c r="AI269" s="27" t="n">
        <f aca="false">ROUND(MAX(0,AI268*(1+B$8)-BE269),2)</f>
        <v>0</v>
      </c>
      <c r="AJ269" s="27" t="n">
        <f aca="false">ROUND(MAX(0,AJ268*(1+C$8)-BF269),2)</f>
        <v>0</v>
      </c>
      <c r="AK269" s="27" t="n">
        <f aca="false">ROUND(MAX(0,AK268*(1+D$8)-BG269),2)</f>
        <v>0</v>
      </c>
      <c r="AL269" s="27" t="n">
        <f aca="false">ROUND(MAX(0,AL268*(1+E$8)-BH269),2)</f>
        <v>0</v>
      </c>
      <c r="AM269" s="27" t="n">
        <f aca="false">ROUND(MAX(0,AM268*(1+F$8)-BI269),2)</f>
        <v>0</v>
      </c>
      <c r="AN269" s="27" t="n">
        <f aca="false">ROUND(MAX(0,AN268*(1+G$8)-BJ269),2)</f>
        <v>0</v>
      </c>
      <c r="AO269" s="27" t="n">
        <f aca="false">ROUND(MAX(0,AO268*(1+H$8)-BK269),2)</f>
        <v>0</v>
      </c>
      <c r="AP269" s="27" t="n">
        <f aca="false">ROUND(MAX(0,AP268*(1+I$8)-BL269),2)</f>
        <v>0</v>
      </c>
      <c r="AQ269" s="27" t="n">
        <f aca="false">ROUND(MAX(0,AQ268*(1+J$8)-BM269),2)</f>
        <v>0</v>
      </c>
      <c r="AR269" s="27" t="n">
        <f aca="false">ROUND(MAX(0,AR268*(1+K$8)-BN269),2)</f>
        <v>0</v>
      </c>
      <c r="AS269" s="27" t="n">
        <f aca="false">SUM(AI269:AR269)</f>
        <v>0</v>
      </c>
      <c r="AT269" s="27" t="n">
        <f aca="false">SUMPRODUCT(AI268:AR268,$B$8:$K$8)</f>
        <v>0</v>
      </c>
      <c r="AU269" s="27" t="n">
        <f aca="false">MIN(AI268*(1+B$8),B$9)</f>
        <v>0</v>
      </c>
      <c r="AV269" s="27" t="n">
        <f aca="false">MIN(AJ268*(1+C$8),C$9)</f>
        <v>0</v>
      </c>
      <c r="AW269" s="27" t="n">
        <f aca="false">MIN(AK268*(1+D$8),D$9)</f>
        <v>0</v>
      </c>
      <c r="AX269" s="27" t="n">
        <f aca="false">MIN(AL268*(1+E$8),E$9)</f>
        <v>0</v>
      </c>
      <c r="AY269" s="27" t="n">
        <f aca="false">MIN(AM268*(1+F$8),F$9)</f>
        <v>0</v>
      </c>
      <c r="AZ269" s="27" t="n">
        <f aca="false">MIN(AN268*(1+G$8),G$9)</f>
        <v>0</v>
      </c>
      <c r="BA269" s="27" t="n">
        <f aca="false">MIN(AO268*(1+H$8),H$9)</f>
        <v>0</v>
      </c>
      <c r="BB269" s="27" t="n">
        <f aca="false">MIN(AP268*(1+I$8),I$9)</f>
        <v>0</v>
      </c>
      <c r="BC269" s="27" t="n">
        <f aca="false">MIN(AQ268*(1+J$8),J$9)</f>
        <v>0</v>
      </c>
      <c r="BD269" s="27" t="n">
        <f aca="false">MIN(AR268*(1+K$8),K$9)</f>
        <v>0</v>
      </c>
      <c r="BE269" s="27" t="n">
        <f aca="false">MIN(AI268*(1+B$8),MAX(AU269,$B$12-SUM(AV269:BD269)))</f>
        <v>0</v>
      </c>
      <c r="BF269" s="27" t="n">
        <f aca="false">MIN(AJ268*(1+C$8),MAX(AV269,$B$12-SUM(BE269:BE269)-SUM(AW269:BD269)))</f>
        <v>0</v>
      </c>
      <c r="BG269" s="27" t="n">
        <f aca="false">MIN(AK268*(1+D$8),MAX(AW269,$B$12-SUM(BE269:BF269)-SUM(AX269:BD269)))</f>
        <v>0</v>
      </c>
      <c r="BH269" s="27" t="n">
        <f aca="false">MIN(AL268*(1+E$8),MAX(AX269,$B$12-SUM(BE269:BG269)-SUM(AY269:BD269)))</f>
        <v>0</v>
      </c>
      <c r="BI269" s="27" t="n">
        <f aca="false">MIN(AM268*(1+F$8),MAX(AY269,$B$12-SUM(BE269:BH269)-SUM(AZ269:BD269)))</f>
        <v>0</v>
      </c>
      <c r="BJ269" s="27" t="n">
        <f aca="false">MIN(AN268*(1+G$8),MAX(AZ269,$B$12-SUM(BE269:BI269)-SUM(BA269:BD269)))</f>
        <v>0</v>
      </c>
      <c r="BK269" s="27" t="n">
        <f aca="false">MIN(AO268*(1+H$8),MAX(BA269,$B$12-SUM(BE269:BJ269)-SUM(BB269:BD269)))</f>
        <v>0</v>
      </c>
      <c r="BL269" s="27" t="n">
        <f aca="false">MIN(AP268*(1+I$8),MAX(BB269,$B$12-SUM(BE269:BK269)-SUM(BC269:BD269)))</f>
        <v>0</v>
      </c>
      <c r="BM269" s="27" t="n">
        <f aca="false">MIN(AQ268*(1+J$8),MAX(BC269,$B$12-SUM(BE269:BL269)-SUM(BD269:BD269)))</f>
        <v>0</v>
      </c>
      <c r="BN269" s="27" t="n">
        <f aca="false">MIN(AR268*(1+K$8),MAX(BD269,$B$12-SUM(BE269:BM269)))</f>
        <v>0</v>
      </c>
    </row>
    <row r="270" customFormat="false" ht="15" hidden="false" customHeight="false" outlineLevel="0" collapsed="false">
      <c r="A270" s="0" t="n">
        <v>256</v>
      </c>
      <c r="B270" s="27" t="n">
        <f aca="false">ROUND(MAX(0,B269*(1+B$8)-X270),2)</f>
        <v>0</v>
      </c>
      <c r="C270" s="27" t="n">
        <f aca="false">ROUND(MAX(0,C269*(1+C$8)-Y270),2)</f>
        <v>0</v>
      </c>
      <c r="D270" s="27" t="n">
        <f aca="false">ROUND(MAX(0,D269*(1+D$8)-Z270),2)</f>
        <v>0</v>
      </c>
      <c r="E270" s="27" t="n">
        <f aca="false">ROUND(MAX(0,E269*(1+E$8)-AA270),2)</f>
        <v>0</v>
      </c>
      <c r="F270" s="27" t="n">
        <f aca="false">ROUND(MAX(0,F269*(1+F$8)-AB270),2)</f>
        <v>0</v>
      </c>
      <c r="G270" s="27" t="n">
        <f aca="false">ROUND(MAX(0,G269*(1+G$8)-AC270),2)</f>
        <v>0</v>
      </c>
      <c r="H270" s="27" t="n">
        <f aca="false">ROUND(MAX(0,H269*(1+H$8)-AD270),2)</f>
        <v>0</v>
      </c>
      <c r="I270" s="27" t="n">
        <f aca="false">ROUND(MAX(0,I269*(1+I$8)-AE270),2)</f>
        <v>0</v>
      </c>
      <c r="J270" s="27" t="n">
        <f aca="false">ROUND(MAX(0,J269*(1+J$8)-AF270),2)</f>
        <v>0</v>
      </c>
      <c r="K270" s="27" t="n">
        <f aca="false">ROUND(MAX(0,K269*(1+K$8)-AG270),2)</f>
        <v>0</v>
      </c>
      <c r="L270" s="30" t="n">
        <f aca="false">SUM(B270:K270)</f>
        <v>0</v>
      </c>
      <c r="M270" s="27" t="n">
        <f aca="false">SUMPRODUCT(B269:K269,$B$8:$K$8)</f>
        <v>0</v>
      </c>
      <c r="N270" s="27" t="n">
        <f aca="false">MIN(B269*(1+B$8),B$9)</f>
        <v>0</v>
      </c>
      <c r="O270" s="27" t="n">
        <f aca="false">MIN(C269*(1+C$8),C$9)</f>
        <v>0</v>
      </c>
      <c r="P270" s="27" t="n">
        <f aca="false">MIN(D269*(1+D$8),D$9)</f>
        <v>0</v>
      </c>
      <c r="Q270" s="27" t="n">
        <f aca="false">MIN(E269*(1+E$8),E$9)</f>
        <v>0</v>
      </c>
      <c r="R270" s="27" t="n">
        <f aca="false">MIN(F269*(1+F$8),F$9)</f>
        <v>0</v>
      </c>
      <c r="S270" s="27" t="n">
        <f aca="false">MIN(G269*(1+G$8),G$9)</f>
        <v>0</v>
      </c>
      <c r="T270" s="27" t="n">
        <f aca="false">MIN(H269*(1+H$8),H$9)</f>
        <v>0</v>
      </c>
      <c r="U270" s="27" t="n">
        <f aca="false">MIN(I269*(1+I$8),I$9)</f>
        <v>0</v>
      </c>
      <c r="V270" s="27" t="n">
        <f aca="false">MIN(J269*(1+J$8),J$9)</f>
        <v>0</v>
      </c>
      <c r="W270" s="27" t="n">
        <f aca="false">MIN(K269*(1+K$8),K$9)</f>
        <v>0</v>
      </c>
      <c r="X270" s="27" t="n">
        <f aca="false">MIN(B269*(1+B$8),MAX(N270,$B$11-SUM(O270:W270)))</f>
        <v>0</v>
      </c>
      <c r="Y270" s="27" t="n">
        <f aca="false">MIN(C269*(1+C$8),MAX(O270,$B$11-SUM(X270:X270)-SUM(P270:W270)))</f>
        <v>0</v>
      </c>
      <c r="Z270" s="27" t="n">
        <f aca="false">MIN(D269*(1+D$8),MAX(P270,$B$11-SUM(X270:Y270)-SUM(Q270:W270)))</f>
        <v>0</v>
      </c>
      <c r="AA270" s="27" t="n">
        <f aca="false">MIN(E269*(1+E$8),MAX(Q270,$B$11-SUM(X270:Z270)-SUM(R270:W270)))</f>
        <v>0</v>
      </c>
      <c r="AB270" s="27" t="n">
        <f aca="false">MIN(F269*(1+F$8),MAX(R270,$B$11-SUM(X270:AA270)-SUM(S270:W270)))</f>
        <v>0</v>
      </c>
      <c r="AC270" s="27" t="n">
        <f aca="false">MIN(G269*(1+G$8),MAX(S270,$B$11-SUM(X270:AB270)-SUM(T270:W270)))</f>
        <v>0</v>
      </c>
      <c r="AD270" s="27" t="n">
        <f aca="false">MIN(H269*(1+H$8),MAX(T270,$B$11-SUM(X270:AC270)-SUM(U270:W270)))</f>
        <v>0</v>
      </c>
      <c r="AE270" s="27" t="n">
        <f aca="false">MIN(I269*(1+I$8),MAX(U270,$B$11-SUM(X270:AD270)-SUM(V270:W270)))</f>
        <v>0</v>
      </c>
      <c r="AF270" s="27" t="n">
        <f aca="false">MIN(J269*(1+J$8),MAX(V270,$B$11-SUM(X270:AE270)-SUM(W270:W270)))</f>
        <v>0</v>
      </c>
      <c r="AG270" s="27" t="n">
        <f aca="false">MIN(K269*(1+K$8),MAX(W270,$B$11-SUM(X270:AF270)))</f>
        <v>0</v>
      </c>
      <c r="AI270" s="27" t="n">
        <f aca="false">ROUND(MAX(0,AI269*(1+B$8)-BE270),2)</f>
        <v>0</v>
      </c>
      <c r="AJ270" s="27" t="n">
        <f aca="false">ROUND(MAX(0,AJ269*(1+C$8)-BF270),2)</f>
        <v>0</v>
      </c>
      <c r="AK270" s="27" t="n">
        <f aca="false">ROUND(MAX(0,AK269*(1+D$8)-BG270),2)</f>
        <v>0</v>
      </c>
      <c r="AL270" s="27" t="n">
        <f aca="false">ROUND(MAX(0,AL269*(1+E$8)-BH270),2)</f>
        <v>0</v>
      </c>
      <c r="AM270" s="27" t="n">
        <f aca="false">ROUND(MAX(0,AM269*(1+F$8)-BI270),2)</f>
        <v>0</v>
      </c>
      <c r="AN270" s="27" t="n">
        <f aca="false">ROUND(MAX(0,AN269*(1+G$8)-BJ270),2)</f>
        <v>0</v>
      </c>
      <c r="AO270" s="27" t="n">
        <f aca="false">ROUND(MAX(0,AO269*(1+H$8)-BK270),2)</f>
        <v>0</v>
      </c>
      <c r="AP270" s="27" t="n">
        <f aca="false">ROUND(MAX(0,AP269*(1+I$8)-BL270),2)</f>
        <v>0</v>
      </c>
      <c r="AQ270" s="27" t="n">
        <f aca="false">ROUND(MAX(0,AQ269*(1+J$8)-BM270),2)</f>
        <v>0</v>
      </c>
      <c r="AR270" s="27" t="n">
        <f aca="false">ROUND(MAX(0,AR269*(1+K$8)-BN270),2)</f>
        <v>0</v>
      </c>
      <c r="AS270" s="27" t="n">
        <f aca="false">SUM(AI270:AR270)</f>
        <v>0</v>
      </c>
      <c r="AT270" s="27" t="n">
        <f aca="false">SUMPRODUCT(AI269:AR269,$B$8:$K$8)</f>
        <v>0</v>
      </c>
      <c r="AU270" s="27" t="n">
        <f aca="false">MIN(AI269*(1+B$8),B$9)</f>
        <v>0</v>
      </c>
      <c r="AV270" s="27" t="n">
        <f aca="false">MIN(AJ269*(1+C$8),C$9)</f>
        <v>0</v>
      </c>
      <c r="AW270" s="27" t="n">
        <f aca="false">MIN(AK269*(1+D$8),D$9)</f>
        <v>0</v>
      </c>
      <c r="AX270" s="27" t="n">
        <f aca="false">MIN(AL269*(1+E$8),E$9)</f>
        <v>0</v>
      </c>
      <c r="AY270" s="27" t="n">
        <f aca="false">MIN(AM269*(1+F$8),F$9)</f>
        <v>0</v>
      </c>
      <c r="AZ270" s="27" t="n">
        <f aca="false">MIN(AN269*(1+G$8),G$9)</f>
        <v>0</v>
      </c>
      <c r="BA270" s="27" t="n">
        <f aca="false">MIN(AO269*(1+H$8),H$9)</f>
        <v>0</v>
      </c>
      <c r="BB270" s="27" t="n">
        <f aca="false">MIN(AP269*(1+I$8),I$9)</f>
        <v>0</v>
      </c>
      <c r="BC270" s="27" t="n">
        <f aca="false">MIN(AQ269*(1+J$8),J$9)</f>
        <v>0</v>
      </c>
      <c r="BD270" s="27" t="n">
        <f aca="false">MIN(AR269*(1+K$8),K$9)</f>
        <v>0</v>
      </c>
      <c r="BE270" s="27" t="n">
        <f aca="false">MIN(AI269*(1+B$8),MAX(AU270,$B$12-SUM(AV270:BD270)))</f>
        <v>0</v>
      </c>
      <c r="BF270" s="27" t="n">
        <f aca="false">MIN(AJ269*(1+C$8),MAX(AV270,$B$12-SUM(BE270:BE270)-SUM(AW270:BD270)))</f>
        <v>0</v>
      </c>
      <c r="BG270" s="27" t="n">
        <f aca="false">MIN(AK269*(1+D$8),MAX(AW270,$B$12-SUM(BE270:BF270)-SUM(AX270:BD270)))</f>
        <v>0</v>
      </c>
      <c r="BH270" s="27" t="n">
        <f aca="false">MIN(AL269*(1+E$8),MAX(AX270,$B$12-SUM(BE270:BG270)-SUM(AY270:BD270)))</f>
        <v>0</v>
      </c>
      <c r="BI270" s="27" t="n">
        <f aca="false">MIN(AM269*(1+F$8),MAX(AY270,$B$12-SUM(BE270:BH270)-SUM(AZ270:BD270)))</f>
        <v>0</v>
      </c>
      <c r="BJ270" s="27" t="n">
        <f aca="false">MIN(AN269*(1+G$8),MAX(AZ270,$B$12-SUM(BE270:BI270)-SUM(BA270:BD270)))</f>
        <v>0</v>
      </c>
      <c r="BK270" s="27" t="n">
        <f aca="false">MIN(AO269*(1+H$8),MAX(BA270,$B$12-SUM(BE270:BJ270)-SUM(BB270:BD270)))</f>
        <v>0</v>
      </c>
      <c r="BL270" s="27" t="n">
        <f aca="false">MIN(AP269*(1+I$8),MAX(BB270,$B$12-SUM(BE270:BK270)-SUM(BC270:BD270)))</f>
        <v>0</v>
      </c>
      <c r="BM270" s="27" t="n">
        <f aca="false">MIN(AQ269*(1+J$8),MAX(BC270,$B$12-SUM(BE270:BL270)-SUM(BD270:BD270)))</f>
        <v>0</v>
      </c>
      <c r="BN270" s="27" t="n">
        <f aca="false">MIN(AR269*(1+K$8),MAX(BD270,$B$12-SUM(BE270:BM270)))</f>
        <v>0</v>
      </c>
    </row>
    <row r="271" customFormat="false" ht="15" hidden="false" customHeight="false" outlineLevel="0" collapsed="false">
      <c r="A271" s="0" t="n">
        <v>257</v>
      </c>
      <c r="B271" s="27" t="n">
        <f aca="false">ROUND(MAX(0,B270*(1+B$8)-X271),2)</f>
        <v>0</v>
      </c>
      <c r="C271" s="27" t="n">
        <f aca="false">ROUND(MAX(0,C270*(1+C$8)-Y271),2)</f>
        <v>0</v>
      </c>
      <c r="D271" s="27" t="n">
        <f aca="false">ROUND(MAX(0,D270*(1+D$8)-Z271),2)</f>
        <v>0</v>
      </c>
      <c r="E271" s="27" t="n">
        <f aca="false">ROUND(MAX(0,E270*(1+E$8)-AA271),2)</f>
        <v>0</v>
      </c>
      <c r="F271" s="27" t="n">
        <f aca="false">ROUND(MAX(0,F270*(1+F$8)-AB271),2)</f>
        <v>0</v>
      </c>
      <c r="G271" s="27" t="n">
        <f aca="false">ROUND(MAX(0,G270*(1+G$8)-AC271),2)</f>
        <v>0</v>
      </c>
      <c r="H271" s="27" t="n">
        <f aca="false">ROUND(MAX(0,H270*(1+H$8)-AD271),2)</f>
        <v>0</v>
      </c>
      <c r="I271" s="27" t="n">
        <f aca="false">ROUND(MAX(0,I270*(1+I$8)-AE271),2)</f>
        <v>0</v>
      </c>
      <c r="J271" s="27" t="n">
        <f aca="false">ROUND(MAX(0,J270*(1+J$8)-AF271),2)</f>
        <v>0</v>
      </c>
      <c r="K271" s="27" t="n">
        <f aca="false">ROUND(MAX(0,K270*(1+K$8)-AG271),2)</f>
        <v>0</v>
      </c>
      <c r="L271" s="30" t="n">
        <f aca="false">SUM(B271:K271)</f>
        <v>0</v>
      </c>
      <c r="M271" s="27" t="n">
        <f aca="false">SUMPRODUCT(B270:K270,$B$8:$K$8)</f>
        <v>0</v>
      </c>
      <c r="N271" s="27" t="n">
        <f aca="false">MIN(B270*(1+B$8),B$9)</f>
        <v>0</v>
      </c>
      <c r="O271" s="27" t="n">
        <f aca="false">MIN(C270*(1+C$8),C$9)</f>
        <v>0</v>
      </c>
      <c r="P271" s="27" t="n">
        <f aca="false">MIN(D270*(1+D$8),D$9)</f>
        <v>0</v>
      </c>
      <c r="Q271" s="27" t="n">
        <f aca="false">MIN(E270*(1+E$8),E$9)</f>
        <v>0</v>
      </c>
      <c r="R271" s="27" t="n">
        <f aca="false">MIN(F270*(1+F$8),F$9)</f>
        <v>0</v>
      </c>
      <c r="S271" s="27" t="n">
        <f aca="false">MIN(G270*(1+G$8),G$9)</f>
        <v>0</v>
      </c>
      <c r="T271" s="27" t="n">
        <f aca="false">MIN(H270*(1+H$8),H$9)</f>
        <v>0</v>
      </c>
      <c r="U271" s="27" t="n">
        <f aca="false">MIN(I270*(1+I$8),I$9)</f>
        <v>0</v>
      </c>
      <c r="V271" s="27" t="n">
        <f aca="false">MIN(J270*(1+J$8),J$9)</f>
        <v>0</v>
      </c>
      <c r="W271" s="27" t="n">
        <f aca="false">MIN(K270*(1+K$8),K$9)</f>
        <v>0</v>
      </c>
      <c r="X271" s="27" t="n">
        <f aca="false">MIN(B270*(1+B$8),MAX(N271,$B$11-SUM(O271:W271)))</f>
        <v>0</v>
      </c>
      <c r="Y271" s="27" t="n">
        <f aca="false">MIN(C270*(1+C$8),MAX(O271,$B$11-SUM(X271:X271)-SUM(P271:W271)))</f>
        <v>0</v>
      </c>
      <c r="Z271" s="27" t="n">
        <f aca="false">MIN(D270*(1+D$8),MAX(P271,$B$11-SUM(X271:Y271)-SUM(Q271:W271)))</f>
        <v>0</v>
      </c>
      <c r="AA271" s="27" t="n">
        <f aca="false">MIN(E270*(1+E$8),MAX(Q271,$B$11-SUM(X271:Z271)-SUM(R271:W271)))</f>
        <v>0</v>
      </c>
      <c r="AB271" s="27" t="n">
        <f aca="false">MIN(F270*(1+F$8),MAX(R271,$B$11-SUM(X271:AA271)-SUM(S271:W271)))</f>
        <v>0</v>
      </c>
      <c r="AC271" s="27" t="n">
        <f aca="false">MIN(G270*(1+G$8),MAX(S271,$B$11-SUM(X271:AB271)-SUM(T271:W271)))</f>
        <v>0</v>
      </c>
      <c r="AD271" s="27" t="n">
        <f aca="false">MIN(H270*(1+H$8),MAX(T271,$B$11-SUM(X271:AC271)-SUM(U271:W271)))</f>
        <v>0</v>
      </c>
      <c r="AE271" s="27" t="n">
        <f aca="false">MIN(I270*(1+I$8),MAX(U271,$B$11-SUM(X271:AD271)-SUM(V271:W271)))</f>
        <v>0</v>
      </c>
      <c r="AF271" s="27" t="n">
        <f aca="false">MIN(J270*(1+J$8),MAX(V271,$B$11-SUM(X271:AE271)-SUM(W271:W271)))</f>
        <v>0</v>
      </c>
      <c r="AG271" s="27" t="n">
        <f aca="false">MIN(K270*(1+K$8),MAX(W271,$B$11-SUM(X271:AF271)))</f>
        <v>0</v>
      </c>
      <c r="AI271" s="27" t="n">
        <f aca="false">ROUND(MAX(0,AI270*(1+B$8)-BE271),2)</f>
        <v>0</v>
      </c>
      <c r="AJ271" s="27" t="n">
        <f aca="false">ROUND(MAX(0,AJ270*(1+C$8)-BF271),2)</f>
        <v>0</v>
      </c>
      <c r="AK271" s="27" t="n">
        <f aca="false">ROUND(MAX(0,AK270*(1+D$8)-BG271),2)</f>
        <v>0</v>
      </c>
      <c r="AL271" s="27" t="n">
        <f aca="false">ROUND(MAX(0,AL270*(1+E$8)-BH271),2)</f>
        <v>0</v>
      </c>
      <c r="AM271" s="27" t="n">
        <f aca="false">ROUND(MAX(0,AM270*(1+F$8)-BI271),2)</f>
        <v>0</v>
      </c>
      <c r="AN271" s="27" t="n">
        <f aca="false">ROUND(MAX(0,AN270*(1+G$8)-BJ271),2)</f>
        <v>0</v>
      </c>
      <c r="AO271" s="27" t="n">
        <f aca="false">ROUND(MAX(0,AO270*(1+H$8)-BK271),2)</f>
        <v>0</v>
      </c>
      <c r="AP271" s="27" t="n">
        <f aca="false">ROUND(MAX(0,AP270*(1+I$8)-BL271),2)</f>
        <v>0</v>
      </c>
      <c r="AQ271" s="27" t="n">
        <f aca="false">ROUND(MAX(0,AQ270*(1+J$8)-BM271),2)</f>
        <v>0</v>
      </c>
      <c r="AR271" s="27" t="n">
        <f aca="false">ROUND(MAX(0,AR270*(1+K$8)-BN271),2)</f>
        <v>0</v>
      </c>
      <c r="AS271" s="27" t="n">
        <f aca="false">SUM(AI271:AR271)</f>
        <v>0</v>
      </c>
      <c r="AT271" s="27" t="n">
        <f aca="false">SUMPRODUCT(AI270:AR270,$B$8:$K$8)</f>
        <v>0</v>
      </c>
      <c r="AU271" s="27" t="n">
        <f aca="false">MIN(AI270*(1+B$8),B$9)</f>
        <v>0</v>
      </c>
      <c r="AV271" s="27" t="n">
        <f aca="false">MIN(AJ270*(1+C$8),C$9)</f>
        <v>0</v>
      </c>
      <c r="AW271" s="27" t="n">
        <f aca="false">MIN(AK270*(1+D$8),D$9)</f>
        <v>0</v>
      </c>
      <c r="AX271" s="27" t="n">
        <f aca="false">MIN(AL270*(1+E$8),E$9)</f>
        <v>0</v>
      </c>
      <c r="AY271" s="27" t="n">
        <f aca="false">MIN(AM270*(1+F$8),F$9)</f>
        <v>0</v>
      </c>
      <c r="AZ271" s="27" t="n">
        <f aca="false">MIN(AN270*(1+G$8),G$9)</f>
        <v>0</v>
      </c>
      <c r="BA271" s="27" t="n">
        <f aca="false">MIN(AO270*(1+H$8),H$9)</f>
        <v>0</v>
      </c>
      <c r="BB271" s="27" t="n">
        <f aca="false">MIN(AP270*(1+I$8),I$9)</f>
        <v>0</v>
      </c>
      <c r="BC271" s="27" t="n">
        <f aca="false">MIN(AQ270*(1+J$8),J$9)</f>
        <v>0</v>
      </c>
      <c r="BD271" s="27" t="n">
        <f aca="false">MIN(AR270*(1+K$8),K$9)</f>
        <v>0</v>
      </c>
      <c r="BE271" s="27" t="n">
        <f aca="false">MIN(AI270*(1+B$8),MAX(AU271,$B$12-SUM(AV271:BD271)))</f>
        <v>0</v>
      </c>
      <c r="BF271" s="27" t="n">
        <f aca="false">MIN(AJ270*(1+C$8),MAX(AV271,$B$12-SUM(BE271:BE271)-SUM(AW271:BD271)))</f>
        <v>0</v>
      </c>
      <c r="BG271" s="27" t="n">
        <f aca="false">MIN(AK270*(1+D$8),MAX(AW271,$B$12-SUM(BE271:BF271)-SUM(AX271:BD271)))</f>
        <v>0</v>
      </c>
      <c r="BH271" s="27" t="n">
        <f aca="false">MIN(AL270*(1+E$8),MAX(AX271,$B$12-SUM(BE271:BG271)-SUM(AY271:BD271)))</f>
        <v>0</v>
      </c>
      <c r="BI271" s="27" t="n">
        <f aca="false">MIN(AM270*(1+F$8),MAX(AY271,$B$12-SUM(BE271:BH271)-SUM(AZ271:BD271)))</f>
        <v>0</v>
      </c>
      <c r="BJ271" s="27" t="n">
        <f aca="false">MIN(AN270*(1+G$8),MAX(AZ271,$B$12-SUM(BE271:BI271)-SUM(BA271:BD271)))</f>
        <v>0</v>
      </c>
      <c r="BK271" s="27" t="n">
        <f aca="false">MIN(AO270*(1+H$8),MAX(BA271,$B$12-SUM(BE271:BJ271)-SUM(BB271:BD271)))</f>
        <v>0</v>
      </c>
      <c r="BL271" s="27" t="n">
        <f aca="false">MIN(AP270*(1+I$8),MAX(BB271,$B$12-SUM(BE271:BK271)-SUM(BC271:BD271)))</f>
        <v>0</v>
      </c>
      <c r="BM271" s="27" t="n">
        <f aca="false">MIN(AQ270*(1+J$8),MAX(BC271,$B$12-SUM(BE271:BL271)-SUM(BD271:BD271)))</f>
        <v>0</v>
      </c>
      <c r="BN271" s="27" t="n">
        <f aca="false">MIN(AR270*(1+K$8),MAX(BD271,$B$12-SUM(BE271:BM271)))</f>
        <v>0</v>
      </c>
    </row>
    <row r="272" customFormat="false" ht="15" hidden="false" customHeight="false" outlineLevel="0" collapsed="false">
      <c r="A272" s="0" t="n">
        <v>258</v>
      </c>
      <c r="B272" s="27" t="n">
        <f aca="false">ROUND(MAX(0,B271*(1+B$8)-X272),2)</f>
        <v>0</v>
      </c>
      <c r="C272" s="27" t="n">
        <f aca="false">ROUND(MAX(0,C271*(1+C$8)-Y272),2)</f>
        <v>0</v>
      </c>
      <c r="D272" s="27" t="n">
        <f aca="false">ROUND(MAX(0,D271*(1+D$8)-Z272),2)</f>
        <v>0</v>
      </c>
      <c r="E272" s="27" t="n">
        <f aca="false">ROUND(MAX(0,E271*(1+E$8)-AA272),2)</f>
        <v>0</v>
      </c>
      <c r="F272" s="27" t="n">
        <f aca="false">ROUND(MAX(0,F271*(1+F$8)-AB272),2)</f>
        <v>0</v>
      </c>
      <c r="G272" s="27" t="n">
        <f aca="false">ROUND(MAX(0,G271*(1+G$8)-AC272),2)</f>
        <v>0</v>
      </c>
      <c r="H272" s="27" t="n">
        <f aca="false">ROUND(MAX(0,H271*(1+H$8)-AD272),2)</f>
        <v>0</v>
      </c>
      <c r="I272" s="27" t="n">
        <f aca="false">ROUND(MAX(0,I271*(1+I$8)-AE272),2)</f>
        <v>0</v>
      </c>
      <c r="J272" s="27" t="n">
        <f aca="false">ROUND(MAX(0,J271*(1+J$8)-AF272),2)</f>
        <v>0</v>
      </c>
      <c r="K272" s="27" t="n">
        <f aca="false">ROUND(MAX(0,K271*(1+K$8)-AG272),2)</f>
        <v>0</v>
      </c>
      <c r="L272" s="30" t="n">
        <f aca="false">SUM(B272:K272)</f>
        <v>0</v>
      </c>
      <c r="M272" s="27" t="n">
        <f aca="false">SUMPRODUCT(B271:K271,$B$8:$K$8)</f>
        <v>0</v>
      </c>
      <c r="N272" s="27" t="n">
        <f aca="false">MIN(B271*(1+B$8),B$9)</f>
        <v>0</v>
      </c>
      <c r="O272" s="27" t="n">
        <f aca="false">MIN(C271*(1+C$8),C$9)</f>
        <v>0</v>
      </c>
      <c r="P272" s="27" t="n">
        <f aca="false">MIN(D271*(1+D$8),D$9)</f>
        <v>0</v>
      </c>
      <c r="Q272" s="27" t="n">
        <f aca="false">MIN(E271*(1+E$8),E$9)</f>
        <v>0</v>
      </c>
      <c r="R272" s="27" t="n">
        <f aca="false">MIN(F271*(1+F$8),F$9)</f>
        <v>0</v>
      </c>
      <c r="S272" s="27" t="n">
        <f aca="false">MIN(G271*(1+G$8),G$9)</f>
        <v>0</v>
      </c>
      <c r="T272" s="27" t="n">
        <f aca="false">MIN(H271*(1+H$8),H$9)</f>
        <v>0</v>
      </c>
      <c r="U272" s="27" t="n">
        <f aca="false">MIN(I271*(1+I$8),I$9)</f>
        <v>0</v>
      </c>
      <c r="V272" s="27" t="n">
        <f aca="false">MIN(J271*(1+J$8),J$9)</f>
        <v>0</v>
      </c>
      <c r="W272" s="27" t="n">
        <f aca="false">MIN(K271*(1+K$8),K$9)</f>
        <v>0</v>
      </c>
      <c r="X272" s="27" t="n">
        <f aca="false">MIN(B271*(1+B$8),MAX(N272,$B$11-SUM(O272:W272)))</f>
        <v>0</v>
      </c>
      <c r="Y272" s="27" t="n">
        <f aca="false">MIN(C271*(1+C$8),MAX(O272,$B$11-SUM(X272:X272)-SUM(P272:W272)))</f>
        <v>0</v>
      </c>
      <c r="Z272" s="27" t="n">
        <f aca="false">MIN(D271*(1+D$8),MAX(P272,$B$11-SUM(X272:Y272)-SUM(Q272:W272)))</f>
        <v>0</v>
      </c>
      <c r="AA272" s="27" t="n">
        <f aca="false">MIN(E271*(1+E$8),MAX(Q272,$B$11-SUM(X272:Z272)-SUM(R272:W272)))</f>
        <v>0</v>
      </c>
      <c r="AB272" s="27" t="n">
        <f aca="false">MIN(F271*(1+F$8),MAX(R272,$B$11-SUM(X272:AA272)-SUM(S272:W272)))</f>
        <v>0</v>
      </c>
      <c r="AC272" s="27" t="n">
        <f aca="false">MIN(G271*(1+G$8),MAX(S272,$B$11-SUM(X272:AB272)-SUM(T272:W272)))</f>
        <v>0</v>
      </c>
      <c r="AD272" s="27" t="n">
        <f aca="false">MIN(H271*(1+H$8),MAX(T272,$B$11-SUM(X272:AC272)-SUM(U272:W272)))</f>
        <v>0</v>
      </c>
      <c r="AE272" s="27" t="n">
        <f aca="false">MIN(I271*(1+I$8),MAX(U272,$B$11-SUM(X272:AD272)-SUM(V272:W272)))</f>
        <v>0</v>
      </c>
      <c r="AF272" s="27" t="n">
        <f aca="false">MIN(J271*(1+J$8),MAX(V272,$B$11-SUM(X272:AE272)-SUM(W272:W272)))</f>
        <v>0</v>
      </c>
      <c r="AG272" s="27" t="n">
        <f aca="false">MIN(K271*(1+K$8),MAX(W272,$B$11-SUM(X272:AF272)))</f>
        <v>0</v>
      </c>
      <c r="AI272" s="27" t="n">
        <f aca="false">ROUND(MAX(0,AI271*(1+B$8)-BE272),2)</f>
        <v>0</v>
      </c>
      <c r="AJ272" s="27" t="n">
        <f aca="false">ROUND(MAX(0,AJ271*(1+C$8)-BF272),2)</f>
        <v>0</v>
      </c>
      <c r="AK272" s="27" t="n">
        <f aca="false">ROUND(MAX(0,AK271*(1+D$8)-BG272),2)</f>
        <v>0</v>
      </c>
      <c r="AL272" s="27" t="n">
        <f aca="false">ROUND(MAX(0,AL271*(1+E$8)-BH272),2)</f>
        <v>0</v>
      </c>
      <c r="AM272" s="27" t="n">
        <f aca="false">ROUND(MAX(0,AM271*(1+F$8)-BI272),2)</f>
        <v>0</v>
      </c>
      <c r="AN272" s="27" t="n">
        <f aca="false">ROUND(MAX(0,AN271*(1+G$8)-BJ272),2)</f>
        <v>0</v>
      </c>
      <c r="AO272" s="27" t="n">
        <f aca="false">ROUND(MAX(0,AO271*(1+H$8)-BK272),2)</f>
        <v>0</v>
      </c>
      <c r="AP272" s="27" t="n">
        <f aca="false">ROUND(MAX(0,AP271*(1+I$8)-BL272),2)</f>
        <v>0</v>
      </c>
      <c r="AQ272" s="27" t="n">
        <f aca="false">ROUND(MAX(0,AQ271*(1+J$8)-BM272),2)</f>
        <v>0</v>
      </c>
      <c r="AR272" s="27" t="n">
        <f aca="false">ROUND(MAX(0,AR271*(1+K$8)-BN272),2)</f>
        <v>0</v>
      </c>
      <c r="AS272" s="27" t="n">
        <f aca="false">SUM(AI272:AR272)</f>
        <v>0</v>
      </c>
      <c r="AT272" s="27" t="n">
        <f aca="false">SUMPRODUCT(AI271:AR271,$B$8:$K$8)</f>
        <v>0</v>
      </c>
      <c r="AU272" s="27" t="n">
        <f aca="false">MIN(AI271*(1+B$8),B$9)</f>
        <v>0</v>
      </c>
      <c r="AV272" s="27" t="n">
        <f aca="false">MIN(AJ271*(1+C$8),C$9)</f>
        <v>0</v>
      </c>
      <c r="AW272" s="27" t="n">
        <f aca="false">MIN(AK271*(1+D$8),D$9)</f>
        <v>0</v>
      </c>
      <c r="AX272" s="27" t="n">
        <f aca="false">MIN(AL271*(1+E$8),E$9)</f>
        <v>0</v>
      </c>
      <c r="AY272" s="27" t="n">
        <f aca="false">MIN(AM271*(1+F$8),F$9)</f>
        <v>0</v>
      </c>
      <c r="AZ272" s="27" t="n">
        <f aca="false">MIN(AN271*(1+G$8),G$9)</f>
        <v>0</v>
      </c>
      <c r="BA272" s="27" t="n">
        <f aca="false">MIN(AO271*(1+H$8),H$9)</f>
        <v>0</v>
      </c>
      <c r="BB272" s="27" t="n">
        <f aca="false">MIN(AP271*(1+I$8),I$9)</f>
        <v>0</v>
      </c>
      <c r="BC272" s="27" t="n">
        <f aca="false">MIN(AQ271*(1+J$8),J$9)</f>
        <v>0</v>
      </c>
      <c r="BD272" s="27" t="n">
        <f aca="false">MIN(AR271*(1+K$8),K$9)</f>
        <v>0</v>
      </c>
      <c r="BE272" s="27" t="n">
        <f aca="false">MIN(AI271*(1+B$8),MAX(AU272,$B$12-SUM(AV272:BD272)))</f>
        <v>0</v>
      </c>
      <c r="BF272" s="27" t="n">
        <f aca="false">MIN(AJ271*(1+C$8),MAX(AV272,$B$12-SUM(BE272:BE272)-SUM(AW272:BD272)))</f>
        <v>0</v>
      </c>
      <c r="BG272" s="27" t="n">
        <f aca="false">MIN(AK271*(1+D$8),MAX(AW272,$B$12-SUM(BE272:BF272)-SUM(AX272:BD272)))</f>
        <v>0</v>
      </c>
      <c r="BH272" s="27" t="n">
        <f aca="false">MIN(AL271*(1+E$8),MAX(AX272,$B$12-SUM(BE272:BG272)-SUM(AY272:BD272)))</f>
        <v>0</v>
      </c>
      <c r="BI272" s="27" t="n">
        <f aca="false">MIN(AM271*(1+F$8),MAX(AY272,$B$12-SUM(BE272:BH272)-SUM(AZ272:BD272)))</f>
        <v>0</v>
      </c>
      <c r="BJ272" s="27" t="n">
        <f aca="false">MIN(AN271*(1+G$8),MAX(AZ272,$B$12-SUM(BE272:BI272)-SUM(BA272:BD272)))</f>
        <v>0</v>
      </c>
      <c r="BK272" s="27" t="n">
        <f aca="false">MIN(AO271*(1+H$8),MAX(BA272,$B$12-SUM(BE272:BJ272)-SUM(BB272:BD272)))</f>
        <v>0</v>
      </c>
      <c r="BL272" s="27" t="n">
        <f aca="false">MIN(AP271*(1+I$8),MAX(BB272,$B$12-SUM(BE272:BK272)-SUM(BC272:BD272)))</f>
        <v>0</v>
      </c>
      <c r="BM272" s="27" t="n">
        <f aca="false">MIN(AQ271*(1+J$8),MAX(BC272,$B$12-SUM(BE272:BL272)-SUM(BD272:BD272)))</f>
        <v>0</v>
      </c>
      <c r="BN272" s="27" t="n">
        <f aca="false">MIN(AR271*(1+K$8),MAX(BD272,$B$12-SUM(BE272:BM272)))</f>
        <v>0</v>
      </c>
    </row>
    <row r="273" customFormat="false" ht="15" hidden="false" customHeight="false" outlineLevel="0" collapsed="false">
      <c r="A273" s="0" t="n">
        <v>259</v>
      </c>
      <c r="B273" s="27" t="n">
        <f aca="false">ROUND(MAX(0,B272*(1+B$8)-X273),2)</f>
        <v>0</v>
      </c>
      <c r="C273" s="27" t="n">
        <f aca="false">ROUND(MAX(0,C272*(1+C$8)-Y273),2)</f>
        <v>0</v>
      </c>
      <c r="D273" s="27" t="n">
        <f aca="false">ROUND(MAX(0,D272*(1+D$8)-Z273),2)</f>
        <v>0</v>
      </c>
      <c r="E273" s="27" t="n">
        <f aca="false">ROUND(MAX(0,E272*(1+E$8)-AA273),2)</f>
        <v>0</v>
      </c>
      <c r="F273" s="27" t="n">
        <f aca="false">ROUND(MAX(0,F272*(1+F$8)-AB273),2)</f>
        <v>0</v>
      </c>
      <c r="G273" s="27" t="n">
        <f aca="false">ROUND(MAX(0,G272*(1+G$8)-AC273),2)</f>
        <v>0</v>
      </c>
      <c r="H273" s="27" t="n">
        <f aca="false">ROUND(MAX(0,H272*(1+H$8)-AD273),2)</f>
        <v>0</v>
      </c>
      <c r="I273" s="27" t="n">
        <f aca="false">ROUND(MAX(0,I272*(1+I$8)-AE273),2)</f>
        <v>0</v>
      </c>
      <c r="J273" s="27" t="n">
        <f aca="false">ROUND(MAX(0,J272*(1+J$8)-AF273),2)</f>
        <v>0</v>
      </c>
      <c r="K273" s="27" t="n">
        <f aca="false">ROUND(MAX(0,K272*(1+K$8)-AG273),2)</f>
        <v>0</v>
      </c>
      <c r="L273" s="30" t="n">
        <f aca="false">SUM(B273:K273)</f>
        <v>0</v>
      </c>
      <c r="M273" s="27" t="n">
        <f aca="false">SUMPRODUCT(B272:K272,$B$8:$K$8)</f>
        <v>0</v>
      </c>
      <c r="N273" s="27" t="n">
        <f aca="false">MIN(B272*(1+B$8),B$9)</f>
        <v>0</v>
      </c>
      <c r="O273" s="27" t="n">
        <f aca="false">MIN(C272*(1+C$8),C$9)</f>
        <v>0</v>
      </c>
      <c r="P273" s="27" t="n">
        <f aca="false">MIN(D272*(1+D$8),D$9)</f>
        <v>0</v>
      </c>
      <c r="Q273" s="27" t="n">
        <f aca="false">MIN(E272*(1+E$8),E$9)</f>
        <v>0</v>
      </c>
      <c r="R273" s="27" t="n">
        <f aca="false">MIN(F272*(1+F$8),F$9)</f>
        <v>0</v>
      </c>
      <c r="S273" s="27" t="n">
        <f aca="false">MIN(G272*(1+G$8),G$9)</f>
        <v>0</v>
      </c>
      <c r="T273" s="27" t="n">
        <f aca="false">MIN(H272*(1+H$8),H$9)</f>
        <v>0</v>
      </c>
      <c r="U273" s="27" t="n">
        <f aca="false">MIN(I272*(1+I$8),I$9)</f>
        <v>0</v>
      </c>
      <c r="V273" s="27" t="n">
        <f aca="false">MIN(J272*(1+J$8),J$9)</f>
        <v>0</v>
      </c>
      <c r="W273" s="27" t="n">
        <f aca="false">MIN(K272*(1+K$8),K$9)</f>
        <v>0</v>
      </c>
      <c r="X273" s="27" t="n">
        <f aca="false">MIN(B272*(1+B$8),MAX(N273,$B$11-SUM(O273:W273)))</f>
        <v>0</v>
      </c>
      <c r="Y273" s="27" t="n">
        <f aca="false">MIN(C272*(1+C$8),MAX(O273,$B$11-SUM(X273:X273)-SUM(P273:W273)))</f>
        <v>0</v>
      </c>
      <c r="Z273" s="27" t="n">
        <f aca="false">MIN(D272*(1+D$8),MAX(P273,$B$11-SUM(X273:Y273)-SUM(Q273:W273)))</f>
        <v>0</v>
      </c>
      <c r="AA273" s="27" t="n">
        <f aca="false">MIN(E272*(1+E$8),MAX(Q273,$B$11-SUM(X273:Z273)-SUM(R273:W273)))</f>
        <v>0</v>
      </c>
      <c r="AB273" s="27" t="n">
        <f aca="false">MIN(F272*(1+F$8),MAX(R273,$B$11-SUM(X273:AA273)-SUM(S273:W273)))</f>
        <v>0</v>
      </c>
      <c r="AC273" s="27" t="n">
        <f aca="false">MIN(G272*(1+G$8),MAX(S273,$B$11-SUM(X273:AB273)-SUM(T273:W273)))</f>
        <v>0</v>
      </c>
      <c r="AD273" s="27" t="n">
        <f aca="false">MIN(H272*(1+H$8),MAX(T273,$B$11-SUM(X273:AC273)-SUM(U273:W273)))</f>
        <v>0</v>
      </c>
      <c r="AE273" s="27" t="n">
        <f aca="false">MIN(I272*(1+I$8),MAX(U273,$B$11-SUM(X273:AD273)-SUM(V273:W273)))</f>
        <v>0</v>
      </c>
      <c r="AF273" s="27" t="n">
        <f aca="false">MIN(J272*(1+J$8),MAX(V273,$B$11-SUM(X273:AE273)-SUM(W273:W273)))</f>
        <v>0</v>
      </c>
      <c r="AG273" s="27" t="n">
        <f aca="false">MIN(K272*(1+K$8),MAX(W273,$B$11-SUM(X273:AF273)))</f>
        <v>0</v>
      </c>
      <c r="AI273" s="27" t="n">
        <f aca="false">ROUND(MAX(0,AI272*(1+B$8)-BE273),2)</f>
        <v>0</v>
      </c>
      <c r="AJ273" s="27" t="n">
        <f aca="false">ROUND(MAX(0,AJ272*(1+C$8)-BF273),2)</f>
        <v>0</v>
      </c>
      <c r="AK273" s="27" t="n">
        <f aca="false">ROUND(MAX(0,AK272*(1+D$8)-BG273),2)</f>
        <v>0</v>
      </c>
      <c r="AL273" s="27" t="n">
        <f aca="false">ROUND(MAX(0,AL272*(1+E$8)-BH273),2)</f>
        <v>0</v>
      </c>
      <c r="AM273" s="27" t="n">
        <f aca="false">ROUND(MAX(0,AM272*(1+F$8)-BI273),2)</f>
        <v>0</v>
      </c>
      <c r="AN273" s="27" t="n">
        <f aca="false">ROUND(MAX(0,AN272*(1+G$8)-BJ273),2)</f>
        <v>0</v>
      </c>
      <c r="AO273" s="27" t="n">
        <f aca="false">ROUND(MAX(0,AO272*(1+H$8)-BK273),2)</f>
        <v>0</v>
      </c>
      <c r="AP273" s="27" t="n">
        <f aca="false">ROUND(MAX(0,AP272*(1+I$8)-BL273),2)</f>
        <v>0</v>
      </c>
      <c r="AQ273" s="27" t="n">
        <f aca="false">ROUND(MAX(0,AQ272*(1+J$8)-BM273),2)</f>
        <v>0</v>
      </c>
      <c r="AR273" s="27" t="n">
        <f aca="false">ROUND(MAX(0,AR272*(1+K$8)-BN273),2)</f>
        <v>0</v>
      </c>
      <c r="AS273" s="27" t="n">
        <f aca="false">SUM(AI273:AR273)</f>
        <v>0</v>
      </c>
      <c r="AT273" s="27" t="n">
        <f aca="false">SUMPRODUCT(AI272:AR272,$B$8:$K$8)</f>
        <v>0</v>
      </c>
      <c r="AU273" s="27" t="n">
        <f aca="false">MIN(AI272*(1+B$8),B$9)</f>
        <v>0</v>
      </c>
      <c r="AV273" s="27" t="n">
        <f aca="false">MIN(AJ272*(1+C$8),C$9)</f>
        <v>0</v>
      </c>
      <c r="AW273" s="27" t="n">
        <f aca="false">MIN(AK272*(1+D$8),D$9)</f>
        <v>0</v>
      </c>
      <c r="AX273" s="27" t="n">
        <f aca="false">MIN(AL272*(1+E$8),E$9)</f>
        <v>0</v>
      </c>
      <c r="AY273" s="27" t="n">
        <f aca="false">MIN(AM272*(1+F$8),F$9)</f>
        <v>0</v>
      </c>
      <c r="AZ273" s="27" t="n">
        <f aca="false">MIN(AN272*(1+G$8),G$9)</f>
        <v>0</v>
      </c>
      <c r="BA273" s="27" t="n">
        <f aca="false">MIN(AO272*(1+H$8),H$9)</f>
        <v>0</v>
      </c>
      <c r="BB273" s="27" t="n">
        <f aca="false">MIN(AP272*(1+I$8),I$9)</f>
        <v>0</v>
      </c>
      <c r="BC273" s="27" t="n">
        <f aca="false">MIN(AQ272*(1+J$8),J$9)</f>
        <v>0</v>
      </c>
      <c r="BD273" s="27" t="n">
        <f aca="false">MIN(AR272*(1+K$8),K$9)</f>
        <v>0</v>
      </c>
      <c r="BE273" s="27" t="n">
        <f aca="false">MIN(AI272*(1+B$8),MAX(AU273,$B$12-SUM(AV273:BD273)))</f>
        <v>0</v>
      </c>
      <c r="BF273" s="27" t="n">
        <f aca="false">MIN(AJ272*(1+C$8),MAX(AV273,$B$12-SUM(BE273:BE273)-SUM(AW273:BD273)))</f>
        <v>0</v>
      </c>
      <c r="BG273" s="27" t="n">
        <f aca="false">MIN(AK272*(1+D$8),MAX(AW273,$B$12-SUM(BE273:BF273)-SUM(AX273:BD273)))</f>
        <v>0</v>
      </c>
      <c r="BH273" s="27" t="n">
        <f aca="false">MIN(AL272*(1+E$8),MAX(AX273,$B$12-SUM(BE273:BG273)-SUM(AY273:BD273)))</f>
        <v>0</v>
      </c>
      <c r="BI273" s="27" t="n">
        <f aca="false">MIN(AM272*(1+F$8),MAX(AY273,$B$12-SUM(BE273:BH273)-SUM(AZ273:BD273)))</f>
        <v>0</v>
      </c>
      <c r="BJ273" s="27" t="n">
        <f aca="false">MIN(AN272*(1+G$8),MAX(AZ273,$B$12-SUM(BE273:BI273)-SUM(BA273:BD273)))</f>
        <v>0</v>
      </c>
      <c r="BK273" s="27" t="n">
        <f aca="false">MIN(AO272*(1+H$8),MAX(BA273,$B$12-SUM(BE273:BJ273)-SUM(BB273:BD273)))</f>
        <v>0</v>
      </c>
      <c r="BL273" s="27" t="n">
        <f aca="false">MIN(AP272*(1+I$8),MAX(BB273,$B$12-SUM(BE273:BK273)-SUM(BC273:BD273)))</f>
        <v>0</v>
      </c>
      <c r="BM273" s="27" t="n">
        <f aca="false">MIN(AQ272*(1+J$8),MAX(BC273,$B$12-SUM(BE273:BL273)-SUM(BD273:BD273)))</f>
        <v>0</v>
      </c>
      <c r="BN273" s="27" t="n">
        <f aca="false">MIN(AR272*(1+K$8),MAX(BD273,$B$12-SUM(BE273:BM273)))</f>
        <v>0</v>
      </c>
    </row>
    <row r="274" customFormat="false" ht="15" hidden="false" customHeight="false" outlineLevel="0" collapsed="false">
      <c r="A274" s="0" t="n">
        <v>260</v>
      </c>
      <c r="B274" s="27" t="n">
        <f aca="false">ROUND(MAX(0,B273*(1+B$8)-X274),2)</f>
        <v>0</v>
      </c>
      <c r="C274" s="27" t="n">
        <f aca="false">ROUND(MAX(0,C273*(1+C$8)-Y274),2)</f>
        <v>0</v>
      </c>
      <c r="D274" s="27" t="n">
        <f aca="false">ROUND(MAX(0,D273*(1+D$8)-Z274),2)</f>
        <v>0</v>
      </c>
      <c r="E274" s="27" t="n">
        <f aca="false">ROUND(MAX(0,E273*(1+E$8)-AA274),2)</f>
        <v>0</v>
      </c>
      <c r="F274" s="27" t="n">
        <f aca="false">ROUND(MAX(0,F273*(1+F$8)-AB274),2)</f>
        <v>0</v>
      </c>
      <c r="G274" s="27" t="n">
        <f aca="false">ROUND(MAX(0,G273*(1+G$8)-AC274),2)</f>
        <v>0</v>
      </c>
      <c r="H274" s="27" t="n">
        <f aca="false">ROUND(MAX(0,H273*(1+H$8)-AD274),2)</f>
        <v>0</v>
      </c>
      <c r="I274" s="27" t="n">
        <f aca="false">ROUND(MAX(0,I273*(1+I$8)-AE274),2)</f>
        <v>0</v>
      </c>
      <c r="J274" s="27" t="n">
        <f aca="false">ROUND(MAX(0,J273*(1+J$8)-AF274),2)</f>
        <v>0</v>
      </c>
      <c r="K274" s="27" t="n">
        <f aca="false">ROUND(MAX(0,K273*(1+K$8)-AG274),2)</f>
        <v>0</v>
      </c>
      <c r="L274" s="30" t="n">
        <f aca="false">SUM(B274:K274)</f>
        <v>0</v>
      </c>
      <c r="M274" s="27" t="n">
        <f aca="false">SUMPRODUCT(B273:K273,$B$8:$K$8)</f>
        <v>0</v>
      </c>
      <c r="N274" s="27" t="n">
        <f aca="false">MIN(B273*(1+B$8),B$9)</f>
        <v>0</v>
      </c>
      <c r="O274" s="27" t="n">
        <f aca="false">MIN(C273*(1+C$8),C$9)</f>
        <v>0</v>
      </c>
      <c r="P274" s="27" t="n">
        <f aca="false">MIN(D273*(1+D$8),D$9)</f>
        <v>0</v>
      </c>
      <c r="Q274" s="27" t="n">
        <f aca="false">MIN(E273*(1+E$8),E$9)</f>
        <v>0</v>
      </c>
      <c r="R274" s="27" t="n">
        <f aca="false">MIN(F273*(1+F$8),F$9)</f>
        <v>0</v>
      </c>
      <c r="S274" s="27" t="n">
        <f aca="false">MIN(G273*(1+G$8),G$9)</f>
        <v>0</v>
      </c>
      <c r="T274" s="27" t="n">
        <f aca="false">MIN(H273*(1+H$8),H$9)</f>
        <v>0</v>
      </c>
      <c r="U274" s="27" t="n">
        <f aca="false">MIN(I273*(1+I$8),I$9)</f>
        <v>0</v>
      </c>
      <c r="V274" s="27" t="n">
        <f aca="false">MIN(J273*(1+J$8),J$9)</f>
        <v>0</v>
      </c>
      <c r="W274" s="27" t="n">
        <f aca="false">MIN(K273*(1+K$8),K$9)</f>
        <v>0</v>
      </c>
      <c r="X274" s="27" t="n">
        <f aca="false">MIN(B273*(1+B$8),MAX(N274,$B$11-SUM(O274:W274)))</f>
        <v>0</v>
      </c>
      <c r="Y274" s="27" t="n">
        <f aca="false">MIN(C273*(1+C$8),MAX(O274,$B$11-SUM(X274:X274)-SUM(P274:W274)))</f>
        <v>0</v>
      </c>
      <c r="Z274" s="27" t="n">
        <f aca="false">MIN(D273*(1+D$8),MAX(P274,$B$11-SUM(X274:Y274)-SUM(Q274:W274)))</f>
        <v>0</v>
      </c>
      <c r="AA274" s="27" t="n">
        <f aca="false">MIN(E273*(1+E$8),MAX(Q274,$B$11-SUM(X274:Z274)-SUM(R274:W274)))</f>
        <v>0</v>
      </c>
      <c r="AB274" s="27" t="n">
        <f aca="false">MIN(F273*(1+F$8),MAX(R274,$B$11-SUM(X274:AA274)-SUM(S274:W274)))</f>
        <v>0</v>
      </c>
      <c r="AC274" s="27" t="n">
        <f aca="false">MIN(G273*(1+G$8),MAX(S274,$B$11-SUM(X274:AB274)-SUM(T274:W274)))</f>
        <v>0</v>
      </c>
      <c r="AD274" s="27" t="n">
        <f aca="false">MIN(H273*(1+H$8),MAX(T274,$B$11-SUM(X274:AC274)-SUM(U274:W274)))</f>
        <v>0</v>
      </c>
      <c r="AE274" s="27" t="n">
        <f aca="false">MIN(I273*(1+I$8),MAX(U274,$B$11-SUM(X274:AD274)-SUM(V274:W274)))</f>
        <v>0</v>
      </c>
      <c r="AF274" s="27" t="n">
        <f aca="false">MIN(J273*(1+J$8),MAX(V274,$B$11-SUM(X274:AE274)-SUM(W274:W274)))</f>
        <v>0</v>
      </c>
      <c r="AG274" s="27" t="n">
        <f aca="false">MIN(K273*(1+K$8),MAX(W274,$B$11-SUM(X274:AF274)))</f>
        <v>0</v>
      </c>
      <c r="AI274" s="27" t="n">
        <f aca="false">ROUND(MAX(0,AI273*(1+B$8)-BE274),2)</f>
        <v>0</v>
      </c>
      <c r="AJ274" s="27" t="n">
        <f aca="false">ROUND(MAX(0,AJ273*(1+C$8)-BF274),2)</f>
        <v>0</v>
      </c>
      <c r="AK274" s="27" t="n">
        <f aca="false">ROUND(MAX(0,AK273*(1+D$8)-BG274),2)</f>
        <v>0</v>
      </c>
      <c r="AL274" s="27" t="n">
        <f aca="false">ROUND(MAX(0,AL273*(1+E$8)-BH274),2)</f>
        <v>0</v>
      </c>
      <c r="AM274" s="27" t="n">
        <f aca="false">ROUND(MAX(0,AM273*(1+F$8)-BI274),2)</f>
        <v>0</v>
      </c>
      <c r="AN274" s="27" t="n">
        <f aca="false">ROUND(MAX(0,AN273*(1+G$8)-BJ274),2)</f>
        <v>0</v>
      </c>
      <c r="AO274" s="27" t="n">
        <f aca="false">ROUND(MAX(0,AO273*(1+H$8)-BK274),2)</f>
        <v>0</v>
      </c>
      <c r="AP274" s="27" t="n">
        <f aca="false">ROUND(MAX(0,AP273*(1+I$8)-BL274),2)</f>
        <v>0</v>
      </c>
      <c r="AQ274" s="27" t="n">
        <f aca="false">ROUND(MAX(0,AQ273*(1+J$8)-BM274),2)</f>
        <v>0</v>
      </c>
      <c r="AR274" s="27" t="n">
        <f aca="false">ROUND(MAX(0,AR273*(1+K$8)-BN274),2)</f>
        <v>0</v>
      </c>
      <c r="AS274" s="27" t="n">
        <f aca="false">SUM(AI274:AR274)</f>
        <v>0</v>
      </c>
      <c r="AT274" s="27" t="n">
        <f aca="false">SUMPRODUCT(AI273:AR273,$B$8:$K$8)</f>
        <v>0</v>
      </c>
      <c r="AU274" s="27" t="n">
        <f aca="false">MIN(AI273*(1+B$8),B$9)</f>
        <v>0</v>
      </c>
      <c r="AV274" s="27" t="n">
        <f aca="false">MIN(AJ273*(1+C$8),C$9)</f>
        <v>0</v>
      </c>
      <c r="AW274" s="27" t="n">
        <f aca="false">MIN(AK273*(1+D$8),D$9)</f>
        <v>0</v>
      </c>
      <c r="AX274" s="27" t="n">
        <f aca="false">MIN(AL273*(1+E$8),E$9)</f>
        <v>0</v>
      </c>
      <c r="AY274" s="27" t="n">
        <f aca="false">MIN(AM273*(1+F$8),F$9)</f>
        <v>0</v>
      </c>
      <c r="AZ274" s="27" t="n">
        <f aca="false">MIN(AN273*(1+G$8),G$9)</f>
        <v>0</v>
      </c>
      <c r="BA274" s="27" t="n">
        <f aca="false">MIN(AO273*(1+H$8),H$9)</f>
        <v>0</v>
      </c>
      <c r="BB274" s="27" t="n">
        <f aca="false">MIN(AP273*(1+I$8),I$9)</f>
        <v>0</v>
      </c>
      <c r="BC274" s="27" t="n">
        <f aca="false">MIN(AQ273*(1+J$8),J$9)</f>
        <v>0</v>
      </c>
      <c r="BD274" s="27" t="n">
        <f aca="false">MIN(AR273*(1+K$8),K$9)</f>
        <v>0</v>
      </c>
      <c r="BE274" s="27" t="n">
        <f aca="false">MIN(AI273*(1+B$8),MAX(AU274,$B$12-SUM(AV274:BD274)))</f>
        <v>0</v>
      </c>
      <c r="BF274" s="27" t="n">
        <f aca="false">MIN(AJ273*(1+C$8),MAX(AV274,$B$12-SUM(BE274:BE274)-SUM(AW274:BD274)))</f>
        <v>0</v>
      </c>
      <c r="BG274" s="27" t="n">
        <f aca="false">MIN(AK273*(1+D$8),MAX(AW274,$B$12-SUM(BE274:BF274)-SUM(AX274:BD274)))</f>
        <v>0</v>
      </c>
      <c r="BH274" s="27" t="n">
        <f aca="false">MIN(AL273*(1+E$8),MAX(AX274,$B$12-SUM(BE274:BG274)-SUM(AY274:BD274)))</f>
        <v>0</v>
      </c>
      <c r="BI274" s="27" t="n">
        <f aca="false">MIN(AM273*(1+F$8),MAX(AY274,$B$12-SUM(BE274:BH274)-SUM(AZ274:BD274)))</f>
        <v>0</v>
      </c>
      <c r="BJ274" s="27" t="n">
        <f aca="false">MIN(AN273*(1+G$8),MAX(AZ274,$B$12-SUM(BE274:BI274)-SUM(BA274:BD274)))</f>
        <v>0</v>
      </c>
      <c r="BK274" s="27" t="n">
        <f aca="false">MIN(AO273*(1+H$8),MAX(BA274,$B$12-SUM(BE274:BJ274)-SUM(BB274:BD274)))</f>
        <v>0</v>
      </c>
      <c r="BL274" s="27" t="n">
        <f aca="false">MIN(AP273*(1+I$8),MAX(BB274,$B$12-SUM(BE274:BK274)-SUM(BC274:BD274)))</f>
        <v>0</v>
      </c>
      <c r="BM274" s="27" t="n">
        <f aca="false">MIN(AQ273*(1+J$8),MAX(BC274,$B$12-SUM(BE274:BL274)-SUM(BD274:BD274)))</f>
        <v>0</v>
      </c>
      <c r="BN274" s="27" t="n">
        <f aca="false">MIN(AR273*(1+K$8),MAX(BD274,$B$12-SUM(BE274:BM274)))</f>
        <v>0</v>
      </c>
    </row>
    <row r="275" customFormat="false" ht="15" hidden="false" customHeight="false" outlineLevel="0" collapsed="false">
      <c r="A275" s="0" t="n">
        <v>261</v>
      </c>
      <c r="B275" s="27" t="n">
        <f aca="false">ROUND(MAX(0,B274*(1+B$8)-X275),2)</f>
        <v>0</v>
      </c>
      <c r="C275" s="27" t="n">
        <f aca="false">ROUND(MAX(0,C274*(1+C$8)-Y275),2)</f>
        <v>0</v>
      </c>
      <c r="D275" s="27" t="n">
        <f aca="false">ROUND(MAX(0,D274*(1+D$8)-Z275),2)</f>
        <v>0</v>
      </c>
      <c r="E275" s="27" t="n">
        <f aca="false">ROUND(MAX(0,E274*(1+E$8)-AA275),2)</f>
        <v>0</v>
      </c>
      <c r="F275" s="27" t="n">
        <f aca="false">ROUND(MAX(0,F274*(1+F$8)-AB275),2)</f>
        <v>0</v>
      </c>
      <c r="G275" s="27" t="n">
        <f aca="false">ROUND(MAX(0,G274*(1+G$8)-AC275),2)</f>
        <v>0</v>
      </c>
      <c r="H275" s="27" t="n">
        <f aca="false">ROUND(MAX(0,H274*(1+H$8)-AD275),2)</f>
        <v>0</v>
      </c>
      <c r="I275" s="27" t="n">
        <f aca="false">ROUND(MAX(0,I274*(1+I$8)-AE275),2)</f>
        <v>0</v>
      </c>
      <c r="J275" s="27" t="n">
        <f aca="false">ROUND(MAX(0,J274*(1+J$8)-AF275),2)</f>
        <v>0</v>
      </c>
      <c r="K275" s="27" t="n">
        <f aca="false">ROUND(MAX(0,K274*(1+K$8)-AG275),2)</f>
        <v>0</v>
      </c>
      <c r="L275" s="30" t="n">
        <f aca="false">SUM(B275:K275)</f>
        <v>0</v>
      </c>
      <c r="M275" s="27" t="n">
        <f aca="false">SUMPRODUCT(B274:K274,$B$8:$K$8)</f>
        <v>0</v>
      </c>
      <c r="N275" s="27" t="n">
        <f aca="false">MIN(B274*(1+B$8),B$9)</f>
        <v>0</v>
      </c>
      <c r="O275" s="27" t="n">
        <f aca="false">MIN(C274*(1+C$8),C$9)</f>
        <v>0</v>
      </c>
      <c r="P275" s="27" t="n">
        <f aca="false">MIN(D274*(1+D$8),D$9)</f>
        <v>0</v>
      </c>
      <c r="Q275" s="27" t="n">
        <f aca="false">MIN(E274*(1+E$8),E$9)</f>
        <v>0</v>
      </c>
      <c r="R275" s="27" t="n">
        <f aca="false">MIN(F274*(1+F$8),F$9)</f>
        <v>0</v>
      </c>
      <c r="S275" s="27" t="n">
        <f aca="false">MIN(G274*(1+G$8),G$9)</f>
        <v>0</v>
      </c>
      <c r="T275" s="27" t="n">
        <f aca="false">MIN(H274*(1+H$8),H$9)</f>
        <v>0</v>
      </c>
      <c r="U275" s="27" t="n">
        <f aca="false">MIN(I274*(1+I$8),I$9)</f>
        <v>0</v>
      </c>
      <c r="V275" s="27" t="n">
        <f aca="false">MIN(J274*(1+J$8),J$9)</f>
        <v>0</v>
      </c>
      <c r="W275" s="27" t="n">
        <f aca="false">MIN(K274*(1+K$8),K$9)</f>
        <v>0</v>
      </c>
      <c r="X275" s="27" t="n">
        <f aca="false">MIN(B274*(1+B$8),MAX(N275,$B$11-SUM(O275:W275)))</f>
        <v>0</v>
      </c>
      <c r="Y275" s="27" t="n">
        <f aca="false">MIN(C274*(1+C$8),MAX(O275,$B$11-SUM(X275:X275)-SUM(P275:W275)))</f>
        <v>0</v>
      </c>
      <c r="Z275" s="27" t="n">
        <f aca="false">MIN(D274*(1+D$8),MAX(P275,$B$11-SUM(X275:Y275)-SUM(Q275:W275)))</f>
        <v>0</v>
      </c>
      <c r="AA275" s="27" t="n">
        <f aca="false">MIN(E274*(1+E$8),MAX(Q275,$B$11-SUM(X275:Z275)-SUM(R275:W275)))</f>
        <v>0</v>
      </c>
      <c r="AB275" s="27" t="n">
        <f aca="false">MIN(F274*(1+F$8),MAX(R275,$B$11-SUM(X275:AA275)-SUM(S275:W275)))</f>
        <v>0</v>
      </c>
      <c r="AC275" s="27" t="n">
        <f aca="false">MIN(G274*(1+G$8),MAX(S275,$B$11-SUM(X275:AB275)-SUM(T275:W275)))</f>
        <v>0</v>
      </c>
      <c r="AD275" s="27" t="n">
        <f aca="false">MIN(H274*(1+H$8),MAX(T275,$B$11-SUM(X275:AC275)-SUM(U275:W275)))</f>
        <v>0</v>
      </c>
      <c r="AE275" s="27" t="n">
        <f aca="false">MIN(I274*(1+I$8),MAX(U275,$B$11-SUM(X275:AD275)-SUM(V275:W275)))</f>
        <v>0</v>
      </c>
      <c r="AF275" s="27" t="n">
        <f aca="false">MIN(J274*(1+J$8),MAX(V275,$B$11-SUM(X275:AE275)-SUM(W275:W275)))</f>
        <v>0</v>
      </c>
      <c r="AG275" s="27" t="n">
        <f aca="false">MIN(K274*(1+K$8),MAX(W275,$B$11-SUM(X275:AF275)))</f>
        <v>0</v>
      </c>
      <c r="AI275" s="27" t="n">
        <f aca="false">ROUND(MAX(0,AI274*(1+B$8)-BE275),2)</f>
        <v>0</v>
      </c>
      <c r="AJ275" s="27" t="n">
        <f aca="false">ROUND(MAX(0,AJ274*(1+C$8)-BF275),2)</f>
        <v>0</v>
      </c>
      <c r="AK275" s="27" t="n">
        <f aca="false">ROUND(MAX(0,AK274*(1+D$8)-BG275),2)</f>
        <v>0</v>
      </c>
      <c r="AL275" s="27" t="n">
        <f aca="false">ROUND(MAX(0,AL274*(1+E$8)-BH275),2)</f>
        <v>0</v>
      </c>
      <c r="AM275" s="27" t="n">
        <f aca="false">ROUND(MAX(0,AM274*(1+F$8)-BI275),2)</f>
        <v>0</v>
      </c>
      <c r="AN275" s="27" t="n">
        <f aca="false">ROUND(MAX(0,AN274*(1+G$8)-BJ275),2)</f>
        <v>0</v>
      </c>
      <c r="AO275" s="27" t="n">
        <f aca="false">ROUND(MAX(0,AO274*(1+H$8)-BK275),2)</f>
        <v>0</v>
      </c>
      <c r="AP275" s="27" t="n">
        <f aca="false">ROUND(MAX(0,AP274*(1+I$8)-BL275),2)</f>
        <v>0</v>
      </c>
      <c r="AQ275" s="27" t="n">
        <f aca="false">ROUND(MAX(0,AQ274*(1+J$8)-BM275),2)</f>
        <v>0</v>
      </c>
      <c r="AR275" s="27" t="n">
        <f aca="false">ROUND(MAX(0,AR274*(1+K$8)-BN275),2)</f>
        <v>0</v>
      </c>
      <c r="AS275" s="27" t="n">
        <f aca="false">SUM(AI275:AR275)</f>
        <v>0</v>
      </c>
      <c r="AT275" s="27" t="n">
        <f aca="false">SUMPRODUCT(AI274:AR274,$B$8:$K$8)</f>
        <v>0</v>
      </c>
      <c r="AU275" s="27" t="n">
        <f aca="false">MIN(AI274*(1+B$8),B$9)</f>
        <v>0</v>
      </c>
      <c r="AV275" s="27" t="n">
        <f aca="false">MIN(AJ274*(1+C$8),C$9)</f>
        <v>0</v>
      </c>
      <c r="AW275" s="27" t="n">
        <f aca="false">MIN(AK274*(1+D$8),D$9)</f>
        <v>0</v>
      </c>
      <c r="AX275" s="27" t="n">
        <f aca="false">MIN(AL274*(1+E$8),E$9)</f>
        <v>0</v>
      </c>
      <c r="AY275" s="27" t="n">
        <f aca="false">MIN(AM274*(1+F$8),F$9)</f>
        <v>0</v>
      </c>
      <c r="AZ275" s="27" t="n">
        <f aca="false">MIN(AN274*(1+G$8),G$9)</f>
        <v>0</v>
      </c>
      <c r="BA275" s="27" t="n">
        <f aca="false">MIN(AO274*(1+H$8),H$9)</f>
        <v>0</v>
      </c>
      <c r="BB275" s="27" t="n">
        <f aca="false">MIN(AP274*(1+I$8),I$9)</f>
        <v>0</v>
      </c>
      <c r="BC275" s="27" t="n">
        <f aca="false">MIN(AQ274*(1+J$8),J$9)</f>
        <v>0</v>
      </c>
      <c r="BD275" s="27" t="n">
        <f aca="false">MIN(AR274*(1+K$8),K$9)</f>
        <v>0</v>
      </c>
      <c r="BE275" s="27" t="n">
        <f aca="false">MIN(AI274*(1+B$8),MAX(AU275,$B$12-SUM(AV275:BD275)))</f>
        <v>0</v>
      </c>
      <c r="BF275" s="27" t="n">
        <f aca="false">MIN(AJ274*(1+C$8),MAX(AV275,$B$12-SUM(BE275:BE275)-SUM(AW275:BD275)))</f>
        <v>0</v>
      </c>
      <c r="BG275" s="27" t="n">
        <f aca="false">MIN(AK274*(1+D$8),MAX(AW275,$B$12-SUM(BE275:BF275)-SUM(AX275:BD275)))</f>
        <v>0</v>
      </c>
      <c r="BH275" s="27" t="n">
        <f aca="false">MIN(AL274*(1+E$8),MAX(AX275,$B$12-SUM(BE275:BG275)-SUM(AY275:BD275)))</f>
        <v>0</v>
      </c>
      <c r="BI275" s="27" t="n">
        <f aca="false">MIN(AM274*(1+F$8),MAX(AY275,$B$12-SUM(BE275:BH275)-SUM(AZ275:BD275)))</f>
        <v>0</v>
      </c>
      <c r="BJ275" s="27" t="n">
        <f aca="false">MIN(AN274*(1+G$8),MAX(AZ275,$B$12-SUM(BE275:BI275)-SUM(BA275:BD275)))</f>
        <v>0</v>
      </c>
      <c r="BK275" s="27" t="n">
        <f aca="false">MIN(AO274*(1+H$8),MAX(BA275,$B$12-SUM(BE275:BJ275)-SUM(BB275:BD275)))</f>
        <v>0</v>
      </c>
      <c r="BL275" s="27" t="n">
        <f aca="false">MIN(AP274*(1+I$8),MAX(BB275,$B$12-SUM(BE275:BK275)-SUM(BC275:BD275)))</f>
        <v>0</v>
      </c>
      <c r="BM275" s="27" t="n">
        <f aca="false">MIN(AQ274*(1+J$8),MAX(BC275,$B$12-SUM(BE275:BL275)-SUM(BD275:BD275)))</f>
        <v>0</v>
      </c>
      <c r="BN275" s="27" t="n">
        <f aca="false">MIN(AR274*(1+K$8),MAX(BD275,$B$12-SUM(BE275:BM275)))</f>
        <v>0</v>
      </c>
    </row>
    <row r="276" customFormat="false" ht="15" hidden="false" customHeight="false" outlineLevel="0" collapsed="false">
      <c r="A276" s="0" t="n">
        <v>262</v>
      </c>
      <c r="B276" s="27" t="n">
        <f aca="false">ROUND(MAX(0,B275*(1+B$8)-X276),2)</f>
        <v>0</v>
      </c>
      <c r="C276" s="27" t="n">
        <f aca="false">ROUND(MAX(0,C275*(1+C$8)-Y276),2)</f>
        <v>0</v>
      </c>
      <c r="D276" s="27" t="n">
        <f aca="false">ROUND(MAX(0,D275*(1+D$8)-Z276),2)</f>
        <v>0</v>
      </c>
      <c r="E276" s="27" t="n">
        <f aca="false">ROUND(MAX(0,E275*(1+E$8)-AA276),2)</f>
        <v>0</v>
      </c>
      <c r="F276" s="27" t="n">
        <f aca="false">ROUND(MAX(0,F275*(1+F$8)-AB276),2)</f>
        <v>0</v>
      </c>
      <c r="G276" s="27" t="n">
        <f aca="false">ROUND(MAX(0,G275*(1+G$8)-AC276),2)</f>
        <v>0</v>
      </c>
      <c r="H276" s="27" t="n">
        <f aca="false">ROUND(MAX(0,H275*(1+H$8)-AD276),2)</f>
        <v>0</v>
      </c>
      <c r="I276" s="27" t="n">
        <f aca="false">ROUND(MAX(0,I275*(1+I$8)-AE276),2)</f>
        <v>0</v>
      </c>
      <c r="J276" s="27" t="n">
        <f aca="false">ROUND(MAX(0,J275*(1+J$8)-AF276),2)</f>
        <v>0</v>
      </c>
      <c r="K276" s="27" t="n">
        <f aca="false">ROUND(MAX(0,K275*(1+K$8)-AG276),2)</f>
        <v>0</v>
      </c>
      <c r="L276" s="30" t="n">
        <f aca="false">SUM(B276:K276)</f>
        <v>0</v>
      </c>
      <c r="M276" s="27" t="n">
        <f aca="false">SUMPRODUCT(B275:K275,$B$8:$K$8)</f>
        <v>0</v>
      </c>
      <c r="N276" s="27" t="n">
        <f aca="false">MIN(B275*(1+B$8),B$9)</f>
        <v>0</v>
      </c>
      <c r="O276" s="27" t="n">
        <f aca="false">MIN(C275*(1+C$8),C$9)</f>
        <v>0</v>
      </c>
      <c r="P276" s="27" t="n">
        <f aca="false">MIN(D275*(1+D$8),D$9)</f>
        <v>0</v>
      </c>
      <c r="Q276" s="27" t="n">
        <f aca="false">MIN(E275*(1+E$8),E$9)</f>
        <v>0</v>
      </c>
      <c r="R276" s="27" t="n">
        <f aca="false">MIN(F275*(1+F$8),F$9)</f>
        <v>0</v>
      </c>
      <c r="S276" s="27" t="n">
        <f aca="false">MIN(G275*(1+G$8),G$9)</f>
        <v>0</v>
      </c>
      <c r="T276" s="27" t="n">
        <f aca="false">MIN(H275*(1+H$8),H$9)</f>
        <v>0</v>
      </c>
      <c r="U276" s="27" t="n">
        <f aca="false">MIN(I275*(1+I$8),I$9)</f>
        <v>0</v>
      </c>
      <c r="V276" s="27" t="n">
        <f aca="false">MIN(J275*(1+J$8),J$9)</f>
        <v>0</v>
      </c>
      <c r="W276" s="27" t="n">
        <f aca="false">MIN(K275*(1+K$8),K$9)</f>
        <v>0</v>
      </c>
      <c r="X276" s="27" t="n">
        <f aca="false">MIN(B275*(1+B$8),MAX(N276,$B$11-SUM(O276:W276)))</f>
        <v>0</v>
      </c>
      <c r="Y276" s="27" t="n">
        <f aca="false">MIN(C275*(1+C$8),MAX(O276,$B$11-SUM(X276:X276)-SUM(P276:W276)))</f>
        <v>0</v>
      </c>
      <c r="Z276" s="27" t="n">
        <f aca="false">MIN(D275*(1+D$8),MAX(P276,$B$11-SUM(X276:Y276)-SUM(Q276:W276)))</f>
        <v>0</v>
      </c>
      <c r="AA276" s="27" t="n">
        <f aca="false">MIN(E275*(1+E$8),MAX(Q276,$B$11-SUM(X276:Z276)-SUM(R276:W276)))</f>
        <v>0</v>
      </c>
      <c r="AB276" s="27" t="n">
        <f aca="false">MIN(F275*(1+F$8),MAX(R276,$B$11-SUM(X276:AA276)-SUM(S276:W276)))</f>
        <v>0</v>
      </c>
      <c r="AC276" s="27" t="n">
        <f aca="false">MIN(G275*(1+G$8),MAX(S276,$B$11-SUM(X276:AB276)-SUM(T276:W276)))</f>
        <v>0</v>
      </c>
      <c r="AD276" s="27" t="n">
        <f aca="false">MIN(H275*(1+H$8),MAX(T276,$B$11-SUM(X276:AC276)-SUM(U276:W276)))</f>
        <v>0</v>
      </c>
      <c r="AE276" s="27" t="n">
        <f aca="false">MIN(I275*(1+I$8),MAX(U276,$B$11-SUM(X276:AD276)-SUM(V276:W276)))</f>
        <v>0</v>
      </c>
      <c r="AF276" s="27" t="n">
        <f aca="false">MIN(J275*(1+J$8),MAX(V276,$B$11-SUM(X276:AE276)-SUM(W276:W276)))</f>
        <v>0</v>
      </c>
      <c r="AG276" s="27" t="n">
        <f aca="false">MIN(K275*(1+K$8),MAX(W276,$B$11-SUM(X276:AF276)))</f>
        <v>0</v>
      </c>
      <c r="AI276" s="27" t="n">
        <f aca="false">ROUND(MAX(0,AI275*(1+B$8)-BE276),2)</f>
        <v>0</v>
      </c>
      <c r="AJ276" s="27" t="n">
        <f aca="false">ROUND(MAX(0,AJ275*(1+C$8)-BF276),2)</f>
        <v>0</v>
      </c>
      <c r="AK276" s="27" t="n">
        <f aca="false">ROUND(MAX(0,AK275*(1+D$8)-BG276),2)</f>
        <v>0</v>
      </c>
      <c r="AL276" s="27" t="n">
        <f aca="false">ROUND(MAX(0,AL275*(1+E$8)-BH276),2)</f>
        <v>0</v>
      </c>
      <c r="AM276" s="27" t="n">
        <f aca="false">ROUND(MAX(0,AM275*(1+F$8)-BI276),2)</f>
        <v>0</v>
      </c>
      <c r="AN276" s="27" t="n">
        <f aca="false">ROUND(MAX(0,AN275*(1+G$8)-BJ276),2)</f>
        <v>0</v>
      </c>
      <c r="AO276" s="27" t="n">
        <f aca="false">ROUND(MAX(0,AO275*(1+H$8)-BK276),2)</f>
        <v>0</v>
      </c>
      <c r="AP276" s="27" t="n">
        <f aca="false">ROUND(MAX(0,AP275*(1+I$8)-BL276),2)</f>
        <v>0</v>
      </c>
      <c r="AQ276" s="27" t="n">
        <f aca="false">ROUND(MAX(0,AQ275*(1+J$8)-BM276),2)</f>
        <v>0</v>
      </c>
      <c r="AR276" s="27" t="n">
        <f aca="false">ROUND(MAX(0,AR275*(1+K$8)-BN276),2)</f>
        <v>0</v>
      </c>
      <c r="AS276" s="27" t="n">
        <f aca="false">SUM(AI276:AR276)</f>
        <v>0</v>
      </c>
      <c r="AT276" s="27" t="n">
        <f aca="false">SUMPRODUCT(AI275:AR275,$B$8:$K$8)</f>
        <v>0</v>
      </c>
      <c r="AU276" s="27" t="n">
        <f aca="false">MIN(AI275*(1+B$8),B$9)</f>
        <v>0</v>
      </c>
      <c r="AV276" s="27" t="n">
        <f aca="false">MIN(AJ275*(1+C$8),C$9)</f>
        <v>0</v>
      </c>
      <c r="AW276" s="27" t="n">
        <f aca="false">MIN(AK275*(1+D$8),D$9)</f>
        <v>0</v>
      </c>
      <c r="AX276" s="27" t="n">
        <f aca="false">MIN(AL275*(1+E$8),E$9)</f>
        <v>0</v>
      </c>
      <c r="AY276" s="27" t="n">
        <f aca="false">MIN(AM275*(1+F$8),F$9)</f>
        <v>0</v>
      </c>
      <c r="AZ276" s="27" t="n">
        <f aca="false">MIN(AN275*(1+G$8),G$9)</f>
        <v>0</v>
      </c>
      <c r="BA276" s="27" t="n">
        <f aca="false">MIN(AO275*(1+H$8),H$9)</f>
        <v>0</v>
      </c>
      <c r="BB276" s="27" t="n">
        <f aca="false">MIN(AP275*(1+I$8),I$9)</f>
        <v>0</v>
      </c>
      <c r="BC276" s="27" t="n">
        <f aca="false">MIN(AQ275*(1+J$8),J$9)</f>
        <v>0</v>
      </c>
      <c r="BD276" s="27" t="n">
        <f aca="false">MIN(AR275*(1+K$8),K$9)</f>
        <v>0</v>
      </c>
      <c r="BE276" s="27" t="n">
        <f aca="false">MIN(AI275*(1+B$8),MAX(AU276,$B$12-SUM(AV276:BD276)))</f>
        <v>0</v>
      </c>
      <c r="BF276" s="27" t="n">
        <f aca="false">MIN(AJ275*(1+C$8),MAX(AV276,$B$12-SUM(BE276:BE276)-SUM(AW276:BD276)))</f>
        <v>0</v>
      </c>
      <c r="BG276" s="27" t="n">
        <f aca="false">MIN(AK275*(1+D$8),MAX(AW276,$B$12-SUM(BE276:BF276)-SUM(AX276:BD276)))</f>
        <v>0</v>
      </c>
      <c r="BH276" s="27" t="n">
        <f aca="false">MIN(AL275*(1+E$8),MAX(AX276,$B$12-SUM(BE276:BG276)-SUM(AY276:BD276)))</f>
        <v>0</v>
      </c>
      <c r="BI276" s="27" t="n">
        <f aca="false">MIN(AM275*(1+F$8),MAX(AY276,$B$12-SUM(BE276:BH276)-SUM(AZ276:BD276)))</f>
        <v>0</v>
      </c>
      <c r="BJ276" s="27" t="n">
        <f aca="false">MIN(AN275*(1+G$8),MAX(AZ276,$B$12-SUM(BE276:BI276)-SUM(BA276:BD276)))</f>
        <v>0</v>
      </c>
      <c r="BK276" s="27" t="n">
        <f aca="false">MIN(AO275*(1+H$8),MAX(BA276,$B$12-SUM(BE276:BJ276)-SUM(BB276:BD276)))</f>
        <v>0</v>
      </c>
      <c r="BL276" s="27" t="n">
        <f aca="false">MIN(AP275*(1+I$8),MAX(BB276,$B$12-SUM(BE276:BK276)-SUM(BC276:BD276)))</f>
        <v>0</v>
      </c>
      <c r="BM276" s="27" t="n">
        <f aca="false">MIN(AQ275*(1+J$8),MAX(BC276,$B$12-SUM(BE276:BL276)-SUM(BD276:BD276)))</f>
        <v>0</v>
      </c>
      <c r="BN276" s="27" t="n">
        <f aca="false">MIN(AR275*(1+K$8),MAX(BD276,$B$12-SUM(BE276:BM276)))</f>
        <v>0</v>
      </c>
    </row>
    <row r="277" customFormat="false" ht="15" hidden="false" customHeight="false" outlineLevel="0" collapsed="false">
      <c r="A277" s="0" t="n">
        <v>263</v>
      </c>
      <c r="B277" s="27" t="n">
        <f aca="false">ROUND(MAX(0,B276*(1+B$8)-X277),2)</f>
        <v>0</v>
      </c>
      <c r="C277" s="27" t="n">
        <f aca="false">ROUND(MAX(0,C276*(1+C$8)-Y277),2)</f>
        <v>0</v>
      </c>
      <c r="D277" s="27" t="n">
        <f aca="false">ROUND(MAX(0,D276*(1+D$8)-Z277),2)</f>
        <v>0</v>
      </c>
      <c r="E277" s="27" t="n">
        <f aca="false">ROUND(MAX(0,E276*(1+E$8)-AA277),2)</f>
        <v>0</v>
      </c>
      <c r="F277" s="27" t="n">
        <f aca="false">ROUND(MAX(0,F276*(1+F$8)-AB277),2)</f>
        <v>0</v>
      </c>
      <c r="G277" s="27" t="n">
        <f aca="false">ROUND(MAX(0,G276*(1+G$8)-AC277),2)</f>
        <v>0</v>
      </c>
      <c r="H277" s="27" t="n">
        <f aca="false">ROUND(MAX(0,H276*(1+H$8)-AD277),2)</f>
        <v>0</v>
      </c>
      <c r="I277" s="27" t="n">
        <f aca="false">ROUND(MAX(0,I276*(1+I$8)-AE277),2)</f>
        <v>0</v>
      </c>
      <c r="J277" s="27" t="n">
        <f aca="false">ROUND(MAX(0,J276*(1+J$8)-AF277),2)</f>
        <v>0</v>
      </c>
      <c r="K277" s="27" t="n">
        <f aca="false">ROUND(MAX(0,K276*(1+K$8)-AG277),2)</f>
        <v>0</v>
      </c>
      <c r="L277" s="30" t="n">
        <f aca="false">SUM(B277:K277)</f>
        <v>0</v>
      </c>
      <c r="M277" s="27" t="n">
        <f aca="false">SUMPRODUCT(B276:K276,$B$8:$K$8)</f>
        <v>0</v>
      </c>
      <c r="N277" s="27" t="n">
        <f aca="false">MIN(B276*(1+B$8),B$9)</f>
        <v>0</v>
      </c>
      <c r="O277" s="27" t="n">
        <f aca="false">MIN(C276*(1+C$8),C$9)</f>
        <v>0</v>
      </c>
      <c r="P277" s="27" t="n">
        <f aca="false">MIN(D276*(1+D$8),D$9)</f>
        <v>0</v>
      </c>
      <c r="Q277" s="27" t="n">
        <f aca="false">MIN(E276*(1+E$8),E$9)</f>
        <v>0</v>
      </c>
      <c r="R277" s="27" t="n">
        <f aca="false">MIN(F276*(1+F$8),F$9)</f>
        <v>0</v>
      </c>
      <c r="S277" s="27" t="n">
        <f aca="false">MIN(G276*(1+G$8),G$9)</f>
        <v>0</v>
      </c>
      <c r="T277" s="27" t="n">
        <f aca="false">MIN(H276*(1+H$8),H$9)</f>
        <v>0</v>
      </c>
      <c r="U277" s="27" t="n">
        <f aca="false">MIN(I276*(1+I$8),I$9)</f>
        <v>0</v>
      </c>
      <c r="V277" s="27" t="n">
        <f aca="false">MIN(J276*(1+J$8),J$9)</f>
        <v>0</v>
      </c>
      <c r="W277" s="27" t="n">
        <f aca="false">MIN(K276*(1+K$8),K$9)</f>
        <v>0</v>
      </c>
      <c r="X277" s="27" t="n">
        <f aca="false">MIN(B276*(1+B$8),MAX(N277,$B$11-SUM(O277:W277)))</f>
        <v>0</v>
      </c>
      <c r="Y277" s="27" t="n">
        <f aca="false">MIN(C276*(1+C$8),MAX(O277,$B$11-SUM(X277:X277)-SUM(P277:W277)))</f>
        <v>0</v>
      </c>
      <c r="Z277" s="27" t="n">
        <f aca="false">MIN(D276*(1+D$8),MAX(P277,$B$11-SUM(X277:Y277)-SUM(Q277:W277)))</f>
        <v>0</v>
      </c>
      <c r="AA277" s="27" t="n">
        <f aca="false">MIN(E276*(1+E$8),MAX(Q277,$B$11-SUM(X277:Z277)-SUM(R277:W277)))</f>
        <v>0</v>
      </c>
      <c r="AB277" s="27" t="n">
        <f aca="false">MIN(F276*(1+F$8),MAX(R277,$B$11-SUM(X277:AA277)-SUM(S277:W277)))</f>
        <v>0</v>
      </c>
      <c r="AC277" s="27" t="n">
        <f aca="false">MIN(G276*(1+G$8),MAX(S277,$B$11-SUM(X277:AB277)-SUM(T277:W277)))</f>
        <v>0</v>
      </c>
      <c r="AD277" s="27" t="n">
        <f aca="false">MIN(H276*(1+H$8),MAX(T277,$B$11-SUM(X277:AC277)-SUM(U277:W277)))</f>
        <v>0</v>
      </c>
      <c r="AE277" s="27" t="n">
        <f aca="false">MIN(I276*(1+I$8),MAX(U277,$B$11-SUM(X277:AD277)-SUM(V277:W277)))</f>
        <v>0</v>
      </c>
      <c r="AF277" s="27" t="n">
        <f aca="false">MIN(J276*(1+J$8),MAX(V277,$B$11-SUM(X277:AE277)-SUM(W277:W277)))</f>
        <v>0</v>
      </c>
      <c r="AG277" s="27" t="n">
        <f aca="false">MIN(K276*(1+K$8),MAX(W277,$B$11-SUM(X277:AF277)))</f>
        <v>0</v>
      </c>
      <c r="AI277" s="27" t="n">
        <f aca="false">ROUND(MAX(0,AI276*(1+B$8)-BE277),2)</f>
        <v>0</v>
      </c>
      <c r="AJ277" s="27" t="n">
        <f aca="false">ROUND(MAX(0,AJ276*(1+C$8)-BF277),2)</f>
        <v>0</v>
      </c>
      <c r="AK277" s="27" t="n">
        <f aca="false">ROUND(MAX(0,AK276*(1+D$8)-BG277),2)</f>
        <v>0</v>
      </c>
      <c r="AL277" s="27" t="n">
        <f aca="false">ROUND(MAX(0,AL276*(1+E$8)-BH277),2)</f>
        <v>0</v>
      </c>
      <c r="AM277" s="27" t="n">
        <f aca="false">ROUND(MAX(0,AM276*(1+F$8)-BI277),2)</f>
        <v>0</v>
      </c>
      <c r="AN277" s="27" t="n">
        <f aca="false">ROUND(MAX(0,AN276*(1+G$8)-BJ277),2)</f>
        <v>0</v>
      </c>
      <c r="AO277" s="27" t="n">
        <f aca="false">ROUND(MAX(0,AO276*(1+H$8)-BK277),2)</f>
        <v>0</v>
      </c>
      <c r="AP277" s="27" t="n">
        <f aca="false">ROUND(MAX(0,AP276*(1+I$8)-BL277),2)</f>
        <v>0</v>
      </c>
      <c r="AQ277" s="27" t="n">
        <f aca="false">ROUND(MAX(0,AQ276*(1+J$8)-BM277),2)</f>
        <v>0</v>
      </c>
      <c r="AR277" s="27" t="n">
        <f aca="false">ROUND(MAX(0,AR276*(1+K$8)-BN277),2)</f>
        <v>0</v>
      </c>
      <c r="AS277" s="27" t="n">
        <f aca="false">SUM(AI277:AR277)</f>
        <v>0</v>
      </c>
      <c r="AT277" s="27" t="n">
        <f aca="false">SUMPRODUCT(AI276:AR276,$B$8:$K$8)</f>
        <v>0</v>
      </c>
      <c r="AU277" s="27" t="n">
        <f aca="false">MIN(AI276*(1+B$8),B$9)</f>
        <v>0</v>
      </c>
      <c r="AV277" s="27" t="n">
        <f aca="false">MIN(AJ276*(1+C$8),C$9)</f>
        <v>0</v>
      </c>
      <c r="AW277" s="27" t="n">
        <f aca="false">MIN(AK276*(1+D$8),D$9)</f>
        <v>0</v>
      </c>
      <c r="AX277" s="27" t="n">
        <f aca="false">MIN(AL276*(1+E$8),E$9)</f>
        <v>0</v>
      </c>
      <c r="AY277" s="27" t="n">
        <f aca="false">MIN(AM276*(1+F$8),F$9)</f>
        <v>0</v>
      </c>
      <c r="AZ277" s="27" t="n">
        <f aca="false">MIN(AN276*(1+G$8),G$9)</f>
        <v>0</v>
      </c>
      <c r="BA277" s="27" t="n">
        <f aca="false">MIN(AO276*(1+H$8),H$9)</f>
        <v>0</v>
      </c>
      <c r="BB277" s="27" t="n">
        <f aca="false">MIN(AP276*(1+I$8),I$9)</f>
        <v>0</v>
      </c>
      <c r="BC277" s="27" t="n">
        <f aca="false">MIN(AQ276*(1+J$8),J$9)</f>
        <v>0</v>
      </c>
      <c r="BD277" s="27" t="n">
        <f aca="false">MIN(AR276*(1+K$8),K$9)</f>
        <v>0</v>
      </c>
      <c r="BE277" s="27" t="n">
        <f aca="false">MIN(AI276*(1+B$8),MAX(AU277,$B$12-SUM(AV277:BD277)))</f>
        <v>0</v>
      </c>
      <c r="BF277" s="27" t="n">
        <f aca="false">MIN(AJ276*(1+C$8),MAX(AV277,$B$12-SUM(BE277:BE277)-SUM(AW277:BD277)))</f>
        <v>0</v>
      </c>
      <c r="BG277" s="27" t="n">
        <f aca="false">MIN(AK276*(1+D$8),MAX(AW277,$B$12-SUM(BE277:BF277)-SUM(AX277:BD277)))</f>
        <v>0</v>
      </c>
      <c r="BH277" s="27" t="n">
        <f aca="false">MIN(AL276*(1+E$8),MAX(AX277,$B$12-SUM(BE277:BG277)-SUM(AY277:BD277)))</f>
        <v>0</v>
      </c>
      <c r="BI277" s="27" t="n">
        <f aca="false">MIN(AM276*(1+F$8),MAX(AY277,$B$12-SUM(BE277:BH277)-SUM(AZ277:BD277)))</f>
        <v>0</v>
      </c>
      <c r="BJ277" s="27" t="n">
        <f aca="false">MIN(AN276*(1+G$8),MAX(AZ277,$B$12-SUM(BE277:BI277)-SUM(BA277:BD277)))</f>
        <v>0</v>
      </c>
      <c r="BK277" s="27" t="n">
        <f aca="false">MIN(AO276*(1+H$8),MAX(BA277,$B$12-SUM(BE277:BJ277)-SUM(BB277:BD277)))</f>
        <v>0</v>
      </c>
      <c r="BL277" s="27" t="n">
        <f aca="false">MIN(AP276*(1+I$8),MAX(BB277,$B$12-SUM(BE277:BK277)-SUM(BC277:BD277)))</f>
        <v>0</v>
      </c>
      <c r="BM277" s="27" t="n">
        <f aca="false">MIN(AQ276*(1+J$8),MAX(BC277,$B$12-SUM(BE277:BL277)-SUM(BD277:BD277)))</f>
        <v>0</v>
      </c>
      <c r="BN277" s="27" t="n">
        <f aca="false">MIN(AR276*(1+K$8),MAX(BD277,$B$12-SUM(BE277:BM277)))</f>
        <v>0</v>
      </c>
    </row>
    <row r="278" customFormat="false" ht="15" hidden="false" customHeight="false" outlineLevel="0" collapsed="false">
      <c r="A278" s="0" t="n">
        <v>264</v>
      </c>
      <c r="B278" s="27" t="n">
        <f aca="false">ROUND(MAX(0,B277*(1+B$8)-X278),2)</f>
        <v>0</v>
      </c>
      <c r="C278" s="27" t="n">
        <f aca="false">ROUND(MAX(0,C277*(1+C$8)-Y278),2)</f>
        <v>0</v>
      </c>
      <c r="D278" s="27" t="n">
        <f aca="false">ROUND(MAX(0,D277*(1+D$8)-Z278),2)</f>
        <v>0</v>
      </c>
      <c r="E278" s="27" t="n">
        <f aca="false">ROUND(MAX(0,E277*(1+E$8)-AA278),2)</f>
        <v>0</v>
      </c>
      <c r="F278" s="27" t="n">
        <f aca="false">ROUND(MAX(0,F277*(1+F$8)-AB278),2)</f>
        <v>0</v>
      </c>
      <c r="G278" s="27" t="n">
        <f aca="false">ROUND(MAX(0,G277*(1+G$8)-AC278),2)</f>
        <v>0</v>
      </c>
      <c r="H278" s="27" t="n">
        <f aca="false">ROUND(MAX(0,H277*(1+H$8)-AD278),2)</f>
        <v>0</v>
      </c>
      <c r="I278" s="27" t="n">
        <f aca="false">ROUND(MAX(0,I277*(1+I$8)-AE278),2)</f>
        <v>0</v>
      </c>
      <c r="J278" s="27" t="n">
        <f aca="false">ROUND(MAX(0,J277*(1+J$8)-AF278),2)</f>
        <v>0</v>
      </c>
      <c r="K278" s="27" t="n">
        <f aca="false">ROUND(MAX(0,K277*(1+K$8)-AG278),2)</f>
        <v>0</v>
      </c>
      <c r="L278" s="30" t="n">
        <f aca="false">SUM(B278:K278)</f>
        <v>0</v>
      </c>
      <c r="M278" s="27" t="n">
        <f aca="false">SUMPRODUCT(B277:K277,$B$8:$K$8)</f>
        <v>0</v>
      </c>
      <c r="N278" s="27" t="n">
        <f aca="false">MIN(B277*(1+B$8),B$9)</f>
        <v>0</v>
      </c>
      <c r="O278" s="27" t="n">
        <f aca="false">MIN(C277*(1+C$8),C$9)</f>
        <v>0</v>
      </c>
      <c r="P278" s="27" t="n">
        <f aca="false">MIN(D277*(1+D$8),D$9)</f>
        <v>0</v>
      </c>
      <c r="Q278" s="27" t="n">
        <f aca="false">MIN(E277*(1+E$8),E$9)</f>
        <v>0</v>
      </c>
      <c r="R278" s="27" t="n">
        <f aca="false">MIN(F277*(1+F$8),F$9)</f>
        <v>0</v>
      </c>
      <c r="S278" s="27" t="n">
        <f aca="false">MIN(G277*(1+G$8),G$9)</f>
        <v>0</v>
      </c>
      <c r="T278" s="27" t="n">
        <f aca="false">MIN(H277*(1+H$8),H$9)</f>
        <v>0</v>
      </c>
      <c r="U278" s="27" t="n">
        <f aca="false">MIN(I277*(1+I$8),I$9)</f>
        <v>0</v>
      </c>
      <c r="V278" s="27" t="n">
        <f aca="false">MIN(J277*(1+J$8),J$9)</f>
        <v>0</v>
      </c>
      <c r="W278" s="27" t="n">
        <f aca="false">MIN(K277*(1+K$8),K$9)</f>
        <v>0</v>
      </c>
      <c r="X278" s="27" t="n">
        <f aca="false">MIN(B277*(1+B$8),MAX(N278,$B$11-SUM(O278:W278)))</f>
        <v>0</v>
      </c>
      <c r="Y278" s="27" t="n">
        <f aca="false">MIN(C277*(1+C$8),MAX(O278,$B$11-SUM(X278:X278)-SUM(P278:W278)))</f>
        <v>0</v>
      </c>
      <c r="Z278" s="27" t="n">
        <f aca="false">MIN(D277*(1+D$8),MAX(P278,$B$11-SUM(X278:Y278)-SUM(Q278:W278)))</f>
        <v>0</v>
      </c>
      <c r="AA278" s="27" t="n">
        <f aca="false">MIN(E277*(1+E$8),MAX(Q278,$B$11-SUM(X278:Z278)-SUM(R278:W278)))</f>
        <v>0</v>
      </c>
      <c r="AB278" s="27" t="n">
        <f aca="false">MIN(F277*(1+F$8),MAX(R278,$B$11-SUM(X278:AA278)-SUM(S278:W278)))</f>
        <v>0</v>
      </c>
      <c r="AC278" s="27" t="n">
        <f aca="false">MIN(G277*(1+G$8),MAX(S278,$B$11-SUM(X278:AB278)-SUM(T278:W278)))</f>
        <v>0</v>
      </c>
      <c r="AD278" s="27" t="n">
        <f aca="false">MIN(H277*(1+H$8),MAX(T278,$B$11-SUM(X278:AC278)-SUM(U278:W278)))</f>
        <v>0</v>
      </c>
      <c r="AE278" s="27" t="n">
        <f aca="false">MIN(I277*(1+I$8),MAX(U278,$B$11-SUM(X278:AD278)-SUM(V278:W278)))</f>
        <v>0</v>
      </c>
      <c r="AF278" s="27" t="n">
        <f aca="false">MIN(J277*(1+J$8),MAX(V278,$B$11-SUM(X278:AE278)-SUM(W278:W278)))</f>
        <v>0</v>
      </c>
      <c r="AG278" s="27" t="n">
        <f aca="false">MIN(K277*(1+K$8),MAX(W278,$B$11-SUM(X278:AF278)))</f>
        <v>0</v>
      </c>
      <c r="AI278" s="27" t="n">
        <f aca="false">ROUND(MAX(0,AI277*(1+B$8)-BE278),2)</f>
        <v>0</v>
      </c>
      <c r="AJ278" s="27" t="n">
        <f aca="false">ROUND(MAX(0,AJ277*(1+C$8)-BF278),2)</f>
        <v>0</v>
      </c>
      <c r="AK278" s="27" t="n">
        <f aca="false">ROUND(MAX(0,AK277*(1+D$8)-BG278),2)</f>
        <v>0</v>
      </c>
      <c r="AL278" s="27" t="n">
        <f aca="false">ROUND(MAX(0,AL277*(1+E$8)-BH278),2)</f>
        <v>0</v>
      </c>
      <c r="AM278" s="27" t="n">
        <f aca="false">ROUND(MAX(0,AM277*(1+F$8)-BI278),2)</f>
        <v>0</v>
      </c>
      <c r="AN278" s="27" t="n">
        <f aca="false">ROUND(MAX(0,AN277*(1+G$8)-BJ278),2)</f>
        <v>0</v>
      </c>
      <c r="AO278" s="27" t="n">
        <f aca="false">ROUND(MAX(0,AO277*(1+H$8)-BK278),2)</f>
        <v>0</v>
      </c>
      <c r="AP278" s="27" t="n">
        <f aca="false">ROUND(MAX(0,AP277*(1+I$8)-BL278),2)</f>
        <v>0</v>
      </c>
      <c r="AQ278" s="27" t="n">
        <f aca="false">ROUND(MAX(0,AQ277*(1+J$8)-BM278),2)</f>
        <v>0</v>
      </c>
      <c r="AR278" s="27" t="n">
        <f aca="false">ROUND(MAX(0,AR277*(1+K$8)-BN278),2)</f>
        <v>0</v>
      </c>
      <c r="AS278" s="27" t="n">
        <f aca="false">SUM(AI278:AR278)</f>
        <v>0</v>
      </c>
      <c r="AT278" s="27" t="n">
        <f aca="false">SUMPRODUCT(AI277:AR277,$B$8:$K$8)</f>
        <v>0</v>
      </c>
      <c r="AU278" s="27" t="n">
        <f aca="false">MIN(AI277*(1+B$8),B$9)</f>
        <v>0</v>
      </c>
      <c r="AV278" s="27" t="n">
        <f aca="false">MIN(AJ277*(1+C$8),C$9)</f>
        <v>0</v>
      </c>
      <c r="AW278" s="27" t="n">
        <f aca="false">MIN(AK277*(1+D$8),D$9)</f>
        <v>0</v>
      </c>
      <c r="AX278" s="27" t="n">
        <f aca="false">MIN(AL277*(1+E$8),E$9)</f>
        <v>0</v>
      </c>
      <c r="AY278" s="27" t="n">
        <f aca="false">MIN(AM277*(1+F$8),F$9)</f>
        <v>0</v>
      </c>
      <c r="AZ278" s="27" t="n">
        <f aca="false">MIN(AN277*(1+G$8),G$9)</f>
        <v>0</v>
      </c>
      <c r="BA278" s="27" t="n">
        <f aca="false">MIN(AO277*(1+H$8),H$9)</f>
        <v>0</v>
      </c>
      <c r="BB278" s="27" t="n">
        <f aca="false">MIN(AP277*(1+I$8),I$9)</f>
        <v>0</v>
      </c>
      <c r="BC278" s="27" t="n">
        <f aca="false">MIN(AQ277*(1+J$8),J$9)</f>
        <v>0</v>
      </c>
      <c r="BD278" s="27" t="n">
        <f aca="false">MIN(AR277*(1+K$8),K$9)</f>
        <v>0</v>
      </c>
      <c r="BE278" s="27" t="n">
        <f aca="false">MIN(AI277*(1+B$8),MAX(AU278,$B$12-SUM(AV278:BD278)))</f>
        <v>0</v>
      </c>
      <c r="BF278" s="27" t="n">
        <f aca="false">MIN(AJ277*(1+C$8),MAX(AV278,$B$12-SUM(BE278:BE278)-SUM(AW278:BD278)))</f>
        <v>0</v>
      </c>
      <c r="BG278" s="27" t="n">
        <f aca="false">MIN(AK277*(1+D$8),MAX(AW278,$B$12-SUM(BE278:BF278)-SUM(AX278:BD278)))</f>
        <v>0</v>
      </c>
      <c r="BH278" s="27" t="n">
        <f aca="false">MIN(AL277*(1+E$8),MAX(AX278,$B$12-SUM(BE278:BG278)-SUM(AY278:BD278)))</f>
        <v>0</v>
      </c>
      <c r="BI278" s="27" t="n">
        <f aca="false">MIN(AM277*(1+F$8),MAX(AY278,$B$12-SUM(BE278:BH278)-SUM(AZ278:BD278)))</f>
        <v>0</v>
      </c>
      <c r="BJ278" s="27" t="n">
        <f aca="false">MIN(AN277*(1+G$8),MAX(AZ278,$B$12-SUM(BE278:BI278)-SUM(BA278:BD278)))</f>
        <v>0</v>
      </c>
      <c r="BK278" s="27" t="n">
        <f aca="false">MIN(AO277*(1+H$8),MAX(BA278,$B$12-SUM(BE278:BJ278)-SUM(BB278:BD278)))</f>
        <v>0</v>
      </c>
      <c r="BL278" s="27" t="n">
        <f aca="false">MIN(AP277*(1+I$8),MAX(BB278,$B$12-SUM(BE278:BK278)-SUM(BC278:BD278)))</f>
        <v>0</v>
      </c>
      <c r="BM278" s="27" t="n">
        <f aca="false">MIN(AQ277*(1+J$8),MAX(BC278,$B$12-SUM(BE278:BL278)-SUM(BD278:BD278)))</f>
        <v>0</v>
      </c>
      <c r="BN278" s="27" t="n">
        <f aca="false">MIN(AR277*(1+K$8),MAX(BD278,$B$12-SUM(BE278:BM278)))</f>
        <v>0</v>
      </c>
    </row>
    <row r="279" customFormat="false" ht="15" hidden="false" customHeight="false" outlineLevel="0" collapsed="false">
      <c r="A279" s="0" t="n">
        <v>265</v>
      </c>
      <c r="B279" s="27" t="n">
        <f aca="false">ROUND(MAX(0,B278*(1+B$8)-X279),2)</f>
        <v>0</v>
      </c>
      <c r="C279" s="27" t="n">
        <f aca="false">ROUND(MAX(0,C278*(1+C$8)-Y279),2)</f>
        <v>0</v>
      </c>
      <c r="D279" s="27" t="n">
        <f aca="false">ROUND(MAX(0,D278*(1+D$8)-Z279),2)</f>
        <v>0</v>
      </c>
      <c r="E279" s="27" t="n">
        <f aca="false">ROUND(MAX(0,E278*(1+E$8)-AA279),2)</f>
        <v>0</v>
      </c>
      <c r="F279" s="27" t="n">
        <f aca="false">ROUND(MAX(0,F278*(1+F$8)-AB279),2)</f>
        <v>0</v>
      </c>
      <c r="G279" s="27" t="n">
        <f aca="false">ROUND(MAX(0,G278*(1+G$8)-AC279),2)</f>
        <v>0</v>
      </c>
      <c r="H279" s="27" t="n">
        <f aca="false">ROUND(MAX(0,H278*(1+H$8)-AD279),2)</f>
        <v>0</v>
      </c>
      <c r="I279" s="27" t="n">
        <f aca="false">ROUND(MAX(0,I278*(1+I$8)-AE279),2)</f>
        <v>0</v>
      </c>
      <c r="J279" s="27" t="n">
        <f aca="false">ROUND(MAX(0,J278*(1+J$8)-AF279),2)</f>
        <v>0</v>
      </c>
      <c r="K279" s="27" t="n">
        <f aca="false">ROUND(MAX(0,K278*(1+K$8)-AG279),2)</f>
        <v>0</v>
      </c>
      <c r="L279" s="30" t="n">
        <f aca="false">SUM(B279:K279)</f>
        <v>0</v>
      </c>
      <c r="M279" s="27" t="n">
        <f aca="false">SUMPRODUCT(B278:K278,$B$8:$K$8)</f>
        <v>0</v>
      </c>
      <c r="N279" s="27" t="n">
        <f aca="false">MIN(B278*(1+B$8),B$9)</f>
        <v>0</v>
      </c>
      <c r="O279" s="27" t="n">
        <f aca="false">MIN(C278*(1+C$8),C$9)</f>
        <v>0</v>
      </c>
      <c r="P279" s="27" t="n">
        <f aca="false">MIN(D278*(1+D$8),D$9)</f>
        <v>0</v>
      </c>
      <c r="Q279" s="27" t="n">
        <f aca="false">MIN(E278*(1+E$8),E$9)</f>
        <v>0</v>
      </c>
      <c r="R279" s="27" t="n">
        <f aca="false">MIN(F278*(1+F$8),F$9)</f>
        <v>0</v>
      </c>
      <c r="S279" s="27" t="n">
        <f aca="false">MIN(G278*(1+G$8),G$9)</f>
        <v>0</v>
      </c>
      <c r="T279" s="27" t="n">
        <f aca="false">MIN(H278*(1+H$8),H$9)</f>
        <v>0</v>
      </c>
      <c r="U279" s="27" t="n">
        <f aca="false">MIN(I278*(1+I$8),I$9)</f>
        <v>0</v>
      </c>
      <c r="V279" s="27" t="n">
        <f aca="false">MIN(J278*(1+J$8),J$9)</f>
        <v>0</v>
      </c>
      <c r="W279" s="27" t="n">
        <f aca="false">MIN(K278*(1+K$8),K$9)</f>
        <v>0</v>
      </c>
      <c r="X279" s="27" t="n">
        <f aca="false">MIN(B278*(1+B$8),MAX(N279,$B$11-SUM(O279:W279)))</f>
        <v>0</v>
      </c>
      <c r="Y279" s="27" t="n">
        <f aca="false">MIN(C278*(1+C$8),MAX(O279,$B$11-SUM(X279:X279)-SUM(P279:W279)))</f>
        <v>0</v>
      </c>
      <c r="Z279" s="27" t="n">
        <f aca="false">MIN(D278*(1+D$8),MAX(P279,$B$11-SUM(X279:Y279)-SUM(Q279:W279)))</f>
        <v>0</v>
      </c>
      <c r="AA279" s="27" t="n">
        <f aca="false">MIN(E278*(1+E$8),MAX(Q279,$B$11-SUM(X279:Z279)-SUM(R279:W279)))</f>
        <v>0</v>
      </c>
      <c r="AB279" s="27" t="n">
        <f aca="false">MIN(F278*(1+F$8),MAX(R279,$B$11-SUM(X279:AA279)-SUM(S279:W279)))</f>
        <v>0</v>
      </c>
      <c r="AC279" s="27" t="n">
        <f aca="false">MIN(G278*(1+G$8),MAX(S279,$B$11-SUM(X279:AB279)-SUM(T279:W279)))</f>
        <v>0</v>
      </c>
      <c r="AD279" s="27" t="n">
        <f aca="false">MIN(H278*(1+H$8),MAX(T279,$B$11-SUM(X279:AC279)-SUM(U279:W279)))</f>
        <v>0</v>
      </c>
      <c r="AE279" s="27" t="n">
        <f aca="false">MIN(I278*(1+I$8),MAX(U279,$B$11-SUM(X279:AD279)-SUM(V279:W279)))</f>
        <v>0</v>
      </c>
      <c r="AF279" s="27" t="n">
        <f aca="false">MIN(J278*(1+J$8),MAX(V279,$B$11-SUM(X279:AE279)-SUM(W279:W279)))</f>
        <v>0</v>
      </c>
      <c r="AG279" s="27" t="n">
        <f aca="false">MIN(K278*(1+K$8),MAX(W279,$B$11-SUM(X279:AF279)))</f>
        <v>0</v>
      </c>
      <c r="AI279" s="27" t="n">
        <f aca="false">ROUND(MAX(0,AI278*(1+B$8)-BE279),2)</f>
        <v>0</v>
      </c>
      <c r="AJ279" s="27" t="n">
        <f aca="false">ROUND(MAX(0,AJ278*(1+C$8)-BF279),2)</f>
        <v>0</v>
      </c>
      <c r="AK279" s="27" t="n">
        <f aca="false">ROUND(MAX(0,AK278*(1+D$8)-BG279),2)</f>
        <v>0</v>
      </c>
      <c r="AL279" s="27" t="n">
        <f aca="false">ROUND(MAX(0,AL278*(1+E$8)-BH279),2)</f>
        <v>0</v>
      </c>
      <c r="AM279" s="27" t="n">
        <f aca="false">ROUND(MAX(0,AM278*(1+F$8)-BI279),2)</f>
        <v>0</v>
      </c>
      <c r="AN279" s="27" t="n">
        <f aca="false">ROUND(MAX(0,AN278*(1+G$8)-BJ279),2)</f>
        <v>0</v>
      </c>
      <c r="AO279" s="27" t="n">
        <f aca="false">ROUND(MAX(0,AO278*(1+H$8)-BK279),2)</f>
        <v>0</v>
      </c>
      <c r="AP279" s="27" t="n">
        <f aca="false">ROUND(MAX(0,AP278*(1+I$8)-BL279),2)</f>
        <v>0</v>
      </c>
      <c r="AQ279" s="27" t="n">
        <f aca="false">ROUND(MAX(0,AQ278*(1+J$8)-BM279),2)</f>
        <v>0</v>
      </c>
      <c r="AR279" s="27" t="n">
        <f aca="false">ROUND(MAX(0,AR278*(1+K$8)-BN279),2)</f>
        <v>0</v>
      </c>
      <c r="AS279" s="27" t="n">
        <f aca="false">SUM(AI279:AR279)</f>
        <v>0</v>
      </c>
      <c r="AT279" s="27" t="n">
        <f aca="false">SUMPRODUCT(AI278:AR278,$B$8:$K$8)</f>
        <v>0</v>
      </c>
      <c r="AU279" s="27" t="n">
        <f aca="false">MIN(AI278*(1+B$8),B$9)</f>
        <v>0</v>
      </c>
      <c r="AV279" s="27" t="n">
        <f aca="false">MIN(AJ278*(1+C$8),C$9)</f>
        <v>0</v>
      </c>
      <c r="AW279" s="27" t="n">
        <f aca="false">MIN(AK278*(1+D$8),D$9)</f>
        <v>0</v>
      </c>
      <c r="AX279" s="27" t="n">
        <f aca="false">MIN(AL278*(1+E$8),E$9)</f>
        <v>0</v>
      </c>
      <c r="AY279" s="27" t="n">
        <f aca="false">MIN(AM278*(1+F$8),F$9)</f>
        <v>0</v>
      </c>
      <c r="AZ279" s="27" t="n">
        <f aca="false">MIN(AN278*(1+G$8),G$9)</f>
        <v>0</v>
      </c>
      <c r="BA279" s="27" t="n">
        <f aca="false">MIN(AO278*(1+H$8),H$9)</f>
        <v>0</v>
      </c>
      <c r="BB279" s="27" t="n">
        <f aca="false">MIN(AP278*(1+I$8),I$9)</f>
        <v>0</v>
      </c>
      <c r="BC279" s="27" t="n">
        <f aca="false">MIN(AQ278*(1+J$8),J$9)</f>
        <v>0</v>
      </c>
      <c r="BD279" s="27" t="n">
        <f aca="false">MIN(AR278*(1+K$8),K$9)</f>
        <v>0</v>
      </c>
      <c r="BE279" s="27" t="n">
        <f aca="false">MIN(AI278*(1+B$8),MAX(AU279,$B$12-SUM(AV279:BD279)))</f>
        <v>0</v>
      </c>
      <c r="BF279" s="27" t="n">
        <f aca="false">MIN(AJ278*(1+C$8),MAX(AV279,$B$12-SUM(BE279:BE279)-SUM(AW279:BD279)))</f>
        <v>0</v>
      </c>
      <c r="BG279" s="27" t="n">
        <f aca="false">MIN(AK278*(1+D$8),MAX(AW279,$B$12-SUM(BE279:BF279)-SUM(AX279:BD279)))</f>
        <v>0</v>
      </c>
      <c r="BH279" s="27" t="n">
        <f aca="false">MIN(AL278*(1+E$8),MAX(AX279,$B$12-SUM(BE279:BG279)-SUM(AY279:BD279)))</f>
        <v>0</v>
      </c>
      <c r="BI279" s="27" t="n">
        <f aca="false">MIN(AM278*(1+F$8),MAX(AY279,$B$12-SUM(BE279:BH279)-SUM(AZ279:BD279)))</f>
        <v>0</v>
      </c>
      <c r="BJ279" s="27" t="n">
        <f aca="false">MIN(AN278*(1+G$8),MAX(AZ279,$B$12-SUM(BE279:BI279)-SUM(BA279:BD279)))</f>
        <v>0</v>
      </c>
      <c r="BK279" s="27" t="n">
        <f aca="false">MIN(AO278*(1+H$8),MAX(BA279,$B$12-SUM(BE279:BJ279)-SUM(BB279:BD279)))</f>
        <v>0</v>
      </c>
      <c r="BL279" s="27" t="n">
        <f aca="false">MIN(AP278*(1+I$8),MAX(BB279,$B$12-SUM(BE279:BK279)-SUM(BC279:BD279)))</f>
        <v>0</v>
      </c>
      <c r="BM279" s="27" t="n">
        <f aca="false">MIN(AQ278*(1+J$8),MAX(BC279,$B$12-SUM(BE279:BL279)-SUM(BD279:BD279)))</f>
        <v>0</v>
      </c>
      <c r="BN279" s="27" t="n">
        <f aca="false">MIN(AR278*(1+K$8),MAX(BD279,$B$12-SUM(BE279:BM279)))</f>
        <v>0</v>
      </c>
    </row>
    <row r="280" customFormat="false" ht="15" hidden="false" customHeight="false" outlineLevel="0" collapsed="false">
      <c r="A280" s="0" t="n">
        <v>266</v>
      </c>
      <c r="B280" s="27" t="n">
        <f aca="false">ROUND(MAX(0,B279*(1+B$8)-X280),2)</f>
        <v>0</v>
      </c>
      <c r="C280" s="27" t="n">
        <f aca="false">ROUND(MAX(0,C279*(1+C$8)-Y280),2)</f>
        <v>0</v>
      </c>
      <c r="D280" s="27" t="n">
        <f aca="false">ROUND(MAX(0,D279*(1+D$8)-Z280),2)</f>
        <v>0</v>
      </c>
      <c r="E280" s="27" t="n">
        <f aca="false">ROUND(MAX(0,E279*(1+E$8)-AA280),2)</f>
        <v>0</v>
      </c>
      <c r="F280" s="27" t="n">
        <f aca="false">ROUND(MAX(0,F279*(1+F$8)-AB280),2)</f>
        <v>0</v>
      </c>
      <c r="G280" s="27" t="n">
        <f aca="false">ROUND(MAX(0,G279*(1+G$8)-AC280),2)</f>
        <v>0</v>
      </c>
      <c r="H280" s="27" t="n">
        <f aca="false">ROUND(MAX(0,H279*(1+H$8)-AD280),2)</f>
        <v>0</v>
      </c>
      <c r="I280" s="27" t="n">
        <f aca="false">ROUND(MAX(0,I279*(1+I$8)-AE280),2)</f>
        <v>0</v>
      </c>
      <c r="J280" s="27" t="n">
        <f aca="false">ROUND(MAX(0,J279*(1+J$8)-AF280),2)</f>
        <v>0</v>
      </c>
      <c r="K280" s="27" t="n">
        <f aca="false">ROUND(MAX(0,K279*(1+K$8)-AG280),2)</f>
        <v>0</v>
      </c>
      <c r="L280" s="30" t="n">
        <f aca="false">SUM(B280:K280)</f>
        <v>0</v>
      </c>
      <c r="M280" s="27" t="n">
        <f aca="false">SUMPRODUCT(B279:K279,$B$8:$K$8)</f>
        <v>0</v>
      </c>
      <c r="N280" s="27" t="n">
        <f aca="false">MIN(B279*(1+B$8),B$9)</f>
        <v>0</v>
      </c>
      <c r="O280" s="27" t="n">
        <f aca="false">MIN(C279*(1+C$8),C$9)</f>
        <v>0</v>
      </c>
      <c r="P280" s="27" t="n">
        <f aca="false">MIN(D279*(1+D$8),D$9)</f>
        <v>0</v>
      </c>
      <c r="Q280" s="27" t="n">
        <f aca="false">MIN(E279*(1+E$8),E$9)</f>
        <v>0</v>
      </c>
      <c r="R280" s="27" t="n">
        <f aca="false">MIN(F279*(1+F$8),F$9)</f>
        <v>0</v>
      </c>
      <c r="S280" s="27" t="n">
        <f aca="false">MIN(G279*(1+G$8),G$9)</f>
        <v>0</v>
      </c>
      <c r="T280" s="27" t="n">
        <f aca="false">MIN(H279*(1+H$8),H$9)</f>
        <v>0</v>
      </c>
      <c r="U280" s="27" t="n">
        <f aca="false">MIN(I279*(1+I$8),I$9)</f>
        <v>0</v>
      </c>
      <c r="V280" s="27" t="n">
        <f aca="false">MIN(J279*(1+J$8),J$9)</f>
        <v>0</v>
      </c>
      <c r="W280" s="27" t="n">
        <f aca="false">MIN(K279*(1+K$8),K$9)</f>
        <v>0</v>
      </c>
      <c r="X280" s="27" t="n">
        <f aca="false">MIN(B279*(1+B$8),MAX(N280,$B$11-SUM(O280:W280)))</f>
        <v>0</v>
      </c>
      <c r="Y280" s="27" t="n">
        <f aca="false">MIN(C279*(1+C$8),MAX(O280,$B$11-SUM(X280:X280)-SUM(P280:W280)))</f>
        <v>0</v>
      </c>
      <c r="Z280" s="27" t="n">
        <f aca="false">MIN(D279*(1+D$8),MAX(P280,$B$11-SUM(X280:Y280)-SUM(Q280:W280)))</f>
        <v>0</v>
      </c>
      <c r="AA280" s="27" t="n">
        <f aca="false">MIN(E279*(1+E$8),MAX(Q280,$B$11-SUM(X280:Z280)-SUM(R280:W280)))</f>
        <v>0</v>
      </c>
      <c r="AB280" s="27" t="n">
        <f aca="false">MIN(F279*(1+F$8),MAX(R280,$B$11-SUM(X280:AA280)-SUM(S280:W280)))</f>
        <v>0</v>
      </c>
      <c r="AC280" s="27" t="n">
        <f aca="false">MIN(G279*(1+G$8),MAX(S280,$B$11-SUM(X280:AB280)-SUM(T280:W280)))</f>
        <v>0</v>
      </c>
      <c r="AD280" s="27" t="n">
        <f aca="false">MIN(H279*(1+H$8),MAX(T280,$B$11-SUM(X280:AC280)-SUM(U280:W280)))</f>
        <v>0</v>
      </c>
      <c r="AE280" s="27" t="n">
        <f aca="false">MIN(I279*(1+I$8),MAX(U280,$B$11-SUM(X280:AD280)-SUM(V280:W280)))</f>
        <v>0</v>
      </c>
      <c r="AF280" s="27" t="n">
        <f aca="false">MIN(J279*(1+J$8),MAX(V280,$B$11-SUM(X280:AE280)-SUM(W280:W280)))</f>
        <v>0</v>
      </c>
      <c r="AG280" s="27" t="n">
        <f aca="false">MIN(K279*(1+K$8),MAX(W280,$B$11-SUM(X280:AF280)))</f>
        <v>0</v>
      </c>
      <c r="AI280" s="27" t="n">
        <f aca="false">ROUND(MAX(0,AI279*(1+B$8)-BE280),2)</f>
        <v>0</v>
      </c>
      <c r="AJ280" s="27" t="n">
        <f aca="false">ROUND(MAX(0,AJ279*(1+C$8)-BF280),2)</f>
        <v>0</v>
      </c>
      <c r="AK280" s="27" t="n">
        <f aca="false">ROUND(MAX(0,AK279*(1+D$8)-BG280),2)</f>
        <v>0</v>
      </c>
      <c r="AL280" s="27" t="n">
        <f aca="false">ROUND(MAX(0,AL279*(1+E$8)-BH280),2)</f>
        <v>0</v>
      </c>
      <c r="AM280" s="27" t="n">
        <f aca="false">ROUND(MAX(0,AM279*(1+F$8)-BI280),2)</f>
        <v>0</v>
      </c>
      <c r="AN280" s="27" t="n">
        <f aca="false">ROUND(MAX(0,AN279*(1+G$8)-BJ280),2)</f>
        <v>0</v>
      </c>
      <c r="AO280" s="27" t="n">
        <f aca="false">ROUND(MAX(0,AO279*(1+H$8)-BK280),2)</f>
        <v>0</v>
      </c>
      <c r="AP280" s="27" t="n">
        <f aca="false">ROUND(MAX(0,AP279*(1+I$8)-BL280),2)</f>
        <v>0</v>
      </c>
      <c r="AQ280" s="27" t="n">
        <f aca="false">ROUND(MAX(0,AQ279*(1+J$8)-BM280),2)</f>
        <v>0</v>
      </c>
      <c r="AR280" s="27" t="n">
        <f aca="false">ROUND(MAX(0,AR279*(1+K$8)-BN280),2)</f>
        <v>0</v>
      </c>
      <c r="AS280" s="27" t="n">
        <f aca="false">SUM(AI280:AR280)</f>
        <v>0</v>
      </c>
      <c r="AT280" s="27" t="n">
        <f aca="false">SUMPRODUCT(AI279:AR279,$B$8:$K$8)</f>
        <v>0</v>
      </c>
      <c r="AU280" s="27" t="n">
        <f aca="false">MIN(AI279*(1+B$8),B$9)</f>
        <v>0</v>
      </c>
      <c r="AV280" s="27" t="n">
        <f aca="false">MIN(AJ279*(1+C$8),C$9)</f>
        <v>0</v>
      </c>
      <c r="AW280" s="27" t="n">
        <f aca="false">MIN(AK279*(1+D$8),D$9)</f>
        <v>0</v>
      </c>
      <c r="AX280" s="27" t="n">
        <f aca="false">MIN(AL279*(1+E$8),E$9)</f>
        <v>0</v>
      </c>
      <c r="AY280" s="27" t="n">
        <f aca="false">MIN(AM279*(1+F$8),F$9)</f>
        <v>0</v>
      </c>
      <c r="AZ280" s="27" t="n">
        <f aca="false">MIN(AN279*(1+G$8),G$9)</f>
        <v>0</v>
      </c>
      <c r="BA280" s="27" t="n">
        <f aca="false">MIN(AO279*(1+H$8),H$9)</f>
        <v>0</v>
      </c>
      <c r="BB280" s="27" t="n">
        <f aca="false">MIN(AP279*(1+I$8),I$9)</f>
        <v>0</v>
      </c>
      <c r="BC280" s="27" t="n">
        <f aca="false">MIN(AQ279*(1+J$8),J$9)</f>
        <v>0</v>
      </c>
      <c r="BD280" s="27" t="n">
        <f aca="false">MIN(AR279*(1+K$8),K$9)</f>
        <v>0</v>
      </c>
      <c r="BE280" s="27" t="n">
        <f aca="false">MIN(AI279*(1+B$8),MAX(AU280,$B$12-SUM(AV280:BD280)))</f>
        <v>0</v>
      </c>
      <c r="BF280" s="27" t="n">
        <f aca="false">MIN(AJ279*(1+C$8),MAX(AV280,$B$12-SUM(BE280:BE280)-SUM(AW280:BD280)))</f>
        <v>0</v>
      </c>
      <c r="BG280" s="27" t="n">
        <f aca="false">MIN(AK279*(1+D$8),MAX(AW280,$B$12-SUM(BE280:BF280)-SUM(AX280:BD280)))</f>
        <v>0</v>
      </c>
      <c r="BH280" s="27" t="n">
        <f aca="false">MIN(AL279*(1+E$8),MAX(AX280,$B$12-SUM(BE280:BG280)-SUM(AY280:BD280)))</f>
        <v>0</v>
      </c>
      <c r="BI280" s="27" t="n">
        <f aca="false">MIN(AM279*(1+F$8),MAX(AY280,$B$12-SUM(BE280:BH280)-SUM(AZ280:BD280)))</f>
        <v>0</v>
      </c>
      <c r="BJ280" s="27" t="n">
        <f aca="false">MIN(AN279*(1+G$8),MAX(AZ280,$B$12-SUM(BE280:BI280)-SUM(BA280:BD280)))</f>
        <v>0</v>
      </c>
      <c r="BK280" s="27" t="n">
        <f aca="false">MIN(AO279*(1+H$8),MAX(BA280,$B$12-SUM(BE280:BJ280)-SUM(BB280:BD280)))</f>
        <v>0</v>
      </c>
      <c r="BL280" s="27" t="n">
        <f aca="false">MIN(AP279*(1+I$8),MAX(BB280,$B$12-SUM(BE280:BK280)-SUM(BC280:BD280)))</f>
        <v>0</v>
      </c>
      <c r="BM280" s="27" t="n">
        <f aca="false">MIN(AQ279*(1+J$8),MAX(BC280,$B$12-SUM(BE280:BL280)-SUM(BD280:BD280)))</f>
        <v>0</v>
      </c>
      <c r="BN280" s="27" t="n">
        <f aca="false">MIN(AR279*(1+K$8),MAX(BD280,$B$12-SUM(BE280:BM280)))</f>
        <v>0</v>
      </c>
    </row>
    <row r="281" customFormat="false" ht="15" hidden="false" customHeight="false" outlineLevel="0" collapsed="false">
      <c r="A281" s="0" t="n">
        <v>267</v>
      </c>
      <c r="B281" s="27" t="n">
        <f aca="false">ROUND(MAX(0,B280*(1+B$8)-X281),2)</f>
        <v>0</v>
      </c>
      <c r="C281" s="27" t="n">
        <f aca="false">ROUND(MAX(0,C280*(1+C$8)-Y281),2)</f>
        <v>0</v>
      </c>
      <c r="D281" s="27" t="n">
        <f aca="false">ROUND(MAX(0,D280*(1+D$8)-Z281),2)</f>
        <v>0</v>
      </c>
      <c r="E281" s="27" t="n">
        <f aca="false">ROUND(MAX(0,E280*(1+E$8)-AA281),2)</f>
        <v>0</v>
      </c>
      <c r="F281" s="27" t="n">
        <f aca="false">ROUND(MAX(0,F280*(1+F$8)-AB281),2)</f>
        <v>0</v>
      </c>
      <c r="G281" s="27" t="n">
        <f aca="false">ROUND(MAX(0,G280*(1+G$8)-AC281),2)</f>
        <v>0</v>
      </c>
      <c r="H281" s="27" t="n">
        <f aca="false">ROUND(MAX(0,H280*(1+H$8)-AD281),2)</f>
        <v>0</v>
      </c>
      <c r="I281" s="27" t="n">
        <f aca="false">ROUND(MAX(0,I280*(1+I$8)-AE281),2)</f>
        <v>0</v>
      </c>
      <c r="J281" s="27" t="n">
        <f aca="false">ROUND(MAX(0,J280*(1+J$8)-AF281),2)</f>
        <v>0</v>
      </c>
      <c r="K281" s="27" t="n">
        <f aca="false">ROUND(MAX(0,K280*(1+K$8)-AG281),2)</f>
        <v>0</v>
      </c>
      <c r="L281" s="30" t="n">
        <f aca="false">SUM(B281:K281)</f>
        <v>0</v>
      </c>
      <c r="M281" s="27" t="n">
        <f aca="false">SUMPRODUCT(B280:K280,$B$8:$K$8)</f>
        <v>0</v>
      </c>
      <c r="N281" s="27" t="n">
        <f aca="false">MIN(B280*(1+B$8),B$9)</f>
        <v>0</v>
      </c>
      <c r="O281" s="27" t="n">
        <f aca="false">MIN(C280*(1+C$8),C$9)</f>
        <v>0</v>
      </c>
      <c r="P281" s="27" t="n">
        <f aca="false">MIN(D280*(1+D$8),D$9)</f>
        <v>0</v>
      </c>
      <c r="Q281" s="27" t="n">
        <f aca="false">MIN(E280*(1+E$8),E$9)</f>
        <v>0</v>
      </c>
      <c r="R281" s="27" t="n">
        <f aca="false">MIN(F280*(1+F$8),F$9)</f>
        <v>0</v>
      </c>
      <c r="S281" s="27" t="n">
        <f aca="false">MIN(G280*(1+G$8),G$9)</f>
        <v>0</v>
      </c>
      <c r="T281" s="27" t="n">
        <f aca="false">MIN(H280*(1+H$8),H$9)</f>
        <v>0</v>
      </c>
      <c r="U281" s="27" t="n">
        <f aca="false">MIN(I280*(1+I$8),I$9)</f>
        <v>0</v>
      </c>
      <c r="V281" s="27" t="n">
        <f aca="false">MIN(J280*(1+J$8),J$9)</f>
        <v>0</v>
      </c>
      <c r="W281" s="27" t="n">
        <f aca="false">MIN(K280*(1+K$8),K$9)</f>
        <v>0</v>
      </c>
      <c r="X281" s="27" t="n">
        <f aca="false">MIN(B280*(1+B$8),MAX(N281,$B$11-SUM(O281:W281)))</f>
        <v>0</v>
      </c>
      <c r="Y281" s="27" t="n">
        <f aca="false">MIN(C280*(1+C$8),MAX(O281,$B$11-SUM(X281:X281)-SUM(P281:W281)))</f>
        <v>0</v>
      </c>
      <c r="Z281" s="27" t="n">
        <f aca="false">MIN(D280*(1+D$8),MAX(P281,$B$11-SUM(X281:Y281)-SUM(Q281:W281)))</f>
        <v>0</v>
      </c>
      <c r="AA281" s="27" t="n">
        <f aca="false">MIN(E280*(1+E$8),MAX(Q281,$B$11-SUM(X281:Z281)-SUM(R281:W281)))</f>
        <v>0</v>
      </c>
      <c r="AB281" s="27" t="n">
        <f aca="false">MIN(F280*(1+F$8),MAX(R281,$B$11-SUM(X281:AA281)-SUM(S281:W281)))</f>
        <v>0</v>
      </c>
      <c r="AC281" s="27" t="n">
        <f aca="false">MIN(G280*(1+G$8),MAX(S281,$B$11-SUM(X281:AB281)-SUM(T281:W281)))</f>
        <v>0</v>
      </c>
      <c r="AD281" s="27" t="n">
        <f aca="false">MIN(H280*(1+H$8),MAX(T281,$B$11-SUM(X281:AC281)-SUM(U281:W281)))</f>
        <v>0</v>
      </c>
      <c r="AE281" s="27" t="n">
        <f aca="false">MIN(I280*(1+I$8),MAX(U281,$B$11-SUM(X281:AD281)-SUM(V281:W281)))</f>
        <v>0</v>
      </c>
      <c r="AF281" s="27" t="n">
        <f aca="false">MIN(J280*(1+J$8),MAX(V281,$B$11-SUM(X281:AE281)-SUM(W281:W281)))</f>
        <v>0</v>
      </c>
      <c r="AG281" s="27" t="n">
        <f aca="false">MIN(K280*(1+K$8),MAX(W281,$B$11-SUM(X281:AF281)))</f>
        <v>0</v>
      </c>
      <c r="AI281" s="27" t="n">
        <f aca="false">ROUND(MAX(0,AI280*(1+B$8)-BE281),2)</f>
        <v>0</v>
      </c>
      <c r="AJ281" s="27" t="n">
        <f aca="false">ROUND(MAX(0,AJ280*(1+C$8)-BF281),2)</f>
        <v>0</v>
      </c>
      <c r="AK281" s="27" t="n">
        <f aca="false">ROUND(MAX(0,AK280*(1+D$8)-BG281),2)</f>
        <v>0</v>
      </c>
      <c r="AL281" s="27" t="n">
        <f aca="false">ROUND(MAX(0,AL280*(1+E$8)-BH281),2)</f>
        <v>0</v>
      </c>
      <c r="AM281" s="27" t="n">
        <f aca="false">ROUND(MAX(0,AM280*(1+F$8)-BI281),2)</f>
        <v>0</v>
      </c>
      <c r="AN281" s="27" t="n">
        <f aca="false">ROUND(MAX(0,AN280*(1+G$8)-BJ281),2)</f>
        <v>0</v>
      </c>
      <c r="AO281" s="27" t="n">
        <f aca="false">ROUND(MAX(0,AO280*(1+H$8)-BK281),2)</f>
        <v>0</v>
      </c>
      <c r="AP281" s="27" t="n">
        <f aca="false">ROUND(MAX(0,AP280*(1+I$8)-BL281),2)</f>
        <v>0</v>
      </c>
      <c r="AQ281" s="27" t="n">
        <f aca="false">ROUND(MAX(0,AQ280*(1+J$8)-BM281),2)</f>
        <v>0</v>
      </c>
      <c r="AR281" s="27" t="n">
        <f aca="false">ROUND(MAX(0,AR280*(1+K$8)-BN281),2)</f>
        <v>0</v>
      </c>
      <c r="AS281" s="27" t="n">
        <f aca="false">SUM(AI281:AR281)</f>
        <v>0</v>
      </c>
      <c r="AT281" s="27" t="n">
        <f aca="false">SUMPRODUCT(AI280:AR280,$B$8:$K$8)</f>
        <v>0</v>
      </c>
      <c r="AU281" s="27" t="n">
        <f aca="false">MIN(AI280*(1+B$8),B$9)</f>
        <v>0</v>
      </c>
      <c r="AV281" s="27" t="n">
        <f aca="false">MIN(AJ280*(1+C$8),C$9)</f>
        <v>0</v>
      </c>
      <c r="AW281" s="27" t="n">
        <f aca="false">MIN(AK280*(1+D$8),D$9)</f>
        <v>0</v>
      </c>
      <c r="AX281" s="27" t="n">
        <f aca="false">MIN(AL280*(1+E$8),E$9)</f>
        <v>0</v>
      </c>
      <c r="AY281" s="27" t="n">
        <f aca="false">MIN(AM280*(1+F$8),F$9)</f>
        <v>0</v>
      </c>
      <c r="AZ281" s="27" t="n">
        <f aca="false">MIN(AN280*(1+G$8),G$9)</f>
        <v>0</v>
      </c>
      <c r="BA281" s="27" t="n">
        <f aca="false">MIN(AO280*(1+H$8),H$9)</f>
        <v>0</v>
      </c>
      <c r="BB281" s="27" t="n">
        <f aca="false">MIN(AP280*(1+I$8),I$9)</f>
        <v>0</v>
      </c>
      <c r="BC281" s="27" t="n">
        <f aca="false">MIN(AQ280*(1+J$8),J$9)</f>
        <v>0</v>
      </c>
      <c r="BD281" s="27" t="n">
        <f aca="false">MIN(AR280*(1+K$8),K$9)</f>
        <v>0</v>
      </c>
      <c r="BE281" s="27" t="n">
        <f aca="false">MIN(AI280*(1+B$8),MAX(AU281,$B$12-SUM(AV281:BD281)))</f>
        <v>0</v>
      </c>
      <c r="BF281" s="27" t="n">
        <f aca="false">MIN(AJ280*(1+C$8),MAX(AV281,$B$12-SUM(BE281:BE281)-SUM(AW281:BD281)))</f>
        <v>0</v>
      </c>
      <c r="BG281" s="27" t="n">
        <f aca="false">MIN(AK280*(1+D$8),MAX(AW281,$B$12-SUM(BE281:BF281)-SUM(AX281:BD281)))</f>
        <v>0</v>
      </c>
      <c r="BH281" s="27" t="n">
        <f aca="false">MIN(AL280*(1+E$8),MAX(AX281,$B$12-SUM(BE281:BG281)-SUM(AY281:BD281)))</f>
        <v>0</v>
      </c>
      <c r="BI281" s="27" t="n">
        <f aca="false">MIN(AM280*(1+F$8),MAX(AY281,$B$12-SUM(BE281:BH281)-SUM(AZ281:BD281)))</f>
        <v>0</v>
      </c>
      <c r="BJ281" s="27" t="n">
        <f aca="false">MIN(AN280*(1+G$8),MAX(AZ281,$B$12-SUM(BE281:BI281)-SUM(BA281:BD281)))</f>
        <v>0</v>
      </c>
      <c r="BK281" s="27" t="n">
        <f aca="false">MIN(AO280*(1+H$8),MAX(BA281,$B$12-SUM(BE281:BJ281)-SUM(BB281:BD281)))</f>
        <v>0</v>
      </c>
      <c r="BL281" s="27" t="n">
        <f aca="false">MIN(AP280*(1+I$8),MAX(BB281,$B$12-SUM(BE281:BK281)-SUM(BC281:BD281)))</f>
        <v>0</v>
      </c>
      <c r="BM281" s="27" t="n">
        <f aca="false">MIN(AQ280*(1+J$8),MAX(BC281,$B$12-SUM(BE281:BL281)-SUM(BD281:BD281)))</f>
        <v>0</v>
      </c>
      <c r="BN281" s="27" t="n">
        <f aca="false">MIN(AR280*(1+K$8),MAX(BD281,$B$12-SUM(BE281:BM281)))</f>
        <v>0</v>
      </c>
    </row>
    <row r="282" customFormat="false" ht="15" hidden="false" customHeight="false" outlineLevel="0" collapsed="false">
      <c r="A282" s="0" t="n">
        <v>268</v>
      </c>
      <c r="B282" s="27" t="n">
        <f aca="false">ROUND(MAX(0,B281*(1+B$8)-X282),2)</f>
        <v>0</v>
      </c>
      <c r="C282" s="27" t="n">
        <f aca="false">ROUND(MAX(0,C281*(1+C$8)-Y282),2)</f>
        <v>0</v>
      </c>
      <c r="D282" s="27" t="n">
        <f aca="false">ROUND(MAX(0,D281*(1+D$8)-Z282),2)</f>
        <v>0</v>
      </c>
      <c r="E282" s="27" t="n">
        <f aca="false">ROUND(MAX(0,E281*(1+E$8)-AA282),2)</f>
        <v>0</v>
      </c>
      <c r="F282" s="27" t="n">
        <f aca="false">ROUND(MAX(0,F281*(1+F$8)-AB282),2)</f>
        <v>0</v>
      </c>
      <c r="G282" s="27" t="n">
        <f aca="false">ROUND(MAX(0,G281*(1+G$8)-AC282),2)</f>
        <v>0</v>
      </c>
      <c r="H282" s="27" t="n">
        <f aca="false">ROUND(MAX(0,H281*(1+H$8)-AD282),2)</f>
        <v>0</v>
      </c>
      <c r="I282" s="27" t="n">
        <f aca="false">ROUND(MAX(0,I281*(1+I$8)-AE282),2)</f>
        <v>0</v>
      </c>
      <c r="J282" s="27" t="n">
        <f aca="false">ROUND(MAX(0,J281*(1+J$8)-AF282),2)</f>
        <v>0</v>
      </c>
      <c r="K282" s="27" t="n">
        <f aca="false">ROUND(MAX(0,K281*(1+K$8)-AG282),2)</f>
        <v>0</v>
      </c>
      <c r="L282" s="30" t="n">
        <f aca="false">SUM(B282:K282)</f>
        <v>0</v>
      </c>
      <c r="M282" s="27" t="n">
        <f aca="false">SUMPRODUCT(B281:K281,$B$8:$K$8)</f>
        <v>0</v>
      </c>
      <c r="N282" s="27" t="n">
        <f aca="false">MIN(B281*(1+B$8),B$9)</f>
        <v>0</v>
      </c>
      <c r="O282" s="27" t="n">
        <f aca="false">MIN(C281*(1+C$8),C$9)</f>
        <v>0</v>
      </c>
      <c r="P282" s="27" t="n">
        <f aca="false">MIN(D281*(1+D$8),D$9)</f>
        <v>0</v>
      </c>
      <c r="Q282" s="27" t="n">
        <f aca="false">MIN(E281*(1+E$8),E$9)</f>
        <v>0</v>
      </c>
      <c r="R282" s="27" t="n">
        <f aca="false">MIN(F281*(1+F$8),F$9)</f>
        <v>0</v>
      </c>
      <c r="S282" s="27" t="n">
        <f aca="false">MIN(G281*(1+G$8),G$9)</f>
        <v>0</v>
      </c>
      <c r="T282" s="27" t="n">
        <f aca="false">MIN(H281*(1+H$8),H$9)</f>
        <v>0</v>
      </c>
      <c r="U282" s="27" t="n">
        <f aca="false">MIN(I281*(1+I$8),I$9)</f>
        <v>0</v>
      </c>
      <c r="V282" s="27" t="n">
        <f aca="false">MIN(J281*(1+J$8),J$9)</f>
        <v>0</v>
      </c>
      <c r="W282" s="27" t="n">
        <f aca="false">MIN(K281*(1+K$8),K$9)</f>
        <v>0</v>
      </c>
      <c r="X282" s="27" t="n">
        <f aca="false">MIN(B281*(1+B$8),MAX(N282,$B$11-SUM(O282:W282)))</f>
        <v>0</v>
      </c>
      <c r="Y282" s="27" t="n">
        <f aca="false">MIN(C281*(1+C$8),MAX(O282,$B$11-SUM(X282:X282)-SUM(P282:W282)))</f>
        <v>0</v>
      </c>
      <c r="Z282" s="27" t="n">
        <f aca="false">MIN(D281*(1+D$8),MAX(P282,$B$11-SUM(X282:Y282)-SUM(Q282:W282)))</f>
        <v>0</v>
      </c>
      <c r="AA282" s="27" t="n">
        <f aca="false">MIN(E281*(1+E$8),MAX(Q282,$B$11-SUM(X282:Z282)-SUM(R282:W282)))</f>
        <v>0</v>
      </c>
      <c r="AB282" s="27" t="n">
        <f aca="false">MIN(F281*(1+F$8),MAX(R282,$B$11-SUM(X282:AA282)-SUM(S282:W282)))</f>
        <v>0</v>
      </c>
      <c r="AC282" s="27" t="n">
        <f aca="false">MIN(G281*(1+G$8),MAX(S282,$B$11-SUM(X282:AB282)-SUM(T282:W282)))</f>
        <v>0</v>
      </c>
      <c r="AD282" s="27" t="n">
        <f aca="false">MIN(H281*(1+H$8),MAX(T282,$B$11-SUM(X282:AC282)-SUM(U282:W282)))</f>
        <v>0</v>
      </c>
      <c r="AE282" s="27" t="n">
        <f aca="false">MIN(I281*(1+I$8),MAX(U282,$B$11-SUM(X282:AD282)-SUM(V282:W282)))</f>
        <v>0</v>
      </c>
      <c r="AF282" s="27" t="n">
        <f aca="false">MIN(J281*(1+J$8),MAX(V282,$B$11-SUM(X282:AE282)-SUM(W282:W282)))</f>
        <v>0</v>
      </c>
      <c r="AG282" s="27" t="n">
        <f aca="false">MIN(K281*(1+K$8),MAX(W282,$B$11-SUM(X282:AF282)))</f>
        <v>0</v>
      </c>
      <c r="AI282" s="27" t="n">
        <f aca="false">ROUND(MAX(0,AI281*(1+B$8)-BE282),2)</f>
        <v>0</v>
      </c>
      <c r="AJ282" s="27" t="n">
        <f aca="false">ROUND(MAX(0,AJ281*(1+C$8)-BF282),2)</f>
        <v>0</v>
      </c>
      <c r="AK282" s="27" t="n">
        <f aca="false">ROUND(MAX(0,AK281*(1+D$8)-BG282),2)</f>
        <v>0</v>
      </c>
      <c r="AL282" s="27" t="n">
        <f aca="false">ROUND(MAX(0,AL281*(1+E$8)-BH282),2)</f>
        <v>0</v>
      </c>
      <c r="AM282" s="27" t="n">
        <f aca="false">ROUND(MAX(0,AM281*(1+F$8)-BI282),2)</f>
        <v>0</v>
      </c>
      <c r="AN282" s="27" t="n">
        <f aca="false">ROUND(MAX(0,AN281*(1+G$8)-BJ282),2)</f>
        <v>0</v>
      </c>
      <c r="AO282" s="27" t="n">
        <f aca="false">ROUND(MAX(0,AO281*(1+H$8)-BK282),2)</f>
        <v>0</v>
      </c>
      <c r="AP282" s="27" t="n">
        <f aca="false">ROUND(MAX(0,AP281*(1+I$8)-BL282),2)</f>
        <v>0</v>
      </c>
      <c r="AQ282" s="27" t="n">
        <f aca="false">ROUND(MAX(0,AQ281*(1+J$8)-BM282),2)</f>
        <v>0</v>
      </c>
      <c r="AR282" s="27" t="n">
        <f aca="false">ROUND(MAX(0,AR281*(1+K$8)-BN282),2)</f>
        <v>0</v>
      </c>
      <c r="AS282" s="27" t="n">
        <f aca="false">SUM(AI282:AR282)</f>
        <v>0</v>
      </c>
      <c r="AT282" s="27" t="n">
        <f aca="false">SUMPRODUCT(AI281:AR281,$B$8:$K$8)</f>
        <v>0</v>
      </c>
      <c r="AU282" s="27" t="n">
        <f aca="false">MIN(AI281*(1+B$8),B$9)</f>
        <v>0</v>
      </c>
      <c r="AV282" s="27" t="n">
        <f aca="false">MIN(AJ281*(1+C$8),C$9)</f>
        <v>0</v>
      </c>
      <c r="AW282" s="27" t="n">
        <f aca="false">MIN(AK281*(1+D$8),D$9)</f>
        <v>0</v>
      </c>
      <c r="AX282" s="27" t="n">
        <f aca="false">MIN(AL281*(1+E$8),E$9)</f>
        <v>0</v>
      </c>
      <c r="AY282" s="27" t="n">
        <f aca="false">MIN(AM281*(1+F$8),F$9)</f>
        <v>0</v>
      </c>
      <c r="AZ282" s="27" t="n">
        <f aca="false">MIN(AN281*(1+G$8),G$9)</f>
        <v>0</v>
      </c>
      <c r="BA282" s="27" t="n">
        <f aca="false">MIN(AO281*(1+H$8),H$9)</f>
        <v>0</v>
      </c>
      <c r="BB282" s="27" t="n">
        <f aca="false">MIN(AP281*(1+I$8),I$9)</f>
        <v>0</v>
      </c>
      <c r="BC282" s="27" t="n">
        <f aca="false">MIN(AQ281*(1+J$8),J$9)</f>
        <v>0</v>
      </c>
      <c r="BD282" s="27" t="n">
        <f aca="false">MIN(AR281*(1+K$8),K$9)</f>
        <v>0</v>
      </c>
      <c r="BE282" s="27" t="n">
        <f aca="false">MIN(AI281*(1+B$8),MAX(AU282,$B$12-SUM(AV282:BD282)))</f>
        <v>0</v>
      </c>
      <c r="BF282" s="27" t="n">
        <f aca="false">MIN(AJ281*(1+C$8),MAX(AV282,$B$12-SUM(BE282:BE282)-SUM(AW282:BD282)))</f>
        <v>0</v>
      </c>
      <c r="BG282" s="27" t="n">
        <f aca="false">MIN(AK281*(1+D$8),MAX(AW282,$B$12-SUM(BE282:BF282)-SUM(AX282:BD282)))</f>
        <v>0</v>
      </c>
      <c r="BH282" s="27" t="n">
        <f aca="false">MIN(AL281*(1+E$8),MAX(AX282,$B$12-SUM(BE282:BG282)-SUM(AY282:BD282)))</f>
        <v>0</v>
      </c>
      <c r="BI282" s="27" t="n">
        <f aca="false">MIN(AM281*(1+F$8),MAX(AY282,$B$12-SUM(BE282:BH282)-SUM(AZ282:BD282)))</f>
        <v>0</v>
      </c>
      <c r="BJ282" s="27" t="n">
        <f aca="false">MIN(AN281*(1+G$8),MAX(AZ282,$B$12-SUM(BE282:BI282)-SUM(BA282:BD282)))</f>
        <v>0</v>
      </c>
      <c r="BK282" s="27" t="n">
        <f aca="false">MIN(AO281*(1+H$8),MAX(BA282,$B$12-SUM(BE282:BJ282)-SUM(BB282:BD282)))</f>
        <v>0</v>
      </c>
      <c r="BL282" s="27" t="n">
        <f aca="false">MIN(AP281*(1+I$8),MAX(BB282,$B$12-SUM(BE282:BK282)-SUM(BC282:BD282)))</f>
        <v>0</v>
      </c>
      <c r="BM282" s="27" t="n">
        <f aca="false">MIN(AQ281*(1+J$8),MAX(BC282,$B$12-SUM(BE282:BL282)-SUM(BD282:BD282)))</f>
        <v>0</v>
      </c>
      <c r="BN282" s="27" t="n">
        <f aca="false">MIN(AR281*(1+K$8),MAX(BD282,$B$12-SUM(BE282:BM282)))</f>
        <v>0</v>
      </c>
    </row>
    <row r="283" customFormat="false" ht="15" hidden="false" customHeight="false" outlineLevel="0" collapsed="false">
      <c r="A283" s="0" t="n">
        <v>269</v>
      </c>
      <c r="B283" s="27" t="n">
        <f aca="false">ROUND(MAX(0,B282*(1+B$8)-X283),2)</f>
        <v>0</v>
      </c>
      <c r="C283" s="27" t="n">
        <f aca="false">ROUND(MAX(0,C282*(1+C$8)-Y283),2)</f>
        <v>0</v>
      </c>
      <c r="D283" s="27" t="n">
        <f aca="false">ROUND(MAX(0,D282*(1+D$8)-Z283),2)</f>
        <v>0</v>
      </c>
      <c r="E283" s="27" t="n">
        <f aca="false">ROUND(MAX(0,E282*(1+E$8)-AA283),2)</f>
        <v>0</v>
      </c>
      <c r="F283" s="27" t="n">
        <f aca="false">ROUND(MAX(0,F282*(1+F$8)-AB283),2)</f>
        <v>0</v>
      </c>
      <c r="G283" s="27" t="n">
        <f aca="false">ROUND(MAX(0,G282*(1+G$8)-AC283),2)</f>
        <v>0</v>
      </c>
      <c r="H283" s="27" t="n">
        <f aca="false">ROUND(MAX(0,H282*(1+H$8)-AD283),2)</f>
        <v>0</v>
      </c>
      <c r="I283" s="27" t="n">
        <f aca="false">ROUND(MAX(0,I282*(1+I$8)-AE283),2)</f>
        <v>0</v>
      </c>
      <c r="J283" s="27" t="n">
        <f aca="false">ROUND(MAX(0,J282*(1+J$8)-AF283),2)</f>
        <v>0</v>
      </c>
      <c r="K283" s="27" t="n">
        <f aca="false">ROUND(MAX(0,K282*(1+K$8)-AG283),2)</f>
        <v>0</v>
      </c>
      <c r="L283" s="30" t="n">
        <f aca="false">SUM(B283:K283)</f>
        <v>0</v>
      </c>
      <c r="M283" s="27" t="n">
        <f aca="false">SUMPRODUCT(B282:K282,$B$8:$K$8)</f>
        <v>0</v>
      </c>
      <c r="N283" s="27" t="n">
        <f aca="false">MIN(B282*(1+B$8),B$9)</f>
        <v>0</v>
      </c>
      <c r="O283" s="27" t="n">
        <f aca="false">MIN(C282*(1+C$8),C$9)</f>
        <v>0</v>
      </c>
      <c r="P283" s="27" t="n">
        <f aca="false">MIN(D282*(1+D$8),D$9)</f>
        <v>0</v>
      </c>
      <c r="Q283" s="27" t="n">
        <f aca="false">MIN(E282*(1+E$8),E$9)</f>
        <v>0</v>
      </c>
      <c r="R283" s="27" t="n">
        <f aca="false">MIN(F282*(1+F$8),F$9)</f>
        <v>0</v>
      </c>
      <c r="S283" s="27" t="n">
        <f aca="false">MIN(G282*(1+G$8),G$9)</f>
        <v>0</v>
      </c>
      <c r="T283" s="27" t="n">
        <f aca="false">MIN(H282*(1+H$8),H$9)</f>
        <v>0</v>
      </c>
      <c r="U283" s="27" t="n">
        <f aca="false">MIN(I282*(1+I$8),I$9)</f>
        <v>0</v>
      </c>
      <c r="V283" s="27" t="n">
        <f aca="false">MIN(J282*(1+J$8),J$9)</f>
        <v>0</v>
      </c>
      <c r="W283" s="27" t="n">
        <f aca="false">MIN(K282*(1+K$8),K$9)</f>
        <v>0</v>
      </c>
      <c r="X283" s="27" t="n">
        <f aca="false">MIN(B282*(1+B$8),MAX(N283,$B$11-SUM(O283:W283)))</f>
        <v>0</v>
      </c>
      <c r="Y283" s="27" t="n">
        <f aca="false">MIN(C282*(1+C$8),MAX(O283,$B$11-SUM(X283:X283)-SUM(P283:W283)))</f>
        <v>0</v>
      </c>
      <c r="Z283" s="27" t="n">
        <f aca="false">MIN(D282*(1+D$8),MAX(P283,$B$11-SUM(X283:Y283)-SUM(Q283:W283)))</f>
        <v>0</v>
      </c>
      <c r="AA283" s="27" t="n">
        <f aca="false">MIN(E282*(1+E$8),MAX(Q283,$B$11-SUM(X283:Z283)-SUM(R283:W283)))</f>
        <v>0</v>
      </c>
      <c r="AB283" s="27" t="n">
        <f aca="false">MIN(F282*(1+F$8),MAX(R283,$B$11-SUM(X283:AA283)-SUM(S283:W283)))</f>
        <v>0</v>
      </c>
      <c r="AC283" s="27" t="n">
        <f aca="false">MIN(G282*(1+G$8),MAX(S283,$B$11-SUM(X283:AB283)-SUM(T283:W283)))</f>
        <v>0</v>
      </c>
      <c r="AD283" s="27" t="n">
        <f aca="false">MIN(H282*(1+H$8),MAX(T283,$B$11-SUM(X283:AC283)-SUM(U283:W283)))</f>
        <v>0</v>
      </c>
      <c r="AE283" s="27" t="n">
        <f aca="false">MIN(I282*(1+I$8),MAX(U283,$B$11-SUM(X283:AD283)-SUM(V283:W283)))</f>
        <v>0</v>
      </c>
      <c r="AF283" s="27" t="n">
        <f aca="false">MIN(J282*(1+J$8),MAX(V283,$B$11-SUM(X283:AE283)-SUM(W283:W283)))</f>
        <v>0</v>
      </c>
      <c r="AG283" s="27" t="n">
        <f aca="false">MIN(K282*(1+K$8),MAX(W283,$B$11-SUM(X283:AF283)))</f>
        <v>0</v>
      </c>
      <c r="AI283" s="27" t="n">
        <f aca="false">ROUND(MAX(0,AI282*(1+B$8)-BE283),2)</f>
        <v>0</v>
      </c>
      <c r="AJ283" s="27" t="n">
        <f aca="false">ROUND(MAX(0,AJ282*(1+C$8)-BF283),2)</f>
        <v>0</v>
      </c>
      <c r="AK283" s="27" t="n">
        <f aca="false">ROUND(MAX(0,AK282*(1+D$8)-BG283),2)</f>
        <v>0</v>
      </c>
      <c r="AL283" s="27" t="n">
        <f aca="false">ROUND(MAX(0,AL282*(1+E$8)-BH283),2)</f>
        <v>0</v>
      </c>
      <c r="AM283" s="27" t="n">
        <f aca="false">ROUND(MAX(0,AM282*(1+F$8)-BI283),2)</f>
        <v>0</v>
      </c>
      <c r="AN283" s="27" t="n">
        <f aca="false">ROUND(MAX(0,AN282*(1+G$8)-BJ283),2)</f>
        <v>0</v>
      </c>
      <c r="AO283" s="27" t="n">
        <f aca="false">ROUND(MAX(0,AO282*(1+H$8)-BK283),2)</f>
        <v>0</v>
      </c>
      <c r="AP283" s="27" t="n">
        <f aca="false">ROUND(MAX(0,AP282*(1+I$8)-BL283),2)</f>
        <v>0</v>
      </c>
      <c r="AQ283" s="27" t="n">
        <f aca="false">ROUND(MAX(0,AQ282*(1+J$8)-BM283),2)</f>
        <v>0</v>
      </c>
      <c r="AR283" s="27" t="n">
        <f aca="false">ROUND(MAX(0,AR282*(1+K$8)-BN283),2)</f>
        <v>0</v>
      </c>
      <c r="AS283" s="27" t="n">
        <f aca="false">SUM(AI283:AR283)</f>
        <v>0</v>
      </c>
      <c r="AT283" s="27" t="n">
        <f aca="false">SUMPRODUCT(AI282:AR282,$B$8:$K$8)</f>
        <v>0</v>
      </c>
      <c r="AU283" s="27" t="n">
        <f aca="false">MIN(AI282*(1+B$8),B$9)</f>
        <v>0</v>
      </c>
      <c r="AV283" s="27" t="n">
        <f aca="false">MIN(AJ282*(1+C$8),C$9)</f>
        <v>0</v>
      </c>
      <c r="AW283" s="27" t="n">
        <f aca="false">MIN(AK282*(1+D$8),D$9)</f>
        <v>0</v>
      </c>
      <c r="AX283" s="27" t="n">
        <f aca="false">MIN(AL282*(1+E$8),E$9)</f>
        <v>0</v>
      </c>
      <c r="AY283" s="27" t="n">
        <f aca="false">MIN(AM282*(1+F$8),F$9)</f>
        <v>0</v>
      </c>
      <c r="AZ283" s="27" t="n">
        <f aca="false">MIN(AN282*(1+G$8),G$9)</f>
        <v>0</v>
      </c>
      <c r="BA283" s="27" t="n">
        <f aca="false">MIN(AO282*(1+H$8),H$9)</f>
        <v>0</v>
      </c>
      <c r="BB283" s="27" t="n">
        <f aca="false">MIN(AP282*(1+I$8),I$9)</f>
        <v>0</v>
      </c>
      <c r="BC283" s="27" t="n">
        <f aca="false">MIN(AQ282*(1+J$8),J$9)</f>
        <v>0</v>
      </c>
      <c r="BD283" s="27" t="n">
        <f aca="false">MIN(AR282*(1+K$8),K$9)</f>
        <v>0</v>
      </c>
      <c r="BE283" s="27" t="n">
        <f aca="false">MIN(AI282*(1+B$8),MAX(AU283,$B$12-SUM(AV283:BD283)))</f>
        <v>0</v>
      </c>
      <c r="BF283" s="27" t="n">
        <f aca="false">MIN(AJ282*(1+C$8),MAX(AV283,$B$12-SUM(BE283:BE283)-SUM(AW283:BD283)))</f>
        <v>0</v>
      </c>
      <c r="BG283" s="27" t="n">
        <f aca="false">MIN(AK282*(1+D$8),MAX(AW283,$B$12-SUM(BE283:BF283)-SUM(AX283:BD283)))</f>
        <v>0</v>
      </c>
      <c r="BH283" s="27" t="n">
        <f aca="false">MIN(AL282*(1+E$8),MAX(AX283,$B$12-SUM(BE283:BG283)-SUM(AY283:BD283)))</f>
        <v>0</v>
      </c>
      <c r="BI283" s="27" t="n">
        <f aca="false">MIN(AM282*(1+F$8),MAX(AY283,$B$12-SUM(BE283:BH283)-SUM(AZ283:BD283)))</f>
        <v>0</v>
      </c>
      <c r="BJ283" s="27" t="n">
        <f aca="false">MIN(AN282*(1+G$8),MAX(AZ283,$B$12-SUM(BE283:BI283)-SUM(BA283:BD283)))</f>
        <v>0</v>
      </c>
      <c r="BK283" s="27" t="n">
        <f aca="false">MIN(AO282*(1+H$8),MAX(BA283,$B$12-SUM(BE283:BJ283)-SUM(BB283:BD283)))</f>
        <v>0</v>
      </c>
      <c r="BL283" s="27" t="n">
        <f aca="false">MIN(AP282*(1+I$8),MAX(BB283,$B$12-SUM(BE283:BK283)-SUM(BC283:BD283)))</f>
        <v>0</v>
      </c>
      <c r="BM283" s="27" t="n">
        <f aca="false">MIN(AQ282*(1+J$8),MAX(BC283,$B$12-SUM(BE283:BL283)-SUM(BD283:BD283)))</f>
        <v>0</v>
      </c>
      <c r="BN283" s="27" t="n">
        <f aca="false">MIN(AR282*(1+K$8),MAX(BD283,$B$12-SUM(BE283:BM283)))</f>
        <v>0</v>
      </c>
    </row>
    <row r="284" customFormat="false" ht="15" hidden="false" customHeight="false" outlineLevel="0" collapsed="false">
      <c r="A284" s="0" t="n">
        <v>270</v>
      </c>
      <c r="B284" s="27" t="n">
        <f aca="false">ROUND(MAX(0,B283*(1+B$8)-X284),2)</f>
        <v>0</v>
      </c>
      <c r="C284" s="27" t="n">
        <f aca="false">ROUND(MAX(0,C283*(1+C$8)-Y284),2)</f>
        <v>0</v>
      </c>
      <c r="D284" s="27" t="n">
        <f aca="false">ROUND(MAX(0,D283*(1+D$8)-Z284),2)</f>
        <v>0</v>
      </c>
      <c r="E284" s="27" t="n">
        <f aca="false">ROUND(MAX(0,E283*(1+E$8)-AA284),2)</f>
        <v>0</v>
      </c>
      <c r="F284" s="27" t="n">
        <f aca="false">ROUND(MAX(0,F283*(1+F$8)-AB284),2)</f>
        <v>0</v>
      </c>
      <c r="G284" s="27" t="n">
        <f aca="false">ROUND(MAX(0,G283*(1+G$8)-AC284),2)</f>
        <v>0</v>
      </c>
      <c r="H284" s="27" t="n">
        <f aca="false">ROUND(MAX(0,H283*(1+H$8)-AD284),2)</f>
        <v>0</v>
      </c>
      <c r="I284" s="27" t="n">
        <f aca="false">ROUND(MAX(0,I283*(1+I$8)-AE284),2)</f>
        <v>0</v>
      </c>
      <c r="J284" s="27" t="n">
        <f aca="false">ROUND(MAX(0,J283*(1+J$8)-AF284),2)</f>
        <v>0</v>
      </c>
      <c r="K284" s="27" t="n">
        <f aca="false">ROUND(MAX(0,K283*(1+K$8)-AG284),2)</f>
        <v>0</v>
      </c>
      <c r="L284" s="30" t="n">
        <f aca="false">SUM(B284:K284)</f>
        <v>0</v>
      </c>
      <c r="M284" s="27" t="n">
        <f aca="false">SUMPRODUCT(B283:K283,$B$8:$K$8)</f>
        <v>0</v>
      </c>
      <c r="N284" s="27" t="n">
        <f aca="false">MIN(B283*(1+B$8),B$9)</f>
        <v>0</v>
      </c>
      <c r="O284" s="27" t="n">
        <f aca="false">MIN(C283*(1+C$8),C$9)</f>
        <v>0</v>
      </c>
      <c r="P284" s="27" t="n">
        <f aca="false">MIN(D283*(1+D$8),D$9)</f>
        <v>0</v>
      </c>
      <c r="Q284" s="27" t="n">
        <f aca="false">MIN(E283*(1+E$8),E$9)</f>
        <v>0</v>
      </c>
      <c r="R284" s="27" t="n">
        <f aca="false">MIN(F283*(1+F$8),F$9)</f>
        <v>0</v>
      </c>
      <c r="S284" s="27" t="n">
        <f aca="false">MIN(G283*(1+G$8),G$9)</f>
        <v>0</v>
      </c>
      <c r="T284" s="27" t="n">
        <f aca="false">MIN(H283*(1+H$8),H$9)</f>
        <v>0</v>
      </c>
      <c r="U284" s="27" t="n">
        <f aca="false">MIN(I283*(1+I$8),I$9)</f>
        <v>0</v>
      </c>
      <c r="V284" s="27" t="n">
        <f aca="false">MIN(J283*(1+J$8),J$9)</f>
        <v>0</v>
      </c>
      <c r="W284" s="27" t="n">
        <f aca="false">MIN(K283*(1+K$8),K$9)</f>
        <v>0</v>
      </c>
      <c r="X284" s="27" t="n">
        <f aca="false">MIN(B283*(1+B$8),MAX(N284,$B$11-SUM(O284:W284)))</f>
        <v>0</v>
      </c>
      <c r="Y284" s="27" t="n">
        <f aca="false">MIN(C283*(1+C$8),MAX(O284,$B$11-SUM(X284:X284)-SUM(P284:W284)))</f>
        <v>0</v>
      </c>
      <c r="Z284" s="27" t="n">
        <f aca="false">MIN(D283*(1+D$8),MAX(P284,$B$11-SUM(X284:Y284)-SUM(Q284:W284)))</f>
        <v>0</v>
      </c>
      <c r="AA284" s="27" t="n">
        <f aca="false">MIN(E283*(1+E$8),MAX(Q284,$B$11-SUM(X284:Z284)-SUM(R284:W284)))</f>
        <v>0</v>
      </c>
      <c r="AB284" s="27" t="n">
        <f aca="false">MIN(F283*(1+F$8),MAX(R284,$B$11-SUM(X284:AA284)-SUM(S284:W284)))</f>
        <v>0</v>
      </c>
      <c r="AC284" s="27" t="n">
        <f aca="false">MIN(G283*(1+G$8),MAX(S284,$B$11-SUM(X284:AB284)-SUM(T284:W284)))</f>
        <v>0</v>
      </c>
      <c r="AD284" s="27" t="n">
        <f aca="false">MIN(H283*(1+H$8),MAX(T284,$B$11-SUM(X284:AC284)-SUM(U284:W284)))</f>
        <v>0</v>
      </c>
      <c r="AE284" s="27" t="n">
        <f aca="false">MIN(I283*(1+I$8),MAX(U284,$B$11-SUM(X284:AD284)-SUM(V284:W284)))</f>
        <v>0</v>
      </c>
      <c r="AF284" s="27" t="n">
        <f aca="false">MIN(J283*(1+J$8),MAX(V284,$B$11-SUM(X284:AE284)-SUM(W284:W284)))</f>
        <v>0</v>
      </c>
      <c r="AG284" s="27" t="n">
        <f aca="false">MIN(K283*(1+K$8),MAX(W284,$B$11-SUM(X284:AF284)))</f>
        <v>0</v>
      </c>
      <c r="AI284" s="27" t="n">
        <f aca="false">ROUND(MAX(0,AI283*(1+B$8)-BE284),2)</f>
        <v>0</v>
      </c>
      <c r="AJ284" s="27" t="n">
        <f aca="false">ROUND(MAX(0,AJ283*(1+C$8)-BF284),2)</f>
        <v>0</v>
      </c>
      <c r="AK284" s="27" t="n">
        <f aca="false">ROUND(MAX(0,AK283*(1+D$8)-BG284),2)</f>
        <v>0</v>
      </c>
      <c r="AL284" s="27" t="n">
        <f aca="false">ROUND(MAX(0,AL283*(1+E$8)-BH284),2)</f>
        <v>0</v>
      </c>
      <c r="AM284" s="27" t="n">
        <f aca="false">ROUND(MAX(0,AM283*(1+F$8)-BI284),2)</f>
        <v>0</v>
      </c>
      <c r="AN284" s="27" t="n">
        <f aca="false">ROUND(MAX(0,AN283*(1+G$8)-BJ284),2)</f>
        <v>0</v>
      </c>
      <c r="AO284" s="27" t="n">
        <f aca="false">ROUND(MAX(0,AO283*(1+H$8)-BK284),2)</f>
        <v>0</v>
      </c>
      <c r="AP284" s="27" t="n">
        <f aca="false">ROUND(MAX(0,AP283*(1+I$8)-BL284),2)</f>
        <v>0</v>
      </c>
      <c r="AQ284" s="27" t="n">
        <f aca="false">ROUND(MAX(0,AQ283*(1+J$8)-BM284),2)</f>
        <v>0</v>
      </c>
      <c r="AR284" s="27" t="n">
        <f aca="false">ROUND(MAX(0,AR283*(1+K$8)-BN284),2)</f>
        <v>0</v>
      </c>
      <c r="AS284" s="27" t="n">
        <f aca="false">SUM(AI284:AR284)</f>
        <v>0</v>
      </c>
      <c r="AT284" s="27" t="n">
        <f aca="false">SUMPRODUCT(AI283:AR283,$B$8:$K$8)</f>
        <v>0</v>
      </c>
      <c r="AU284" s="27" t="n">
        <f aca="false">MIN(AI283*(1+B$8),B$9)</f>
        <v>0</v>
      </c>
      <c r="AV284" s="27" t="n">
        <f aca="false">MIN(AJ283*(1+C$8),C$9)</f>
        <v>0</v>
      </c>
      <c r="AW284" s="27" t="n">
        <f aca="false">MIN(AK283*(1+D$8),D$9)</f>
        <v>0</v>
      </c>
      <c r="AX284" s="27" t="n">
        <f aca="false">MIN(AL283*(1+E$8),E$9)</f>
        <v>0</v>
      </c>
      <c r="AY284" s="27" t="n">
        <f aca="false">MIN(AM283*(1+F$8),F$9)</f>
        <v>0</v>
      </c>
      <c r="AZ284" s="27" t="n">
        <f aca="false">MIN(AN283*(1+G$8),G$9)</f>
        <v>0</v>
      </c>
      <c r="BA284" s="27" t="n">
        <f aca="false">MIN(AO283*(1+H$8),H$9)</f>
        <v>0</v>
      </c>
      <c r="BB284" s="27" t="n">
        <f aca="false">MIN(AP283*(1+I$8),I$9)</f>
        <v>0</v>
      </c>
      <c r="BC284" s="27" t="n">
        <f aca="false">MIN(AQ283*(1+J$8),J$9)</f>
        <v>0</v>
      </c>
      <c r="BD284" s="27" t="n">
        <f aca="false">MIN(AR283*(1+K$8),K$9)</f>
        <v>0</v>
      </c>
      <c r="BE284" s="27" t="n">
        <f aca="false">MIN(AI283*(1+B$8),MAX(AU284,$B$12-SUM(AV284:BD284)))</f>
        <v>0</v>
      </c>
      <c r="BF284" s="27" t="n">
        <f aca="false">MIN(AJ283*(1+C$8),MAX(AV284,$B$12-SUM(BE284:BE284)-SUM(AW284:BD284)))</f>
        <v>0</v>
      </c>
      <c r="BG284" s="27" t="n">
        <f aca="false">MIN(AK283*(1+D$8),MAX(AW284,$B$12-SUM(BE284:BF284)-SUM(AX284:BD284)))</f>
        <v>0</v>
      </c>
      <c r="BH284" s="27" t="n">
        <f aca="false">MIN(AL283*(1+E$8),MAX(AX284,$B$12-SUM(BE284:BG284)-SUM(AY284:BD284)))</f>
        <v>0</v>
      </c>
      <c r="BI284" s="27" t="n">
        <f aca="false">MIN(AM283*(1+F$8),MAX(AY284,$B$12-SUM(BE284:BH284)-SUM(AZ284:BD284)))</f>
        <v>0</v>
      </c>
      <c r="BJ284" s="27" t="n">
        <f aca="false">MIN(AN283*(1+G$8),MAX(AZ284,$B$12-SUM(BE284:BI284)-SUM(BA284:BD284)))</f>
        <v>0</v>
      </c>
      <c r="BK284" s="27" t="n">
        <f aca="false">MIN(AO283*(1+H$8),MAX(BA284,$B$12-SUM(BE284:BJ284)-SUM(BB284:BD284)))</f>
        <v>0</v>
      </c>
      <c r="BL284" s="27" t="n">
        <f aca="false">MIN(AP283*(1+I$8),MAX(BB284,$B$12-SUM(BE284:BK284)-SUM(BC284:BD284)))</f>
        <v>0</v>
      </c>
      <c r="BM284" s="27" t="n">
        <f aca="false">MIN(AQ283*(1+J$8),MAX(BC284,$B$12-SUM(BE284:BL284)-SUM(BD284:BD284)))</f>
        <v>0</v>
      </c>
      <c r="BN284" s="27" t="n">
        <f aca="false">MIN(AR283*(1+K$8),MAX(BD284,$B$12-SUM(BE284:BM284)))</f>
        <v>0</v>
      </c>
    </row>
    <row r="285" customFormat="false" ht="15" hidden="false" customHeight="false" outlineLevel="0" collapsed="false">
      <c r="A285" s="0" t="n">
        <v>271</v>
      </c>
      <c r="B285" s="27" t="n">
        <f aca="false">ROUND(MAX(0,B284*(1+B$8)-X285),2)</f>
        <v>0</v>
      </c>
      <c r="C285" s="27" t="n">
        <f aca="false">ROUND(MAX(0,C284*(1+C$8)-Y285),2)</f>
        <v>0</v>
      </c>
      <c r="D285" s="27" t="n">
        <f aca="false">ROUND(MAX(0,D284*(1+D$8)-Z285),2)</f>
        <v>0</v>
      </c>
      <c r="E285" s="27" t="n">
        <f aca="false">ROUND(MAX(0,E284*(1+E$8)-AA285),2)</f>
        <v>0</v>
      </c>
      <c r="F285" s="27" t="n">
        <f aca="false">ROUND(MAX(0,F284*(1+F$8)-AB285),2)</f>
        <v>0</v>
      </c>
      <c r="G285" s="27" t="n">
        <f aca="false">ROUND(MAX(0,G284*(1+G$8)-AC285),2)</f>
        <v>0</v>
      </c>
      <c r="H285" s="27" t="n">
        <f aca="false">ROUND(MAX(0,H284*(1+H$8)-AD285),2)</f>
        <v>0</v>
      </c>
      <c r="I285" s="27" t="n">
        <f aca="false">ROUND(MAX(0,I284*(1+I$8)-AE285),2)</f>
        <v>0</v>
      </c>
      <c r="J285" s="27" t="n">
        <f aca="false">ROUND(MAX(0,J284*(1+J$8)-AF285),2)</f>
        <v>0</v>
      </c>
      <c r="K285" s="27" t="n">
        <f aca="false">ROUND(MAX(0,K284*(1+K$8)-AG285),2)</f>
        <v>0</v>
      </c>
      <c r="L285" s="30" t="n">
        <f aca="false">SUM(B285:K285)</f>
        <v>0</v>
      </c>
      <c r="M285" s="27" t="n">
        <f aca="false">SUMPRODUCT(B284:K284,$B$8:$K$8)</f>
        <v>0</v>
      </c>
      <c r="N285" s="27" t="n">
        <f aca="false">MIN(B284*(1+B$8),B$9)</f>
        <v>0</v>
      </c>
      <c r="O285" s="27" t="n">
        <f aca="false">MIN(C284*(1+C$8),C$9)</f>
        <v>0</v>
      </c>
      <c r="P285" s="27" t="n">
        <f aca="false">MIN(D284*(1+D$8),D$9)</f>
        <v>0</v>
      </c>
      <c r="Q285" s="27" t="n">
        <f aca="false">MIN(E284*(1+E$8),E$9)</f>
        <v>0</v>
      </c>
      <c r="R285" s="27" t="n">
        <f aca="false">MIN(F284*(1+F$8),F$9)</f>
        <v>0</v>
      </c>
      <c r="S285" s="27" t="n">
        <f aca="false">MIN(G284*(1+G$8),G$9)</f>
        <v>0</v>
      </c>
      <c r="T285" s="27" t="n">
        <f aca="false">MIN(H284*(1+H$8),H$9)</f>
        <v>0</v>
      </c>
      <c r="U285" s="27" t="n">
        <f aca="false">MIN(I284*(1+I$8),I$9)</f>
        <v>0</v>
      </c>
      <c r="V285" s="27" t="n">
        <f aca="false">MIN(J284*(1+J$8),J$9)</f>
        <v>0</v>
      </c>
      <c r="W285" s="27" t="n">
        <f aca="false">MIN(K284*(1+K$8),K$9)</f>
        <v>0</v>
      </c>
      <c r="X285" s="27" t="n">
        <f aca="false">MIN(B284*(1+B$8),MAX(N285,$B$11-SUM(O285:W285)))</f>
        <v>0</v>
      </c>
      <c r="Y285" s="27" t="n">
        <f aca="false">MIN(C284*(1+C$8),MAX(O285,$B$11-SUM(X285:X285)-SUM(P285:W285)))</f>
        <v>0</v>
      </c>
      <c r="Z285" s="27" t="n">
        <f aca="false">MIN(D284*(1+D$8),MAX(P285,$B$11-SUM(X285:Y285)-SUM(Q285:W285)))</f>
        <v>0</v>
      </c>
      <c r="AA285" s="27" t="n">
        <f aca="false">MIN(E284*(1+E$8),MAX(Q285,$B$11-SUM(X285:Z285)-SUM(R285:W285)))</f>
        <v>0</v>
      </c>
      <c r="AB285" s="27" t="n">
        <f aca="false">MIN(F284*(1+F$8),MAX(R285,$B$11-SUM(X285:AA285)-SUM(S285:W285)))</f>
        <v>0</v>
      </c>
      <c r="AC285" s="27" t="n">
        <f aca="false">MIN(G284*(1+G$8),MAX(S285,$B$11-SUM(X285:AB285)-SUM(T285:W285)))</f>
        <v>0</v>
      </c>
      <c r="AD285" s="27" t="n">
        <f aca="false">MIN(H284*(1+H$8),MAX(T285,$B$11-SUM(X285:AC285)-SUM(U285:W285)))</f>
        <v>0</v>
      </c>
      <c r="AE285" s="27" t="n">
        <f aca="false">MIN(I284*(1+I$8),MAX(U285,$B$11-SUM(X285:AD285)-SUM(V285:W285)))</f>
        <v>0</v>
      </c>
      <c r="AF285" s="27" t="n">
        <f aca="false">MIN(J284*(1+J$8),MAX(V285,$B$11-SUM(X285:AE285)-SUM(W285:W285)))</f>
        <v>0</v>
      </c>
      <c r="AG285" s="27" t="n">
        <f aca="false">MIN(K284*(1+K$8),MAX(W285,$B$11-SUM(X285:AF285)))</f>
        <v>0</v>
      </c>
      <c r="AI285" s="27" t="n">
        <f aca="false">ROUND(MAX(0,AI284*(1+B$8)-BE285),2)</f>
        <v>0</v>
      </c>
      <c r="AJ285" s="27" t="n">
        <f aca="false">ROUND(MAX(0,AJ284*(1+C$8)-BF285),2)</f>
        <v>0</v>
      </c>
      <c r="AK285" s="27" t="n">
        <f aca="false">ROUND(MAX(0,AK284*(1+D$8)-BG285),2)</f>
        <v>0</v>
      </c>
      <c r="AL285" s="27" t="n">
        <f aca="false">ROUND(MAX(0,AL284*(1+E$8)-BH285),2)</f>
        <v>0</v>
      </c>
      <c r="AM285" s="27" t="n">
        <f aca="false">ROUND(MAX(0,AM284*(1+F$8)-BI285),2)</f>
        <v>0</v>
      </c>
      <c r="AN285" s="27" t="n">
        <f aca="false">ROUND(MAX(0,AN284*(1+G$8)-BJ285),2)</f>
        <v>0</v>
      </c>
      <c r="AO285" s="27" t="n">
        <f aca="false">ROUND(MAX(0,AO284*(1+H$8)-BK285),2)</f>
        <v>0</v>
      </c>
      <c r="AP285" s="27" t="n">
        <f aca="false">ROUND(MAX(0,AP284*(1+I$8)-BL285),2)</f>
        <v>0</v>
      </c>
      <c r="AQ285" s="27" t="n">
        <f aca="false">ROUND(MAX(0,AQ284*(1+J$8)-BM285),2)</f>
        <v>0</v>
      </c>
      <c r="AR285" s="27" t="n">
        <f aca="false">ROUND(MAX(0,AR284*(1+K$8)-BN285),2)</f>
        <v>0</v>
      </c>
      <c r="AS285" s="27" t="n">
        <f aca="false">SUM(AI285:AR285)</f>
        <v>0</v>
      </c>
      <c r="AT285" s="27" t="n">
        <f aca="false">SUMPRODUCT(AI284:AR284,$B$8:$K$8)</f>
        <v>0</v>
      </c>
      <c r="AU285" s="27" t="n">
        <f aca="false">MIN(AI284*(1+B$8),B$9)</f>
        <v>0</v>
      </c>
      <c r="AV285" s="27" t="n">
        <f aca="false">MIN(AJ284*(1+C$8),C$9)</f>
        <v>0</v>
      </c>
      <c r="AW285" s="27" t="n">
        <f aca="false">MIN(AK284*(1+D$8),D$9)</f>
        <v>0</v>
      </c>
      <c r="AX285" s="27" t="n">
        <f aca="false">MIN(AL284*(1+E$8),E$9)</f>
        <v>0</v>
      </c>
      <c r="AY285" s="27" t="n">
        <f aca="false">MIN(AM284*(1+F$8),F$9)</f>
        <v>0</v>
      </c>
      <c r="AZ285" s="27" t="n">
        <f aca="false">MIN(AN284*(1+G$8),G$9)</f>
        <v>0</v>
      </c>
      <c r="BA285" s="27" t="n">
        <f aca="false">MIN(AO284*(1+H$8),H$9)</f>
        <v>0</v>
      </c>
      <c r="BB285" s="27" t="n">
        <f aca="false">MIN(AP284*(1+I$8),I$9)</f>
        <v>0</v>
      </c>
      <c r="BC285" s="27" t="n">
        <f aca="false">MIN(AQ284*(1+J$8),J$9)</f>
        <v>0</v>
      </c>
      <c r="BD285" s="27" t="n">
        <f aca="false">MIN(AR284*(1+K$8),K$9)</f>
        <v>0</v>
      </c>
      <c r="BE285" s="27" t="n">
        <f aca="false">MIN(AI284*(1+B$8),MAX(AU285,$B$12-SUM(AV285:BD285)))</f>
        <v>0</v>
      </c>
      <c r="BF285" s="27" t="n">
        <f aca="false">MIN(AJ284*(1+C$8),MAX(AV285,$B$12-SUM(BE285:BE285)-SUM(AW285:BD285)))</f>
        <v>0</v>
      </c>
      <c r="BG285" s="27" t="n">
        <f aca="false">MIN(AK284*(1+D$8),MAX(AW285,$B$12-SUM(BE285:BF285)-SUM(AX285:BD285)))</f>
        <v>0</v>
      </c>
      <c r="BH285" s="27" t="n">
        <f aca="false">MIN(AL284*(1+E$8),MAX(AX285,$B$12-SUM(BE285:BG285)-SUM(AY285:BD285)))</f>
        <v>0</v>
      </c>
      <c r="BI285" s="27" t="n">
        <f aca="false">MIN(AM284*(1+F$8),MAX(AY285,$B$12-SUM(BE285:BH285)-SUM(AZ285:BD285)))</f>
        <v>0</v>
      </c>
      <c r="BJ285" s="27" t="n">
        <f aca="false">MIN(AN284*(1+G$8),MAX(AZ285,$B$12-SUM(BE285:BI285)-SUM(BA285:BD285)))</f>
        <v>0</v>
      </c>
      <c r="BK285" s="27" t="n">
        <f aca="false">MIN(AO284*(1+H$8),MAX(BA285,$B$12-SUM(BE285:BJ285)-SUM(BB285:BD285)))</f>
        <v>0</v>
      </c>
      <c r="BL285" s="27" t="n">
        <f aca="false">MIN(AP284*(1+I$8),MAX(BB285,$B$12-SUM(BE285:BK285)-SUM(BC285:BD285)))</f>
        <v>0</v>
      </c>
      <c r="BM285" s="27" t="n">
        <f aca="false">MIN(AQ284*(1+J$8),MAX(BC285,$B$12-SUM(BE285:BL285)-SUM(BD285:BD285)))</f>
        <v>0</v>
      </c>
      <c r="BN285" s="27" t="n">
        <f aca="false">MIN(AR284*(1+K$8),MAX(BD285,$B$12-SUM(BE285:BM285)))</f>
        <v>0</v>
      </c>
    </row>
    <row r="286" customFormat="false" ht="15" hidden="false" customHeight="false" outlineLevel="0" collapsed="false">
      <c r="A286" s="0" t="n">
        <v>272</v>
      </c>
      <c r="B286" s="27" t="n">
        <f aca="false">ROUND(MAX(0,B285*(1+B$8)-X286),2)</f>
        <v>0</v>
      </c>
      <c r="C286" s="27" t="n">
        <f aca="false">ROUND(MAX(0,C285*(1+C$8)-Y286),2)</f>
        <v>0</v>
      </c>
      <c r="D286" s="27" t="n">
        <f aca="false">ROUND(MAX(0,D285*(1+D$8)-Z286),2)</f>
        <v>0</v>
      </c>
      <c r="E286" s="27" t="n">
        <f aca="false">ROUND(MAX(0,E285*(1+E$8)-AA286),2)</f>
        <v>0</v>
      </c>
      <c r="F286" s="27" t="n">
        <f aca="false">ROUND(MAX(0,F285*(1+F$8)-AB286),2)</f>
        <v>0</v>
      </c>
      <c r="G286" s="27" t="n">
        <f aca="false">ROUND(MAX(0,G285*(1+G$8)-AC286),2)</f>
        <v>0</v>
      </c>
      <c r="H286" s="27" t="n">
        <f aca="false">ROUND(MAX(0,H285*(1+H$8)-AD286),2)</f>
        <v>0</v>
      </c>
      <c r="I286" s="27" t="n">
        <f aca="false">ROUND(MAX(0,I285*(1+I$8)-AE286),2)</f>
        <v>0</v>
      </c>
      <c r="J286" s="27" t="n">
        <f aca="false">ROUND(MAX(0,J285*(1+J$8)-AF286),2)</f>
        <v>0</v>
      </c>
      <c r="K286" s="27" t="n">
        <f aca="false">ROUND(MAX(0,K285*(1+K$8)-AG286),2)</f>
        <v>0</v>
      </c>
      <c r="L286" s="30" t="n">
        <f aca="false">SUM(B286:K286)</f>
        <v>0</v>
      </c>
      <c r="M286" s="27" t="n">
        <f aca="false">SUMPRODUCT(B285:K285,$B$8:$K$8)</f>
        <v>0</v>
      </c>
      <c r="N286" s="27" t="n">
        <f aca="false">MIN(B285*(1+B$8),B$9)</f>
        <v>0</v>
      </c>
      <c r="O286" s="27" t="n">
        <f aca="false">MIN(C285*(1+C$8),C$9)</f>
        <v>0</v>
      </c>
      <c r="P286" s="27" t="n">
        <f aca="false">MIN(D285*(1+D$8),D$9)</f>
        <v>0</v>
      </c>
      <c r="Q286" s="27" t="n">
        <f aca="false">MIN(E285*(1+E$8),E$9)</f>
        <v>0</v>
      </c>
      <c r="R286" s="27" t="n">
        <f aca="false">MIN(F285*(1+F$8),F$9)</f>
        <v>0</v>
      </c>
      <c r="S286" s="27" t="n">
        <f aca="false">MIN(G285*(1+G$8),G$9)</f>
        <v>0</v>
      </c>
      <c r="T286" s="27" t="n">
        <f aca="false">MIN(H285*(1+H$8),H$9)</f>
        <v>0</v>
      </c>
      <c r="U286" s="27" t="n">
        <f aca="false">MIN(I285*(1+I$8),I$9)</f>
        <v>0</v>
      </c>
      <c r="V286" s="27" t="n">
        <f aca="false">MIN(J285*(1+J$8),J$9)</f>
        <v>0</v>
      </c>
      <c r="W286" s="27" t="n">
        <f aca="false">MIN(K285*(1+K$8),K$9)</f>
        <v>0</v>
      </c>
      <c r="X286" s="27" t="n">
        <f aca="false">MIN(B285*(1+B$8),MAX(N286,$B$11-SUM(O286:W286)))</f>
        <v>0</v>
      </c>
      <c r="Y286" s="27" t="n">
        <f aca="false">MIN(C285*(1+C$8),MAX(O286,$B$11-SUM(X286:X286)-SUM(P286:W286)))</f>
        <v>0</v>
      </c>
      <c r="Z286" s="27" t="n">
        <f aca="false">MIN(D285*(1+D$8),MAX(P286,$B$11-SUM(X286:Y286)-SUM(Q286:W286)))</f>
        <v>0</v>
      </c>
      <c r="AA286" s="27" t="n">
        <f aca="false">MIN(E285*(1+E$8),MAX(Q286,$B$11-SUM(X286:Z286)-SUM(R286:W286)))</f>
        <v>0</v>
      </c>
      <c r="AB286" s="27" t="n">
        <f aca="false">MIN(F285*(1+F$8),MAX(R286,$B$11-SUM(X286:AA286)-SUM(S286:W286)))</f>
        <v>0</v>
      </c>
      <c r="AC286" s="27" t="n">
        <f aca="false">MIN(G285*(1+G$8),MAX(S286,$B$11-SUM(X286:AB286)-SUM(T286:W286)))</f>
        <v>0</v>
      </c>
      <c r="AD286" s="27" t="n">
        <f aca="false">MIN(H285*(1+H$8),MAX(T286,$B$11-SUM(X286:AC286)-SUM(U286:W286)))</f>
        <v>0</v>
      </c>
      <c r="AE286" s="27" t="n">
        <f aca="false">MIN(I285*(1+I$8),MAX(U286,$B$11-SUM(X286:AD286)-SUM(V286:W286)))</f>
        <v>0</v>
      </c>
      <c r="AF286" s="27" t="n">
        <f aca="false">MIN(J285*(1+J$8),MAX(V286,$B$11-SUM(X286:AE286)-SUM(W286:W286)))</f>
        <v>0</v>
      </c>
      <c r="AG286" s="27" t="n">
        <f aca="false">MIN(K285*(1+K$8),MAX(W286,$B$11-SUM(X286:AF286)))</f>
        <v>0</v>
      </c>
      <c r="AI286" s="27" t="n">
        <f aca="false">ROUND(MAX(0,AI285*(1+B$8)-BE286),2)</f>
        <v>0</v>
      </c>
      <c r="AJ286" s="27" t="n">
        <f aca="false">ROUND(MAX(0,AJ285*(1+C$8)-BF286),2)</f>
        <v>0</v>
      </c>
      <c r="AK286" s="27" t="n">
        <f aca="false">ROUND(MAX(0,AK285*(1+D$8)-BG286),2)</f>
        <v>0</v>
      </c>
      <c r="AL286" s="27" t="n">
        <f aca="false">ROUND(MAX(0,AL285*(1+E$8)-BH286),2)</f>
        <v>0</v>
      </c>
      <c r="AM286" s="27" t="n">
        <f aca="false">ROUND(MAX(0,AM285*(1+F$8)-BI286),2)</f>
        <v>0</v>
      </c>
      <c r="AN286" s="27" t="n">
        <f aca="false">ROUND(MAX(0,AN285*(1+G$8)-BJ286),2)</f>
        <v>0</v>
      </c>
      <c r="AO286" s="27" t="n">
        <f aca="false">ROUND(MAX(0,AO285*(1+H$8)-BK286),2)</f>
        <v>0</v>
      </c>
      <c r="AP286" s="27" t="n">
        <f aca="false">ROUND(MAX(0,AP285*(1+I$8)-BL286),2)</f>
        <v>0</v>
      </c>
      <c r="AQ286" s="27" t="n">
        <f aca="false">ROUND(MAX(0,AQ285*(1+J$8)-BM286),2)</f>
        <v>0</v>
      </c>
      <c r="AR286" s="27" t="n">
        <f aca="false">ROUND(MAX(0,AR285*(1+K$8)-BN286),2)</f>
        <v>0</v>
      </c>
      <c r="AS286" s="27" t="n">
        <f aca="false">SUM(AI286:AR286)</f>
        <v>0</v>
      </c>
      <c r="AT286" s="27" t="n">
        <f aca="false">SUMPRODUCT(AI285:AR285,$B$8:$K$8)</f>
        <v>0</v>
      </c>
      <c r="AU286" s="27" t="n">
        <f aca="false">MIN(AI285*(1+B$8),B$9)</f>
        <v>0</v>
      </c>
      <c r="AV286" s="27" t="n">
        <f aca="false">MIN(AJ285*(1+C$8),C$9)</f>
        <v>0</v>
      </c>
      <c r="AW286" s="27" t="n">
        <f aca="false">MIN(AK285*(1+D$8),D$9)</f>
        <v>0</v>
      </c>
      <c r="AX286" s="27" t="n">
        <f aca="false">MIN(AL285*(1+E$8),E$9)</f>
        <v>0</v>
      </c>
      <c r="AY286" s="27" t="n">
        <f aca="false">MIN(AM285*(1+F$8),F$9)</f>
        <v>0</v>
      </c>
      <c r="AZ286" s="27" t="n">
        <f aca="false">MIN(AN285*(1+G$8),G$9)</f>
        <v>0</v>
      </c>
      <c r="BA286" s="27" t="n">
        <f aca="false">MIN(AO285*(1+H$8),H$9)</f>
        <v>0</v>
      </c>
      <c r="BB286" s="27" t="n">
        <f aca="false">MIN(AP285*(1+I$8),I$9)</f>
        <v>0</v>
      </c>
      <c r="BC286" s="27" t="n">
        <f aca="false">MIN(AQ285*(1+J$8),J$9)</f>
        <v>0</v>
      </c>
      <c r="BD286" s="27" t="n">
        <f aca="false">MIN(AR285*(1+K$8),K$9)</f>
        <v>0</v>
      </c>
      <c r="BE286" s="27" t="n">
        <f aca="false">MIN(AI285*(1+B$8),MAX(AU286,$B$12-SUM(AV286:BD286)))</f>
        <v>0</v>
      </c>
      <c r="BF286" s="27" t="n">
        <f aca="false">MIN(AJ285*(1+C$8),MAX(AV286,$B$12-SUM(BE286:BE286)-SUM(AW286:BD286)))</f>
        <v>0</v>
      </c>
      <c r="BG286" s="27" t="n">
        <f aca="false">MIN(AK285*(1+D$8),MAX(AW286,$B$12-SUM(BE286:BF286)-SUM(AX286:BD286)))</f>
        <v>0</v>
      </c>
      <c r="BH286" s="27" t="n">
        <f aca="false">MIN(AL285*(1+E$8),MAX(AX286,$B$12-SUM(BE286:BG286)-SUM(AY286:BD286)))</f>
        <v>0</v>
      </c>
      <c r="BI286" s="27" t="n">
        <f aca="false">MIN(AM285*(1+F$8),MAX(AY286,$B$12-SUM(BE286:BH286)-SUM(AZ286:BD286)))</f>
        <v>0</v>
      </c>
      <c r="BJ286" s="27" t="n">
        <f aca="false">MIN(AN285*(1+G$8),MAX(AZ286,$B$12-SUM(BE286:BI286)-SUM(BA286:BD286)))</f>
        <v>0</v>
      </c>
      <c r="BK286" s="27" t="n">
        <f aca="false">MIN(AO285*(1+H$8),MAX(BA286,$B$12-SUM(BE286:BJ286)-SUM(BB286:BD286)))</f>
        <v>0</v>
      </c>
      <c r="BL286" s="27" t="n">
        <f aca="false">MIN(AP285*(1+I$8),MAX(BB286,$B$12-SUM(BE286:BK286)-SUM(BC286:BD286)))</f>
        <v>0</v>
      </c>
      <c r="BM286" s="27" t="n">
        <f aca="false">MIN(AQ285*(1+J$8),MAX(BC286,$B$12-SUM(BE286:BL286)-SUM(BD286:BD286)))</f>
        <v>0</v>
      </c>
      <c r="BN286" s="27" t="n">
        <f aca="false">MIN(AR285*(1+K$8),MAX(BD286,$B$12-SUM(BE286:BM286)))</f>
        <v>0</v>
      </c>
    </row>
    <row r="287" customFormat="false" ht="15" hidden="false" customHeight="false" outlineLevel="0" collapsed="false">
      <c r="A287" s="0" t="n">
        <v>273</v>
      </c>
      <c r="B287" s="27" t="n">
        <f aca="false">ROUND(MAX(0,B286*(1+B$8)-X287),2)</f>
        <v>0</v>
      </c>
      <c r="C287" s="27" t="n">
        <f aca="false">ROUND(MAX(0,C286*(1+C$8)-Y287),2)</f>
        <v>0</v>
      </c>
      <c r="D287" s="27" t="n">
        <f aca="false">ROUND(MAX(0,D286*(1+D$8)-Z287),2)</f>
        <v>0</v>
      </c>
      <c r="E287" s="27" t="n">
        <f aca="false">ROUND(MAX(0,E286*(1+E$8)-AA287),2)</f>
        <v>0</v>
      </c>
      <c r="F287" s="27" t="n">
        <f aca="false">ROUND(MAX(0,F286*(1+F$8)-AB287),2)</f>
        <v>0</v>
      </c>
      <c r="G287" s="27" t="n">
        <f aca="false">ROUND(MAX(0,G286*(1+G$8)-AC287),2)</f>
        <v>0</v>
      </c>
      <c r="H287" s="27" t="n">
        <f aca="false">ROUND(MAX(0,H286*(1+H$8)-AD287),2)</f>
        <v>0</v>
      </c>
      <c r="I287" s="27" t="n">
        <f aca="false">ROUND(MAX(0,I286*(1+I$8)-AE287),2)</f>
        <v>0</v>
      </c>
      <c r="J287" s="27" t="n">
        <f aca="false">ROUND(MAX(0,J286*(1+J$8)-AF287),2)</f>
        <v>0</v>
      </c>
      <c r="K287" s="27" t="n">
        <f aca="false">ROUND(MAX(0,K286*(1+K$8)-AG287),2)</f>
        <v>0</v>
      </c>
      <c r="L287" s="30" t="n">
        <f aca="false">SUM(B287:K287)</f>
        <v>0</v>
      </c>
      <c r="M287" s="27" t="n">
        <f aca="false">SUMPRODUCT(B286:K286,$B$8:$K$8)</f>
        <v>0</v>
      </c>
      <c r="N287" s="27" t="n">
        <f aca="false">MIN(B286*(1+B$8),B$9)</f>
        <v>0</v>
      </c>
      <c r="O287" s="27" t="n">
        <f aca="false">MIN(C286*(1+C$8),C$9)</f>
        <v>0</v>
      </c>
      <c r="P287" s="27" t="n">
        <f aca="false">MIN(D286*(1+D$8),D$9)</f>
        <v>0</v>
      </c>
      <c r="Q287" s="27" t="n">
        <f aca="false">MIN(E286*(1+E$8),E$9)</f>
        <v>0</v>
      </c>
      <c r="R287" s="27" t="n">
        <f aca="false">MIN(F286*(1+F$8),F$9)</f>
        <v>0</v>
      </c>
      <c r="S287" s="27" t="n">
        <f aca="false">MIN(G286*(1+G$8),G$9)</f>
        <v>0</v>
      </c>
      <c r="T287" s="27" t="n">
        <f aca="false">MIN(H286*(1+H$8),H$9)</f>
        <v>0</v>
      </c>
      <c r="U287" s="27" t="n">
        <f aca="false">MIN(I286*(1+I$8),I$9)</f>
        <v>0</v>
      </c>
      <c r="V287" s="27" t="n">
        <f aca="false">MIN(J286*(1+J$8),J$9)</f>
        <v>0</v>
      </c>
      <c r="W287" s="27" t="n">
        <f aca="false">MIN(K286*(1+K$8),K$9)</f>
        <v>0</v>
      </c>
      <c r="X287" s="27" t="n">
        <f aca="false">MIN(B286*(1+B$8),MAX(N287,$B$11-SUM(O287:W287)))</f>
        <v>0</v>
      </c>
      <c r="Y287" s="27" t="n">
        <f aca="false">MIN(C286*(1+C$8),MAX(O287,$B$11-SUM(X287:X287)-SUM(P287:W287)))</f>
        <v>0</v>
      </c>
      <c r="Z287" s="27" t="n">
        <f aca="false">MIN(D286*(1+D$8),MAX(P287,$B$11-SUM(X287:Y287)-SUM(Q287:W287)))</f>
        <v>0</v>
      </c>
      <c r="AA287" s="27" t="n">
        <f aca="false">MIN(E286*(1+E$8),MAX(Q287,$B$11-SUM(X287:Z287)-SUM(R287:W287)))</f>
        <v>0</v>
      </c>
      <c r="AB287" s="27" t="n">
        <f aca="false">MIN(F286*(1+F$8),MAX(R287,$B$11-SUM(X287:AA287)-SUM(S287:W287)))</f>
        <v>0</v>
      </c>
      <c r="AC287" s="27" t="n">
        <f aca="false">MIN(G286*(1+G$8),MAX(S287,$B$11-SUM(X287:AB287)-SUM(T287:W287)))</f>
        <v>0</v>
      </c>
      <c r="AD287" s="27" t="n">
        <f aca="false">MIN(H286*(1+H$8),MAX(T287,$B$11-SUM(X287:AC287)-SUM(U287:W287)))</f>
        <v>0</v>
      </c>
      <c r="AE287" s="27" t="n">
        <f aca="false">MIN(I286*(1+I$8),MAX(U287,$B$11-SUM(X287:AD287)-SUM(V287:W287)))</f>
        <v>0</v>
      </c>
      <c r="AF287" s="27" t="n">
        <f aca="false">MIN(J286*(1+J$8),MAX(V287,$B$11-SUM(X287:AE287)-SUM(W287:W287)))</f>
        <v>0</v>
      </c>
      <c r="AG287" s="27" t="n">
        <f aca="false">MIN(K286*(1+K$8),MAX(W287,$B$11-SUM(X287:AF287)))</f>
        <v>0</v>
      </c>
      <c r="AI287" s="27" t="n">
        <f aca="false">ROUND(MAX(0,AI286*(1+B$8)-BE287),2)</f>
        <v>0</v>
      </c>
      <c r="AJ287" s="27" t="n">
        <f aca="false">ROUND(MAX(0,AJ286*(1+C$8)-BF287),2)</f>
        <v>0</v>
      </c>
      <c r="AK287" s="27" t="n">
        <f aca="false">ROUND(MAX(0,AK286*(1+D$8)-BG287),2)</f>
        <v>0</v>
      </c>
      <c r="AL287" s="27" t="n">
        <f aca="false">ROUND(MAX(0,AL286*(1+E$8)-BH287),2)</f>
        <v>0</v>
      </c>
      <c r="AM287" s="27" t="n">
        <f aca="false">ROUND(MAX(0,AM286*(1+F$8)-BI287),2)</f>
        <v>0</v>
      </c>
      <c r="AN287" s="27" t="n">
        <f aca="false">ROUND(MAX(0,AN286*(1+G$8)-BJ287),2)</f>
        <v>0</v>
      </c>
      <c r="AO287" s="27" t="n">
        <f aca="false">ROUND(MAX(0,AO286*(1+H$8)-BK287),2)</f>
        <v>0</v>
      </c>
      <c r="AP287" s="27" t="n">
        <f aca="false">ROUND(MAX(0,AP286*(1+I$8)-BL287),2)</f>
        <v>0</v>
      </c>
      <c r="AQ287" s="27" t="n">
        <f aca="false">ROUND(MAX(0,AQ286*(1+J$8)-BM287),2)</f>
        <v>0</v>
      </c>
      <c r="AR287" s="27" t="n">
        <f aca="false">ROUND(MAX(0,AR286*(1+K$8)-BN287),2)</f>
        <v>0</v>
      </c>
      <c r="AS287" s="27" t="n">
        <f aca="false">SUM(AI287:AR287)</f>
        <v>0</v>
      </c>
      <c r="AT287" s="27" t="n">
        <f aca="false">SUMPRODUCT(AI286:AR286,$B$8:$K$8)</f>
        <v>0</v>
      </c>
      <c r="AU287" s="27" t="n">
        <f aca="false">MIN(AI286*(1+B$8),B$9)</f>
        <v>0</v>
      </c>
      <c r="AV287" s="27" t="n">
        <f aca="false">MIN(AJ286*(1+C$8),C$9)</f>
        <v>0</v>
      </c>
      <c r="AW287" s="27" t="n">
        <f aca="false">MIN(AK286*(1+D$8),D$9)</f>
        <v>0</v>
      </c>
      <c r="AX287" s="27" t="n">
        <f aca="false">MIN(AL286*(1+E$8),E$9)</f>
        <v>0</v>
      </c>
      <c r="AY287" s="27" t="n">
        <f aca="false">MIN(AM286*(1+F$8),F$9)</f>
        <v>0</v>
      </c>
      <c r="AZ287" s="27" t="n">
        <f aca="false">MIN(AN286*(1+G$8),G$9)</f>
        <v>0</v>
      </c>
      <c r="BA287" s="27" t="n">
        <f aca="false">MIN(AO286*(1+H$8),H$9)</f>
        <v>0</v>
      </c>
      <c r="BB287" s="27" t="n">
        <f aca="false">MIN(AP286*(1+I$8),I$9)</f>
        <v>0</v>
      </c>
      <c r="BC287" s="27" t="n">
        <f aca="false">MIN(AQ286*(1+J$8),J$9)</f>
        <v>0</v>
      </c>
      <c r="BD287" s="27" t="n">
        <f aca="false">MIN(AR286*(1+K$8),K$9)</f>
        <v>0</v>
      </c>
      <c r="BE287" s="27" t="n">
        <f aca="false">MIN(AI286*(1+B$8),MAX(AU287,$B$12-SUM(AV287:BD287)))</f>
        <v>0</v>
      </c>
      <c r="BF287" s="27" t="n">
        <f aca="false">MIN(AJ286*(1+C$8),MAX(AV287,$B$12-SUM(BE287:BE287)-SUM(AW287:BD287)))</f>
        <v>0</v>
      </c>
      <c r="BG287" s="27" t="n">
        <f aca="false">MIN(AK286*(1+D$8),MAX(AW287,$B$12-SUM(BE287:BF287)-SUM(AX287:BD287)))</f>
        <v>0</v>
      </c>
      <c r="BH287" s="27" t="n">
        <f aca="false">MIN(AL286*(1+E$8),MAX(AX287,$B$12-SUM(BE287:BG287)-SUM(AY287:BD287)))</f>
        <v>0</v>
      </c>
      <c r="BI287" s="27" t="n">
        <f aca="false">MIN(AM286*(1+F$8),MAX(AY287,$B$12-SUM(BE287:BH287)-SUM(AZ287:BD287)))</f>
        <v>0</v>
      </c>
      <c r="BJ287" s="27" t="n">
        <f aca="false">MIN(AN286*(1+G$8),MAX(AZ287,$B$12-SUM(BE287:BI287)-SUM(BA287:BD287)))</f>
        <v>0</v>
      </c>
      <c r="BK287" s="27" t="n">
        <f aca="false">MIN(AO286*(1+H$8),MAX(BA287,$B$12-SUM(BE287:BJ287)-SUM(BB287:BD287)))</f>
        <v>0</v>
      </c>
      <c r="BL287" s="27" t="n">
        <f aca="false">MIN(AP286*(1+I$8),MAX(BB287,$B$12-SUM(BE287:BK287)-SUM(BC287:BD287)))</f>
        <v>0</v>
      </c>
      <c r="BM287" s="27" t="n">
        <f aca="false">MIN(AQ286*(1+J$8),MAX(BC287,$B$12-SUM(BE287:BL287)-SUM(BD287:BD287)))</f>
        <v>0</v>
      </c>
      <c r="BN287" s="27" t="n">
        <f aca="false">MIN(AR286*(1+K$8),MAX(BD287,$B$12-SUM(BE287:BM287)))</f>
        <v>0</v>
      </c>
    </row>
    <row r="288" customFormat="false" ht="15" hidden="false" customHeight="false" outlineLevel="0" collapsed="false">
      <c r="A288" s="0" t="n">
        <v>274</v>
      </c>
      <c r="B288" s="27" t="n">
        <f aca="false">ROUND(MAX(0,B287*(1+B$8)-X288),2)</f>
        <v>0</v>
      </c>
      <c r="C288" s="27" t="n">
        <f aca="false">ROUND(MAX(0,C287*(1+C$8)-Y288),2)</f>
        <v>0</v>
      </c>
      <c r="D288" s="27" t="n">
        <f aca="false">ROUND(MAX(0,D287*(1+D$8)-Z288),2)</f>
        <v>0</v>
      </c>
      <c r="E288" s="27" t="n">
        <f aca="false">ROUND(MAX(0,E287*(1+E$8)-AA288),2)</f>
        <v>0</v>
      </c>
      <c r="F288" s="27" t="n">
        <f aca="false">ROUND(MAX(0,F287*(1+F$8)-AB288),2)</f>
        <v>0</v>
      </c>
      <c r="G288" s="27" t="n">
        <f aca="false">ROUND(MAX(0,G287*(1+G$8)-AC288),2)</f>
        <v>0</v>
      </c>
      <c r="H288" s="27" t="n">
        <f aca="false">ROUND(MAX(0,H287*(1+H$8)-AD288),2)</f>
        <v>0</v>
      </c>
      <c r="I288" s="27" t="n">
        <f aca="false">ROUND(MAX(0,I287*(1+I$8)-AE288),2)</f>
        <v>0</v>
      </c>
      <c r="J288" s="27" t="n">
        <f aca="false">ROUND(MAX(0,J287*(1+J$8)-AF288),2)</f>
        <v>0</v>
      </c>
      <c r="K288" s="27" t="n">
        <f aca="false">ROUND(MAX(0,K287*(1+K$8)-AG288),2)</f>
        <v>0</v>
      </c>
      <c r="L288" s="30" t="n">
        <f aca="false">SUM(B288:K288)</f>
        <v>0</v>
      </c>
      <c r="M288" s="27" t="n">
        <f aca="false">SUMPRODUCT(B287:K287,$B$8:$K$8)</f>
        <v>0</v>
      </c>
      <c r="N288" s="27" t="n">
        <f aca="false">MIN(B287*(1+B$8),B$9)</f>
        <v>0</v>
      </c>
      <c r="O288" s="27" t="n">
        <f aca="false">MIN(C287*(1+C$8),C$9)</f>
        <v>0</v>
      </c>
      <c r="P288" s="27" t="n">
        <f aca="false">MIN(D287*(1+D$8),D$9)</f>
        <v>0</v>
      </c>
      <c r="Q288" s="27" t="n">
        <f aca="false">MIN(E287*(1+E$8),E$9)</f>
        <v>0</v>
      </c>
      <c r="R288" s="27" t="n">
        <f aca="false">MIN(F287*(1+F$8),F$9)</f>
        <v>0</v>
      </c>
      <c r="S288" s="27" t="n">
        <f aca="false">MIN(G287*(1+G$8),G$9)</f>
        <v>0</v>
      </c>
      <c r="T288" s="27" t="n">
        <f aca="false">MIN(H287*(1+H$8),H$9)</f>
        <v>0</v>
      </c>
      <c r="U288" s="27" t="n">
        <f aca="false">MIN(I287*(1+I$8),I$9)</f>
        <v>0</v>
      </c>
      <c r="V288" s="27" t="n">
        <f aca="false">MIN(J287*(1+J$8),J$9)</f>
        <v>0</v>
      </c>
      <c r="W288" s="27" t="n">
        <f aca="false">MIN(K287*(1+K$8),K$9)</f>
        <v>0</v>
      </c>
      <c r="X288" s="27" t="n">
        <f aca="false">MIN(B287*(1+B$8),MAX(N288,$B$11-SUM(O288:W288)))</f>
        <v>0</v>
      </c>
      <c r="Y288" s="27" t="n">
        <f aca="false">MIN(C287*(1+C$8),MAX(O288,$B$11-SUM(X288:X288)-SUM(P288:W288)))</f>
        <v>0</v>
      </c>
      <c r="Z288" s="27" t="n">
        <f aca="false">MIN(D287*(1+D$8),MAX(P288,$B$11-SUM(X288:Y288)-SUM(Q288:W288)))</f>
        <v>0</v>
      </c>
      <c r="AA288" s="27" t="n">
        <f aca="false">MIN(E287*(1+E$8),MAX(Q288,$B$11-SUM(X288:Z288)-SUM(R288:W288)))</f>
        <v>0</v>
      </c>
      <c r="AB288" s="27" t="n">
        <f aca="false">MIN(F287*(1+F$8),MAX(R288,$B$11-SUM(X288:AA288)-SUM(S288:W288)))</f>
        <v>0</v>
      </c>
      <c r="AC288" s="27" t="n">
        <f aca="false">MIN(G287*(1+G$8),MAX(S288,$B$11-SUM(X288:AB288)-SUM(T288:W288)))</f>
        <v>0</v>
      </c>
      <c r="AD288" s="27" t="n">
        <f aca="false">MIN(H287*(1+H$8),MAX(T288,$B$11-SUM(X288:AC288)-SUM(U288:W288)))</f>
        <v>0</v>
      </c>
      <c r="AE288" s="27" t="n">
        <f aca="false">MIN(I287*(1+I$8),MAX(U288,$B$11-SUM(X288:AD288)-SUM(V288:W288)))</f>
        <v>0</v>
      </c>
      <c r="AF288" s="27" t="n">
        <f aca="false">MIN(J287*(1+J$8),MAX(V288,$B$11-SUM(X288:AE288)-SUM(W288:W288)))</f>
        <v>0</v>
      </c>
      <c r="AG288" s="27" t="n">
        <f aca="false">MIN(K287*(1+K$8),MAX(W288,$B$11-SUM(X288:AF288)))</f>
        <v>0</v>
      </c>
      <c r="AI288" s="27" t="n">
        <f aca="false">ROUND(MAX(0,AI287*(1+B$8)-BE288),2)</f>
        <v>0</v>
      </c>
      <c r="AJ288" s="27" t="n">
        <f aca="false">ROUND(MAX(0,AJ287*(1+C$8)-BF288),2)</f>
        <v>0</v>
      </c>
      <c r="AK288" s="27" t="n">
        <f aca="false">ROUND(MAX(0,AK287*(1+D$8)-BG288),2)</f>
        <v>0</v>
      </c>
      <c r="AL288" s="27" t="n">
        <f aca="false">ROUND(MAX(0,AL287*(1+E$8)-BH288),2)</f>
        <v>0</v>
      </c>
      <c r="AM288" s="27" t="n">
        <f aca="false">ROUND(MAX(0,AM287*(1+F$8)-BI288),2)</f>
        <v>0</v>
      </c>
      <c r="AN288" s="27" t="n">
        <f aca="false">ROUND(MAX(0,AN287*(1+G$8)-BJ288),2)</f>
        <v>0</v>
      </c>
      <c r="AO288" s="27" t="n">
        <f aca="false">ROUND(MAX(0,AO287*(1+H$8)-BK288),2)</f>
        <v>0</v>
      </c>
      <c r="AP288" s="27" t="n">
        <f aca="false">ROUND(MAX(0,AP287*(1+I$8)-BL288),2)</f>
        <v>0</v>
      </c>
      <c r="AQ288" s="27" t="n">
        <f aca="false">ROUND(MAX(0,AQ287*(1+J$8)-BM288),2)</f>
        <v>0</v>
      </c>
      <c r="AR288" s="27" t="n">
        <f aca="false">ROUND(MAX(0,AR287*(1+K$8)-BN288),2)</f>
        <v>0</v>
      </c>
      <c r="AS288" s="27" t="n">
        <f aca="false">SUM(AI288:AR288)</f>
        <v>0</v>
      </c>
      <c r="AT288" s="27" t="n">
        <f aca="false">SUMPRODUCT(AI287:AR287,$B$8:$K$8)</f>
        <v>0</v>
      </c>
      <c r="AU288" s="27" t="n">
        <f aca="false">MIN(AI287*(1+B$8),B$9)</f>
        <v>0</v>
      </c>
      <c r="AV288" s="27" t="n">
        <f aca="false">MIN(AJ287*(1+C$8),C$9)</f>
        <v>0</v>
      </c>
      <c r="AW288" s="27" t="n">
        <f aca="false">MIN(AK287*(1+D$8),D$9)</f>
        <v>0</v>
      </c>
      <c r="AX288" s="27" t="n">
        <f aca="false">MIN(AL287*(1+E$8),E$9)</f>
        <v>0</v>
      </c>
      <c r="AY288" s="27" t="n">
        <f aca="false">MIN(AM287*(1+F$8),F$9)</f>
        <v>0</v>
      </c>
      <c r="AZ288" s="27" t="n">
        <f aca="false">MIN(AN287*(1+G$8),G$9)</f>
        <v>0</v>
      </c>
      <c r="BA288" s="27" t="n">
        <f aca="false">MIN(AO287*(1+H$8),H$9)</f>
        <v>0</v>
      </c>
      <c r="BB288" s="27" t="n">
        <f aca="false">MIN(AP287*(1+I$8),I$9)</f>
        <v>0</v>
      </c>
      <c r="BC288" s="27" t="n">
        <f aca="false">MIN(AQ287*(1+J$8),J$9)</f>
        <v>0</v>
      </c>
      <c r="BD288" s="27" t="n">
        <f aca="false">MIN(AR287*(1+K$8),K$9)</f>
        <v>0</v>
      </c>
      <c r="BE288" s="27" t="n">
        <f aca="false">MIN(AI287*(1+B$8),MAX(AU288,$B$12-SUM(AV288:BD288)))</f>
        <v>0</v>
      </c>
      <c r="BF288" s="27" t="n">
        <f aca="false">MIN(AJ287*(1+C$8),MAX(AV288,$B$12-SUM(BE288:BE288)-SUM(AW288:BD288)))</f>
        <v>0</v>
      </c>
      <c r="BG288" s="27" t="n">
        <f aca="false">MIN(AK287*(1+D$8),MAX(AW288,$B$12-SUM(BE288:BF288)-SUM(AX288:BD288)))</f>
        <v>0</v>
      </c>
      <c r="BH288" s="27" t="n">
        <f aca="false">MIN(AL287*(1+E$8),MAX(AX288,$B$12-SUM(BE288:BG288)-SUM(AY288:BD288)))</f>
        <v>0</v>
      </c>
      <c r="BI288" s="27" t="n">
        <f aca="false">MIN(AM287*(1+F$8),MAX(AY288,$B$12-SUM(BE288:BH288)-SUM(AZ288:BD288)))</f>
        <v>0</v>
      </c>
      <c r="BJ288" s="27" t="n">
        <f aca="false">MIN(AN287*(1+G$8),MAX(AZ288,$B$12-SUM(BE288:BI288)-SUM(BA288:BD288)))</f>
        <v>0</v>
      </c>
      <c r="BK288" s="27" t="n">
        <f aca="false">MIN(AO287*(1+H$8),MAX(BA288,$B$12-SUM(BE288:BJ288)-SUM(BB288:BD288)))</f>
        <v>0</v>
      </c>
      <c r="BL288" s="27" t="n">
        <f aca="false">MIN(AP287*(1+I$8),MAX(BB288,$B$12-SUM(BE288:BK288)-SUM(BC288:BD288)))</f>
        <v>0</v>
      </c>
      <c r="BM288" s="27" t="n">
        <f aca="false">MIN(AQ287*(1+J$8),MAX(BC288,$B$12-SUM(BE288:BL288)-SUM(BD288:BD288)))</f>
        <v>0</v>
      </c>
      <c r="BN288" s="27" t="n">
        <f aca="false">MIN(AR287*(1+K$8),MAX(BD288,$B$12-SUM(BE288:BM288)))</f>
        <v>0</v>
      </c>
    </row>
    <row r="289" customFormat="false" ht="15" hidden="false" customHeight="false" outlineLevel="0" collapsed="false">
      <c r="A289" s="0" t="n">
        <v>275</v>
      </c>
      <c r="B289" s="27" t="n">
        <f aca="false">ROUND(MAX(0,B288*(1+B$8)-X289),2)</f>
        <v>0</v>
      </c>
      <c r="C289" s="27" t="n">
        <f aca="false">ROUND(MAX(0,C288*(1+C$8)-Y289),2)</f>
        <v>0</v>
      </c>
      <c r="D289" s="27" t="n">
        <f aca="false">ROUND(MAX(0,D288*(1+D$8)-Z289),2)</f>
        <v>0</v>
      </c>
      <c r="E289" s="27" t="n">
        <f aca="false">ROUND(MAX(0,E288*(1+E$8)-AA289),2)</f>
        <v>0</v>
      </c>
      <c r="F289" s="27" t="n">
        <f aca="false">ROUND(MAX(0,F288*(1+F$8)-AB289),2)</f>
        <v>0</v>
      </c>
      <c r="G289" s="27" t="n">
        <f aca="false">ROUND(MAX(0,G288*(1+G$8)-AC289),2)</f>
        <v>0</v>
      </c>
      <c r="H289" s="27" t="n">
        <f aca="false">ROUND(MAX(0,H288*(1+H$8)-AD289),2)</f>
        <v>0</v>
      </c>
      <c r="I289" s="27" t="n">
        <f aca="false">ROUND(MAX(0,I288*(1+I$8)-AE289),2)</f>
        <v>0</v>
      </c>
      <c r="J289" s="27" t="n">
        <f aca="false">ROUND(MAX(0,J288*(1+J$8)-AF289),2)</f>
        <v>0</v>
      </c>
      <c r="K289" s="27" t="n">
        <f aca="false">ROUND(MAX(0,K288*(1+K$8)-AG289),2)</f>
        <v>0</v>
      </c>
      <c r="L289" s="30" t="n">
        <f aca="false">SUM(B289:K289)</f>
        <v>0</v>
      </c>
      <c r="M289" s="27" t="n">
        <f aca="false">SUMPRODUCT(B288:K288,$B$8:$K$8)</f>
        <v>0</v>
      </c>
      <c r="N289" s="27" t="n">
        <f aca="false">MIN(B288*(1+B$8),B$9)</f>
        <v>0</v>
      </c>
      <c r="O289" s="27" t="n">
        <f aca="false">MIN(C288*(1+C$8),C$9)</f>
        <v>0</v>
      </c>
      <c r="P289" s="27" t="n">
        <f aca="false">MIN(D288*(1+D$8),D$9)</f>
        <v>0</v>
      </c>
      <c r="Q289" s="27" t="n">
        <f aca="false">MIN(E288*(1+E$8),E$9)</f>
        <v>0</v>
      </c>
      <c r="R289" s="27" t="n">
        <f aca="false">MIN(F288*(1+F$8),F$9)</f>
        <v>0</v>
      </c>
      <c r="S289" s="27" t="n">
        <f aca="false">MIN(G288*(1+G$8),G$9)</f>
        <v>0</v>
      </c>
      <c r="T289" s="27" t="n">
        <f aca="false">MIN(H288*(1+H$8),H$9)</f>
        <v>0</v>
      </c>
      <c r="U289" s="27" t="n">
        <f aca="false">MIN(I288*(1+I$8),I$9)</f>
        <v>0</v>
      </c>
      <c r="V289" s="27" t="n">
        <f aca="false">MIN(J288*(1+J$8),J$9)</f>
        <v>0</v>
      </c>
      <c r="W289" s="27" t="n">
        <f aca="false">MIN(K288*(1+K$8),K$9)</f>
        <v>0</v>
      </c>
      <c r="X289" s="27" t="n">
        <f aca="false">MIN(B288*(1+B$8),MAX(N289,$B$11-SUM(O289:W289)))</f>
        <v>0</v>
      </c>
      <c r="Y289" s="27" t="n">
        <f aca="false">MIN(C288*(1+C$8),MAX(O289,$B$11-SUM(X289:X289)-SUM(P289:W289)))</f>
        <v>0</v>
      </c>
      <c r="Z289" s="27" t="n">
        <f aca="false">MIN(D288*(1+D$8),MAX(P289,$B$11-SUM(X289:Y289)-SUM(Q289:W289)))</f>
        <v>0</v>
      </c>
      <c r="AA289" s="27" t="n">
        <f aca="false">MIN(E288*(1+E$8),MAX(Q289,$B$11-SUM(X289:Z289)-SUM(R289:W289)))</f>
        <v>0</v>
      </c>
      <c r="AB289" s="27" t="n">
        <f aca="false">MIN(F288*(1+F$8),MAX(R289,$B$11-SUM(X289:AA289)-SUM(S289:W289)))</f>
        <v>0</v>
      </c>
      <c r="AC289" s="27" t="n">
        <f aca="false">MIN(G288*(1+G$8),MAX(S289,$B$11-SUM(X289:AB289)-SUM(T289:W289)))</f>
        <v>0</v>
      </c>
      <c r="AD289" s="27" t="n">
        <f aca="false">MIN(H288*(1+H$8),MAX(T289,$B$11-SUM(X289:AC289)-SUM(U289:W289)))</f>
        <v>0</v>
      </c>
      <c r="AE289" s="27" t="n">
        <f aca="false">MIN(I288*(1+I$8),MAX(U289,$B$11-SUM(X289:AD289)-SUM(V289:W289)))</f>
        <v>0</v>
      </c>
      <c r="AF289" s="27" t="n">
        <f aca="false">MIN(J288*(1+J$8),MAX(V289,$B$11-SUM(X289:AE289)-SUM(W289:W289)))</f>
        <v>0</v>
      </c>
      <c r="AG289" s="27" t="n">
        <f aca="false">MIN(K288*(1+K$8),MAX(W289,$B$11-SUM(X289:AF289)))</f>
        <v>0</v>
      </c>
      <c r="AI289" s="27" t="n">
        <f aca="false">ROUND(MAX(0,AI288*(1+B$8)-BE289),2)</f>
        <v>0</v>
      </c>
      <c r="AJ289" s="27" t="n">
        <f aca="false">ROUND(MAX(0,AJ288*(1+C$8)-BF289),2)</f>
        <v>0</v>
      </c>
      <c r="AK289" s="27" t="n">
        <f aca="false">ROUND(MAX(0,AK288*(1+D$8)-BG289),2)</f>
        <v>0</v>
      </c>
      <c r="AL289" s="27" t="n">
        <f aca="false">ROUND(MAX(0,AL288*(1+E$8)-BH289),2)</f>
        <v>0</v>
      </c>
      <c r="AM289" s="27" t="n">
        <f aca="false">ROUND(MAX(0,AM288*(1+F$8)-BI289),2)</f>
        <v>0</v>
      </c>
      <c r="AN289" s="27" t="n">
        <f aca="false">ROUND(MAX(0,AN288*(1+G$8)-BJ289),2)</f>
        <v>0</v>
      </c>
      <c r="AO289" s="27" t="n">
        <f aca="false">ROUND(MAX(0,AO288*(1+H$8)-BK289),2)</f>
        <v>0</v>
      </c>
      <c r="AP289" s="27" t="n">
        <f aca="false">ROUND(MAX(0,AP288*(1+I$8)-BL289),2)</f>
        <v>0</v>
      </c>
      <c r="AQ289" s="27" t="n">
        <f aca="false">ROUND(MAX(0,AQ288*(1+J$8)-BM289),2)</f>
        <v>0</v>
      </c>
      <c r="AR289" s="27" t="n">
        <f aca="false">ROUND(MAX(0,AR288*(1+K$8)-BN289),2)</f>
        <v>0</v>
      </c>
      <c r="AS289" s="27" t="n">
        <f aca="false">SUM(AI289:AR289)</f>
        <v>0</v>
      </c>
      <c r="AT289" s="27" t="n">
        <f aca="false">SUMPRODUCT(AI288:AR288,$B$8:$K$8)</f>
        <v>0</v>
      </c>
      <c r="AU289" s="27" t="n">
        <f aca="false">MIN(AI288*(1+B$8),B$9)</f>
        <v>0</v>
      </c>
      <c r="AV289" s="27" t="n">
        <f aca="false">MIN(AJ288*(1+C$8),C$9)</f>
        <v>0</v>
      </c>
      <c r="AW289" s="27" t="n">
        <f aca="false">MIN(AK288*(1+D$8),D$9)</f>
        <v>0</v>
      </c>
      <c r="AX289" s="27" t="n">
        <f aca="false">MIN(AL288*(1+E$8),E$9)</f>
        <v>0</v>
      </c>
      <c r="AY289" s="27" t="n">
        <f aca="false">MIN(AM288*(1+F$8),F$9)</f>
        <v>0</v>
      </c>
      <c r="AZ289" s="27" t="n">
        <f aca="false">MIN(AN288*(1+G$8),G$9)</f>
        <v>0</v>
      </c>
      <c r="BA289" s="27" t="n">
        <f aca="false">MIN(AO288*(1+H$8),H$9)</f>
        <v>0</v>
      </c>
      <c r="BB289" s="27" t="n">
        <f aca="false">MIN(AP288*(1+I$8),I$9)</f>
        <v>0</v>
      </c>
      <c r="BC289" s="27" t="n">
        <f aca="false">MIN(AQ288*(1+J$8),J$9)</f>
        <v>0</v>
      </c>
      <c r="BD289" s="27" t="n">
        <f aca="false">MIN(AR288*(1+K$8),K$9)</f>
        <v>0</v>
      </c>
      <c r="BE289" s="27" t="n">
        <f aca="false">MIN(AI288*(1+B$8),MAX(AU289,$B$12-SUM(AV289:BD289)))</f>
        <v>0</v>
      </c>
      <c r="BF289" s="27" t="n">
        <f aca="false">MIN(AJ288*(1+C$8),MAX(AV289,$B$12-SUM(BE289:BE289)-SUM(AW289:BD289)))</f>
        <v>0</v>
      </c>
      <c r="BG289" s="27" t="n">
        <f aca="false">MIN(AK288*(1+D$8),MAX(AW289,$B$12-SUM(BE289:BF289)-SUM(AX289:BD289)))</f>
        <v>0</v>
      </c>
      <c r="BH289" s="27" t="n">
        <f aca="false">MIN(AL288*(1+E$8),MAX(AX289,$B$12-SUM(BE289:BG289)-SUM(AY289:BD289)))</f>
        <v>0</v>
      </c>
      <c r="BI289" s="27" t="n">
        <f aca="false">MIN(AM288*(1+F$8),MAX(AY289,$B$12-SUM(BE289:BH289)-SUM(AZ289:BD289)))</f>
        <v>0</v>
      </c>
      <c r="BJ289" s="27" t="n">
        <f aca="false">MIN(AN288*(1+G$8),MAX(AZ289,$B$12-SUM(BE289:BI289)-SUM(BA289:BD289)))</f>
        <v>0</v>
      </c>
      <c r="BK289" s="27" t="n">
        <f aca="false">MIN(AO288*(1+H$8),MAX(BA289,$B$12-SUM(BE289:BJ289)-SUM(BB289:BD289)))</f>
        <v>0</v>
      </c>
      <c r="BL289" s="27" t="n">
        <f aca="false">MIN(AP288*(1+I$8),MAX(BB289,$B$12-SUM(BE289:BK289)-SUM(BC289:BD289)))</f>
        <v>0</v>
      </c>
      <c r="BM289" s="27" t="n">
        <f aca="false">MIN(AQ288*(1+J$8),MAX(BC289,$B$12-SUM(BE289:BL289)-SUM(BD289:BD289)))</f>
        <v>0</v>
      </c>
      <c r="BN289" s="27" t="n">
        <f aca="false">MIN(AR288*(1+K$8),MAX(BD289,$B$12-SUM(BE289:BM289)))</f>
        <v>0</v>
      </c>
    </row>
    <row r="290" customFormat="false" ht="15" hidden="false" customHeight="false" outlineLevel="0" collapsed="false">
      <c r="A290" s="0" t="n">
        <v>276</v>
      </c>
      <c r="B290" s="27" t="n">
        <f aca="false">ROUND(MAX(0,B289*(1+B$8)-X290),2)</f>
        <v>0</v>
      </c>
      <c r="C290" s="27" t="n">
        <f aca="false">ROUND(MAX(0,C289*(1+C$8)-Y290),2)</f>
        <v>0</v>
      </c>
      <c r="D290" s="27" t="n">
        <f aca="false">ROUND(MAX(0,D289*(1+D$8)-Z290),2)</f>
        <v>0</v>
      </c>
      <c r="E290" s="27" t="n">
        <f aca="false">ROUND(MAX(0,E289*(1+E$8)-AA290),2)</f>
        <v>0</v>
      </c>
      <c r="F290" s="27" t="n">
        <f aca="false">ROUND(MAX(0,F289*(1+F$8)-AB290),2)</f>
        <v>0</v>
      </c>
      <c r="G290" s="27" t="n">
        <f aca="false">ROUND(MAX(0,G289*(1+G$8)-AC290),2)</f>
        <v>0</v>
      </c>
      <c r="H290" s="27" t="n">
        <f aca="false">ROUND(MAX(0,H289*(1+H$8)-AD290),2)</f>
        <v>0</v>
      </c>
      <c r="I290" s="27" t="n">
        <f aca="false">ROUND(MAX(0,I289*(1+I$8)-AE290),2)</f>
        <v>0</v>
      </c>
      <c r="J290" s="27" t="n">
        <f aca="false">ROUND(MAX(0,J289*(1+J$8)-AF290),2)</f>
        <v>0</v>
      </c>
      <c r="K290" s="27" t="n">
        <f aca="false">ROUND(MAX(0,K289*(1+K$8)-AG290),2)</f>
        <v>0</v>
      </c>
      <c r="L290" s="30" t="n">
        <f aca="false">SUM(B290:K290)</f>
        <v>0</v>
      </c>
      <c r="M290" s="27" t="n">
        <f aca="false">SUMPRODUCT(B289:K289,$B$8:$K$8)</f>
        <v>0</v>
      </c>
      <c r="N290" s="27" t="n">
        <f aca="false">MIN(B289*(1+B$8),B$9)</f>
        <v>0</v>
      </c>
      <c r="O290" s="27" t="n">
        <f aca="false">MIN(C289*(1+C$8),C$9)</f>
        <v>0</v>
      </c>
      <c r="P290" s="27" t="n">
        <f aca="false">MIN(D289*(1+D$8),D$9)</f>
        <v>0</v>
      </c>
      <c r="Q290" s="27" t="n">
        <f aca="false">MIN(E289*(1+E$8),E$9)</f>
        <v>0</v>
      </c>
      <c r="R290" s="27" t="n">
        <f aca="false">MIN(F289*(1+F$8),F$9)</f>
        <v>0</v>
      </c>
      <c r="S290" s="27" t="n">
        <f aca="false">MIN(G289*(1+G$8),G$9)</f>
        <v>0</v>
      </c>
      <c r="T290" s="27" t="n">
        <f aca="false">MIN(H289*(1+H$8),H$9)</f>
        <v>0</v>
      </c>
      <c r="U290" s="27" t="n">
        <f aca="false">MIN(I289*(1+I$8),I$9)</f>
        <v>0</v>
      </c>
      <c r="V290" s="27" t="n">
        <f aca="false">MIN(J289*(1+J$8),J$9)</f>
        <v>0</v>
      </c>
      <c r="W290" s="27" t="n">
        <f aca="false">MIN(K289*(1+K$8),K$9)</f>
        <v>0</v>
      </c>
      <c r="X290" s="27" t="n">
        <f aca="false">MIN(B289*(1+B$8),MAX(N290,$B$11-SUM(O290:W290)))</f>
        <v>0</v>
      </c>
      <c r="Y290" s="27" t="n">
        <f aca="false">MIN(C289*(1+C$8),MAX(O290,$B$11-SUM(X290:X290)-SUM(P290:W290)))</f>
        <v>0</v>
      </c>
      <c r="Z290" s="27" t="n">
        <f aca="false">MIN(D289*(1+D$8),MAX(P290,$B$11-SUM(X290:Y290)-SUM(Q290:W290)))</f>
        <v>0</v>
      </c>
      <c r="AA290" s="27" t="n">
        <f aca="false">MIN(E289*(1+E$8),MAX(Q290,$B$11-SUM(X290:Z290)-SUM(R290:W290)))</f>
        <v>0</v>
      </c>
      <c r="AB290" s="27" t="n">
        <f aca="false">MIN(F289*(1+F$8),MAX(R290,$B$11-SUM(X290:AA290)-SUM(S290:W290)))</f>
        <v>0</v>
      </c>
      <c r="AC290" s="27" t="n">
        <f aca="false">MIN(G289*(1+G$8),MAX(S290,$B$11-SUM(X290:AB290)-SUM(T290:W290)))</f>
        <v>0</v>
      </c>
      <c r="AD290" s="27" t="n">
        <f aca="false">MIN(H289*(1+H$8),MAX(T290,$B$11-SUM(X290:AC290)-SUM(U290:W290)))</f>
        <v>0</v>
      </c>
      <c r="AE290" s="27" t="n">
        <f aca="false">MIN(I289*(1+I$8),MAX(U290,$B$11-SUM(X290:AD290)-SUM(V290:W290)))</f>
        <v>0</v>
      </c>
      <c r="AF290" s="27" t="n">
        <f aca="false">MIN(J289*(1+J$8),MAX(V290,$B$11-SUM(X290:AE290)-SUM(W290:W290)))</f>
        <v>0</v>
      </c>
      <c r="AG290" s="27" t="n">
        <f aca="false">MIN(K289*(1+K$8),MAX(W290,$B$11-SUM(X290:AF290)))</f>
        <v>0</v>
      </c>
      <c r="AI290" s="27" t="n">
        <f aca="false">ROUND(MAX(0,AI289*(1+B$8)-BE290),2)</f>
        <v>0</v>
      </c>
      <c r="AJ290" s="27" t="n">
        <f aca="false">ROUND(MAX(0,AJ289*(1+C$8)-BF290),2)</f>
        <v>0</v>
      </c>
      <c r="AK290" s="27" t="n">
        <f aca="false">ROUND(MAX(0,AK289*(1+D$8)-BG290),2)</f>
        <v>0</v>
      </c>
      <c r="AL290" s="27" t="n">
        <f aca="false">ROUND(MAX(0,AL289*(1+E$8)-BH290),2)</f>
        <v>0</v>
      </c>
      <c r="AM290" s="27" t="n">
        <f aca="false">ROUND(MAX(0,AM289*(1+F$8)-BI290),2)</f>
        <v>0</v>
      </c>
      <c r="AN290" s="27" t="n">
        <f aca="false">ROUND(MAX(0,AN289*(1+G$8)-BJ290),2)</f>
        <v>0</v>
      </c>
      <c r="AO290" s="27" t="n">
        <f aca="false">ROUND(MAX(0,AO289*(1+H$8)-BK290),2)</f>
        <v>0</v>
      </c>
      <c r="AP290" s="27" t="n">
        <f aca="false">ROUND(MAX(0,AP289*(1+I$8)-BL290),2)</f>
        <v>0</v>
      </c>
      <c r="AQ290" s="27" t="n">
        <f aca="false">ROUND(MAX(0,AQ289*(1+J$8)-BM290),2)</f>
        <v>0</v>
      </c>
      <c r="AR290" s="27" t="n">
        <f aca="false">ROUND(MAX(0,AR289*(1+K$8)-BN290),2)</f>
        <v>0</v>
      </c>
      <c r="AS290" s="27" t="n">
        <f aca="false">SUM(AI290:AR290)</f>
        <v>0</v>
      </c>
      <c r="AT290" s="27" t="n">
        <f aca="false">SUMPRODUCT(AI289:AR289,$B$8:$K$8)</f>
        <v>0</v>
      </c>
      <c r="AU290" s="27" t="n">
        <f aca="false">MIN(AI289*(1+B$8),B$9)</f>
        <v>0</v>
      </c>
      <c r="AV290" s="27" t="n">
        <f aca="false">MIN(AJ289*(1+C$8),C$9)</f>
        <v>0</v>
      </c>
      <c r="AW290" s="27" t="n">
        <f aca="false">MIN(AK289*(1+D$8),D$9)</f>
        <v>0</v>
      </c>
      <c r="AX290" s="27" t="n">
        <f aca="false">MIN(AL289*(1+E$8),E$9)</f>
        <v>0</v>
      </c>
      <c r="AY290" s="27" t="n">
        <f aca="false">MIN(AM289*(1+F$8),F$9)</f>
        <v>0</v>
      </c>
      <c r="AZ290" s="27" t="n">
        <f aca="false">MIN(AN289*(1+G$8),G$9)</f>
        <v>0</v>
      </c>
      <c r="BA290" s="27" t="n">
        <f aca="false">MIN(AO289*(1+H$8),H$9)</f>
        <v>0</v>
      </c>
      <c r="BB290" s="27" t="n">
        <f aca="false">MIN(AP289*(1+I$8),I$9)</f>
        <v>0</v>
      </c>
      <c r="BC290" s="27" t="n">
        <f aca="false">MIN(AQ289*(1+J$8),J$9)</f>
        <v>0</v>
      </c>
      <c r="BD290" s="27" t="n">
        <f aca="false">MIN(AR289*(1+K$8),K$9)</f>
        <v>0</v>
      </c>
      <c r="BE290" s="27" t="n">
        <f aca="false">MIN(AI289*(1+B$8),MAX(AU290,$B$12-SUM(AV290:BD290)))</f>
        <v>0</v>
      </c>
      <c r="BF290" s="27" t="n">
        <f aca="false">MIN(AJ289*(1+C$8),MAX(AV290,$B$12-SUM(BE290:BE290)-SUM(AW290:BD290)))</f>
        <v>0</v>
      </c>
      <c r="BG290" s="27" t="n">
        <f aca="false">MIN(AK289*(1+D$8),MAX(AW290,$B$12-SUM(BE290:BF290)-SUM(AX290:BD290)))</f>
        <v>0</v>
      </c>
      <c r="BH290" s="27" t="n">
        <f aca="false">MIN(AL289*(1+E$8),MAX(AX290,$B$12-SUM(BE290:BG290)-SUM(AY290:BD290)))</f>
        <v>0</v>
      </c>
      <c r="BI290" s="27" t="n">
        <f aca="false">MIN(AM289*(1+F$8),MAX(AY290,$B$12-SUM(BE290:BH290)-SUM(AZ290:BD290)))</f>
        <v>0</v>
      </c>
      <c r="BJ290" s="27" t="n">
        <f aca="false">MIN(AN289*(1+G$8),MAX(AZ290,$B$12-SUM(BE290:BI290)-SUM(BA290:BD290)))</f>
        <v>0</v>
      </c>
      <c r="BK290" s="27" t="n">
        <f aca="false">MIN(AO289*(1+H$8),MAX(BA290,$B$12-SUM(BE290:BJ290)-SUM(BB290:BD290)))</f>
        <v>0</v>
      </c>
      <c r="BL290" s="27" t="n">
        <f aca="false">MIN(AP289*(1+I$8),MAX(BB290,$B$12-SUM(BE290:BK290)-SUM(BC290:BD290)))</f>
        <v>0</v>
      </c>
      <c r="BM290" s="27" t="n">
        <f aca="false">MIN(AQ289*(1+J$8),MAX(BC290,$B$12-SUM(BE290:BL290)-SUM(BD290:BD290)))</f>
        <v>0</v>
      </c>
      <c r="BN290" s="27" t="n">
        <f aca="false">MIN(AR289*(1+K$8),MAX(BD290,$B$12-SUM(BE290:BM290)))</f>
        <v>0</v>
      </c>
    </row>
    <row r="291" customFormat="false" ht="15" hidden="false" customHeight="false" outlineLevel="0" collapsed="false">
      <c r="A291" s="0" t="n">
        <v>277</v>
      </c>
      <c r="B291" s="27" t="n">
        <f aca="false">ROUND(MAX(0,B290*(1+B$8)-X291),2)</f>
        <v>0</v>
      </c>
      <c r="C291" s="27" t="n">
        <f aca="false">ROUND(MAX(0,C290*(1+C$8)-Y291),2)</f>
        <v>0</v>
      </c>
      <c r="D291" s="27" t="n">
        <f aca="false">ROUND(MAX(0,D290*(1+D$8)-Z291),2)</f>
        <v>0</v>
      </c>
      <c r="E291" s="27" t="n">
        <f aca="false">ROUND(MAX(0,E290*(1+E$8)-AA291),2)</f>
        <v>0</v>
      </c>
      <c r="F291" s="27" t="n">
        <f aca="false">ROUND(MAX(0,F290*(1+F$8)-AB291),2)</f>
        <v>0</v>
      </c>
      <c r="G291" s="27" t="n">
        <f aca="false">ROUND(MAX(0,G290*(1+G$8)-AC291),2)</f>
        <v>0</v>
      </c>
      <c r="H291" s="27" t="n">
        <f aca="false">ROUND(MAX(0,H290*(1+H$8)-AD291),2)</f>
        <v>0</v>
      </c>
      <c r="I291" s="27" t="n">
        <f aca="false">ROUND(MAX(0,I290*(1+I$8)-AE291),2)</f>
        <v>0</v>
      </c>
      <c r="J291" s="27" t="n">
        <f aca="false">ROUND(MAX(0,J290*(1+J$8)-AF291),2)</f>
        <v>0</v>
      </c>
      <c r="K291" s="27" t="n">
        <f aca="false">ROUND(MAX(0,K290*(1+K$8)-AG291),2)</f>
        <v>0</v>
      </c>
      <c r="L291" s="30" t="n">
        <f aca="false">SUM(B291:K291)</f>
        <v>0</v>
      </c>
      <c r="M291" s="27" t="n">
        <f aca="false">SUMPRODUCT(B290:K290,$B$8:$K$8)</f>
        <v>0</v>
      </c>
      <c r="N291" s="27" t="n">
        <f aca="false">MIN(B290*(1+B$8),B$9)</f>
        <v>0</v>
      </c>
      <c r="O291" s="27" t="n">
        <f aca="false">MIN(C290*(1+C$8),C$9)</f>
        <v>0</v>
      </c>
      <c r="P291" s="27" t="n">
        <f aca="false">MIN(D290*(1+D$8),D$9)</f>
        <v>0</v>
      </c>
      <c r="Q291" s="27" t="n">
        <f aca="false">MIN(E290*(1+E$8),E$9)</f>
        <v>0</v>
      </c>
      <c r="R291" s="27" t="n">
        <f aca="false">MIN(F290*(1+F$8),F$9)</f>
        <v>0</v>
      </c>
      <c r="S291" s="27" t="n">
        <f aca="false">MIN(G290*(1+G$8),G$9)</f>
        <v>0</v>
      </c>
      <c r="T291" s="27" t="n">
        <f aca="false">MIN(H290*(1+H$8),H$9)</f>
        <v>0</v>
      </c>
      <c r="U291" s="27" t="n">
        <f aca="false">MIN(I290*(1+I$8),I$9)</f>
        <v>0</v>
      </c>
      <c r="V291" s="27" t="n">
        <f aca="false">MIN(J290*(1+J$8),J$9)</f>
        <v>0</v>
      </c>
      <c r="W291" s="27" t="n">
        <f aca="false">MIN(K290*(1+K$8),K$9)</f>
        <v>0</v>
      </c>
      <c r="X291" s="27" t="n">
        <f aca="false">MIN(B290*(1+B$8),MAX(N291,$B$11-SUM(O291:W291)))</f>
        <v>0</v>
      </c>
      <c r="Y291" s="27" t="n">
        <f aca="false">MIN(C290*(1+C$8),MAX(O291,$B$11-SUM(X291:X291)-SUM(P291:W291)))</f>
        <v>0</v>
      </c>
      <c r="Z291" s="27" t="n">
        <f aca="false">MIN(D290*(1+D$8),MAX(P291,$B$11-SUM(X291:Y291)-SUM(Q291:W291)))</f>
        <v>0</v>
      </c>
      <c r="AA291" s="27" t="n">
        <f aca="false">MIN(E290*(1+E$8),MAX(Q291,$B$11-SUM(X291:Z291)-SUM(R291:W291)))</f>
        <v>0</v>
      </c>
      <c r="AB291" s="27" t="n">
        <f aca="false">MIN(F290*(1+F$8),MAX(R291,$B$11-SUM(X291:AA291)-SUM(S291:W291)))</f>
        <v>0</v>
      </c>
      <c r="AC291" s="27" t="n">
        <f aca="false">MIN(G290*(1+G$8),MAX(S291,$B$11-SUM(X291:AB291)-SUM(T291:W291)))</f>
        <v>0</v>
      </c>
      <c r="AD291" s="27" t="n">
        <f aca="false">MIN(H290*(1+H$8),MAX(T291,$B$11-SUM(X291:AC291)-SUM(U291:W291)))</f>
        <v>0</v>
      </c>
      <c r="AE291" s="27" t="n">
        <f aca="false">MIN(I290*(1+I$8),MAX(U291,$B$11-SUM(X291:AD291)-SUM(V291:W291)))</f>
        <v>0</v>
      </c>
      <c r="AF291" s="27" t="n">
        <f aca="false">MIN(J290*(1+J$8),MAX(V291,$B$11-SUM(X291:AE291)-SUM(W291:W291)))</f>
        <v>0</v>
      </c>
      <c r="AG291" s="27" t="n">
        <f aca="false">MIN(K290*(1+K$8),MAX(W291,$B$11-SUM(X291:AF291)))</f>
        <v>0</v>
      </c>
      <c r="AI291" s="27" t="n">
        <f aca="false">ROUND(MAX(0,AI290*(1+B$8)-BE291),2)</f>
        <v>0</v>
      </c>
      <c r="AJ291" s="27" t="n">
        <f aca="false">ROUND(MAX(0,AJ290*(1+C$8)-BF291),2)</f>
        <v>0</v>
      </c>
      <c r="AK291" s="27" t="n">
        <f aca="false">ROUND(MAX(0,AK290*(1+D$8)-BG291),2)</f>
        <v>0</v>
      </c>
      <c r="AL291" s="27" t="n">
        <f aca="false">ROUND(MAX(0,AL290*(1+E$8)-BH291),2)</f>
        <v>0</v>
      </c>
      <c r="AM291" s="27" t="n">
        <f aca="false">ROUND(MAX(0,AM290*(1+F$8)-BI291),2)</f>
        <v>0</v>
      </c>
      <c r="AN291" s="27" t="n">
        <f aca="false">ROUND(MAX(0,AN290*(1+G$8)-BJ291),2)</f>
        <v>0</v>
      </c>
      <c r="AO291" s="27" t="n">
        <f aca="false">ROUND(MAX(0,AO290*(1+H$8)-BK291),2)</f>
        <v>0</v>
      </c>
      <c r="AP291" s="27" t="n">
        <f aca="false">ROUND(MAX(0,AP290*(1+I$8)-BL291),2)</f>
        <v>0</v>
      </c>
      <c r="AQ291" s="27" t="n">
        <f aca="false">ROUND(MAX(0,AQ290*(1+J$8)-BM291),2)</f>
        <v>0</v>
      </c>
      <c r="AR291" s="27" t="n">
        <f aca="false">ROUND(MAX(0,AR290*(1+K$8)-BN291),2)</f>
        <v>0</v>
      </c>
      <c r="AS291" s="27" t="n">
        <f aca="false">SUM(AI291:AR291)</f>
        <v>0</v>
      </c>
      <c r="AT291" s="27" t="n">
        <f aca="false">SUMPRODUCT(AI290:AR290,$B$8:$K$8)</f>
        <v>0</v>
      </c>
      <c r="AU291" s="27" t="n">
        <f aca="false">MIN(AI290*(1+B$8),B$9)</f>
        <v>0</v>
      </c>
      <c r="AV291" s="27" t="n">
        <f aca="false">MIN(AJ290*(1+C$8),C$9)</f>
        <v>0</v>
      </c>
      <c r="AW291" s="27" t="n">
        <f aca="false">MIN(AK290*(1+D$8),D$9)</f>
        <v>0</v>
      </c>
      <c r="AX291" s="27" t="n">
        <f aca="false">MIN(AL290*(1+E$8),E$9)</f>
        <v>0</v>
      </c>
      <c r="AY291" s="27" t="n">
        <f aca="false">MIN(AM290*(1+F$8),F$9)</f>
        <v>0</v>
      </c>
      <c r="AZ291" s="27" t="n">
        <f aca="false">MIN(AN290*(1+G$8),G$9)</f>
        <v>0</v>
      </c>
      <c r="BA291" s="27" t="n">
        <f aca="false">MIN(AO290*(1+H$8),H$9)</f>
        <v>0</v>
      </c>
      <c r="BB291" s="27" t="n">
        <f aca="false">MIN(AP290*(1+I$8),I$9)</f>
        <v>0</v>
      </c>
      <c r="BC291" s="27" t="n">
        <f aca="false">MIN(AQ290*(1+J$8),J$9)</f>
        <v>0</v>
      </c>
      <c r="BD291" s="27" t="n">
        <f aca="false">MIN(AR290*(1+K$8),K$9)</f>
        <v>0</v>
      </c>
      <c r="BE291" s="27" t="n">
        <f aca="false">MIN(AI290*(1+B$8),MAX(AU291,$B$12-SUM(AV291:BD291)))</f>
        <v>0</v>
      </c>
      <c r="BF291" s="27" t="n">
        <f aca="false">MIN(AJ290*(1+C$8),MAX(AV291,$B$12-SUM(BE291:BE291)-SUM(AW291:BD291)))</f>
        <v>0</v>
      </c>
      <c r="BG291" s="27" t="n">
        <f aca="false">MIN(AK290*(1+D$8),MAX(AW291,$B$12-SUM(BE291:BF291)-SUM(AX291:BD291)))</f>
        <v>0</v>
      </c>
      <c r="BH291" s="27" t="n">
        <f aca="false">MIN(AL290*(1+E$8),MAX(AX291,$B$12-SUM(BE291:BG291)-SUM(AY291:BD291)))</f>
        <v>0</v>
      </c>
      <c r="BI291" s="27" t="n">
        <f aca="false">MIN(AM290*(1+F$8),MAX(AY291,$B$12-SUM(BE291:BH291)-SUM(AZ291:BD291)))</f>
        <v>0</v>
      </c>
      <c r="BJ291" s="27" t="n">
        <f aca="false">MIN(AN290*(1+G$8),MAX(AZ291,$B$12-SUM(BE291:BI291)-SUM(BA291:BD291)))</f>
        <v>0</v>
      </c>
      <c r="BK291" s="27" t="n">
        <f aca="false">MIN(AO290*(1+H$8),MAX(BA291,$B$12-SUM(BE291:BJ291)-SUM(BB291:BD291)))</f>
        <v>0</v>
      </c>
      <c r="BL291" s="27" t="n">
        <f aca="false">MIN(AP290*(1+I$8),MAX(BB291,$B$12-SUM(BE291:BK291)-SUM(BC291:BD291)))</f>
        <v>0</v>
      </c>
      <c r="BM291" s="27" t="n">
        <f aca="false">MIN(AQ290*(1+J$8),MAX(BC291,$B$12-SUM(BE291:BL291)-SUM(BD291:BD291)))</f>
        <v>0</v>
      </c>
      <c r="BN291" s="27" t="n">
        <f aca="false">MIN(AR290*(1+K$8),MAX(BD291,$B$12-SUM(BE291:BM291)))</f>
        <v>0</v>
      </c>
    </row>
    <row r="292" customFormat="false" ht="15" hidden="false" customHeight="false" outlineLevel="0" collapsed="false">
      <c r="A292" s="0" t="n">
        <v>278</v>
      </c>
      <c r="B292" s="27" t="n">
        <f aca="false">ROUND(MAX(0,B291*(1+B$8)-X292),2)</f>
        <v>0</v>
      </c>
      <c r="C292" s="27" t="n">
        <f aca="false">ROUND(MAX(0,C291*(1+C$8)-Y292),2)</f>
        <v>0</v>
      </c>
      <c r="D292" s="27" t="n">
        <f aca="false">ROUND(MAX(0,D291*(1+D$8)-Z292),2)</f>
        <v>0</v>
      </c>
      <c r="E292" s="27" t="n">
        <f aca="false">ROUND(MAX(0,E291*(1+E$8)-AA292),2)</f>
        <v>0</v>
      </c>
      <c r="F292" s="27" t="n">
        <f aca="false">ROUND(MAX(0,F291*(1+F$8)-AB292),2)</f>
        <v>0</v>
      </c>
      <c r="G292" s="27" t="n">
        <f aca="false">ROUND(MAX(0,G291*(1+G$8)-AC292),2)</f>
        <v>0</v>
      </c>
      <c r="H292" s="27" t="n">
        <f aca="false">ROUND(MAX(0,H291*(1+H$8)-AD292),2)</f>
        <v>0</v>
      </c>
      <c r="I292" s="27" t="n">
        <f aca="false">ROUND(MAX(0,I291*(1+I$8)-AE292),2)</f>
        <v>0</v>
      </c>
      <c r="J292" s="27" t="n">
        <f aca="false">ROUND(MAX(0,J291*(1+J$8)-AF292),2)</f>
        <v>0</v>
      </c>
      <c r="K292" s="27" t="n">
        <f aca="false">ROUND(MAX(0,K291*(1+K$8)-AG292),2)</f>
        <v>0</v>
      </c>
      <c r="L292" s="30" t="n">
        <f aca="false">SUM(B292:K292)</f>
        <v>0</v>
      </c>
      <c r="M292" s="27" t="n">
        <f aca="false">SUMPRODUCT(B291:K291,$B$8:$K$8)</f>
        <v>0</v>
      </c>
      <c r="N292" s="27" t="n">
        <f aca="false">MIN(B291*(1+B$8),B$9)</f>
        <v>0</v>
      </c>
      <c r="O292" s="27" t="n">
        <f aca="false">MIN(C291*(1+C$8),C$9)</f>
        <v>0</v>
      </c>
      <c r="P292" s="27" t="n">
        <f aca="false">MIN(D291*(1+D$8),D$9)</f>
        <v>0</v>
      </c>
      <c r="Q292" s="27" t="n">
        <f aca="false">MIN(E291*(1+E$8),E$9)</f>
        <v>0</v>
      </c>
      <c r="R292" s="27" t="n">
        <f aca="false">MIN(F291*(1+F$8),F$9)</f>
        <v>0</v>
      </c>
      <c r="S292" s="27" t="n">
        <f aca="false">MIN(G291*(1+G$8),G$9)</f>
        <v>0</v>
      </c>
      <c r="T292" s="27" t="n">
        <f aca="false">MIN(H291*(1+H$8),H$9)</f>
        <v>0</v>
      </c>
      <c r="U292" s="27" t="n">
        <f aca="false">MIN(I291*(1+I$8),I$9)</f>
        <v>0</v>
      </c>
      <c r="V292" s="27" t="n">
        <f aca="false">MIN(J291*(1+J$8),J$9)</f>
        <v>0</v>
      </c>
      <c r="W292" s="27" t="n">
        <f aca="false">MIN(K291*(1+K$8),K$9)</f>
        <v>0</v>
      </c>
      <c r="X292" s="27" t="n">
        <f aca="false">MIN(B291*(1+B$8),MAX(N292,$B$11-SUM(O292:W292)))</f>
        <v>0</v>
      </c>
      <c r="Y292" s="27" t="n">
        <f aca="false">MIN(C291*(1+C$8),MAX(O292,$B$11-SUM(X292:X292)-SUM(P292:W292)))</f>
        <v>0</v>
      </c>
      <c r="Z292" s="27" t="n">
        <f aca="false">MIN(D291*(1+D$8),MAX(P292,$B$11-SUM(X292:Y292)-SUM(Q292:W292)))</f>
        <v>0</v>
      </c>
      <c r="AA292" s="27" t="n">
        <f aca="false">MIN(E291*(1+E$8),MAX(Q292,$B$11-SUM(X292:Z292)-SUM(R292:W292)))</f>
        <v>0</v>
      </c>
      <c r="AB292" s="27" t="n">
        <f aca="false">MIN(F291*(1+F$8),MAX(R292,$B$11-SUM(X292:AA292)-SUM(S292:W292)))</f>
        <v>0</v>
      </c>
      <c r="AC292" s="27" t="n">
        <f aca="false">MIN(G291*(1+G$8),MAX(S292,$B$11-SUM(X292:AB292)-SUM(T292:W292)))</f>
        <v>0</v>
      </c>
      <c r="AD292" s="27" t="n">
        <f aca="false">MIN(H291*(1+H$8),MAX(T292,$B$11-SUM(X292:AC292)-SUM(U292:W292)))</f>
        <v>0</v>
      </c>
      <c r="AE292" s="27" t="n">
        <f aca="false">MIN(I291*(1+I$8),MAX(U292,$B$11-SUM(X292:AD292)-SUM(V292:W292)))</f>
        <v>0</v>
      </c>
      <c r="AF292" s="27" t="n">
        <f aca="false">MIN(J291*(1+J$8),MAX(V292,$B$11-SUM(X292:AE292)-SUM(W292:W292)))</f>
        <v>0</v>
      </c>
      <c r="AG292" s="27" t="n">
        <f aca="false">MIN(K291*(1+K$8),MAX(W292,$B$11-SUM(X292:AF292)))</f>
        <v>0</v>
      </c>
      <c r="AI292" s="27" t="n">
        <f aca="false">ROUND(MAX(0,AI291*(1+B$8)-BE292),2)</f>
        <v>0</v>
      </c>
      <c r="AJ292" s="27" t="n">
        <f aca="false">ROUND(MAX(0,AJ291*(1+C$8)-BF292),2)</f>
        <v>0</v>
      </c>
      <c r="AK292" s="27" t="n">
        <f aca="false">ROUND(MAX(0,AK291*(1+D$8)-BG292),2)</f>
        <v>0</v>
      </c>
      <c r="AL292" s="27" t="n">
        <f aca="false">ROUND(MAX(0,AL291*(1+E$8)-BH292),2)</f>
        <v>0</v>
      </c>
      <c r="AM292" s="27" t="n">
        <f aca="false">ROUND(MAX(0,AM291*(1+F$8)-BI292),2)</f>
        <v>0</v>
      </c>
      <c r="AN292" s="27" t="n">
        <f aca="false">ROUND(MAX(0,AN291*(1+G$8)-BJ292),2)</f>
        <v>0</v>
      </c>
      <c r="AO292" s="27" t="n">
        <f aca="false">ROUND(MAX(0,AO291*(1+H$8)-BK292),2)</f>
        <v>0</v>
      </c>
      <c r="AP292" s="27" t="n">
        <f aca="false">ROUND(MAX(0,AP291*(1+I$8)-BL292),2)</f>
        <v>0</v>
      </c>
      <c r="AQ292" s="27" t="n">
        <f aca="false">ROUND(MAX(0,AQ291*(1+J$8)-BM292),2)</f>
        <v>0</v>
      </c>
      <c r="AR292" s="27" t="n">
        <f aca="false">ROUND(MAX(0,AR291*(1+K$8)-BN292),2)</f>
        <v>0</v>
      </c>
      <c r="AS292" s="27" t="n">
        <f aca="false">SUM(AI292:AR292)</f>
        <v>0</v>
      </c>
      <c r="AT292" s="27" t="n">
        <f aca="false">SUMPRODUCT(AI291:AR291,$B$8:$K$8)</f>
        <v>0</v>
      </c>
      <c r="AU292" s="27" t="n">
        <f aca="false">MIN(AI291*(1+B$8),B$9)</f>
        <v>0</v>
      </c>
      <c r="AV292" s="27" t="n">
        <f aca="false">MIN(AJ291*(1+C$8),C$9)</f>
        <v>0</v>
      </c>
      <c r="AW292" s="27" t="n">
        <f aca="false">MIN(AK291*(1+D$8),D$9)</f>
        <v>0</v>
      </c>
      <c r="AX292" s="27" t="n">
        <f aca="false">MIN(AL291*(1+E$8),E$9)</f>
        <v>0</v>
      </c>
      <c r="AY292" s="27" t="n">
        <f aca="false">MIN(AM291*(1+F$8),F$9)</f>
        <v>0</v>
      </c>
      <c r="AZ292" s="27" t="n">
        <f aca="false">MIN(AN291*(1+G$8),G$9)</f>
        <v>0</v>
      </c>
      <c r="BA292" s="27" t="n">
        <f aca="false">MIN(AO291*(1+H$8),H$9)</f>
        <v>0</v>
      </c>
      <c r="BB292" s="27" t="n">
        <f aca="false">MIN(AP291*(1+I$8),I$9)</f>
        <v>0</v>
      </c>
      <c r="BC292" s="27" t="n">
        <f aca="false">MIN(AQ291*(1+J$8),J$9)</f>
        <v>0</v>
      </c>
      <c r="BD292" s="27" t="n">
        <f aca="false">MIN(AR291*(1+K$8),K$9)</f>
        <v>0</v>
      </c>
      <c r="BE292" s="27" t="n">
        <f aca="false">MIN(AI291*(1+B$8),MAX(AU292,$B$12-SUM(AV292:BD292)))</f>
        <v>0</v>
      </c>
      <c r="BF292" s="27" t="n">
        <f aca="false">MIN(AJ291*(1+C$8),MAX(AV292,$B$12-SUM(BE292:BE292)-SUM(AW292:BD292)))</f>
        <v>0</v>
      </c>
      <c r="BG292" s="27" t="n">
        <f aca="false">MIN(AK291*(1+D$8),MAX(AW292,$B$12-SUM(BE292:BF292)-SUM(AX292:BD292)))</f>
        <v>0</v>
      </c>
      <c r="BH292" s="27" t="n">
        <f aca="false">MIN(AL291*(1+E$8),MAX(AX292,$B$12-SUM(BE292:BG292)-SUM(AY292:BD292)))</f>
        <v>0</v>
      </c>
      <c r="BI292" s="27" t="n">
        <f aca="false">MIN(AM291*(1+F$8),MAX(AY292,$B$12-SUM(BE292:BH292)-SUM(AZ292:BD292)))</f>
        <v>0</v>
      </c>
      <c r="BJ292" s="27" t="n">
        <f aca="false">MIN(AN291*(1+G$8),MAX(AZ292,$B$12-SUM(BE292:BI292)-SUM(BA292:BD292)))</f>
        <v>0</v>
      </c>
      <c r="BK292" s="27" t="n">
        <f aca="false">MIN(AO291*(1+H$8),MAX(BA292,$B$12-SUM(BE292:BJ292)-SUM(BB292:BD292)))</f>
        <v>0</v>
      </c>
      <c r="BL292" s="27" t="n">
        <f aca="false">MIN(AP291*(1+I$8),MAX(BB292,$B$12-SUM(BE292:BK292)-SUM(BC292:BD292)))</f>
        <v>0</v>
      </c>
      <c r="BM292" s="27" t="n">
        <f aca="false">MIN(AQ291*(1+J$8),MAX(BC292,$B$12-SUM(BE292:BL292)-SUM(BD292:BD292)))</f>
        <v>0</v>
      </c>
      <c r="BN292" s="27" t="n">
        <f aca="false">MIN(AR291*(1+K$8),MAX(BD292,$B$12-SUM(BE292:BM292)))</f>
        <v>0</v>
      </c>
    </row>
    <row r="293" customFormat="false" ht="15" hidden="false" customHeight="false" outlineLevel="0" collapsed="false">
      <c r="A293" s="0" t="n">
        <v>279</v>
      </c>
      <c r="B293" s="27" t="n">
        <f aca="false">ROUND(MAX(0,B292*(1+B$8)-X293),2)</f>
        <v>0</v>
      </c>
      <c r="C293" s="27" t="n">
        <f aca="false">ROUND(MAX(0,C292*(1+C$8)-Y293),2)</f>
        <v>0</v>
      </c>
      <c r="D293" s="27" t="n">
        <f aca="false">ROUND(MAX(0,D292*(1+D$8)-Z293),2)</f>
        <v>0</v>
      </c>
      <c r="E293" s="27" t="n">
        <f aca="false">ROUND(MAX(0,E292*(1+E$8)-AA293),2)</f>
        <v>0</v>
      </c>
      <c r="F293" s="27" t="n">
        <f aca="false">ROUND(MAX(0,F292*(1+F$8)-AB293),2)</f>
        <v>0</v>
      </c>
      <c r="G293" s="27" t="n">
        <f aca="false">ROUND(MAX(0,G292*(1+G$8)-AC293),2)</f>
        <v>0</v>
      </c>
      <c r="H293" s="27" t="n">
        <f aca="false">ROUND(MAX(0,H292*(1+H$8)-AD293),2)</f>
        <v>0</v>
      </c>
      <c r="I293" s="27" t="n">
        <f aca="false">ROUND(MAX(0,I292*(1+I$8)-AE293),2)</f>
        <v>0</v>
      </c>
      <c r="J293" s="27" t="n">
        <f aca="false">ROUND(MAX(0,J292*(1+J$8)-AF293),2)</f>
        <v>0</v>
      </c>
      <c r="K293" s="27" t="n">
        <f aca="false">ROUND(MAX(0,K292*(1+K$8)-AG293),2)</f>
        <v>0</v>
      </c>
      <c r="L293" s="30" t="n">
        <f aca="false">SUM(B293:K293)</f>
        <v>0</v>
      </c>
      <c r="M293" s="27" t="n">
        <f aca="false">SUMPRODUCT(B292:K292,$B$8:$K$8)</f>
        <v>0</v>
      </c>
      <c r="N293" s="27" t="n">
        <f aca="false">MIN(B292*(1+B$8),B$9)</f>
        <v>0</v>
      </c>
      <c r="O293" s="27" t="n">
        <f aca="false">MIN(C292*(1+C$8),C$9)</f>
        <v>0</v>
      </c>
      <c r="P293" s="27" t="n">
        <f aca="false">MIN(D292*(1+D$8),D$9)</f>
        <v>0</v>
      </c>
      <c r="Q293" s="27" t="n">
        <f aca="false">MIN(E292*(1+E$8),E$9)</f>
        <v>0</v>
      </c>
      <c r="R293" s="27" t="n">
        <f aca="false">MIN(F292*(1+F$8),F$9)</f>
        <v>0</v>
      </c>
      <c r="S293" s="27" t="n">
        <f aca="false">MIN(G292*(1+G$8),G$9)</f>
        <v>0</v>
      </c>
      <c r="T293" s="27" t="n">
        <f aca="false">MIN(H292*(1+H$8),H$9)</f>
        <v>0</v>
      </c>
      <c r="U293" s="27" t="n">
        <f aca="false">MIN(I292*(1+I$8),I$9)</f>
        <v>0</v>
      </c>
      <c r="V293" s="27" t="n">
        <f aca="false">MIN(J292*(1+J$8),J$9)</f>
        <v>0</v>
      </c>
      <c r="W293" s="27" t="n">
        <f aca="false">MIN(K292*(1+K$8),K$9)</f>
        <v>0</v>
      </c>
      <c r="X293" s="27" t="n">
        <f aca="false">MIN(B292*(1+B$8),MAX(N293,$B$11-SUM(O293:W293)))</f>
        <v>0</v>
      </c>
      <c r="Y293" s="27" t="n">
        <f aca="false">MIN(C292*(1+C$8),MAX(O293,$B$11-SUM(X293:X293)-SUM(P293:W293)))</f>
        <v>0</v>
      </c>
      <c r="Z293" s="27" t="n">
        <f aca="false">MIN(D292*(1+D$8),MAX(P293,$B$11-SUM(X293:Y293)-SUM(Q293:W293)))</f>
        <v>0</v>
      </c>
      <c r="AA293" s="27" t="n">
        <f aca="false">MIN(E292*(1+E$8),MAX(Q293,$B$11-SUM(X293:Z293)-SUM(R293:W293)))</f>
        <v>0</v>
      </c>
      <c r="AB293" s="27" t="n">
        <f aca="false">MIN(F292*(1+F$8),MAX(R293,$B$11-SUM(X293:AA293)-SUM(S293:W293)))</f>
        <v>0</v>
      </c>
      <c r="AC293" s="27" t="n">
        <f aca="false">MIN(G292*(1+G$8),MAX(S293,$B$11-SUM(X293:AB293)-SUM(T293:W293)))</f>
        <v>0</v>
      </c>
      <c r="AD293" s="27" t="n">
        <f aca="false">MIN(H292*(1+H$8),MAX(T293,$B$11-SUM(X293:AC293)-SUM(U293:W293)))</f>
        <v>0</v>
      </c>
      <c r="AE293" s="27" t="n">
        <f aca="false">MIN(I292*(1+I$8),MAX(U293,$B$11-SUM(X293:AD293)-SUM(V293:W293)))</f>
        <v>0</v>
      </c>
      <c r="AF293" s="27" t="n">
        <f aca="false">MIN(J292*(1+J$8),MAX(V293,$B$11-SUM(X293:AE293)-SUM(W293:W293)))</f>
        <v>0</v>
      </c>
      <c r="AG293" s="27" t="n">
        <f aca="false">MIN(K292*(1+K$8),MAX(W293,$B$11-SUM(X293:AF293)))</f>
        <v>0</v>
      </c>
      <c r="AI293" s="27" t="n">
        <f aca="false">ROUND(MAX(0,AI292*(1+B$8)-BE293),2)</f>
        <v>0</v>
      </c>
      <c r="AJ293" s="27" t="n">
        <f aca="false">ROUND(MAX(0,AJ292*(1+C$8)-BF293),2)</f>
        <v>0</v>
      </c>
      <c r="AK293" s="27" t="n">
        <f aca="false">ROUND(MAX(0,AK292*(1+D$8)-BG293),2)</f>
        <v>0</v>
      </c>
      <c r="AL293" s="27" t="n">
        <f aca="false">ROUND(MAX(0,AL292*(1+E$8)-BH293),2)</f>
        <v>0</v>
      </c>
      <c r="AM293" s="27" t="n">
        <f aca="false">ROUND(MAX(0,AM292*(1+F$8)-BI293),2)</f>
        <v>0</v>
      </c>
      <c r="AN293" s="27" t="n">
        <f aca="false">ROUND(MAX(0,AN292*(1+G$8)-BJ293),2)</f>
        <v>0</v>
      </c>
      <c r="AO293" s="27" t="n">
        <f aca="false">ROUND(MAX(0,AO292*(1+H$8)-BK293),2)</f>
        <v>0</v>
      </c>
      <c r="AP293" s="27" t="n">
        <f aca="false">ROUND(MAX(0,AP292*(1+I$8)-BL293),2)</f>
        <v>0</v>
      </c>
      <c r="AQ293" s="27" t="n">
        <f aca="false">ROUND(MAX(0,AQ292*(1+J$8)-BM293),2)</f>
        <v>0</v>
      </c>
      <c r="AR293" s="27" t="n">
        <f aca="false">ROUND(MAX(0,AR292*(1+K$8)-BN293),2)</f>
        <v>0</v>
      </c>
      <c r="AS293" s="27" t="n">
        <f aca="false">SUM(AI293:AR293)</f>
        <v>0</v>
      </c>
      <c r="AT293" s="27" t="n">
        <f aca="false">SUMPRODUCT(AI292:AR292,$B$8:$K$8)</f>
        <v>0</v>
      </c>
      <c r="AU293" s="27" t="n">
        <f aca="false">MIN(AI292*(1+B$8),B$9)</f>
        <v>0</v>
      </c>
      <c r="AV293" s="27" t="n">
        <f aca="false">MIN(AJ292*(1+C$8),C$9)</f>
        <v>0</v>
      </c>
      <c r="AW293" s="27" t="n">
        <f aca="false">MIN(AK292*(1+D$8),D$9)</f>
        <v>0</v>
      </c>
      <c r="AX293" s="27" t="n">
        <f aca="false">MIN(AL292*(1+E$8),E$9)</f>
        <v>0</v>
      </c>
      <c r="AY293" s="27" t="n">
        <f aca="false">MIN(AM292*(1+F$8),F$9)</f>
        <v>0</v>
      </c>
      <c r="AZ293" s="27" t="n">
        <f aca="false">MIN(AN292*(1+G$8),G$9)</f>
        <v>0</v>
      </c>
      <c r="BA293" s="27" t="n">
        <f aca="false">MIN(AO292*(1+H$8),H$9)</f>
        <v>0</v>
      </c>
      <c r="BB293" s="27" t="n">
        <f aca="false">MIN(AP292*(1+I$8),I$9)</f>
        <v>0</v>
      </c>
      <c r="BC293" s="27" t="n">
        <f aca="false">MIN(AQ292*(1+J$8),J$9)</f>
        <v>0</v>
      </c>
      <c r="BD293" s="27" t="n">
        <f aca="false">MIN(AR292*(1+K$8),K$9)</f>
        <v>0</v>
      </c>
      <c r="BE293" s="27" t="n">
        <f aca="false">MIN(AI292*(1+B$8),MAX(AU293,$B$12-SUM(AV293:BD293)))</f>
        <v>0</v>
      </c>
      <c r="BF293" s="27" t="n">
        <f aca="false">MIN(AJ292*(1+C$8),MAX(AV293,$B$12-SUM(BE293:BE293)-SUM(AW293:BD293)))</f>
        <v>0</v>
      </c>
      <c r="BG293" s="27" t="n">
        <f aca="false">MIN(AK292*(1+D$8),MAX(AW293,$B$12-SUM(BE293:BF293)-SUM(AX293:BD293)))</f>
        <v>0</v>
      </c>
      <c r="BH293" s="27" t="n">
        <f aca="false">MIN(AL292*(1+E$8),MAX(AX293,$B$12-SUM(BE293:BG293)-SUM(AY293:BD293)))</f>
        <v>0</v>
      </c>
      <c r="BI293" s="27" t="n">
        <f aca="false">MIN(AM292*(1+F$8),MAX(AY293,$B$12-SUM(BE293:BH293)-SUM(AZ293:BD293)))</f>
        <v>0</v>
      </c>
      <c r="BJ293" s="27" t="n">
        <f aca="false">MIN(AN292*(1+G$8),MAX(AZ293,$B$12-SUM(BE293:BI293)-SUM(BA293:BD293)))</f>
        <v>0</v>
      </c>
      <c r="BK293" s="27" t="n">
        <f aca="false">MIN(AO292*(1+H$8),MAX(BA293,$B$12-SUM(BE293:BJ293)-SUM(BB293:BD293)))</f>
        <v>0</v>
      </c>
      <c r="BL293" s="27" t="n">
        <f aca="false">MIN(AP292*(1+I$8),MAX(BB293,$B$12-SUM(BE293:BK293)-SUM(BC293:BD293)))</f>
        <v>0</v>
      </c>
      <c r="BM293" s="27" t="n">
        <f aca="false">MIN(AQ292*(1+J$8),MAX(BC293,$B$12-SUM(BE293:BL293)-SUM(BD293:BD293)))</f>
        <v>0</v>
      </c>
      <c r="BN293" s="27" t="n">
        <f aca="false">MIN(AR292*(1+K$8),MAX(BD293,$B$12-SUM(BE293:BM293)))</f>
        <v>0</v>
      </c>
    </row>
    <row r="294" customFormat="false" ht="15" hidden="false" customHeight="false" outlineLevel="0" collapsed="false">
      <c r="A294" s="0" t="n">
        <v>280</v>
      </c>
      <c r="B294" s="27" t="n">
        <f aca="false">ROUND(MAX(0,B293*(1+B$8)-X294),2)</f>
        <v>0</v>
      </c>
      <c r="C294" s="27" t="n">
        <f aca="false">ROUND(MAX(0,C293*(1+C$8)-Y294),2)</f>
        <v>0</v>
      </c>
      <c r="D294" s="27" t="n">
        <f aca="false">ROUND(MAX(0,D293*(1+D$8)-Z294),2)</f>
        <v>0</v>
      </c>
      <c r="E294" s="27" t="n">
        <f aca="false">ROUND(MAX(0,E293*(1+E$8)-AA294),2)</f>
        <v>0</v>
      </c>
      <c r="F294" s="27" t="n">
        <f aca="false">ROUND(MAX(0,F293*(1+F$8)-AB294),2)</f>
        <v>0</v>
      </c>
      <c r="G294" s="27" t="n">
        <f aca="false">ROUND(MAX(0,G293*(1+G$8)-AC294),2)</f>
        <v>0</v>
      </c>
      <c r="H294" s="27" t="n">
        <f aca="false">ROUND(MAX(0,H293*(1+H$8)-AD294),2)</f>
        <v>0</v>
      </c>
      <c r="I294" s="27" t="n">
        <f aca="false">ROUND(MAX(0,I293*(1+I$8)-AE294),2)</f>
        <v>0</v>
      </c>
      <c r="J294" s="27" t="n">
        <f aca="false">ROUND(MAX(0,J293*(1+J$8)-AF294),2)</f>
        <v>0</v>
      </c>
      <c r="K294" s="27" t="n">
        <f aca="false">ROUND(MAX(0,K293*(1+K$8)-AG294),2)</f>
        <v>0</v>
      </c>
      <c r="L294" s="30" t="n">
        <f aca="false">SUM(B294:K294)</f>
        <v>0</v>
      </c>
      <c r="M294" s="27" t="n">
        <f aca="false">SUMPRODUCT(B293:K293,$B$8:$K$8)</f>
        <v>0</v>
      </c>
      <c r="N294" s="27" t="n">
        <f aca="false">MIN(B293*(1+B$8),B$9)</f>
        <v>0</v>
      </c>
      <c r="O294" s="27" t="n">
        <f aca="false">MIN(C293*(1+C$8),C$9)</f>
        <v>0</v>
      </c>
      <c r="P294" s="27" t="n">
        <f aca="false">MIN(D293*(1+D$8),D$9)</f>
        <v>0</v>
      </c>
      <c r="Q294" s="27" t="n">
        <f aca="false">MIN(E293*(1+E$8),E$9)</f>
        <v>0</v>
      </c>
      <c r="R294" s="27" t="n">
        <f aca="false">MIN(F293*(1+F$8),F$9)</f>
        <v>0</v>
      </c>
      <c r="S294" s="27" t="n">
        <f aca="false">MIN(G293*(1+G$8),G$9)</f>
        <v>0</v>
      </c>
      <c r="T294" s="27" t="n">
        <f aca="false">MIN(H293*(1+H$8),H$9)</f>
        <v>0</v>
      </c>
      <c r="U294" s="27" t="n">
        <f aca="false">MIN(I293*(1+I$8),I$9)</f>
        <v>0</v>
      </c>
      <c r="V294" s="27" t="n">
        <f aca="false">MIN(J293*(1+J$8),J$9)</f>
        <v>0</v>
      </c>
      <c r="W294" s="27" t="n">
        <f aca="false">MIN(K293*(1+K$8),K$9)</f>
        <v>0</v>
      </c>
      <c r="X294" s="27" t="n">
        <f aca="false">MIN(B293*(1+B$8),MAX(N294,$B$11-SUM(O294:W294)))</f>
        <v>0</v>
      </c>
      <c r="Y294" s="27" t="n">
        <f aca="false">MIN(C293*(1+C$8),MAX(O294,$B$11-SUM(X294:X294)-SUM(P294:W294)))</f>
        <v>0</v>
      </c>
      <c r="Z294" s="27" t="n">
        <f aca="false">MIN(D293*(1+D$8),MAX(P294,$B$11-SUM(X294:Y294)-SUM(Q294:W294)))</f>
        <v>0</v>
      </c>
      <c r="AA294" s="27" t="n">
        <f aca="false">MIN(E293*(1+E$8),MAX(Q294,$B$11-SUM(X294:Z294)-SUM(R294:W294)))</f>
        <v>0</v>
      </c>
      <c r="AB294" s="27" t="n">
        <f aca="false">MIN(F293*(1+F$8),MAX(R294,$B$11-SUM(X294:AA294)-SUM(S294:W294)))</f>
        <v>0</v>
      </c>
      <c r="AC294" s="27" t="n">
        <f aca="false">MIN(G293*(1+G$8),MAX(S294,$B$11-SUM(X294:AB294)-SUM(T294:W294)))</f>
        <v>0</v>
      </c>
      <c r="AD294" s="27" t="n">
        <f aca="false">MIN(H293*(1+H$8),MAX(T294,$B$11-SUM(X294:AC294)-SUM(U294:W294)))</f>
        <v>0</v>
      </c>
      <c r="AE294" s="27" t="n">
        <f aca="false">MIN(I293*(1+I$8),MAX(U294,$B$11-SUM(X294:AD294)-SUM(V294:W294)))</f>
        <v>0</v>
      </c>
      <c r="AF294" s="27" t="n">
        <f aca="false">MIN(J293*(1+J$8),MAX(V294,$B$11-SUM(X294:AE294)-SUM(W294:W294)))</f>
        <v>0</v>
      </c>
      <c r="AG294" s="27" t="n">
        <f aca="false">MIN(K293*(1+K$8),MAX(W294,$B$11-SUM(X294:AF294)))</f>
        <v>0</v>
      </c>
      <c r="AI294" s="27" t="n">
        <f aca="false">ROUND(MAX(0,AI293*(1+B$8)-BE294),2)</f>
        <v>0</v>
      </c>
      <c r="AJ294" s="27" t="n">
        <f aca="false">ROUND(MAX(0,AJ293*(1+C$8)-BF294),2)</f>
        <v>0</v>
      </c>
      <c r="AK294" s="27" t="n">
        <f aca="false">ROUND(MAX(0,AK293*(1+D$8)-BG294),2)</f>
        <v>0</v>
      </c>
      <c r="AL294" s="27" t="n">
        <f aca="false">ROUND(MAX(0,AL293*(1+E$8)-BH294),2)</f>
        <v>0</v>
      </c>
      <c r="AM294" s="27" t="n">
        <f aca="false">ROUND(MAX(0,AM293*(1+F$8)-BI294),2)</f>
        <v>0</v>
      </c>
      <c r="AN294" s="27" t="n">
        <f aca="false">ROUND(MAX(0,AN293*(1+G$8)-BJ294),2)</f>
        <v>0</v>
      </c>
      <c r="AO294" s="27" t="n">
        <f aca="false">ROUND(MAX(0,AO293*(1+H$8)-BK294),2)</f>
        <v>0</v>
      </c>
      <c r="AP294" s="27" t="n">
        <f aca="false">ROUND(MAX(0,AP293*(1+I$8)-BL294),2)</f>
        <v>0</v>
      </c>
      <c r="AQ294" s="27" t="n">
        <f aca="false">ROUND(MAX(0,AQ293*(1+J$8)-BM294),2)</f>
        <v>0</v>
      </c>
      <c r="AR294" s="27" t="n">
        <f aca="false">ROUND(MAX(0,AR293*(1+K$8)-BN294),2)</f>
        <v>0</v>
      </c>
      <c r="AS294" s="27" t="n">
        <f aca="false">SUM(AI294:AR294)</f>
        <v>0</v>
      </c>
      <c r="AT294" s="27" t="n">
        <f aca="false">SUMPRODUCT(AI293:AR293,$B$8:$K$8)</f>
        <v>0</v>
      </c>
      <c r="AU294" s="27" t="n">
        <f aca="false">MIN(AI293*(1+B$8),B$9)</f>
        <v>0</v>
      </c>
      <c r="AV294" s="27" t="n">
        <f aca="false">MIN(AJ293*(1+C$8),C$9)</f>
        <v>0</v>
      </c>
      <c r="AW294" s="27" t="n">
        <f aca="false">MIN(AK293*(1+D$8),D$9)</f>
        <v>0</v>
      </c>
      <c r="AX294" s="27" t="n">
        <f aca="false">MIN(AL293*(1+E$8),E$9)</f>
        <v>0</v>
      </c>
      <c r="AY294" s="27" t="n">
        <f aca="false">MIN(AM293*(1+F$8),F$9)</f>
        <v>0</v>
      </c>
      <c r="AZ294" s="27" t="n">
        <f aca="false">MIN(AN293*(1+G$8),G$9)</f>
        <v>0</v>
      </c>
      <c r="BA294" s="27" t="n">
        <f aca="false">MIN(AO293*(1+H$8),H$9)</f>
        <v>0</v>
      </c>
      <c r="BB294" s="27" t="n">
        <f aca="false">MIN(AP293*(1+I$8),I$9)</f>
        <v>0</v>
      </c>
      <c r="BC294" s="27" t="n">
        <f aca="false">MIN(AQ293*(1+J$8),J$9)</f>
        <v>0</v>
      </c>
      <c r="BD294" s="27" t="n">
        <f aca="false">MIN(AR293*(1+K$8),K$9)</f>
        <v>0</v>
      </c>
      <c r="BE294" s="27" t="n">
        <f aca="false">MIN(AI293*(1+B$8),MAX(AU294,$B$12-SUM(AV294:BD294)))</f>
        <v>0</v>
      </c>
      <c r="BF294" s="27" t="n">
        <f aca="false">MIN(AJ293*(1+C$8),MAX(AV294,$B$12-SUM(BE294:BE294)-SUM(AW294:BD294)))</f>
        <v>0</v>
      </c>
      <c r="BG294" s="27" t="n">
        <f aca="false">MIN(AK293*(1+D$8),MAX(AW294,$B$12-SUM(BE294:BF294)-SUM(AX294:BD294)))</f>
        <v>0</v>
      </c>
      <c r="BH294" s="27" t="n">
        <f aca="false">MIN(AL293*(1+E$8),MAX(AX294,$B$12-SUM(BE294:BG294)-SUM(AY294:BD294)))</f>
        <v>0</v>
      </c>
      <c r="BI294" s="27" t="n">
        <f aca="false">MIN(AM293*(1+F$8),MAX(AY294,$B$12-SUM(BE294:BH294)-SUM(AZ294:BD294)))</f>
        <v>0</v>
      </c>
      <c r="BJ294" s="27" t="n">
        <f aca="false">MIN(AN293*(1+G$8),MAX(AZ294,$B$12-SUM(BE294:BI294)-SUM(BA294:BD294)))</f>
        <v>0</v>
      </c>
      <c r="BK294" s="27" t="n">
        <f aca="false">MIN(AO293*(1+H$8),MAX(BA294,$B$12-SUM(BE294:BJ294)-SUM(BB294:BD294)))</f>
        <v>0</v>
      </c>
      <c r="BL294" s="27" t="n">
        <f aca="false">MIN(AP293*(1+I$8),MAX(BB294,$B$12-SUM(BE294:BK294)-SUM(BC294:BD294)))</f>
        <v>0</v>
      </c>
      <c r="BM294" s="27" t="n">
        <f aca="false">MIN(AQ293*(1+J$8),MAX(BC294,$B$12-SUM(BE294:BL294)-SUM(BD294:BD294)))</f>
        <v>0</v>
      </c>
      <c r="BN294" s="27" t="n">
        <f aca="false">MIN(AR293*(1+K$8),MAX(BD294,$B$12-SUM(BE294:BM294)))</f>
        <v>0</v>
      </c>
    </row>
    <row r="295" customFormat="false" ht="15" hidden="false" customHeight="false" outlineLevel="0" collapsed="false">
      <c r="A295" s="0" t="n">
        <v>281</v>
      </c>
      <c r="B295" s="27" t="n">
        <f aca="false">ROUND(MAX(0,B294*(1+B$8)-X295),2)</f>
        <v>0</v>
      </c>
      <c r="C295" s="27" t="n">
        <f aca="false">ROUND(MAX(0,C294*(1+C$8)-Y295),2)</f>
        <v>0</v>
      </c>
      <c r="D295" s="27" t="n">
        <f aca="false">ROUND(MAX(0,D294*(1+D$8)-Z295),2)</f>
        <v>0</v>
      </c>
      <c r="E295" s="27" t="n">
        <f aca="false">ROUND(MAX(0,E294*(1+E$8)-AA295),2)</f>
        <v>0</v>
      </c>
      <c r="F295" s="27" t="n">
        <f aca="false">ROUND(MAX(0,F294*(1+F$8)-AB295),2)</f>
        <v>0</v>
      </c>
      <c r="G295" s="27" t="n">
        <f aca="false">ROUND(MAX(0,G294*(1+G$8)-AC295),2)</f>
        <v>0</v>
      </c>
      <c r="H295" s="27" t="n">
        <f aca="false">ROUND(MAX(0,H294*(1+H$8)-AD295),2)</f>
        <v>0</v>
      </c>
      <c r="I295" s="27" t="n">
        <f aca="false">ROUND(MAX(0,I294*(1+I$8)-AE295),2)</f>
        <v>0</v>
      </c>
      <c r="J295" s="27" t="n">
        <f aca="false">ROUND(MAX(0,J294*(1+J$8)-AF295),2)</f>
        <v>0</v>
      </c>
      <c r="K295" s="27" t="n">
        <f aca="false">ROUND(MAX(0,K294*(1+K$8)-AG295),2)</f>
        <v>0</v>
      </c>
      <c r="L295" s="30" t="n">
        <f aca="false">SUM(B295:K295)</f>
        <v>0</v>
      </c>
      <c r="M295" s="27" t="n">
        <f aca="false">SUMPRODUCT(B294:K294,$B$8:$K$8)</f>
        <v>0</v>
      </c>
      <c r="N295" s="27" t="n">
        <f aca="false">MIN(B294*(1+B$8),B$9)</f>
        <v>0</v>
      </c>
      <c r="O295" s="27" t="n">
        <f aca="false">MIN(C294*(1+C$8),C$9)</f>
        <v>0</v>
      </c>
      <c r="P295" s="27" t="n">
        <f aca="false">MIN(D294*(1+D$8),D$9)</f>
        <v>0</v>
      </c>
      <c r="Q295" s="27" t="n">
        <f aca="false">MIN(E294*(1+E$8),E$9)</f>
        <v>0</v>
      </c>
      <c r="R295" s="27" t="n">
        <f aca="false">MIN(F294*(1+F$8),F$9)</f>
        <v>0</v>
      </c>
      <c r="S295" s="27" t="n">
        <f aca="false">MIN(G294*(1+G$8),G$9)</f>
        <v>0</v>
      </c>
      <c r="T295" s="27" t="n">
        <f aca="false">MIN(H294*(1+H$8),H$9)</f>
        <v>0</v>
      </c>
      <c r="U295" s="27" t="n">
        <f aca="false">MIN(I294*(1+I$8),I$9)</f>
        <v>0</v>
      </c>
      <c r="V295" s="27" t="n">
        <f aca="false">MIN(J294*(1+J$8),J$9)</f>
        <v>0</v>
      </c>
      <c r="W295" s="27" t="n">
        <f aca="false">MIN(K294*(1+K$8),K$9)</f>
        <v>0</v>
      </c>
      <c r="X295" s="27" t="n">
        <f aca="false">MIN(B294*(1+B$8),MAX(N295,$B$11-SUM(O295:W295)))</f>
        <v>0</v>
      </c>
      <c r="Y295" s="27" t="n">
        <f aca="false">MIN(C294*(1+C$8),MAX(O295,$B$11-SUM(X295:X295)-SUM(P295:W295)))</f>
        <v>0</v>
      </c>
      <c r="Z295" s="27" t="n">
        <f aca="false">MIN(D294*(1+D$8),MAX(P295,$B$11-SUM(X295:Y295)-SUM(Q295:W295)))</f>
        <v>0</v>
      </c>
      <c r="AA295" s="27" t="n">
        <f aca="false">MIN(E294*(1+E$8),MAX(Q295,$B$11-SUM(X295:Z295)-SUM(R295:W295)))</f>
        <v>0</v>
      </c>
      <c r="AB295" s="27" t="n">
        <f aca="false">MIN(F294*(1+F$8),MAX(R295,$B$11-SUM(X295:AA295)-SUM(S295:W295)))</f>
        <v>0</v>
      </c>
      <c r="AC295" s="27" t="n">
        <f aca="false">MIN(G294*(1+G$8),MAX(S295,$B$11-SUM(X295:AB295)-SUM(T295:W295)))</f>
        <v>0</v>
      </c>
      <c r="AD295" s="27" t="n">
        <f aca="false">MIN(H294*(1+H$8),MAX(T295,$B$11-SUM(X295:AC295)-SUM(U295:W295)))</f>
        <v>0</v>
      </c>
      <c r="AE295" s="27" t="n">
        <f aca="false">MIN(I294*(1+I$8),MAX(U295,$B$11-SUM(X295:AD295)-SUM(V295:W295)))</f>
        <v>0</v>
      </c>
      <c r="AF295" s="27" t="n">
        <f aca="false">MIN(J294*(1+J$8),MAX(V295,$B$11-SUM(X295:AE295)-SUM(W295:W295)))</f>
        <v>0</v>
      </c>
      <c r="AG295" s="27" t="n">
        <f aca="false">MIN(K294*(1+K$8),MAX(W295,$B$11-SUM(X295:AF295)))</f>
        <v>0</v>
      </c>
      <c r="AI295" s="27" t="n">
        <f aca="false">ROUND(MAX(0,AI294*(1+B$8)-BE295),2)</f>
        <v>0</v>
      </c>
      <c r="AJ295" s="27" t="n">
        <f aca="false">ROUND(MAX(0,AJ294*(1+C$8)-BF295),2)</f>
        <v>0</v>
      </c>
      <c r="AK295" s="27" t="n">
        <f aca="false">ROUND(MAX(0,AK294*(1+D$8)-BG295),2)</f>
        <v>0</v>
      </c>
      <c r="AL295" s="27" t="n">
        <f aca="false">ROUND(MAX(0,AL294*(1+E$8)-BH295),2)</f>
        <v>0</v>
      </c>
      <c r="AM295" s="27" t="n">
        <f aca="false">ROUND(MAX(0,AM294*(1+F$8)-BI295),2)</f>
        <v>0</v>
      </c>
      <c r="AN295" s="27" t="n">
        <f aca="false">ROUND(MAX(0,AN294*(1+G$8)-BJ295),2)</f>
        <v>0</v>
      </c>
      <c r="AO295" s="27" t="n">
        <f aca="false">ROUND(MAX(0,AO294*(1+H$8)-BK295),2)</f>
        <v>0</v>
      </c>
      <c r="AP295" s="27" t="n">
        <f aca="false">ROUND(MAX(0,AP294*(1+I$8)-BL295),2)</f>
        <v>0</v>
      </c>
      <c r="AQ295" s="27" t="n">
        <f aca="false">ROUND(MAX(0,AQ294*(1+J$8)-BM295),2)</f>
        <v>0</v>
      </c>
      <c r="AR295" s="27" t="n">
        <f aca="false">ROUND(MAX(0,AR294*(1+K$8)-BN295),2)</f>
        <v>0</v>
      </c>
      <c r="AS295" s="27" t="n">
        <f aca="false">SUM(AI295:AR295)</f>
        <v>0</v>
      </c>
      <c r="AT295" s="27" t="n">
        <f aca="false">SUMPRODUCT(AI294:AR294,$B$8:$K$8)</f>
        <v>0</v>
      </c>
      <c r="AU295" s="27" t="n">
        <f aca="false">MIN(AI294*(1+B$8),B$9)</f>
        <v>0</v>
      </c>
      <c r="AV295" s="27" t="n">
        <f aca="false">MIN(AJ294*(1+C$8),C$9)</f>
        <v>0</v>
      </c>
      <c r="AW295" s="27" t="n">
        <f aca="false">MIN(AK294*(1+D$8),D$9)</f>
        <v>0</v>
      </c>
      <c r="AX295" s="27" t="n">
        <f aca="false">MIN(AL294*(1+E$8),E$9)</f>
        <v>0</v>
      </c>
      <c r="AY295" s="27" t="n">
        <f aca="false">MIN(AM294*(1+F$8),F$9)</f>
        <v>0</v>
      </c>
      <c r="AZ295" s="27" t="n">
        <f aca="false">MIN(AN294*(1+G$8),G$9)</f>
        <v>0</v>
      </c>
      <c r="BA295" s="27" t="n">
        <f aca="false">MIN(AO294*(1+H$8),H$9)</f>
        <v>0</v>
      </c>
      <c r="BB295" s="27" t="n">
        <f aca="false">MIN(AP294*(1+I$8),I$9)</f>
        <v>0</v>
      </c>
      <c r="BC295" s="27" t="n">
        <f aca="false">MIN(AQ294*(1+J$8),J$9)</f>
        <v>0</v>
      </c>
      <c r="BD295" s="27" t="n">
        <f aca="false">MIN(AR294*(1+K$8),K$9)</f>
        <v>0</v>
      </c>
      <c r="BE295" s="27" t="n">
        <f aca="false">MIN(AI294*(1+B$8),MAX(AU295,$B$12-SUM(AV295:BD295)))</f>
        <v>0</v>
      </c>
      <c r="BF295" s="27" t="n">
        <f aca="false">MIN(AJ294*(1+C$8),MAX(AV295,$B$12-SUM(BE295:BE295)-SUM(AW295:BD295)))</f>
        <v>0</v>
      </c>
      <c r="BG295" s="27" t="n">
        <f aca="false">MIN(AK294*(1+D$8),MAX(AW295,$B$12-SUM(BE295:BF295)-SUM(AX295:BD295)))</f>
        <v>0</v>
      </c>
      <c r="BH295" s="27" t="n">
        <f aca="false">MIN(AL294*(1+E$8),MAX(AX295,$B$12-SUM(BE295:BG295)-SUM(AY295:BD295)))</f>
        <v>0</v>
      </c>
      <c r="BI295" s="27" t="n">
        <f aca="false">MIN(AM294*(1+F$8),MAX(AY295,$B$12-SUM(BE295:BH295)-SUM(AZ295:BD295)))</f>
        <v>0</v>
      </c>
      <c r="BJ295" s="27" t="n">
        <f aca="false">MIN(AN294*(1+G$8),MAX(AZ295,$B$12-SUM(BE295:BI295)-SUM(BA295:BD295)))</f>
        <v>0</v>
      </c>
      <c r="BK295" s="27" t="n">
        <f aca="false">MIN(AO294*(1+H$8),MAX(BA295,$B$12-SUM(BE295:BJ295)-SUM(BB295:BD295)))</f>
        <v>0</v>
      </c>
      <c r="BL295" s="27" t="n">
        <f aca="false">MIN(AP294*(1+I$8),MAX(BB295,$B$12-SUM(BE295:BK295)-SUM(BC295:BD295)))</f>
        <v>0</v>
      </c>
      <c r="BM295" s="27" t="n">
        <f aca="false">MIN(AQ294*(1+J$8),MAX(BC295,$B$12-SUM(BE295:BL295)-SUM(BD295:BD295)))</f>
        <v>0</v>
      </c>
      <c r="BN295" s="27" t="n">
        <f aca="false">MIN(AR294*(1+K$8),MAX(BD295,$B$12-SUM(BE295:BM295)))</f>
        <v>0</v>
      </c>
    </row>
    <row r="296" customFormat="false" ht="15" hidden="false" customHeight="false" outlineLevel="0" collapsed="false">
      <c r="A296" s="0" t="n">
        <v>282</v>
      </c>
      <c r="B296" s="27" t="n">
        <f aca="false">ROUND(MAX(0,B295*(1+B$8)-X296),2)</f>
        <v>0</v>
      </c>
      <c r="C296" s="27" t="n">
        <f aca="false">ROUND(MAX(0,C295*(1+C$8)-Y296),2)</f>
        <v>0</v>
      </c>
      <c r="D296" s="27" t="n">
        <f aca="false">ROUND(MAX(0,D295*(1+D$8)-Z296),2)</f>
        <v>0</v>
      </c>
      <c r="E296" s="27" t="n">
        <f aca="false">ROUND(MAX(0,E295*(1+E$8)-AA296),2)</f>
        <v>0</v>
      </c>
      <c r="F296" s="27" t="n">
        <f aca="false">ROUND(MAX(0,F295*(1+F$8)-AB296),2)</f>
        <v>0</v>
      </c>
      <c r="G296" s="27" t="n">
        <f aca="false">ROUND(MAX(0,G295*(1+G$8)-AC296),2)</f>
        <v>0</v>
      </c>
      <c r="H296" s="27" t="n">
        <f aca="false">ROUND(MAX(0,H295*(1+H$8)-AD296),2)</f>
        <v>0</v>
      </c>
      <c r="I296" s="27" t="n">
        <f aca="false">ROUND(MAX(0,I295*(1+I$8)-AE296),2)</f>
        <v>0</v>
      </c>
      <c r="J296" s="27" t="n">
        <f aca="false">ROUND(MAX(0,J295*(1+J$8)-AF296),2)</f>
        <v>0</v>
      </c>
      <c r="K296" s="27" t="n">
        <f aca="false">ROUND(MAX(0,K295*(1+K$8)-AG296),2)</f>
        <v>0</v>
      </c>
      <c r="L296" s="30" t="n">
        <f aca="false">SUM(B296:K296)</f>
        <v>0</v>
      </c>
      <c r="M296" s="27" t="n">
        <f aca="false">SUMPRODUCT(B295:K295,$B$8:$K$8)</f>
        <v>0</v>
      </c>
      <c r="N296" s="27" t="n">
        <f aca="false">MIN(B295*(1+B$8),B$9)</f>
        <v>0</v>
      </c>
      <c r="O296" s="27" t="n">
        <f aca="false">MIN(C295*(1+C$8),C$9)</f>
        <v>0</v>
      </c>
      <c r="P296" s="27" t="n">
        <f aca="false">MIN(D295*(1+D$8),D$9)</f>
        <v>0</v>
      </c>
      <c r="Q296" s="27" t="n">
        <f aca="false">MIN(E295*(1+E$8),E$9)</f>
        <v>0</v>
      </c>
      <c r="R296" s="27" t="n">
        <f aca="false">MIN(F295*(1+F$8),F$9)</f>
        <v>0</v>
      </c>
      <c r="S296" s="27" t="n">
        <f aca="false">MIN(G295*(1+G$8),G$9)</f>
        <v>0</v>
      </c>
      <c r="T296" s="27" t="n">
        <f aca="false">MIN(H295*(1+H$8),H$9)</f>
        <v>0</v>
      </c>
      <c r="U296" s="27" t="n">
        <f aca="false">MIN(I295*(1+I$8),I$9)</f>
        <v>0</v>
      </c>
      <c r="V296" s="27" t="n">
        <f aca="false">MIN(J295*(1+J$8),J$9)</f>
        <v>0</v>
      </c>
      <c r="W296" s="27" t="n">
        <f aca="false">MIN(K295*(1+K$8),K$9)</f>
        <v>0</v>
      </c>
      <c r="X296" s="27" t="n">
        <f aca="false">MIN(B295*(1+B$8),MAX(N296,$B$11-SUM(O296:W296)))</f>
        <v>0</v>
      </c>
      <c r="Y296" s="27" t="n">
        <f aca="false">MIN(C295*(1+C$8),MAX(O296,$B$11-SUM(X296:X296)-SUM(P296:W296)))</f>
        <v>0</v>
      </c>
      <c r="Z296" s="27" t="n">
        <f aca="false">MIN(D295*(1+D$8),MAX(P296,$B$11-SUM(X296:Y296)-SUM(Q296:W296)))</f>
        <v>0</v>
      </c>
      <c r="AA296" s="27" t="n">
        <f aca="false">MIN(E295*(1+E$8),MAX(Q296,$B$11-SUM(X296:Z296)-SUM(R296:W296)))</f>
        <v>0</v>
      </c>
      <c r="AB296" s="27" t="n">
        <f aca="false">MIN(F295*(1+F$8),MAX(R296,$B$11-SUM(X296:AA296)-SUM(S296:W296)))</f>
        <v>0</v>
      </c>
      <c r="AC296" s="27" t="n">
        <f aca="false">MIN(G295*(1+G$8),MAX(S296,$B$11-SUM(X296:AB296)-SUM(T296:W296)))</f>
        <v>0</v>
      </c>
      <c r="AD296" s="27" t="n">
        <f aca="false">MIN(H295*(1+H$8),MAX(T296,$B$11-SUM(X296:AC296)-SUM(U296:W296)))</f>
        <v>0</v>
      </c>
      <c r="AE296" s="27" t="n">
        <f aca="false">MIN(I295*(1+I$8),MAX(U296,$B$11-SUM(X296:AD296)-SUM(V296:W296)))</f>
        <v>0</v>
      </c>
      <c r="AF296" s="27" t="n">
        <f aca="false">MIN(J295*(1+J$8),MAX(V296,$B$11-SUM(X296:AE296)-SUM(W296:W296)))</f>
        <v>0</v>
      </c>
      <c r="AG296" s="27" t="n">
        <f aca="false">MIN(K295*(1+K$8),MAX(W296,$B$11-SUM(X296:AF296)))</f>
        <v>0</v>
      </c>
      <c r="AI296" s="27" t="n">
        <f aca="false">ROUND(MAX(0,AI295*(1+B$8)-BE296),2)</f>
        <v>0</v>
      </c>
      <c r="AJ296" s="27" t="n">
        <f aca="false">ROUND(MAX(0,AJ295*(1+C$8)-BF296),2)</f>
        <v>0</v>
      </c>
      <c r="AK296" s="27" t="n">
        <f aca="false">ROUND(MAX(0,AK295*(1+D$8)-BG296),2)</f>
        <v>0</v>
      </c>
      <c r="AL296" s="27" t="n">
        <f aca="false">ROUND(MAX(0,AL295*(1+E$8)-BH296),2)</f>
        <v>0</v>
      </c>
      <c r="AM296" s="27" t="n">
        <f aca="false">ROUND(MAX(0,AM295*(1+F$8)-BI296),2)</f>
        <v>0</v>
      </c>
      <c r="AN296" s="27" t="n">
        <f aca="false">ROUND(MAX(0,AN295*(1+G$8)-BJ296),2)</f>
        <v>0</v>
      </c>
      <c r="AO296" s="27" t="n">
        <f aca="false">ROUND(MAX(0,AO295*(1+H$8)-BK296),2)</f>
        <v>0</v>
      </c>
      <c r="AP296" s="27" t="n">
        <f aca="false">ROUND(MAX(0,AP295*(1+I$8)-BL296),2)</f>
        <v>0</v>
      </c>
      <c r="AQ296" s="27" t="n">
        <f aca="false">ROUND(MAX(0,AQ295*(1+J$8)-BM296),2)</f>
        <v>0</v>
      </c>
      <c r="AR296" s="27" t="n">
        <f aca="false">ROUND(MAX(0,AR295*(1+K$8)-BN296),2)</f>
        <v>0</v>
      </c>
      <c r="AS296" s="27" t="n">
        <f aca="false">SUM(AI296:AR296)</f>
        <v>0</v>
      </c>
      <c r="AT296" s="27" t="n">
        <f aca="false">SUMPRODUCT(AI295:AR295,$B$8:$K$8)</f>
        <v>0</v>
      </c>
      <c r="AU296" s="27" t="n">
        <f aca="false">MIN(AI295*(1+B$8),B$9)</f>
        <v>0</v>
      </c>
      <c r="AV296" s="27" t="n">
        <f aca="false">MIN(AJ295*(1+C$8),C$9)</f>
        <v>0</v>
      </c>
      <c r="AW296" s="27" t="n">
        <f aca="false">MIN(AK295*(1+D$8),D$9)</f>
        <v>0</v>
      </c>
      <c r="AX296" s="27" t="n">
        <f aca="false">MIN(AL295*(1+E$8),E$9)</f>
        <v>0</v>
      </c>
      <c r="AY296" s="27" t="n">
        <f aca="false">MIN(AM295*(1+F$8),F$9)</f>
        <v>0</v>
      </c>
      <c r="AZ296" s="27" t="n">
        <f aca="false">MIN(AN295*(1+G$8),G$9)</f>
        <v>0</v>
      </c>
      <c r="BA296" s="27" t="n">
        <f aca="false">MIN(AO295*(1+H$8),H$9)</f>
        <v>0</v>
      </c>
      <c r="BB296" s="27" t="n">
        <f aca="false">MIN(AP295*(1+I$8),I$9)</f>
        <v>0</v>
      </c>
      <c r="BC296" s="27" t="n">
        <f aca="false">MIN(AQ295*(1+J$8),J$9)</f>
        <v>0</v>
      </c>
      <c r="BD296" s="27" t="n">
        <f aca="false">MIN(AR295*(1+K$8),K$9)</f>
        <v>0</v>
      </c>
      <c r="BE296" s="27" t="n">
        <f aca="false">MIN(AI295*(1+B$8),MAX(AU296,$B$12-SUM(AV296:BD296)))</f>
        <v>0</v>
      </c>
      <c r="BF296" s="27" t="n">
        <f aca="false">MIN(AJ295*(1+C$8),MAX(AV296,$B$12-SUM(BE296:BE296)-SUM(AW296:BD296)))</f>
        <v>0</v>
      </c>
      <c r="BG296" s="27" t="n">
        <f aca="false">MIN(AK295*(1+D$8),MAX(AW296,$B$12-SUM(BE296:BF296)-SUM(AX296:BD296)))</f>
        <v>0</v>
      </c>
      <c r="BH296" s="27" t="n">
        <f aca="false">MIN(AL295*(1+E$8),MAX(AX296,$B$12-SUM(BE296:BG296)-SUM(AY296:BD296)))</f>
        <v>0</v>
      </c>
      <c r="BI296" s="27" t="n">
        <f aca="false">MIN(AM295*(1+F$8),MAX(AY296,$B$12-SUM(BE296:BH296)-SUM(AZ296:BD296)))</f>
        <v>0</v>
      </c>
      <c r="BJ296" s="27" t="n">
        <f aca="false">MIN(AN295*(1+G$8),MAX(AZ296,$B$12-SUM(BE296:BI296)-SUM(BA296:BD296)))</f>
        <v>0</v>
      </c>
      <c r="BK296" s="27" t="n">
        <f aca="false">MIN(AO295*(1+H$8),MAX(BA296,$B$12-SUM(BE296:BJ296)-SUM(BB296:BD296)))</f>
        <v>0</v>
      </c>
      <c r="BL296" s="27" t="n">
        <f aca="false">MIN(AP295*(1+I$8),MAX(BB296,$B$12-SUM(BE296:BK296)-SUM(BC296:BD296)))</f>
        <v>0</v>
      </c>
      <c r="BM296" s="27" t="n">
        <f aca="false">MIN(AQ295*(1+J$8),MAX(BC296,$B$12-SUM(BE296:BL296)-SUM(BD296:BD296)))</f>
        <v>0</v>
      </c>
      <c r="BN296" s="27" t="n">
        <f aca="false">MIN(AR295*(1+K$8),MAX(BD296,$B$12-SUM(BE296:BM296)))</f>
        <v>0</v>
      </c>
    </row>
    <row r="297" customFormat="false" ht="15" hidden="false" customHeight="false" outlineLevel="0" collapsed="false">
      <c r="A297" s="0" t="n">
        <v>283</v>
      </c>
      <c r="B297" s="27" t="n">
        <f aca="false">ROUND(MAX(0,B296*(1+B$8)-X297),2)</f>
        <v>0</v>
      </c>
      <c r="C297" s="27" t="n">
        <f aca="false">ROUND(MAX(0,C296*(1+C$8)-Y297),2)</f>
        <v>0</v>
      </c>
      <c r="D297" s="27" t="n">
        <f aca="false">ROUND(MAX(0,D296*(1+D$8)-Z297),2)</f>
        <v>0</v>
      </c>
      <c r="E297" s="27" t="n">
        <f aca="false">ROUND(MAX(0,E296*(1+E$8)-AA297),2)</f>
        <v>0</v>
      </c>
      <c r="F297" s="27" t="n">
        <f aca="false">ROUND(MAX(0,F296*(1+F$8)-AB297),2)</f>
        <v>0</v>
      </c>
      <c r="G297" s="27" t="n">
        <f aca="false">ROUND(MAX(0,G296*(1+G$8)-AC297),2)</f>
        <v>0</v>
      </c>
      <c r="H297" s="27" t="n">
        <f aca="false">ROUND(MAX(0,H296*(1+H$8)-AD297),2)</f>
        <v>0</v>
      </c>
      <c r="I297" s="27" t="n">
        <f aca="false">ROUND(MAX(0,I296*(1+I$8)-AE297),2)</f>
        <v>0</v>
      </c>
      <c r="J297" s="27" t="n">
        <f aca="false">ROUND(MAX(0,J296*(1+J$8)-AF297),2)</f>
        <v>0</v>
      </c>
      <c r="K297" s="27" t="n">
        <f aca="false">ROUND(MAX(0,K296*(1+K$8)-AG297),2)</f>
        <v>0</v>
      </c>
      <c r="L297" s="30" t="n">
        <f aca="false">SUM(B297:K297)</f>
        <v>0</v>
      </c>
      <c r="M297" s="27" t="n">
        <f aca="false">SUMPRODUCT(B296:K296,$B$8:$K$8)</f>
        <v>0</v>
      </c>
      <c r="N297" s="27" t="n">
        <f aca="false">MIN(B296*(1+B$8),B$9)</f>
        <v>0</v>
      </c>
      <c r="O297" s="27" t="n">
        <f aca="false">MIN(C296*(1+C$8),C$9)</f>
        <v>0</v>
      </c>
      <c r="P297" s="27" t="n">
        <f aca="false">MIN(D296*(1+D$8),D$9)</f>
        <v>0</v>
      </c>
      <c r="Q297" s="27" t="n">
        <f aca="false">MIN(E296*(1+E$8),E$9)</f>
        <v>0</v>
      </c>
      <c r="R297" s="27" t="n">
        <f aca="false">MIN(F296*(1+F$8),F$9)</f>
        <v>0</v>
      </c>
      <c r="S297" s="27" t="n">
        <f aca="false">MIN(G296*(1+G$8),G$9)</f>
        <v>0</v>
      </c>
      <c r="T297" s="27" t="n">
        <f aca="false">MIN(H296*(1+H$8),H$9)</f>
        <v>0</v>
      </c>
      <c r="U297" s="27" t="n">
        <f aca="false">MIN(I296*(1+I$8),I$9)</f>
        <v>0</v>
      </c>
      <c r="V297" s="27" t="n">
        <f aca="false">MIN(J296*(1+J$8),J$9)</f>
        <v>0</v>
      </c>
      <c r="W297" s="27" t="n">
        <f aca="false">MIN(K296*(1+K$8),K$9)</f>
        <v>0</v>
      </c>
      <c r="X297" s="27" t="n">
        <f aca="false">MIN(B296*(1+B$8),MAX(N297,$B$11-SUM(O297:W297)))</f>
        <v>0</v>
      </c>
      <c r="Y297" s="27" t="n">
        <f aca="false">MIN(C296*(1+C$8),MAX(O297,$B$11-SUM(X297:X297)-SUM(P297:W297)))</f>
        <v>0</v>
      </c>
      <c r="Z297" s="27" t="n">
        <f aca="false">MIN(D296*(1+D$8),MAX(P297,$B$11-SUM(X297:Y297)-SUM(Q297:W297)))</f>
        <v>0</v>
      </c>
      <c r="AA297" s="27" t="n">
        <f aca="false">MIN(E296*(1+E$8),MAX(Q297,$B$11-SUM(X297:Z297)-SUM(R297:W297)))</f>
        <v>0</v>
      </c>
      <c r="AB297" s="27" t="n">
        <f aca="false">MIN(F296*(1+F$8),MAX(R297,$B$11-SUM(X297:AA297)-SUM(S297:W297)))</f>
        <v>0</v>
      </c>
      <c r="AC297" s="27" t="n">
        <f aca="false">MIN(G296*(1+G$8),MAX(S297,$B$11-SUM(X297:AB297)-SUM(T297:W297)))</f>
        <v>0</v>
      </c>
      <c r="AD297" s="27" t="n">
        <f aca="false">MIN(H296*(1+H$8),MAX(T297,$B$11-SUM(X297:AC297)-SUM(U297:W297)))</f>
        <v>0</v>
      </c>
      <c r="AE297" s="27" t="n">
        <f aca="false">MIN(I296*(1+I$8),MAX(U297,$B$11-SUM(X297:AD297)-SUM(V297:W297)))</f>
        <v>0</v>
      </c>
      <c r="AF297" s="27" t="n">
        <f aca="false">MIN(J296*(1+J$8),MAX(V297,$B$11-SUM(X297:AE297)-SUM(W297:W297)))</f>
        <v>0</v>
      </c>
      <c r="AG297" s="27" t="n">
        <f aca="false">MIN(K296*(1+K$8),MAX(W297,$B$11-SUM(X297:AF297)))</f>
        <v>0</v>
      </c>
      <c r="AI297" s="27" t="n">
        <f aca="false">ROUND(MAX(0,AI296*(1+B$8)-BE297),2)</f>
        <v>0</v>
      </c>
      <c r="AJ297" s="27" t="n">
        <f aca="false">ROUND(MAX(0,AJ296*(1+C$8)-BF297),2)</f>
        <v>0</v>
      </c>
      <c r="AK297" s="27" t="n">
        <f aca="false">ROUND(MAX(0,AK296*(1+D$8)-BG297),2)</f>
        <v>0</v>
      </c>
      <c r="AL297" s="27" t="n">
        <f aca="false">ROUND(MAX(0,AL296*(1+E$8)-BH297),2)</f>
        <v>0</v>
      </c>
      <c r="AM297" s="27" t="n">
        <f aca="false">ROUND(MAX(0,AM296*(1+F$8)-BI297),2)</f>
        <v>0</v>
      </c>
      <c r="AN297" s="27" t="n">
        <f aca="false">ROUND(MAX(0,AN296*(1+G$8)-BJ297),2)</f>
        <v>0</v>
      </c>
      <c r="AO297" s="27" t="n">
        <f aca="false">ROUND(MAX(0,AO296*(1+H$8)-BK297),2)</f>
        <v>0</v>
      </c>
      <c r="AP297" s="27" t="n">
        <f aca="false">ROUND(MAX(0,AP296*(1+I$8)-BL297),2)</f>
        <v>0</v>
      </c>
      <c r="AQ297" s="27" t="n">
        <f aca="false">ROUND(MAX(0,AQ296*(1+J$8)-BM297),2)</f>
        <v>0</v>
      </c>
      <c r="AR297" s="27" t="n">
        <f aca="false">ROUND(MAX(0,AR296*(1+K$8)-BN297),2)</f>
        <v>0</v>
      </c>
      <c r="AS297" s="27" t="n">
        <f aca="false">SUM(AI297:AR297)</f>
        <v>0</v>
      </c>
      <c r="AT297" s="27" t="n">
        <f aca="false">SUMPRODUCT(AI296:AR296,$B$8:$K$8)</f>
        <v>0</v>
      </c>
      <c r="AU297" s="27" t="n">
        <f aca="false">MIN(AI296*(1+B$8),B$9)</f>
        <v>0</v>
      </c>
      <c r="AV297" s="27" t="n">
        <f aca="false">MIN(AJ296*(1+C$8),C$9)</f>
        <v>0</v>
      </c>
      <c r="AW297" s="27" t="n">
        <f aca="false">MIN(AK296*(1+D$8),D$9)</f>
        <v>0</v>
      </c>
      <c r="AX297" s="27" t="n">
        <f aca="false">MIN(AL296*(1+E$8),E$9)</f>
        <v>0</v>
      </c>
      <c r="AY297" s="27" t="n">
        <f aca="false">MIN(AM296*(1+F$8),F$9)</f>
        <v>0</v>
      </c>
      <c r="AZ297" s="27" t="n">
        <f aca="false">MIN(AN296*(1+G$8),G$9)</f>
        <v>0</v>
      </c>
      <c r="BA297" s="27" t="n">
        <f aca="false">MIN(AO296*(1+H$8),H$9)</f>
        <v>0</v>
      </c>
      <c r="BB297" s="27" t="n">
        <f aca="false">MIN(AP296*(1+I$8),I$9)</f>
        <v>0</v>
      </c>
      <c r="BC297" s="27" t="n">
        <f aca="false">MIN(AQ296*(1+J$8),J$9)</f>
        <v>0</v>
      </c>
      <c r="BD297" s="27" t="n">
        <f aca="false">MIN(AR296*(1+K$8),K$9)</f>
        <v>0</v>
      </c>
      <c r="BE297" s="27" t="n">
        <f aca="false">MIN(AI296*(1+B$8),MAX(AU297,$B$12-SUM(AV297:BD297)))</f>
        <v>0</v>
      </c>
      <c r="BF297" s="27" t="n">
        <f aca="false">MIN(AJ296*(1+C$8),MAX(AV297,$B$12-SUM(BE297:BE297)-SUM(AW297:BD297)))</f>
        <v>0</v>
      </c>
      <c r="BG297" s="27" t="n">
        <f aca="false">MIN(AK296*(1+D$8),MAX(AW297,$B$12-SUM(BE297:BF297)-SUM(AX297:BD297)))</f>
        <v>0</v>
      </c>
      <c r="BH297" s="27" t="n">
        <f aca="false">MIN(AL296*(1+E$8),MAX(AX297,$B$12-SUM(BE297:BG297)-SUM(AY297:BD297)))</f>
        <v>0</v>
      </c>
      <c r="BI297" s="27" t="n">
        <f aca="false">MIN(AM296*(1+F$8),MAX(AY297,$B$12-SUM(BE297:BH297)-SUM(AZ297:BD297)))</f>
        <v>0</v>
      </c>
      <c r="BJ297" s="27" t="n">
        <f aca="false">MIN(AN296*(1+G$8),MAX(AZ297,$B$12-SUM(BE297:BI297)-SUM(BA297:BD297)))</f>
        <v>0</v>
      </c>
      <c r="BK297" s="27" t="n">
        <f aca="false">MIN(AO296*(1+H$8),MAX(BA297,$B$12-SUM(BE297:BJ297)-SUM(BB297:BD297)))</f>
        <v>0</v>
      </c>
      <c r="BL297" s="27" t="n">
        <f aca="false">MIN(AP296*(1+I$8),MAX(BB297,$B$12-SUM(BE297:BK297)-SUM(BC297:BD297)))</f>
        <v>0</v>
      </c>
      <c r="BM297" s="27" t="n">
        <f aca="false">MIN(AQ296*(1+J$8),MAX(BC297,$B$12-SUM(BE297:BL297)-SUM(BD297:BD297)))</f>
        <v>0</v>
      </c>
      <c r="BN297" s="27" t="n">
        <f aca="false">MIN(AR296*(1+K$8),MAX(BD297,$B$12-SUM(BE297:BM297)))</f>
        <v>0</v>
      </c>
    </row>
    <row r="298" customFormat="false" ht="15" hidden="false" customHeight="false" outlineLevel="0" collapsed="false">
      <c r="A298" s="0" t="n">
        <v>284</v>
      </c>
      <c r="B298" s="27" t="n">
        <f aca="false">ROUND(MAX(0,B297*(1+B$8)-X298),2)</f>
        <v>0</v>
      </c>
      <c r="C298" s="27" t="n">
        <f aca="false">ROUND(MAX(0,C297*(1+C$8)-Y298),2)</f>
        <v>0</v>
      </c>
      <c r="D298" s="27" t="n">
        <f aca="false">ROUND(MAX(0,D297*(1+D$8)-Z298),2)</f>
        <v>0</v>
      </c>
      <c r="E298" s="27" t="n">
        <f aca="false">ROUND(MAX(0,E297*(1+E$8)-AA298),2)</f>
        <v>0</v>
      </c>
      <c r="F298" s="27" t="n">
        <f aca="false">ROUND(MAX(0,F297*(1+F$8)-AB298),2)</f>
        <v>0</v>
      </c>
      <c r="G298" s="27" t="n">
        <f aca="false">ROUND(MAX(0,G297*(1+G$8)-AC298),2)</f>
        <v>0</v>
      </c>
      <c r="H298" s="27" t="n">
        <f aca="false">ROUND(MAX(0,H297*(1+H$8)-AD298),2)</f>
        <v>0</v>
      </c>
      <c r="I298" s="27" t="n">
        <f aca="false">ROUND(MAX(0,I297*(1+I$8)-AE298),2)</f>
        <v>0</v>
      </c>
      <c r="J298" s="27" t="n">
        <f aca="false">ROUND(MAX(0,J297*(1+J$8)-AF298),2)</f>
        <v>0</v>
      </c>
      <c r="K298" s="27" t="n">
        <f aca="false">ROUND(MAX(0,K297*(1+K$8)-AG298),2)</f>
        <v>0</v>
      </c>
      <c r="L298" s="30" t="n">
        <f aca="false">SUM(B298:K298)</f>
        <v>0</v>
      </c>
      <c r="M298" s="27" t="n">
        <f aca="false">SUMPRODUCT(B297:K297,$B$8:$K$8)</f>
        <v>0</v>
      </c>
      <c r="N298" s="27" t="n">
        <f aca="false">MIN(B297*(1+B$8),B$9)</f>
        <v>0</v>
      </c>
      <c r="O298" s="27" t="n">
        <f aca="false">MIN(C297*(1+C$8),C$9)</f>
        <v>0</v>
      </c>
      <c r="P298" s="27" t="n">
        <f aca="false">MIN(D297*(1+D$8),D$9)</f>
        <v>0</v>
      </c>
      <c r="Q298" s="27" t="n">
        <f aca="false">MIN(E297*(1+E$8),E$9)</f>
        <v>0</v>
      </c>
      <c r="R298" s="27" t="n">
        <f aca="false">MIN(F297*(1+F$8),F$9)</f>
        <v>0</v>
      </c>
      <c r="S298" s="27" t="n">
        <f aca="false">MIN(G297*(1+G$8),G$9)</f>
        <v>0</v>
      </c>
      <c r="T298" s="27" t="n">
        <f aca="false">MIN(H297*(1+H$8),H$9)</f>
        <v>0</v>
      </c>
      <c r="U298" s="27" t="n">
        <f aca="false">MIN(I297*(1+I$8),I$9)</f>
        <v>0</v>
      </c>
      <c r="V298" s="27" t="n">
        <f aca="false">MIN(J297*(1+J$8),J$9)</f>
        <v>0</v>
      </c>
      <c r="W298" s="27" t="n">
        <f aca="false">MIN(K297*(1+K$8),K$9)</f>
        <v>0</v>
      </c>
      <c r="X298" s="27" t="n">
        <f aca="false">MIN(B297*(1+B$8),MAX(N298,$B$11-SUM(O298:W298)))</f>
        <v>0</v>
      </c>
      <c r="Y298" s="27" t="n">
        <f aca="false">MIN(C297*(1+C$8),MAX(O298,$B$11-SUM(X298:X298)-SUM(P298:W298)))</f>
        <v>0</v>
      </c>
      <c r="Z298" s="27" t="n">
        <f aca="false">MIN(D297*(1+D$8),MAX(P298,$B$11-SUM(X298:Y298)-SUM(Q298:W298)))</f>
        <v>0</v>
      </c>
      <c r="AA298" s="27" t="n">
        <f aca="false">MIN(E297*(1+E$8),MAX(Q298,$B$11-SUM(X298:Z298)-SUM(R298:W298)))</f>
        <v>0</v>
      </c>
      <c r="AB298" s="27" t="n">
        <f aca="false">MIN(F297*(1+F$8),MAX(R298,$B$11-SUM(X298:AA298)-SUM(S298:W298)))</f>
        <v>0</v>
      </c>
      <c r="AC298" s="27" t="n">
        <f aca="false">MIN(G297*(1+G$8),MAX(S298,$B$11-SUM(X298:AB298)-SUM(T298:W298)))</f>
        <v>0</v>
      </c>
      <c r="AD298" s="27" t="n">
        <f aca="false">MIN(H297*(1+H$8),MAX(T298,$B$11-SUM(X298:AC298)-SUM(U298:W298)))</f>
        <v>0</v>
      </c>
      <c r="AE298" s="27" t="n">
        <f aca="false">MIN(I297*(1+I$8),MAX(U298,$B$11-SUM(X298:AD298)-SUM(V298:W298)))</f>
        <v>0</v>
      </c>
      <c r="AF298" s="27" t="n">
        <f aca="false">MIN(J297*(1+J$8),MAX(V298,$B$11-SUM(X298:AE298)-SUM(W298:W298)))</f>
        <v>0</v>
      </c>
      <c r="AG298" s="27" t="n">
        <f aca="false">MIN(K297*(1+K$8),MAX(W298,$B$11-SUM(X298:AF298)))</f>
        <v>0</v>
      </c>
      <c r="AI298" s="27" t="n">
        <f aca="false">ROUND(MAX(0,AI297*(1+B$8)-BE298),2)</f>
        <v>0</v>
      </c>
      <c r="AJ298" s="27" t="n">
        <f aca="false">ROUND(MAX(0,AJ297*(1+C$8)-BF298),2)</f>
        <v>0</v>
      </c>
      <c r="AK298" s="27" t="n">
        <f aca="false">ROUND(MAX(0,AK297*(1+D$8)-BG298),2)</f>
        <v>0</v>
      </c>
      <c r="AL298" s="27" t="n">
        <f aca="false">ROUND(MAX(0,AL297*(1+E$8)-BH298),2)</f>
        <v>0</v>
      </c>
      <c r="AM298" s="27" t="n">
        <f aca="false">ROUND(MAX(0,AM297*(1+F$8)-BI298),2)</f>
        <v>0</v>
      </c>
      <c r="AN298" s="27" t="n">
        <f aca="false">ROUND(MAX(0,AN297*(1+G$8)-BJ298),2)</f>
        <v>0</v>
      </c>
      <c r="AO298" s="27" t="n">
        <f aca="false">ROUND(MAX(0,AO297*(1+H$8)-BK298),2)</f>
        <v>0</v>
      </c>
      <c r="AP298" s="27" t="n">
        <f aca="false">ROUND(MAX(0,AP297*(1+I$8)-BL298),2)</f>
        <v>0</v>
      </c>
      <c r="AQ298" s="27" t="n">
        <f aca="false">ROUND(MAX(0,AQ297*(1+J$8)-BM298),2)</f>
        <v>0</v>
      </c>
      <c r="AR298" s="27" t="n">
        <f aca="false">ROUND(MAX(0,AR297*(1+K$8)-BN298),2)</f>
        <v>0</v>
      </c>
      <c r="AS298" s="27" t="n">
        <f aca="false">SUM(AI298:AR298)</f>
        <v>0</v>
      </c>
      <c r="AT298" s="27" t="n">
        <f aca="false">SUMPRODUCT(AI297:AR297,$B$8:$K$8)</f>
        <v>0</v>
      </c>
      <c r="AU298" s="27" t="n">
        <f aca="false">MIN(AI297*(1+B$8),B$9)</f>
        <v>0</v>
      </c>
      <c r="AV298" s="27" t="n">
        <f aca="false">MIN(AJ297*(1+C$8),C$9)</f>
        <v>0</v>
      </c>
      <c r="AW298" s="27" t="n">
        <f aca="false">MIN(AK297*(1+D$8),D$9)</f>
        <v>0</v>
      </c>
      <c r="AX298" s="27" t="n">
        <f aca="false">MIN(AL297*(1+E$8),E$9)</f>
        <v>0</v>
      </c>
      <c r="AY298" s="27" t="n">
        <f aca="false">MIN(AM297*(1+F$8),F$9)</f>
        <v>0</v>
      </c>
      <c r="AZ298" s="27" t="n">
        <f aca="false">MIN(AN297*(1+G$8),G$9)</f>
        <v>0</v>
      </c>
      <c r="BA298" s="27" t="n">
        <f aca="false">MIN(AO297*(1+H$8),H$9)</f>
        <v>0</v>
      </c>
      <c r="BB298" s="27" t="n">
        <f aca="false">MIN(AP297*(1+I$8),I$9)</f>
        <v>0</v>
      </c>
      <c r="BC298" s="27" t="n">
        <f aca="false">MIN(AQ297*(1+J$8),J$9)</f>
        <v>0</v>
      </c>
      <c r="BD298" s="27" t="n">
        <f aca="false">MIN(AR297*(1+K$8),K$9)</f>
        <v>0</v>
      </c>
      <c r="BE298" s="27" t="n">
        <f aca="false">MIN(AI297*(1+B$8),MAX(AU298,$B$12-SUM(AV298:BD298)))</f>
        <v>0</v>
      </c>
      <c r="BF298" s="27" t="n">
        <f aca="false">MIN(AJ297*(1+C$8),MAX(AV298,$B$12-SUM(BE298:BE298)-SUM(AW298:BD298)))</f>
        <v>0</v>
      </c>
      <c r="BG298" s="27" t="n">
        <f aca="false">MIN(AK297*(1+D$8),MAX(AW298,$B$12-SUM(BE298:BF298)-SUM(AX298:BD298)))</f>
        <v>0</v>
      </c>
      <c r="BH298" s="27" t="n">
        <f aca="false">MIN(AL297*(1+E$8),MAX(AX298,$B$12-SUM(BE298:BG298)-SUM(AY298:BD298)))</f>
        <v>0</v>
      </c>
      <c r="BI298" s="27" t="n">
        <f aca="false">MIN(AM297*(1+F$8),MAX(AY298,$B$12-SUM(BE298:BH298)-SUM(AZ298:BD298)))</f>
        <v>0</v>
      </c>
      <c r="BJ298" s="27" t="n">
        <f aca="false">MIN(AN297*(1+G$8),MAX(AZ298,$B$12-SUM(BE298:BI298)-SUM(BA298:BD298)))</f>
        <v>0</v>
      </c>
      <c r="BK298" s="27" t="n">
        <f aca="false">MIN(AO297*(1+H$8),MAX(BA298,$B$12-SUM(BE298:BJ298)-SUM(BB298:BD298)))</f>
        <v>0</v>
      </c>
      <c r="BL298" s="27" t="n">
        <f aca="false">MIN(AP297*(1+I$8),MAX(BB298,$B$12-SUM(BE298:BK298)-SUM(BC298:BD298)))</f>
        <v>0</v>
      </c>
      <c r="BM298" s="27" t="n">
        <f aca="false">MIN(AQ297*(1+J$8),MAX(BC298,$B$12-SUM(BE298:BL298)-SUM(BD298:BD298)))</f>
        <v>0</v>
      </c>
      <c r="BN298" s="27" t="n">
        <f aca="false">MIN(AR297*(1+K$8),MAX(BD298,$B$12-SUM(BE298:BM298)))</f>
        <v>0</v>
      </c>
    </row>
    <row r="299" customFormat="false" ht="15" hidden="false" customHeight="false" outlineLevel="0" collapsed="false">
      <c r="A299" s="0" t="n">
        <v>285</v>
      </c>
      <c r="B299" s="27" t="n">
        <f aca="false">ROUND(MAX(0,B298*(1+B$8)-X299),2)</f>
        <v>0</v>
      </c>
      <c r="C299" s="27" t="n">
        <f aca="false">ROUND(MAX(0,C298*(1+C$8)-Y299),2)</f>
        <v>0</v>
      </c>
      <c r="D299" s="27" t="n">
        <f aca="false">ROUND(MAX(0,D298*(1+D$8)-Z299),2)</f>
        <v>0</v>
      </c>
      <c r="E299" s="27" t="n">
        <f aca="false">ROUND(MAX(0,E298*(1+E$8)-AA299),2)</f>
        <v>0</v>
      </c>
      <c r="F299" s="27" t="n">
        <f aca="false">ROUND(MAX(0,F298*(1+F$8)-AB299),2)</f>
        <v>0</v>
      </c>
      <c r="G299" s="27" t="n">
        <f aca="false">ROUND(MAX(0,G298*(1+G$8)-AC299),2)</f>
        <v>0</v>
      </c>
      <c r="H299" s="27" t="n">
        <f aca="false">ROUND(MAX(0,H298*(1+H$8)-AD299),2)</f>
        <v>0</v>
      </c>
      <c r="I299" s="27" t="n">
        <f aca="false">ROUND(MAX(0,I298*(1+I$8)-AE299),2)</f>
        <v>0</v>
      </c>
      <c r="J299" s="27" t="n">
        <f aca="false">ROUND(MAX(0,J298*(1+J$8)-AF299),2)</f>
        <v>0</v>
      </c>
      <c r="K299" s="27" t="n">
        <f aca="false">ROUND(MAX(0,K298*(1+K$8)-AG299),2)</f>
        <v>0</v>
      </c>
      <c r="L299" s="30" t="n">
        <f aca="false">SUM(B299:K299)</f>
        <v>0</v>
      </c>
      <c r="M299" s="27" t="n">
        <f aca="false">SUMPRODUCT(B298:K298,$B$8:$K$8)</f>
        <v>0</v>
      </c>
      <c r="N299" s="27" t="n">
        <f aca="false">MIN(B298*(1+B$8),B$9)</f>
        <v>0</v>
      </c>
      <c r="O299" s="27" t="n">
        <f aca="false">MIN(C298*(1+C$8),C$9)</f>
        <v>0</v>
      </c>
      <c r="P299" s="27" t="n">
        <f aca="false">MIN(D298*(1+D$8),D$9)</f>
        <v>0</v>
      </c>
      <c r="Q299" s="27" t="n">
        <f aca="false">MIN(E298*(1+E$8),E$9)</f>
        <v>0</v>
      </c>
      <c r="R299" s="27" t="n">
        <f aca="false">MIN(F298*(1+F$8),F$9)</f>
        <v>0</v>
      </c>
      <c r="S299" s="27" t="n">
        <f aca="false">MIN(G298*(1+G$8),G$9)</f>
        <v>0</v>
      </c>
      <c r="T299" s="27" t="n">
        <f aca="false">MIN(H298*(1+H$8),H$9)</f>
        <v>0</v>
      </c>
      <c r="U299" s="27" t="n">
        <f aca="false">MIN(I298*(1+I$8),I$9)</f>
        <v>0</v>
      </c>
      <c r="V299" s="27" t="n">
        <f aca="false">MIN(J298*(1+J$8),J$9)</f>
        <v>0</v>
      </c>
      <c r="W299" s="27" t="n">
        <f aca="false">MIN(K298*(1+K$8),K$9)</f>
        <v>0</v>
      </c>
      <c r="X299" s="27" t="n">
        <f aca="false">MIN(B298*(1+B$8),MAX(N299,$B$11-SUM(O299:W299)))</f>
        <v>0</v>
      </c>
      <c r="Y299" s="27" t="n">
        <f aca="false">MIN(C298*(1+C$8),MAX(O299,$B$11-SUM(X299:X299)-SUM(P299:W299)))</f>
        <v>0</v>
      </c>
      <c r="Z299" s="27" t="n">
        <f aca="false">MIN(D298*(1+D$8),MAX(P299,$B$11-SUM(X299:Y299)-SUM(Q299:W299)))</f>
        <v>0</v>
      </c>
      <c r="AA299" s="27" t="n">
        <f aca="false">MIN(E298*(1+E$8),MAX(Q299,$B$11-SUM(X299:Z299)-SUM(R299:W299)))</f>
        <v>0</v>
      </c>
      <c r="AB299" s="27" t="n">
        <f aca="false">MIN(F298*(1+F$8),MAX(R299,$B$11-SUM(X299:AA299)-SUM(S299:W299)))</f>
        <v>0</v>
      </c>
      <c r="AC299" s="27" t="n">
        <f aca="false">MIN(G298*(1+G$8),MAX(S299,$B$11-SUM(X299:AB299)-SUM(T299:W299)))</f>
        <v>0</v>
      </c>
      <c r="AD299" s="27" t="n">
        <f aca="false">MIN(H298*(1+H$8),MAX(T299,$B$11-SUM(X299:AC299)-SUM(U299:W299)))</f>
        <v>0</v>
      </c>
      <c r="AE299" s="27" t="n">
        <f aca="false">MIN(I298*(1+I$8),MAX(U299,$B$11-SUM(X299:AD299)-SUM(V299:W299)))</f>
        <v>0</v>
      </c>
      <c r="AF299" s="27" t="n">
        <f aca="false">MIN(J298*(1+J$8),MAX(V299,$B$11-SUM(X299:AE299)-SUM(W299:W299)))</f>
        <v>0</v>
      </c>
      <c r="AG299" s="27" t="n">
        <f aca="false">MIN(K298*(1+K$8),MAX(W299,$B$11-SUM(X299:AF299)))</f>
        <v>0</v>
      </c>
      <c r="AI299" s="27" t="n">
        <f aca="false">ROUND(MAX(0,AI298*(1+B$8)-BE299),2)</f>
        <v>0</v>
      </c>
      <c r="AJ299" s="27" t="n">
        <f aca="false">ROUND(MAX(0,AJ298*(1+C$8)-BF299),2)</f>
        <v>0</v>
      </c>
      <c r="AK299" s="27" t="n">
        <f aca="false">ROUND(MAX(0,AK298*(1+D$8)-BG299),2)</f>
        <v>0</v>
      </c>
      <c r="AL299" s="27" t="n">
        <f aca="false">ROUND(MAX(0,AL298*(1+E$8)-BH299),2)</f>
        <v>0</v>
      </c>
      <c r="AM299" s="27" t="n">
        <f aca="false">ROUND(MAX(0,AM298*(1+F$8)-BI299),2)</f>
        <v>0</v>
      </c>
      <c r="AN299" s="27" t="n">
        <f aca="false">ROUND(MAX(0,AN298*(1+G$8)-BJ299),2)</f>
        <v>0</v>
      </c>
      <c r="AO299" s="27" t="n">
        <f aca="false">ROUND(MAX(0,AO298*(1+H$8)-BK299),2)</f>
        <v>0</v>
      </c>
      <c r="AP299" s="27" t="n">
        <f aca="false">ROUND(MAX(0,AP298*(1+I$8)-BL299),2)</f>
        <v>0</v>
      </c>
      <c r="AQ299" s="27" t="n">
        <f aca="false">ROUND(MAX(0,AQ298*(1+J$8)-BM299),2)</f>
        <v>0</v>
      </c>
      <c r="AR299" s="27" t="n">
        <f aca="false">ROUND(MAX(0,AR298*(1+K$8)-BN299),2)</f>
        <v>0</v>
      </c>
      <c r="AS299" s="27" t="n">
        <f aca="false">SUM(AI299:AR299)</f>
        <v>0</v>
      </c>
      <c r="AT299" s="27" t="n">
        <f aca="false">SUMPRODUCT(AI298:AR298,$B$8:$K$8)</f>
        <v>0</v>
      </c>
      <c r="AU299" s="27" t="n">
        <f aca="false">MIN(AI298*(1+B$8),B$9)</f>
        <v>0</v>
      </c>
      <c r="AV299" s="27" t="n">
        <f aca="false">MIN(AJ298*(1+C$8),C$9)</f>
        <v>0</v>
      </c>
      <c r="AW299" s="27" t="n">
        <f aca="false">MIN(AK298*(1+D$8),D$9)</f>
        <v>0</v>
      </c>
      <c r="AX299" s="27" t="n">
        <f aca="false">MIN(AL298*(1+E$8),E$9)</f>
        <v>0</v>
      </c>
      <c r="AY299" s="27" t="n">
        <f aca="false">MIN(AM298*(1+F$8),F$9)</f>
        <v>0</v>
      </c>
      <c r="AZ299" s="27" t="n">
        <f aca="false">MIN(AN298*(1+G$8),G$9)</f>
        <v>0</v>
      </c>
      <c r="BA299" s="27" t="n">
        <f aca="false">MIN(AO298*(1+H$8),H$9)</f>
        <v>0</v>
      </c>
      <c r="BB299" s="27" t="n">
        <f aca="false">MIN(AP298*(1+I$8),I$9)</f>
        <v>0</v>
      </c>
      <c r="BC299" s="27" t="n">
        <f aca="false">MIN(AQ298*(1+J$8),J$9)</f>
        <v>0</v>
      </c>
      <c r="BD299" s="27" t="n">
        <f aca="false">MIN(AR298*(1+K$8),K$9)</f>
        <v>0</v>
      </c>
      <c r="BE299" s="27" t="n">
        <f aca="false">MIN(AI298*(1+B$8),MAX(AU299,$B$12-SUM(AV299:BD299)))</f>
        <v>0</v>
      </c>
      <c r="BF299" s="27" t="n">
        <f aca="false">MIN(AJ298*(1+C$8),MAX(AV299,$B$12-SUM(BE299:BE299)-SUM(AW299:BD299)))</f>
        <v>0</v>
      </c>
      <c r="BG299" s="27" t="n">
        <f aca="false">MIN(AK298*(1+D$8),MAX(AW299,$B$12-SUM(BE299:BF299)-SUM(AX299:BD299)))</f>
        <v>0</v>
      </c>
      <c r="BH299" s="27" t="n">
        <f aca="false">MIN(AL298*(1+E$8),MAX(AX299,$B$12-SUM(BE299:BG299)-SUM(AY299:BD299)))</f>
        <v>0</v>
      </c>
      <c r="BI299" s="27" t="n">
        <f aca="false">MIN(AM298*(1+F$8),MAX(AY299,$B$12-SUM(BE299:BH299)-SUM(AZ299:BD299)))</f>
        <v>0</v>
      </c>
      <c r="BJ299" s="27" t="n">
        <f aca="false">MIN(AN298*(1+G$8),MAX(AZ299,$B$12-SUM(BE299:BI299)-SUM(BA299:BD299)))</f>
        <v>0</v>
      </c>
      <c r="BK299" s="27" t="n">
        <f aca="false">MIN(AO298*(1+H$8),MAX(BA299,$B$12-SUM(BE299:BJ299)-SUM(BB299:BD299)))</f>
        <v>0</v>
      </c>
      <c r="BL299" s="27" t="n">
        <f aca="false">MIN(AP298*(1+I$8),MAX(BB299,$B$12-SUM(BE299:BK299)-SUM(BC299:BD299)))</f>
        <v>0</v>
      </c>
      <c r="BM299" s="27" t="n">
        <f aca="false">MIN(AQ298*(1+J$8),MAX(BC299,$B$12-SUM(BE299:BL299)-SUM(BD299:BD299)))</f>
        <v>0</v>
      </c>
      <c r="BN299" s="27" t="n">
        <f aca="false">MIN(AR298*(1+K$8),MAX(BD299,$B$12-SUM(BE299:BM299)))</f>
        <v>0</v>
      </c>
    </row>
    <row r="300" customFormat="false" ht="15" hidden="false" customHeight="false" outlineLevel="0" collapsed="false">
      <c r="A300" s="0" t="n">
        <v>286</v>
      </c>
      <c r="B300" s="27" t="n">
        <f aca="false">ROUND(MAX(0,B299*(1+B$8)-X300),2)</f>
        <v>0</v>
      </c>
      <c r="C300" s="27" t="n">
        <f aca="false">ROUND(MAX(0,C299*(1+C$8)-Y300),2)</f>
        <v>0</v>
      </c>
      <c r="D300" s="27" t="n">
        <f aca="false">ROUND(MAX(0,D299*(1+D$8)-Z300),2)</f>
        <v>0</v>
      </c>
      <c r="E300" s="27" t="n">
        <f aca="false">ROUND(MAX(0,E299*(1+E$8)-AA300),2)</f>
        <v>0</v>
      </c>
      <c r="F300" s="27" t="n">
        <f aca="false">ROUND(MAX(0,F299*(1+F$8)-AB300),2)</f>
        <v>0</v>
      </c>
      <c r="G300" s="27" t="n">
        <f aca="false">ROUND(MAX(0,G299*(1+G$8)-AC300),2)</f>
        <v>0</v>
      </c>
      <c r="H300" s="27" t="n">
        <f aca="false">ROUND(MAX(0,H299*(1+H$8)-AD300),2)</f>
        <v>0</v>
      </c>
      <c r="I300" s="27" t="n">
        <f aca="false">ROUND(MAX(0,I299*(1+I$8)-AE300),2)</f>
        <v>0</v>
      </c>
      <c r="J300" s="27" t="n">
        <f aca="false">ROUND(MAX(0,J299*(1+J$8)-AF300),2)</f>
        <v>0</v>
      </c>
      <c r="K300" s="27" t="n">
        <f aca="false">ROUND(MAX(0,K299*(1+K$8)-AG300),2)</f>
        <v>0</v>
      </c>
      <c r="L300" s="30" t="n">
        <f aca="false">SUM(B300:K300)</f>
        <v>0</v>
      </c>
      <c r="M300" s="27" t="n">
        <f aca="false">SUMPRODUCT(B299:K299,$B$8:$K$8)</f>
        <v>0</v>
      </c>
      <c r="N300" s="27" t="n">
        <f aca="false">MIN(B299*(1+B$8),B$9)</f>
        <v>0</v>
      </c>
      <c r="O300" s="27" t="n">
        <f aca="false">MIN(C299*(1+C$8),C$9)</f>
        <v>0</v>
      </c>
      <c r="P300" s="27" t="n">
        <f aca="false">MIN(D299*(1+D$8),D$9)</f>
        <v>0</v>
      </c>
      <c r="Q300" s="27" t="n">
        <f aca="false">MIN(E299*(1+E$8),E$9)</f>
        <v>0</v>
      </c>
      <c r="R300" s="27" t="n">
        <f aca="false">MIN(F299*(1+F$8),F$9)</f>
        <v>0</v>
      </c>
      <c r="S300" s="27" t="n">
        <f aca="false">MIN(G299*(1+G$8),G$9)</f>
        <v>0</v>
      </c>
      <c r="T300" s="27" t="n">
        <f aca="false">MIN(H299*(1+H$8),H$9)</f>
        <v>0</v>
      </c>
      <c r="U300" s="27" t="n">
        <f aca="false">MIN(I299*(1+I$8),I$9)</f>
        <v>0</v>
      </c>
      <c r="V300" s="27" t="n">
        <f aca="false">MIN(J299*(1+J$8),J$9)</f>
        <v>0</v>
      </c>
      <c r="W300" s="27" t="n">
        <f aca="false">MIN(K299*(1+K$8),K$9)</f>
        <v>0</v>
      </c>
      <c r="X300" s="27" t="n">
        <f aca="false">MIN(B299*(1+B$8),MAX(N300,$B$11-SUM(O300:W300)))</f>
        <v>0</v>
      </c>
      <c r="Y300" s="27" t="n">
        <f aca="false">MIN(C299*(1+C$8),MAX(O300,$B$11-SUM(X300:X300)-SUM(P300:W300)))</f>
        <v>0</v>
      </c>
      <c r="Z300" s="27" t="n">
        <f aca="false">MIN(D299*(1+D$8),MAX(P300,$B$11-SUM(X300:Y300)-SUM(Q300:W300)))</f>
        <v>0</v>
      </c>
      <c r="AA300" s="27" t="n">
        <f aca="false">MIN(E299*(1+E$8),MAX(Q300,$B$11-SUM(X300:Z300)-SUM(R300:W300)))</f>
        <v>0</v>
      </c>
      <c r="AB300" s="27" t="n">
        <f aca="false">MIN(F299*(1+F$8),MAX(R300,$B$11-SUM(X300:AA300)-SUM(S300:W300)))</f>
        <v>0</v>
      </c>
      <c r="AC300" s="27" t="n">
        <f aca="false">MIN(G299*(1+G$8),MAX(S300,$B$11-SUM(X300:AB300)-SUM(T300:W300)))</f>
        <v>0</v>
      </c>
      <c r="AD300" s="27" t="n">
        <f aca="false">MIN(H299*(1+H$8),MAX(T300,$B$11-SUM(X300:AC300)-SUM(U300:W300)))</f>
        <v>0</v>
      </c>
      <c r="AE300" s="27" t="n">
        <f aca="false">MIN(I299*(1+I$8),MAX(U300,$B$11-SUM(X300:AD300)-SUM(V300:W300)))</f>
        <v>0</v>
      </c>
      <c r="AF300" s="27" t="n">
        <f aca="false">MIN(J299*(1+J$8),MAX(V300,$B$11-SUM(X300:AE300)-SUM(W300:W300)))</f>
        <v>0</v>
      </c>
      <c r="AG300" s="27" t="n">
        <f aca="false">MIN(K299*(1+K$8),MAX(W300,$B$11-SUM(X300:AF300)))</f>
        <v>0</v>
      </c>
      <c r="AI300" s="27" t="n">
        <f aca="false">ROUND(MAX(0,AI299*(1+B$8)-BE300),2)</f>
        <v>0</v>
      </c>
      <c r="AJ300" s="27" t="n">
        <f aca="false">ROUND(MAX(0,AJ299*(1+C$8)-BF300),2)</f>
        <v>0</v>
      </c>
      <c r="AK300" s="27" t="n">
        <f aca="false">ROUND(MAX(0,AK299*(1+D$8)-BG300),2)</f>
        <v>0</v>
      </c>
      <c r="AL300" s="27" t="n">
        <f aca="false">ROUND(MAX(0,AL299*(1+E$8)-BH300),2)</f>
        <v>0</v>
      </c>
      <c r="AM300" s="27" t="n">
        <f aca="false">ROUND(MAX(0,AM299*(1+F$8)-BI300),2)</f>
        <v>0</v>
      </c>
      <c r="AN300" s="27" t="n">
        <f aca="false">ROUND(MAX(0,AN299*(1+G$8)-BJ300),2)</f>
        <v>0</v>
      </c>
      <c r="AO300" s="27" t="n">
        <f aca="false">ROUND(MAX(0,AO299*(1+H$8)-BK300),2)</f>
        <v>0</v>
      </c>
      <c r="AP300" s="27" t="n">
        <f aca="false">ROUND(MAX(0,AP299*(1+I$8)-BL300),2)</f>
        <v>0</v>
      </c>
      <c r="AQ300" s="27" t="n">
        <f aca="false">ROUND(MAX(0,AQ299*(1+J$8)-BM300),2)</f>
        <v>0</v>
      </c>
      <c r="AR300" s="27" t="n">
        <f aca="false">ROUND(MAX(0,AR299*(1+K$8)-BN300),2)</f>
        <v>0</v>
      </c>
      <c r="AS300" s="27" t="n">
        <f aca="false">SUM(AI300:AR300)</f>
        <v>0</v>
      </c>
      <c r="AT300" s="27" t="n">
        <f aca="false">SUMPRODUCT(AI299:AR299,$B$8:$K$8)</f>
        <v>0</v>
      </c>
      <c r="AU300" s="27" t="n">
        <f aca="false">MIN(AI299*(1+B$8),B$9)</f>
        <v>0</v>
      </c>
      <c r="AV300" s="27" t="n">
        <f aca="false">MIN(AJ299*(1+C$8),C$9)</f>
        <v>0</v>
      </c>
      <c r="AW300" s="27" t="n">
        <f aca="false">MIN(AK299*(1+D$8),D$9)</f>
        <v>0</v>
      </c>
      <c r="AX300" s="27" t="n">
        <f aca="false">MIN(AL299*(1+E$8),E$9)</f>
        <v>0</v>
      </c>
      <c r="AY300" s="27" t="n">
        <f aca="false">MIN(AM299*(1+F$8),F$9)</f>
        <v>0</v>
      </c>
      <c r="AZ300" s="27" t="n">
        <f aca="false">MIN(AN299*(1+G$8),G$9)</f>
        <v>0</v>
      </c>
      <c r="BA300" s="27" t="n">
        <f aca="false">MIN(AO299*(1+H$8),H$9)</f>
        <v>0</v>
      </c>
      <c r="BB300" s="27" t="n">
        <f aca="false">MIN(AP299*(1+I$8),I$9)</f>
        <v>0</v>
      </c>
      <c r="BC300" s="27" t="n">
        <f aca="false">MIN(AQ299*(1+J$8),J$9)</f>
        <v>0</v>
      </c>
      <c r="BD300" s="27" t="n">
        <f aca="false">MIN(AR299*(1+K$8),K$9)</f>
        <v>0</v>
      </c>
      <c r="BE300" s="27" t="n">
        <f aca="false">MIN(AI299*(1+B$8),MAX(AU300,$B$12-SUM(AV300:BD300)))</f>
        <v>0</v>
      </c>
      <c r="BF300" s="27" t="n">
        <f aca="false">MIN(AJ299*(1+C$8),MAX(AV300,$B$12-SUM(BE300:BE300)-SUM(AW300:BD300)))</f>
        <v>0</v>
      </c>
      <c r="BG300" s="27" t="n">
        <f aca="false">MIN(AK299*(1+D$8),MAX(AW300,$B$12-SUM(BE300:BF300)-SUM(AX300:BD300)))</f>
        <v>0</v>
      </c>
      <c r="BH300" s="27" t="n">
        <f aca="false">MIN(AL299*(1+E$8),MAX(AX300,$B$12-SUM(BE300:BG300)-SUM(AY300:BD300)))</f>
        <v>0</v>
      </c>
      <c r="BI300" s="27" t="n">
        <f aca="false">MIN(AM299*(1+F$8),MAX(AY300,$B$12-SUM(BE300:BH300)-SUM(AZ300:BD300)))</f>
        <v>0</v>
      </c>
      <c r="BJ300" s="27" t="n">
        <f aca="false">MIN(AN299*(1+G$8),MAX(AZ300,$B$12-SUM(BE300:BI300)-SUM(BA300:BD300)))</f>
        <v>0</v>
      </c>
      <c r="BK300" s="27" t="n">
        <f aca="false">MIN(AO299*(1+H$8),MAX(BA300,$B$12-SUM(BE300:BJ300)-SUM(BB300:BD300)))</f>
        <v>0</v>
      </c>
      <c r="BL300" s="27" t="n">
        <f aca="false">MIN(AP299*(1+I$8),MAX(BB300,$B$12-SUM(BE300:BK300)-SUM(BC300:BD300)))</f>
        <v>0</v>
      </c>
      <c r="BM300" s="27" t="n">
        <f aca="false">MIN(AQ299*(1+J$8),MAX(BC300,$B$12-SUM(BE300:BL300)-SUM(BD300:BD300)))</f>
        <v>0</v>
      </c>
      <c r="BN300" s="27" t="n">
        <f aca="false">MIN(AR299*(1+K$8),MAX(BD300,$B$12-SUM(BE300:BM300)))</f>
        <v>0</v>
      </c>
    </row>
    <row r="301" customFormat="false" ht="15" hidden="false" customHeight="false" outlineLevel="0" collapsed="false">
      <c r="A301" s="0" t="n">
        <v>287</v>
      </c>
      <c r="B301" s="27" t="n">
        <f aca="false">ROUND(MAX(0,B300*(1+B$8)-X301),2)</f>
        <v>0</v>
      </c>
      <c r="C301" s="27" t="n">
        <f aca="false">ROUND(MAX(0,C300*(1+C$8)-Y301),2)</f>
        <v>0</v>
      </c>
      <c r="D301" s="27" t="n">
        <f aca="false">ROUND(MAX(0,D300*(1+D$8)-Z301),2)</f>
        <v>0</v>
      </c>
      <c r="E301" s="27" t="n">
        <f aca="false">ROUND(MAX(0,E300*(1+E$8)-AA301),2)</f>
        <v>0</v>
      </c>
      <c r="F301" s="27" t="n">
        <f aca="false">ROUND(MAX(0,F300*(1+F$8)-AB301),2)</f>
        <v>0</v>
      </c>
      <c r="G301" s="27" t="n">
        <f aca="false">ROUND(MAX(0,G300*(1+G$8)-AC301),2)</f>
        <v>0</v>
      </c>
      <c r="H301" s="27" t="n">
        <f aca="false">ROUND(MAX(0,H300*(1+H$8)-AD301),2)</f>
        <v>0</v>
      </c>
      <c r="I301" s="27" t="n">
        <f aca="false">ROUND(MAX(0,I300*(1+I$8)-AE301),2)</f>
        <v>0</v>
      </c>
      <c r="J301" s="27" t="n">
        <f aca="false">ROUND(MAX(0,J300*(1+J$8)-AF301),2)</f>
        <v>0</v>
      </c>
      <c r="K301" s="27" t="n">
        <f aca="false">ROUND(MAX(0,K300*(1+K$8)-AG301),2)</f>
        <v>0</v>
      </c>
      <c r="L301" s="30" t="n">
        <f aca="false">SUM(B301:K301)</f>
        <v>0</v>
      </c>
      <c r="M301" s="27" t="n">
        <f aca="false">SUMPRODUCT(B300:K300,$B$8:$K$8)</f>
        <v>0</v>
      </c>
      <c r="N301" s="27" t="n">
        <f aca="false">MIN(B300*(1+B$8),B$9)</f>
        <v>0</v>
      </c>
      <c r="O301" s="27" t="n">
        <f aca="false">MIN(C300*(1+C$8),C$9)</f>
        <v>0</v>
      </c>
      <c r="P301" s="27" t="n">
        <f aca="false">MIN(D300*(1+D$8),D$9)</f>
        <v>0</v>
      </c>
      <c r="Q301" s="27" t="n">
        <f aca="false">MIN(E300*(1+E$8),E$9)</f>
        <v>0</v>
      </c>
      <c r="R301" s="27" t="n">
        <f aca="false">MIN(F300*(1+F$8),F$9)</f>
        <v>0</v>
      </c>
      <c r="S301" s="27" t="n">
        <f aca="false">MIN(G300*(1+G$8),G$9)</f>
        <v>0</v>
      </c>
      <c r="T301" s="27" t="n">
        <f aca="false">MIN(H300*(1+H$8),H$9)</f>
        <v>0</v>
      </c>
      <c r="U301" s="27" t="n">
        <f aca="false">MIN(I300*(1+I$8),I$9)</f>
        <v>0</v>
      </c>
      <c r="V301" s="27" t="n">
        <f aca="false">MIN(J300*(1+J$8),J$9)</f>
        <v>0</v>
      </c>
      <c r="W301" s="27" t="n">
        <f aca="false">MIN(K300*(1+K$8),K$9)</f>
        <v>0</v>
      </c>
      <c r="X301" s="27" t="n">
        <f aca="false">MIN(B300*(1+B$8),MAX(N301,$B$11-SUM(O301:W301)))</f>
        <v>0</v>
      </c>
      <c r="Y301" s="27" t="n">
        <f aca="false">MIN(C300*(1+C$8),MAX(O301,$B$11-SUM(X301:X301)-SUM(P301:W301)))</f>
        <v>0</v>
      </c>
      <c r="Z301" s="27" t="n">
        <f aca="false">MIN(D300*(1+D$8),MAX(P301,$B$11-SUM(X301:Y301)-SUM(Q301:W301)))</f>
        <v>0</v>
      </c>
      <c r="AA301" s="27" t="n">
        <f aca="false">MIN(E300*(1+E$8),MAX(Q301,$B$11-SUM(X301:Z301)-SUM(R301:W301)))</f>
        <v>0</v>
      </c>
      <c r="AB301" s="27" t="n">
        <f aca="false">MIN(F300*(1+F$8),MAX(R301,$B$11-SUM(X301:AA301)-SUM(S301:W301)))</f>
        <v>0</v>
      </c>
      <c r="AC301" s="27" t="n">
        <f aca="false">MIN(G300*(1+G$8),MAX(S301,$B$11-SUM(X301:AB301)-SUM(T301:W301)))</f>
        <v>0</v>
      </c>
      <c r="AD301" s="27" t="n">
        <f aca="false">MIN(H300*(1+H$8),MAX(T301,$B$11-SUM(X301:AC301)-SUM(U301:W301)))</f>
        <v>0</v>
      </c>
      <c r="AE301" s="27" t="n">
        <f aca="false">MIN(I300*(1+I$8),MAX(U301,$B$11-SUM(X301:AD301)-SUM(V301:W301)))</f>
        <v>0</v>
      </c>
      <c r="AF301" s="27" t="n">
        <f aca="false">MIN(J300*(1+J$8),MAX(V301,$B$11-SUM(X301:AE301)-SUM(W301:W301)))</f>
        <v>0</v>
      </c>
      <c r="AG301" s="27" t="n">
        <f aca="false">MIN(K300*(1+K$8),MAX(W301,$B$11-SUM(X301:AF301)))</f>
        <v>0</v>
      </c>
      <c r="AI301" s="27" t="n">
        <f aca="false">ROUND(MAX(0,AI300*(1+B$8)-BE301),2)</f>
        <v>0</v>
      </c>
      <c r="AJ301" s="27" t="n">
        <f aca="false">ROUND(MAX(0,AJ300*(1+C$8)-BF301),2)</f>
        <v>0</v>
      </c>
      <c r="AK301" s="27" t="n">
        <f aca="false">ROUND(MAX(0,AK300*(1+D$8)-BG301),2)</f>
        <v>0</v>
      </c>
      <c r="AL301" s="27" t="n">
        <f aca="false">ROUND(MAX(0,AL300*(1+E$8)-BH301),2)</f>
        <v>0</v>
      </c>
      <c r="AM301" s="27" t="n">
        <f aca="false">ROUND(MAX(0,AM300*(1+F$8)-BI301),2)</f>
        <v>0</v>
      </c>
      <c r="AN301" s="27" t="n">
        <f aca="false">ROUND(MAX(0,AN300*(1+G$8)-BJ301),2)</f>
        <v>0</v>
      </c>
      <c r="AO301" s="27" t="n">
        <f aca="false">ROUND(MAX(0,AO300*(1+H$8)-BK301),2)</f>
        <v>0</v>
      </c>
      <c r="AP301" s="27" t="n">
        <f aca="false">ROUND(MAX(0,AP300*(1+I$8)-BL301),2)</f>
        <v>0</v>
      </c>
      <c r="AQ301" s="27" t="n">
        <f aca="false">ROUND(MAX(0,AQ300*(1+J$8)-BM301),2)</f>
        <v>0</v>
      </c>
      <c r="AR301" s="27" t="n">
        <f aca="false">ROUND(MAX(0,AR300*(1+K$8)-BN301),2)</f>
        <v>0</v>
      </c>
      <c r="AS301" s="27" t="n">
        <f aca="false">SUM(AI301:AR301)</f>
        <v>0</v>
      </c>
      <c r="AT301" s="27" t="n">
        <f aca="false">SUMPRODUCT(AI300:AR300,$B$8:$K$8)</f>
        <v>0</v>
      </c>
      <c r="AU301" s="27" t="n">
        <f aca="false">MIN(AI300*(1+B$8),B$9)</f>
        <v>0</v>
      </c>
      <c r="AV301" s="27" t="n">
        <f aca="false">MIN(AJ300*(1+C$8),C$9)</f>
        <v>0</v>
      </c>
      <c r="AW301" s="27" t="n">
        <f aca="false">MIN(AK300*(1+D$8),D$9)</f>
        <v>0</v>
      </c>
      <c r="AX301" s="27" t="n">
        <f aca="false">MIN(AL300*(1+E$8),E$9)</f>
        <v>0</v>
      </c>
      <c r="AY301" s="27" t="n">
        <f aca="false">MIN(AM300*(1+F$8),F$9)</f>
        <v>0</v>
      </c>
      <c r="AZ301" s="27" t="n">
        <f aca="false">MIN(AN300*(1+G$8),G$9)</f>
        <v>0</v>
      </c>
      <c r="BA301" s="27" t="n">
        <f aca="false">MIN(AO300*(1+H$8),H$9)</f>
        <v>0</v>
      </c>
      <c r="BB301" s="27" t="n">
        <f aca="false">MIN(AP300*(1+I$8),I$9)</f>
        <v>0</v>
      </c>
      <c r="BC301" s="27" t="n">
        <f aca="false">MIN(AQ300*(1+J$8),J$9)</f>
        <v>0</v>
      </c>
      <c r="BD301" s="27" t="n">
        <f aca="false">MIN(AR300*(1+K$8),K$9)</f>
        <v>0</v>
      </c>
      <c r="BE301" s="27" t="n">
        <f aca="false">MIN(AI300*(1+B$8),MAX(AU301,$B$12-SUM(AV301:BD301)))</f>
        <v>0</v>
      </c>
      <c r="BF301" s="27" t="n">
        <f aca="false">MIN(AJ300*(1+C$8),MAX(AV301,$B$12-SUM(BE301:BE301)-SUM(AW301:BD301)))</f>
        <v>0</v>
      </c>
      <c r="BG301" s="27" t="n">
        <f aca="false">MIN(AK300*(1+D$8),MAX(AW301,$B$12-SUM(BE301:BF301)-SUM(AX301:BD301)))</f>
        <v>0</v>
      </c>
      <c r="BH301" s="27" t="n">
        <f aca="false">MIN(AL300*(1+E$8),MAX(AX301,$B$12-SUM(BE301:BG301)-SUM(AY301:BD301)))</f>
        <v>0</v>
      </c>
      <c r="BI301" s="27" t="n">
        <f aca="false">MIN(AM300*(1+F$8),MAX(AY301,$B$12-SUM(BE301:BH301)-SUM(AZ301:BD301)))</f>
        <v>0</v>
      </c>
      <c r="BJ301" s="27" t="n">
        <f aca="false">MIN(AN300*(1+G$8),MAX(AZ301,$B$12-SUM(BE301:BI301)-SUM(BA301:BD301)))</f>
        <v>0</v>
      </c>
      <c r="BK301" s="27" t="n">
        <f aca="false">MIN(AO300*(1+H$8),MAX(BA301,$B$12-SUM(BE301:BJ301)-SUM(BB301:BD301)))</f>
        <v>0</v>
      </c>
      <c r="BL301" s="27" t="n">
        <f aca="false">MIN(AP300*(1+I$8),MAX(BB301,$B$12-SUM(BE301:BK301)-SUM(BC301:BD301)))</f>
        <v>0</v>
      </c>
      <c r="BM301" s="27" t="n">
        <f aca="false">MIN(AQ300*(1+J$8),MAX(BC301,$B$12-SUM(BE301:BL301)-SUM(BD301:BD301)))</f>
        <v>0</v>
      </c>
      <c r="BN301" s="27" t="n">
        <f aca="false">MIN(AR300*(1+K$8),MAX(BD301,$B$12-SUM(BE301:BM301)))</f>
        <v>0</v>
      </c>
    </row>
    <row r="302" customFormat="false" ht="15" hidden="false" customHeight="false" outlineLevel="0" collapsed="false">
      <c r="A302" s="0" t="n">
        <v>288</v>
      </c>
      <c r="B302" s="27" t="n">
        <f aca="false">ROUND(MAX(0,B301*(1+B$8)-X302),2)</f>
        <v>0</v>
      </c>
      <c r="C302" s="27" t="n">
        <f aca="false">ROUND(MAX(0,C301*(1+C$8)-Y302),2)</f>
        <v>0</v>
      </c>
      <c r="D302" s="27" t="n">
        <f aca="false">ROUND(MAX(0,D301*(1+D$8)-Z302),2)</f>
        <v>0</v>
      </c>
      <c r="E302" s="27" t="n">
        <f aca="false">ROUND(MAX(0,E301*(1+E$8)-AA302),2)</f>
        <v>0</v>
      </c>
      <c r="F302" s="27" t="n">
        <f aca="false">ROUND(MAX(0,F301*(1+F$8)-AB302),2)</f>
        <v>0</v>
      </c>
      <c r="G302" s="27" t="n">
        <f aca="false">ROUND(MAX(0,G301*(1+G$8)-AC302),2)</f>
        <v>0</v>
      </c>
      <c r="H302" s="27" t="n">
        <f aca="false">ROUND(MAX(0,H301*(1+H$8)-AD302),2)</f>
        <v>0</v>
      </c>
      <c r="I302" s="27" t="n">
        <f aca="false">ROUND(MAX(0,I301*(1+I$8)-AE302),2)</f>
        <v>0</v>
      </c>
      <c r="J302" s="27" t="n">
        <f aca="false">ROUND(MAX(0,J301*(1+J$8)-AF302),2)</f>
        <v>0</v>
      </c>
      <c r="K302" s="27" t="n">
        <f aca="false">ROUND(MAX(0,K301*(1+K$8)-AG302),2)</f>
        <v>0</v>
      </c>
      <c r="L302" s="30" t="n">
        <f aca="false">SUM(B302:K302)</f>
        <v>0</v>
      </c>
      <c r="M302" s="27" t="n">
        <f aca="false">SUMPRODUCT(B301:K301,$B$8:$K$8)</f>
        <v>0</v>
      </c>
      <c r="N302" s="27" t="n">
        <f aca="false">MIN(B301*(1+B$8),B$9)</f>
        <v>0</v>
      </c>
      <c r="O302" s="27" t="n">
        <f aca="false">MIN(C301*(1+C$8),C$9)</f>
        <v>0</v>
      </c>
      <c r="P302" s="27" t="n">
        <f aca="false">MIN(D301*(1+D$8),D$9)</f>
        <v>0</v>
      </c>
      <c r="Q302" s="27" t="n">
        <f aca="false">MIN(E301*(1+E$8),E$9)</f>
        <v>0</v>
      </c>
      <c r="R302" s="27" t="n">
        <f aca="false">MIN(F301*(1+F$8),F$9)</f>
        <v>0</v>
      </c>
      <c r="S302" s="27" t="n">
        <f aca="false">MIN(G301*(1+G$8),G$9)</f>
        <v>0</v>
      </c>
      <c r="T302" s="27" t="n">
        <f aca="false">MIN(H301*(1+H$8),H$9)</f>
        <v>0</v>
      </c>
      <c r="U302" s="27" t="n">
        <f aca="false">MIN(I301*(1+I$8),I$9)</f>
        <v>0</v>
      </c>
      <c r="V302" s="27" t="n">
        <f aca="false">MIN(J301*(1+J$8),J$9)</f>
        <v>0</v>
      </c>
      <c r="W302" s="27" t="n">
        <f aca="false">MIN(K301*(1+K$8),K$9)</f>
        <v>0</v>
      </c>
      <c r="X302" s="27" t="n">
        <f aca="false">MIN(B301*(1+B$8),MAX(N302,$B$11-SUM(O302:W302)))</f>
        <v>0</v>
      </c>
      <c r="Y302" s="27" t="n">
        <f aca="false">MIN(C301*(1+C$8),MAX(O302,$B$11-SUM(X302:X302)-SUM(P302:W302)))</f>
        <v>0</v>
      </c>
      <c r="Z302" s="27" t="n">
        <f aca="false">MIN(D301*(1+D$8),MAX(P302,$B$11-SUM(X302:Y302)-SUM(Q302:W302)))</f>
        <v>0</v>
      </c>
      <c r="AA302" s="27" t="n">
        <f aca="false">MIN(E301*(1+E$8),MAX(Q302,$B$11-SUM(X302:Z302)-SUM(R302:W302)))</f>
        <v>0</v>
      </c>
      <c r="AB302" s="27" t="n">
        <f aca="false">MIN(F301*(1+F$8),MAX(R302,$B$11-SUM(X302:AA302)-SUM(S302:W302)))</f>
        <v>0</v>
      </c>
      <c r="AC302" s="27" t="n">
        <f aca="false">MIN(G301*(1+G$8),MAX(S302,$B$11-SUM(X302:AB302)-SUM(T302:W302)))</f>
        <v>0</v>
      </c>
      <c r="AD302" s="27" t="n">
        <f aca="false">MIN(H301*(1+H$8),MAX(T302,$B$11-SUM(X302:AC302)-SUM(U302:W302)))</f>
        <v>0</v>
      </c>
      <c r="AE302" s="27" t="n">
        <f aca="false">MIN(I301*(1+I$8),MAX(U302,$B$11-SUM(X302:AD302)-SUM(V302:W302)))</f>
        <v>0</v>
      </c>
      <c r="AF302" s="27" t="n">
        <f aca="false">MIN(J301*(1+J$8),MAX(V302,$B$11-SUM(X302:AE302)-SUM(W302:W302)))</f>
        <v>0</v>
      </c>
      <c r="AG302" s="27" t="n">
        <f aca="false">MIN(K301*(1+K$8),MAX(W302,$B$11-SUM(X302:AF302)))</f>
        <v>0</v>
      </c>
      <c r="AI302" s="27" t="n">
        <f aca="false">ROUND(MAX(0,AI301*(1+B$8)-BE302),2)</f>
        <v>0</v>
      </c>
      <c r="AJ302" s="27" t="n">
        <f aca="false">ROUND(MAX(0,AJ301*(1+C$8)-BF302),2)</f>
        <v>0</v>
      </c>
      <c r="AK302" s="27" t="n">
        <f aca="false">ROUND(MAX(0,AK301*(1+D$8)-BG302),2)</f>
        <v>0</v>
      </c>
      <c r="AL302" s="27" t="n">
        <f aca="false">ROUND(MAX(0,AL301*(1+E$8)-BH302),2)</f>
        <v>0</v>
      </c>
      <c r="AM302" s="27" t="n">
        <f aca="false">ROUND(MAX(0,AM301*(1+F$8)-BI302),2)</f>
        <v>0</v>
      </c>
      <c r="AN302" s="27" t="n">
        <f aca="false">ROUND(MAX(0,AN301*(1+G$8)-BJ302),2)</f>
        <v>0</v>
      </c>
      <c r="AO302" s="27" t="n">
        <f aca="false">ROUND(MAX(0,AO301*(1+H$8)-BK302),2)</f>
        <v>0</v>
      </c>
      <c r="AP302" s="27" t="n">
        <f aca="false">ROUND(MAX(0,AP301*(1+I$8)-BL302),2)</f>
        <v>0</v>
      </c>
      <c r="AQ302" s="27" t="n">
        <f aca="false">ROUND(MAX(0,AQ301*(1+J$8)-BM302),2)</f>
        <v>0</v>
      </c>
      <c r="AR302" s="27" t="n">
        <f aca="false">ROUND(MAX(0,AR301*(1+K$8)-BN302),2)</f>
        <v>0</v>
      </c>
      <c r="AS302" s="27" t="n">
        <f aca="false">SUM(AI302:AR302)</f>
        <v>0</v>
      </c>
      <c r="AT302" s="27" t="n">
        <f aca="false">SUMPRODUCT(AI301:AR301,$B$8:$K$8)</f>
        <v>0</v>
      </c>
      <c r="AU302" s="27" t="n">
        <f aca="false">MIN(AI301*(1+B$8),B$9)</f>
        <v>0</v>
      </c>
      <c r="AV302" s="27" t="n">
        <f aca="false">MIN(AJ301*(1+C$8),C$9)</f>
        <v>0</v>
      </c>
      <c r="AW302" s="27" t="n">
        <f aca="false">MIN(AK301*(1+D$8),D$9)</f>
        <v>0</v>
      </c>
      <c r="AX302" s="27" t="n">
        <f aca="false">MIN(AL301*(1+E$8),E$9)</f>
        <v>0</v>
      </c>
      <c r="AY302" s="27" t="n">
        <f aca="false">MIN(AM301*(1+F$8),F$9)</f>
        <v>0</v>
      </c>
      <c r="AZ302" s="27" t="n">
        <f aca="false">MIN(AN301*(1+G$8),G$9)</f>
        <v>0</v>
      </c>
      <c r="BA302" s="27" t="n">
        <f aca="false">MIN(AO301*(1+H$8),H$9)</f>
        <v>0</v>
      </c>
      <c r="BB302" s="27" t="n">
        <f aca="false">MIN(AP301*(1+I$8),I$9)</f>
        <v>0</v>
      </c>
      <c r="BC302" s="27" t="n">
        <f aca="false">MIN(AQ301*(1+J$8),J$9)</f>
        <v>0</v>
      </c>
      <c r="BD302" s="27" t="n">
        <f aca="false">MIN(AR301*(1+K$8),K$9)</f>
        <v>0</v>
      </c>
      <c r="BE302" s="27" t="n">
        <f aca="false">MIN(AI301*(1+B$8),MAX(AU302,$B$12-SUM(AV302:BD302)))</f>
        <v>0</v>
      </c>
      <c r="BF302" s="27" t="n">
        <f aca="false">MIN(AJ301*(1+C$8),MAX(AV302,$B$12-SUM(BE302:BE302)-SUM(AW302:BD302)))</f>
        <v>0</v>
      </c>
      <c r="BG302" s="27" t="n">
        <f aca="false">MIN(AK301*(1+D$8),MAX(AW302,$B$12-SUM(BE302:BF302)-SUM(AX302:BD302)))</f>
        <v>0</v>
      </c>
      <c r="BH302" s="27" t="n">
        <f aca="false">MIN(AL301*(1+E$8),MAX(AX302,$B$12-SUM(BE302:BG302)-SUM(AY302:BD302)))</f>
        <v>0</v>
      </c>
      <c r="BI302" s="27" t="n">
        <f aca="false">MIN(AM301*(1+F$8),MAX(AY302,$B$12-SUM(BE302:BH302)-SUM(AZ302:BD302)))</f>
        <v>0</v>
      </c>
      <c r="BJ302" s="27" t="n">
        <f aca="false">MIN(AN301*(1+G$8),MAX(AZ302,$B$12-SUM(BE302:BI302)-SUM(BA302:BD302)))</f>
        <v>0</v>
      </c>
      <c r="BK302" s="27" t="n">
        <f aca="false">MIN(AO301*(1+H$8),MAX(BA302,$B$12-SUM(BE302:BJ302)-SUM(BB302:BD302)))</f>
        <v>0</v>
      </c>
      <c r="BL302" s="27" t="n">
        <f aca="false">MIN(AP301*(1+I$8),MAX(BB302,$B$12-SUM(BE302:BK302)-SUM(BC302:BD302)))</f>
        <v>0</v>
      </c>
      <c r="BM302" s="27" t="n">
        <f aca="false">MIN(AQ301*(1+J$8),MAX(BC302,$B$12-SUM(BE302:BL302)-SUM(BD302:BD302)))</f>
        <v>0</v>
      </c>
      <c r="BN302" s="27" t="n">
        <f aca="false">MIN(AR301*(1+K$8),MAX(BD302,$B$12-SUM(BE302:BM302)))</f>
        <v>0</v>
      </c>
    </row>
    <row r="303" customFormat="false" ht="15" hidden="false" customHeight="false" outlineLevel="0" collapsed="false">
      <c r="A303" s="0" t="n">
        <v>289</v>
      </c>
      <c r="B303" s="27" t="n">
        <f aca="false">ROUND(MAX(0,B302*(1+B$8)-X303),2)</f>
        <v>0</v>
      </c>
      <c r="C303" s="27" t="n">
        <f aca="false">ROUND(MAX(0,C302*(1+C$8)-Y303),2)</f>
        <v>0</v>
      </c>
      <c r="D303" s="27" t="n">
        <f aca="false">ROUND(MAX(0,D302*(1+D$8)-Z303),2)</f>
        <v>0</v>
      </c>
      <c r="E303" s="27" t="n">
        <f aca="false">ROUND(MAX(0,E302*(1+E$8)-AA303),2)</f>
        <v>0</v>
      </c>
      <c r="F303" s="27" t="n">
        <f aca="false">ROUND(MAX(0,F302*(1+F$8)-AB303),2)</f>
        <v>0</v>
      </c>
      <c r="G303" s="27" t="n">
        <f aca="false">ROUND(MAX(0,G302*(1+G$8)-AC303),2)</f>
        <v>0</v>
      </c>
      <c r="H303" s="27" t="n">
        <f aca="false">ROUND(MAX(0,H302*(1+H$8)-AD303),2)</f>
        <v>0</v>
      </c>
      <c r="I303" s="27" t="n">
        <f aca="false">ROUND(MAX(0,I302*(1+I$8)-AE303),2)</f>
        <v>0</v>
      </c>
      <c r="J303" s="27" t="n">
        <f aca="false">ROUND(MAX(0,J302*(1+J$8)-AF303),2)</f>
        <v>0</v>
      </c>
      <c r="K303" s="27" t="n">
        <f aca="false">ROUND(MAX(0,K302*(1+K$8)-AG303),2)</f>
        <v>0</v>
      </c>
      <c r="L303" s="30" t="n">
        <f aca="false">SUM(B303:K303)</f>
        <v>0</v>
      </c>
      <c r="M303" s="27" t="n">
        <f aca="false">SUMPRODUCT(B302:K302,$B$8:$K$8)</f>
        <v>0</v>
      </c>
      <c r="N303" s="27" t="n">
        <f aca="false">MIN(B302*(1+B$8),B$9)</f>
        <v>0</v>
      </c>
      <c r="O303" s="27" t="n">
        <f aca="false">MIN(C302*(1+C$8),C$9)</f>
        <v>0</v>
      </c>
      <c r="P303" s="27" t="n">
        <f aca="false">MIN(D302*(1+D$8),D$9)</f>
        <v>0</v>
      </c>
      <c r="Q303" s="27" t="n">
        <f aca="false">MIN(E302*(1+E$8),E$9)</f>
        <v>0</v>
      </c>
      <c r="R303" s="27" t="n">
        <f aca="false">MIN(F302*(1+F$8),F$9)</f>
        <v>0</v>
      </c>
      <c r="S303" s="27" t="n">
        <f aca="false">MIN(G302*(1+G$8),G$9)</f>
        <v>0</v>
      </c>
      <c r="T303" s="27" t="n">
        <f aca="false">MIN(H302*(1+H$8),H$9)</f>
        <v>0</v>
      </c>
      <c r="U303" s="27" t="n">
        <f aca="false">MIN(I302*(1+I$8),I$9)</f>
        <v>0</v>
      </c>
      <c r="V303" s="27" t="n">
        <f aca="false">MIN(J302*(1+J$8),J$9)</f>
        <v>0</v>
      </c>
      <c r="W303" s="27" t="n">
        <f aca="false">MIN(K302*(1+K$8),K$9)</f>
        <v>0</v>
      </c>
      <c r="X303" s="27" t="n">
        <f aca="false">MIN(B302*(1+B$8),MAX(N303,$B$11-SUM(O303:W303)))</f>
        <v>0</v>
      </c>
      <c r="Y303" s="27" t="n">
        <f aca="false">MIN(C302*(1+C$8),MAX(O303,$B$11-SUM(X303:X303)-SUM(P303:W303)))</f>
        <v>0</v>
      </c>
      <c r="Z303" s="27" t="n">
        <f aca="false">MIN(D302*(1+D$8),MAX(P303,$B$11-SUM(X303:Y303)-SUM(Q303:W303)))</f>
        <v>0</v>
      </c>
      <c r="AA303" s="27" t="n">
        <f aca="false">MIN(E302*(1+E$8),MAX(Q303,$B$11-SUM(X303:Z303)-SUM(R303:W303)))</f>
        <v>0</v>
      </c>
      <c r="AB303" s="27" t="n">
        <f aca="false">MIN(F302*(1+F$8),MAX(R303,$B$11-SUM(X303:AA303)-SUM(S303:W303)))</f>
        <v>0</v>
      </c>
      <c r="AC303" s="27" t="n">
        <f aca="false">MIN(G302*(1+G$8),MAX(S303,$B$11-SUM(X303:AB303)-SUM(T303:W303)))</f>
        <v>0</v>
      </c>
      <c r="AD303" s="27" t="n">
        <f aca="false">MIN(H302*(1+H$8),MAX(T303,$B$11-SUM(X303:AC303)-SUM(U303:W303)))</f>
        <v>0</v>
      </c>
      <c r="AE303" s="27" t="n">
        <f aca="false">MIN(I302*(1+I$8),MAX(U303,$B$11-SUM(X303:AD303)-SUM(V303:W303)))</f>
        <v>0</v>
      </c>
      <c r="AF303" s="27" t="n">
        <f aca="false">MIN(J302*(1+J$8),MAX(V303,$B$11-SUM(X303:AE303)-SUM(W303:W303)))</f>
        <v>0</v>
      </c>
      <c r="AG303" s="27" t="n">
        <f aca="false">MIN(K302*(1+K$8),MAX(W303,$B$11-SUM(X303:AF303)))</f>
        <v>0</v>
      </c>
      <c r="AI303" s="27" t="n">
        <f aca="false">ROUND(MAX(0,AI302*(1+B$8)-BE303),2)</f>
        <v>0</v>
      </c>
      <c r="AJ303" s="27" t="n">
        <f aca="false">ROUND(MAX(0,AJ302*(1+C$8)-BF303),2)</f>
        <v>0</v>
      </c>
      <c r="AK303" s="27" t="n">
        <f aca="false">ROUND(MAX(0,AK302*(1+D$8)-BG303),2)</f>
        <v>0</v>
      </c>
      <c r="AL303" s="27" t="n">
        <f aca="false">ROUND(MAX(0,AL302*(1+E$8)-BH303),2)</f>
        <v>0</v>
      </c>
      <c r="AM303" s="27" t="n">
        <f aca="false">ROUND(MAX(0,AM302*(1+F$8)-BI303),2)</f>
        <v>0</v>
      </c>
      <c r="AN303" s="27" t="n">
        <f aca="false">ROUND(MAX(0,AN302*(1+G$8)-BJ303),2)</f>
        <v>0</v>
      </c>
      <c r="AO303" s="27" t="n">
        <f aca="false">ROUND(MAX(0,AO302*(1+H$8)-BK303),2)</f>
        <v>0</v>
      </c>
      <c r="AP303" s="27" t="n">
        <f aca="false">ROUND(MAX(0,AP302*(1+I$8)-BL303),2)</f>
        <v>0</v>
      </c>
      <c r="AQ303" s="27" t="n">
        <f aca="false">ROUND(MAX(0,AQ302*(1+J$8)-BM303),2)</f>
        <v>0</v>
      </c>
      <c r="AR303" s="27" t="n">
        <f aca="false">ROUND(MAX(0,AR302*(1+K$8)-BN303),2)</f>
        <v>0</v>
      </c>
      <c r="AS303" s="27" t="n">
        <f aca="false">SUM(AI303:AR303)</f>
        <v>0</v>
      </c>
      <c r="AT303" s="27" t="n">
        <f aca="false">SUMPRODUCT(AI302:AR302,$B$8:$K$8)</f>
        <v>0</v>
      </c>
      <c r="AU303" s="27" t="n">
        <f aca="false">MIN(AI302*(1+B$8),B$9)</f>
        <v>0</v>
      </c>
      <c r="AV303" s="27" t="n">
        <f aca="false">MIN(AJ302*(1+C$8),C$9)</f>
        <v>0</v>
      </c>
      <c r="AW303" s="27" t="n">
        <f aca="false">MIN(AK302*(1+D$8),D$9)</f>
        <v>0</v>
      </c>
      <c r="AX303" s="27" t="n">
        <f aca="false">MIN(AL302*(1+E$8),E$9)</f>
        <v>0</v>
      </c>
      <c r="AY303" s="27" t="n">
        <f aca="false">MIN(AM302*(1+F$8),F$9)</f>
        <v>0</v>
      </c>
      <c r="AZ303" s="27" t="n">
        <f aca="false">MIN(AN302*(1+G$8),G$9)</f>
        <v>0</v>
      </c>
      <c r="BA303" s="27" t="n">
        <f aca="false">MIN(AO302*(1+H$8),H$9)</f>
        <v>0</v>
      </c>
      <c r="BB303" s="27" t="n">
        <f aca="false">MIN(AP302*(1+I$8),I$9)</f>
        <v>0</v>
      </c>
      <c r="BC303" s="27" t="n">
        <f aca="false">MIN(AQ302*(1+J$8),J$9)</f>
        <v>0</v>
      </c>
      <c r="BD303" s="27" t="n">
        <f aca="false">MIN(AR302*(1+K$8),K$9)</f>
        <v>0</v>
      </c>
      <c r="BE303" s="27" t="n">
        <f aca="false">MIN(AI302*(1+B$8),MAX(AU303,$B$12-SUM(AV303:BD303)))</f>
        <v>0</v>
      </c>
      <c r="BF303" s="27" t="n">
        <f aca="false">MIN(AJ302*(1+C$8),MAX(AV303,$B$12-SUM(BE303:BE303)-SUM(AW303:BD303)))</f>
        <v>0</v>
      </c>
      <c r="BG303" s="27" t="n">
        <f aca="false">MIN(AK302*(1+D$8),MAX(AW303,$B$12-SUM(BE303:BF303)-SUM(AX303:BD303)))</f>
        <v>0</v>
      </c>
      <c r="BH303" s="27" t="n">
        <f aca="false">MIN(AL302*(1+E$8),MAX(AX303,$B$12-SUM(BE303:BG303)-SUM(AY303:BD303)))</f>
        <v>0</v>
      </c>
      <c r="BI303" s="27" t="n">
        <f aca="false">MIN(AM302*(1+F$8),MAX(AY303,$B$12-SUM(BE303:BH303)-SUM(AZ303:BD303)))</f>
        <v>0</v>
      </c>
      <c r="BJ303" s="27" t="n">
        <f aca="false">MIN(AN302*(1+G$8),MAX(AZ303,$B$12-SUM(BE303:BI303)-SUM(BA303:BD303)))</f>
        <v>0</v>
      </c>
      <c r="BK303" s="27" t="n">
        <f aca="false">MIN(AO302*(1+H$8),MAX(BA303,$B$12-SUM(BE303:BJ303)-SUM(BB303:BD303)))</f>
        <v>0</v>
      </c>
      <c r="BL303" s="27" t="n">
        <f aca="false">MIN(AP302*(1+I$8),MAX(BB303,$B$12-SUM(BE303:BK303)-SUM(BC303:BD303)))</f>
        <v>0</v>
      </c>
      <c r="BM303" s="27" t="n">
        <f aca="false">MIN(AQ302*(1+J$8),MAX(BC303,$B$12-SUM(BE303:BL303)-SUM(BD303:BD303)))</f>
        <v>0</v>
      </c>
      <c r="BN303" s="27" t="n">
        <f aca="false">MIN(AR302*(1+K$8),MAX(BD303,$B$12-SUM(BE303:BM303)))</f>
        <v>0</v>
      </c>
    </row>
    <row r="304" customFormat="false" ht="15" hidden="false" customHeight="false" outlineLevel="0" collapsed="false">
      <c r="A304" s="0" t="n">
        <v>290</v>
      </c>
      <c r="B304" s="27" t="n">
        <f aca="false">ROUND(MAX(0,B303*(1+B$8)-X304),2)</f>
        <v>0</v>
      </c>
      <c r="C304" s="27" t="n">
        <f aca="false">ROUND(MAX(0,C303*(1+C$8)-Y304),2)</f>
        <v>0</v>
      </c>
      <c r="D304" s="27" t="n">
        <f aca="false">ROUND(MAX(0,D303*(1+D$8)-Z304),2)</f>
        <v>0</v>
      </c>
      <c r="E304" s="27" t="n">
        <f aca="false">ROUND(MAX(0,E303*(1+E$8)-AA304),2)</f>
        <v>0</v>
      </c>
      <c r="F304" s="27" t="n">
        <f aca="false">ROUND(MAX(0,F303*(1+F$8)-AB304),2)</f>
        <v>0</v>
      </c>
      <c r="G304" s="27" t="n">
        <f aca="false">ROUND(MAX(0,G303*(1+G$8)-AC304),2)</f>
        <v>0</v>
      </c>
      <c r="H304" s="27" t="n">
        <f aca="false">ROUND(MAX(0,H303*(1+H$8)-AD304),2)</f>
        <v>0</v>
      </c>
      <c r="I304" s="27" t="n">
        <f aca="false">ROUND(MAX(0,I303*(1+I$8)-AE304),2)</f>
        <v>0</v>
      </c>
      <c r="J304" s="27" t="n">
        <f aca="false">ROUND(MAX(0,J303*(1+J$8)-AF304),2)</f>
        <v>0</v>
      </c>
      <c r="K304" s="27" t="n">
        <f aca="false">ROUND(MAX(0,K303*(1+K$8)-AG304),2)</f>
        <v>0</v>
      </c>
      <c r="L304" s="30" t="n">
        <f aca="false">SUM(B304:K304)</f>
        <v>0</v>
      </c>
      <c r="M304" s="27" t="n">
        <f aca="false">SUMPRODUCT(B303:K303,$B$8:$K$8)</f>
        <v>0</v>
      </c>
      <c r="N304" s="27" t="n">
        <f aca="false">MIN(B303*(1+B$8),B$9)</f>
        <v>0</v>
      </c>
      <c r="O304" s="27" t="n">
        <f aca="false">MIN(C303*(1+C$8),C$9)</f>
        <v>0</v>
      </c>
      <c r="P304" s="27" t="n">
        <f aca="false">MIN(D303*(1+D$8),D$9)</f>
        <v>0</v>
      </c>
      <c r="Q304" s="27" t="n">
        <f aca="false">MIN(E303*(1+E$8),E$9)</f>
        <v>0</v>
      </c>
      <c r="R304" s="27" t="n">
        <f aca="false">MIN(F303*(1+F$8),F$9)</f>
        <v>0</v>
      </c>
      <c r="S304" s="27" t="n">
        <f aca="false">MIN(G303*(1+G$8),G$9)</f>
        <v>0</v>
      </c>
      <c r="T304" s="27" t="n">
        <f aca="false">MIN(H303*(1+H$8),H$9)</f>
        <v>0</v>
      </c>
      <c r="U304" s="27" t="n">
        <f aca="false">MIN(I303*(1+I$8),I$9)</f>
        <v>0</v>
      </c>
      <c r="V304" s="27" t="n">
        <f aca="false">MIN(J303*(1+J$8),J$9)</f>
        <v>0</v>
      </c>
      <c r="W304" s="27" t="n">
        <f aca="false">MIN(K303*(1+K$8),K$9)</f>
        <v>0</v>
      </c>
      <c r="X304" s="27" t="n">
        <f aca="false">MIN(B303*(1+B$8),MAX(N304,$B$11-SUM(O304:W304)))</f>
        <v>0</v>
      </c>
      <c r="Y304" s="27" t="n">
        <f aca="false">MIN(C303*(1+C$8),MAX(O304,$B$11-SUM(X304:X304)-SUM(P304:W304)))</f>
        <v>0</v>
      </c>
      <c r="Z304" s="27" t="n">
        <f aca="false">MIN(D303*(1+D$8),MAX(P304,$B$11-SUM(X304:Y304)-SUM(Q304:W304)))</f>
        <v>0</v>
      </c>
      <c r="AA304" s="27" t="n">
        <f aca="false">MIN(E303*(1+E$8),MAX(Q304,$B$11-SUM(X304:Z304)-SUM(R304:W304)))</f>
        <v>0</v>
      </c>
      <c r="AB304" s="27" t="n">
        <f aca="false">MIN(F303*(1+F$8),MAX(R304,$B$11-SUM(X304:AA304)-SUM(S304:W304)))</f>
        <v>0</v>
      </c>
      <c r="AC304" s="27" t="n">
        <f aca="false">MIN(G303*(1+G$8),MAX(S304,$B$11-SUM(X304:AB304)-SUM(T304:W304)))</f>
        <v>0</v>
      </c>
      <c r="AD304" s="27" t="n">
        <f aca="false">MIN(H303*(1+H$8),MAX(T304,$B$11-SUM(X304:AC304)-SUM(U304:W304)))</f>
        <v>0</v>
      </c>
      <c r="AE304" s="27" t="n">
        <f aca="false">MIN(I303*(1+I$8),MAX(U304,$B$11-SUM(X304:AD304)-SUM(V304:W304)))</f>
        <v>0</v>
      </c>
      <c r="AF304" s="27" t="n">
        <f aca="false">MIN(J303*(1+J$8),MAX(V304,$B$11-SUM(X304:AE304)-SUM(W304:W304)))</f>
        <v>0</v>
      </c>
      <c r="AG304" s="27" t="n">
        <f aca="false">MIN(K303*(1+K$8),MAX(W304,$B$11-SUM(X304:AF304)))</f>
        <v>0</v>
      </c>
      <c r="AI304" s="27" t="n">
        <f aca="false">ROUND(MAX(0,AI303*(1+B$8)-BE304),2)</f>
        <v>0</v>
      </c>
      <c r="AJ304" s="27" t="n">
        <f aca="false">ROUND(MAX(0,AJ303*(1+C$8)-BF304),2)</f>
        <v>0</v>
      </c>
      <c r="AK304" s="27" t="n">
        <f aca="false">ROUND(MAX(0,AK303*(1+D$8)-BG304),2)</f>
        <v>0</v>
      </c>
      <c r="AL304" s="27" t="n">
        <f aca="false">ROUND(MAX(0,AL303*(1+E$8)-BH304),2)</f>
        <v>0</v>
      </c>
      <c r="AM304" s="27" t="n">
        <f aca="false">ROUND(MAX(0,AM303*(1+F$8)-BI304),2)</f>
        <v>0</v>
      </c>
      <c r="AN304" s="27" t="n">
        <f aca="false">ROUND(MAX(0,AN303*(1+G$8)-BJ304),2)</f>
        <v>0</v>
      </c>
      <c r="AO304" s="27" t="n">
        <f aca="false">ROUND(MAX(0,AO303*(1+H$8)-BK304),2)</f>
        <v>0</v>
      </c>
      <c r="AP304" s="27" t="n">
        <f aca="false">ROUND(MAX(0,AP303*(1+I$8)-BL304),2)</f>
        <v>0</v>
      </c>
      <c r="AQ304" s="27" t="n">
        <f aca="false">ROUND(MAX(0,AQ303*(1+J$8)-BM304),2)</f>
        <v>0</v>
      </c>
      <c r="AR304" s="27" t="n">
        <f aca="false">ROUND(MAX(0,AR303*(1+K$8)-BN304),2)</f>
        <v>0</v>
      </c>
      <c r="AS304" s="27" t="n">
        <f aca="false">SUM(AI304:AR304)</f>
        <v>0</v>
      </c>
      <c r="AT304" s="27" t="n">
        <f aca="false">SUMPRODUCT(AI303:AR303,$B$8:$K$8)</f>
        <v>0</v>
      </c>
      <c r="AU304" s="27" t="n">
        <f aca="false">MIN(AI303*(1+B$8),B$9)</f>
        <v>0</v>
      </c>
      <c r="AV304" s="27" t="n">
        <f aca="false">MIN(AJ303*(1+C$8),C$9)</f>
        <v>0</v>
      </c>
      <c r="AW304" s="27" t="n">
        <f aca="false">MIN(AK303*(1+D$8),D$9)</f>
        <v>0</v>
      </c>
      <c r="AX304" s="27" t="n">
        <f aca="false">MIN(AL303*(1+E$8),E$9)</f>
        <v>0</v>
      </c>
      <c r="AY304" s="27" t="n">
        <f aca="false">MIN(AM303*(1+F$8),F$9)</f>
        <v>0</v>
      </c>
      <c r="AZ304" s="27" t="n">
        <f aca="false">MIN(AN303*(1+G$8),G$9)</f>
        <v>0</v>
      </c>
      <c r="BA304" s="27" t="n">
        <f aca="false">MIN(AO303*(1+H$8),H$9)</f>
        <v>0</v>
      </c>
      <c r="BB304" s="27" t="n">
        <f aca="false">MIN(AP303*(1+I$8),I$9)</f>
        <v>0</v>
      </c>
      <c r="BC304" s="27" t="n">
        <f aca="false">MIN(AQ303*(1+J$8),J$9)</f>
        <v>0</v>
      </c>
      <c r="BD304" s="27" t="n">
        <f aca="false">MIN(AR303*(1+K$8),K$9)</f>
        <v>0</v>
      </c>
      <c r="BE304" s="27" t="n">
        <f aca="false">MIN(AI303*(1+B$8),MAX(AU304,$B$12-SUM(AV304:BD304)))</f>
        <v>0</v>
      </c>
      <c r="BF304" s="27" t="n">
        <f aca="false">MIN(AJ303*(1+C$8),MAX(AV304,$B$12-SUM(BE304:BE304)-SUM(AW304:BD304)))</f>
        <v>0</v>
      </c>
      <c r="BG304" s="27" t="n">
        <f aca="false">MIN(AK303*(1+D$8),MAX(AW304,$B$12-SUM(BE304:BF304)-SUM(AX304:BD304)))</f>
        <v>0</v>
      </c>
      <c r="BH304" s="27" t="n">
        <f aca="false">MIN(AL303*(1+E$8),MAX(AX304,$B$12-SUM(BE304:BG304)-SUM(AY304:BD304)))</f>
        <v>0</v>
      </c>
      <c r="BI304" s="27" t="n">
        <f aca="false">MIN(AM303*(1+F$8),MAX(AY304,$B$12-SUM(BE304:BH304)-SUM(AZ304:BD304)))</f>
        <v>0</v>
      </c>
      <c r="BJ304" s="27" t="n">
        <f aca="false">MIN(AN303*(1+G$8),MAX(AZ304,$B$12-SUM(BE304:BI304)-SUM(BA304:BD304)))</f>
        <v>0</v>
      </c>
      <c r="BK304" s="27" t="n">
        <f aca="false">MIN(AO303*(1+H$8),MAX(BA304,$B$12-SUM(BE304:BJ304)-SUM(BB304:BD304)))</f>
        <v>0</v>
      </c>
      <c r="BL304" s="27" t="n">
        <f aca="false">MIN(AP303*(1+I$8),MAX(BB304,$B$12-SUM(BE304:BK304)-SUM(BC304:BD304)))</f>
        <v>0</v>
      </c>
      <c r="BM304" s="27" t="n">
        <f aca="false">MIN(AQ303*(1+J$8),MAX(BC304,$B$12-SUM(BE304:BL304)-SUM(BD304:BD304)))</f>
        <v>0</v>
      </c>
      <c r="BN304" s="27" t="n">
        <f aca="false">MIN(AR303*(1+K$8),MAX(BD304,$B$12-SUM(BE304:BM304)))</f>
        <v>0</v>
      </c>
    </row>
    <row r="305" customFormat="false" ht="15" hidden="false" customHeight="false" outlineLevel="0" collapsed="false">
      <c r="A305" s="0" t="n">
        <v>291</v>
      </c>
      <c r="B305" s="27" t="n">
        <f aca="false">ROUND(MAX(0,B304*(1+B$8)-X305),2)</f>
        <v>0</v>
      </c>
      <c r="C305" s="27" t="n">
        <f aca="false">ROUND(MAX(0,C304*(1+C$8)-Y305),2)</f>
        <v>0</v>
      </c>
      <c r="D305" s="27" t="n">
        <f aca="false">ROUND(MAX(0,D304*(1+D$8)-Z305),2)</f>
        <v>0</v>
      </c>
      <c r="E305" s="27" t="n">
        <f aca="false">ROUND(MAX(0,E304*(1+E$8)-AA305),2)</f>
        <v>0</v>
      </c>
      <c r="F305" s="27" t="n">
        <f aca="false">ROUND(MAX(0,F304*(1+F$8)-AB305),2)</f>
        <v>0</v>
      </c>
      <c r="G305" s="27" t="n">
        <f aca="false">ROUND(MAX(0,G304*(1+G$8)-AC305),2)</f>
        <v>0</v>
      </c>
      <c r="H305" s="27" t="n">
        <f aca="false">ROUND(MAX(0,H304*(1+H$8)-AD305),2)</f>
        <v>0</v>
      </c>
      <c r="I305" s="27" t="n">
        <f aca="false">ROUND(MAX(0,I304*(1+I$8)-AE305),2)</f>
        <v>0</v>
      </c>
      <c r="J305" s="27" t="n">
        <f aca="false">ROUND(MAX(0,J304*(1+J$8)-AF305),2)</f>
        <v>0</v>
      </c>
      <c r="K305" s="27" t="n">
        <f aca="false">ROUND(MAX(0,K304*(1+K$8)-AG305),2)</f>
        <v>0</v>
      </c>
      <c r="L305" s="30" t="n">
        <f aca="false">SUM(B305:K305)</f>
        <v>0</v>
      </c>
      <c r="M305" s="27" t="n">
        <f aca="false">SUMPRODUCT(B304:K304,$B$8:$K$8)</f>
        <v>0</v>
      </c>
      <c r="N305" s="27" t="n">
        <f aca="false">MIN(B304*(1+B$8),B$9)</f>
        <v>0</v>
      </c>
      <c r="O305" s="27" t="n">
        <f aca="false">MIN(C304*(1+C$8),C$9)</f>
        <v>0</v>
      </c>
      <c r="P305" s="27" t="n">
        <f aca="false">MIN(D304*(1+D$8),D$9)</f>
        <v>0</v>
      </c>
      <c r="Q305" s="27" t="n">
        <f aca="false">MIN(E304*(1+E$8),E$9)</f>
        <v>0</v>
      </c>
      <c r="R305" s="27" t="n">
        <f aca="false">MIN(F304*(1+F$8),F$9)</f>
        <v>0</v>
      </c>
      <c r="S305" s="27" t="n">
        <f aca="false">MIN(G304*(1+G$8),G$9)</f>
        <v>0</v>
      </c>
      <c r="T305" s="27" t="n">
        <f aca="false">MIN(H304*(1+H$8),H$9)</f>
        <v>0</v>
      </c>
      <c r="U305" s="27" t="n">
        <f aca="false">MIN(I304*(1+I$8),I$9)</f>
        <v>0</v>
      </c>
      <c r="V305" s="27" t="n">
        <f aca="false">MIN(J304*(1+J$8),J$9)</f>
        <v>0</v>
      </c>
      <c r="W305" s="27" t="n">
        <f aca="false">MIN(K304*(1+K$8),K$9)</f>
        <v>0</v>
      </c>
      <c r="X305" s="27" t="n">
        <f aca="false">MIN(B304*(1+B$8),MAX(N305,$B$11-SUM(O305:W305)))</f>
        <v>0</v>
      </c>
      <c r="Y305" s="27" t="n">
        <f aca="false">MIN(C304*(1+C$8),MAX(O305,$B$11-SUM(X305:X305)-SUM(P305:W305)))</f>
        <v>0</v>
      </c>
      <c r="Z305" s="27" t="n">
        <f aca="false">MIN(D304*(1+D$8),MAX(P305,$B$11-SUM(X305:Y305)-SUM(Q305:W305)))</f>
        <v>0</v>
      </c>
      <c r="AA305" s="27" t="n">
        <f aca="false">MIN(E304*(1+E$8),MAX(Q305,$B$11-SUM(X305:Z305)-SUM(R305:W305)))</f>
        <v>0</v>
      </c>
      <c r="AB305" s="27" t="n">
        <f aca="false">MIN(F304*(1+F$8),MAX(R305,$B$11-SUM(X305:AA305)-SUM(S305:W305)))</f>
        <v>0</v>
      </c>
      <c r="AC305" s="27" t="n">
        <f aca="false">MIN(G304*(1+G$8),MAX(S305,$B$11-SUM(X305:AB305)-SUM(T305:W305)))</f>
        <v>0</v>
      </c>
      <c r="AD305" s="27" t="n">
        <f aca="false">MIN(H304*(1+H$8),MAX(T305,$B$11-SUM(X305:AC305)-SUM(U305:W305)))</f>
        <v>0</v>
      </c>
      <c r="AE305" s="27" t="n">
        <f aca="false">MIN(I304*(1+I$8),MAX(U305,$B$11-SUM(X305:AD305)-SUM(V305:W305)))</f>
        <v>0</v>
      </c>
      <c r="AF305" s="27" t="n">
        <f aca="false">MIN(J304*(1+J$8),MAX(V305,$B$11-SUM(X305:AE305)-SUM(W305:W305)))</f>
        <v>0</v>
      </c>
      <c r="AG305" s="27" t="n">
        <f aca="false">MIN(K304*(1+K$8),MAX(W305,$B$11-SUM(X305:AF305)))</f>
        <v>0</v>
      </c>
      <c r="AI305" s="27" t="n">
        <f aca="false">ROUND(MAX(0,AI304*(1+B$8)-BE305),2)</f>
        <v>0</v>
      </c>
      <c r="AJ305" s="27" t="n">
        <f aca="false">ROUND(MAX(0,AJ304*(1+C$8)-BF305),2)</f>
        <v>0</v>
      </c>
      <c r="AK305" s="27" t="n">
        <f aca="false">ROUND(MAX(0,AK304*(1+D$8)-BG305),2)</f>
        <v>0</v>
      </c>
      <c r="AL305" s="27" t="n">
        <f aca="false">ROUND(MAX(0,AL304*(1+E$8)-BH305),2)</f>
        <v>0</v>
      </c>
      <c r="AM305" s="27" t="n">
        <f aca="false">ROUND(MAX(0,AM304*(1+F$8)-BI305),2)</f>
        <v>0</v>
      </c>
      <c r="AN305" s="27" t="n">
        <f aca="false">ROUND(MAX(0,AN304*(1+G$8)-BJ305),2)</f>
        <v>0</v>
      </c>
      <c r="AO305" s="27" t="n">
        <f aca="false">ROUND(MAX(0,AO304*(1+H$8)-BK305),2)</f>
        <v>0</v>
      </c>
      <c r="AP305" s="27" t="n">
        <f aca="false">ROUND(MAX(0,AP304*(1+I$8)-BL305),2)</f>
        <v>0</v>
      </c>
      <c r="AQ305" s="27" t="n">
        <f aca="false">ROUND(MAX(0,AQ304*(1+J$8)-BM305),2)</f>
        <v>0</v>
      </c>
      <c r="AR305" s="27" t="n">
        <f aca="false">ROUND(MAX(0,AR304*(1+K$8)-BN305),2)</f>
        <v>0</v>
      </c>
      <c r="AS305" s="27" t="n">
        <f aca="false">SUM(AI305:AR305)</f>
        <v>0</v>
      </c>
      <c r="AT305" s="27" t="n">
        <f aca="false">SUMPRODUCT(AI304:AR304,$B$8:$K$8)</f>
        <v>0</v>
      </c>
      <c r="AU305" s="27" t="n">
        <f aca="false">MIN(AI304*(1+B$8),B$9)</f>
        <v>0</v>
      </c>
      <c r="AV305" s="27" t="n">
        <f aca="false">MIN(AJ304*(1+C$8),C$9)</f>
        <v>0</v>
      </c>
      <c r="AW305" s="27" t="n">
        <f aca="false">MIN(AK304*(1+D$8),D$9)</f>
        <v>0</v>
      </c>
      <c r="AX305" s="27" t="n">
        <f aca="false">MIN(AL304*(1+E$8),E$9)</f>
        <v>0</v>
      </c>
      <c r="AY305" s="27" t="n">
        <f aca="false">MIN(AM304*(1+F$8),F$9)</f>
        <v>0</v>
      </c>
      <c r="AZ305" s="27" t="n">
        <f aca="false">MIN(AN304*(1+G$8),G$9)</f>
        <v>0</v>
      </c>
      <c r="BA305" s="27" t="n">
        <f aca="false">MIN(AO304*(1+H$8),H$9)</f>
        <v>0</v>
      </c>
      <c r="BB305" s="27" t="n">
        <f aca="false">MIN(AP304*(1+I$8),I$9)</f>
        <v>0</v>
      </c>
      <c r="BC305" s="27" t="n">
        <f aca="false">MIN(AQ304*(1+J$8),J$9)</f>
        <v>0</v>
      </c>
      <c r="BD305" s="27" t="n">
        <f aca="false">MIN(AR304*(1+K$8),K$9)</f>
        <v>0</v>
      </c>
      <c r="BE305" s="27" t="n">
        <f aca="false">MIN(AI304*(1+B$8),MAX(AU305,$B$12-SUM(AV305:BD305)))</f>
        <v>0</v>
      </c>
      <c r="BF305" s="27" t="n">
        <f aca="false">MIN(AJ304*(1+C$8),MAX(AV305,$B$12-SUM(BE305:BE305)-SUM(AW305:BD305)))</f>
        <v>0</v>
      </c>
      <c r="BG305" s="27" t="n">
        <f aca="false">MIN(AK304*(1+D$8),MAX(AW305,$B$12-SUM(BE305:BF305)-SUM(AX305:BD305)))</f>
        <v>0</v>
      </c>
      <c r="BH305" s="27" t="n">
        <f aca="false">MIN(AL304*(1+E$8),MAX(AX305,$B$12-SUM(BE305:BG305)-SUM(AY305:BD305)))</f>
        <v>0</v>
      </c>
      <c r="BI305" s="27" t="n">
        <f aca="false">MIN(AM304*(1+F$8),MAX(AY305,$B$12-SUM(BE305:BH305)-SUM(AZ305:BD305)))</f>
        <v>0</v>
      </c>
      <c r="BJ305" s="27" t="n">
        <f aca="false">MIN(AN304*(1+G$8),MAX(AZ305,$B$12-SUM(BE305:BI305)-SUM(BA305:BD305)))</f>
        <v>0</v>
      </c>
      <c r="BK305" s="27" t="n">
        <f aca="false">MIN(AO304*(1+H$8),MAX(BA305,$B$12-SUM(BE305:BJ305)-SUM(BB305:BD305)))</f>
        <v>0</v>
      </c>
      <c r="BL305" s="27" t="n">
        <f aca="false">MIN(AP304*(1+I$8),MAX(BB305,$B$12-SUM(BE305:BK305)-SUM(BC305:BD305)))</f>
        <v>0</v>
      </c>
      <c r="BM305" s="27" t="n">
        <f aca="false">MIN(AQ304*(1+J$8),MAX(BC305,$B$12-SUM(BE305:BL305)-SUM(BD305:BD305)))</f>
        <v>0</v>
      </c>
      <c r="BN305" s="27" t="n">
        <f aca="false">MIN(AR304*(1+K$8),MAX(BD305,$B$12-SUM(BE305:BM305)))</f>
        <v>0</v>
      </c>
    </row>
    <row r="306" customFormat="false" ht="15" hidden="false" customHeight="false" outlineLevel="0" collapsed="false">
      <c r="A306" s="0" t="n">
        <v>292</v>
      </c>
      <c r="B306" s="27" t="n">
        <f aca="false">ROUND(MAX(0,B305*(1+B$8)-X306),2)</f>
        <v>0</v>
      </c>
      <c r="C306" s="27" t="n">
        <f aca="false">ROUND(MAX(0,C305*(1+C$8)-Y306),2)</f>
        <v>0</v>
      </c>
      <c r="D306" s="27" t="n">
        <f aca="false">ROUND(MAX(0,D305*(1+D$8)-Z306),2)</f>
        <v>0</v>
      </c>
      <c r="E306" s="27" t="n">
        <f aca="false">ROUND(MAX(0,E305*(1+E$8)-AA306),2)</f>
        <v>0</v>
      </c>
      <c r="F306" s="27" t="n">
        <f aca="false">ROUND(MAX(0,F305*(1+F$8)-AB306),2)</f>
        <v>0</v>
      </c>
      <c r="G306" s="27" t="n">
        <f aca="false">ROUND(MAX(0,G305*(1+G$8)-AC306),2)</f>
        <v>0</v>
      </c>
      <c r="H306" s="27" t="n">
        <f aca="false">ROUND(MAX(0,H305*(1+H$8)-AD306),2)</f>
        <v>0</v>
      </c>
      <c r="I306" s="27" t="n">
        <f aca="false">ROUND(MAX(0,I305*(1+I$8)-AE306),2)</f>
        <v>0</v>
      </c>
      <c r="J306" s="27" t="n">
        <f aca="false">ROUND(MAX(0,J305*(1+J$8)-AF306),2)</f>
        <v>0</v>
      </c>
      <c r="K306" s="27" t="n">
        <f aca="false">ROUND(MAX(0,K305*(1+K$8)-AG306),2)</f>
        <v>0</v>
      </c>
      <c r="L306" s="30" t="n">
        <f aca="false">SUM(B306:K306)</f>
        <v>0</v>
      </c>
      <c r="M306" s="27" t="n">
        <f aca="false">SUMPRODUCT(B305:K305,$B$8:$K$8)</f>
        <v>0</v>
      </c>
      <c r="N306" s="27" t="n">
        <f aca="false">MIN(B305*(1+B$8),B$9)</f>
        <v>0</v>
      </c>
      <c r="O306" s="27" t="n">
        <f aca="false">MIN(C305*(1+C$8),C$9)</f>
        <v>0</v>
      </c>
      <c r="P306" s="27" t="n">
        <f aca="false">MIN(D305*(1+D$8),D$9)</f>
        <v>0</v>
      </c>
      <c r="Q306" s="27" t="n">
        <f aca="false">MIN(E305*(1+E$8),E$9)</f>
        <v>0</v>
      </c>
      <c r="R306" s="27" t="n">
        <f aca="false">MIN(F305*(1+F$8),F$9)</f>
        <v>0</v>
      </c>
      <c r="S306" s="27" t="n">
        <f aca="false">MIN(G305*(1+G$8),G$9)</f>
        <v>0</v>
      </c>
      <c r="T306" s="27" t="n">
        <f aca="false">MIN(H305*(1+H$8),H$9)</f>
        <v>0</v>
      </c>
      <c r="U306" s="27" t="n">
        <f aca="false">MIN(I305*(1+I$8),I$9)</f>
        <v>0</v>
      </c>
      <c r="V306" s="27" t="n">
        <f aca="false">MIN(J305*(1+J$8),J$9)</f>
        <v>0</v>
      </c>
      <c r="W306" s="27" t="n">
        <f aca="false">MIN(K305*(1+K$8),K$9)</f>
        <v>0</v>
      </c>
      <c r="X306" s="27" t="n">
        <f aca="false">MIN(B305*(1+B$8),MAX(N306,$B$11-SUM(O306:W306)))</f>
        <v>0</v>
      </c>
      <c r="Y306" s="27" t="n">
        <f aca="false">MIN(C305*(1+C$8),MAX(O306,$B$11-SUM(X306:X306)-SUM(P306:W306)))</f>
        <v>0</v>
      </c>
      <c r="Z306" s="27" t="n">
        <f aca="false">MIN(D305*(1+D$8),MAX(P306,$B$11-SUM(X306:Y306)-SUM(Q306:W306)))</f>
        <v>0</v>
      </c>
      <c r="AA306" s="27" t="n">
        <f aca="false">MIN(E305*(1+E$8),MAX(Q306,$B$11-SUM(X306:Z306)-SUM(R306:W306)))</f>
        <v>0</v>
      </c>
      <c r="AB306" s="27" t="n">
        <f aca="false">MIN(F305*(1+F$8),MAX(R306,$B$11-SUM(X306:AA306)-SUM(S306:W306)))</f>
        <v>0</v>
      </c>
      <c r="AC306" s="27" t="n">
        <f aca="false">MIN(G305*(1+G$8),MAX(S306,$B$11-SUM(X306:AB306)-SUM(T306:W306)))</f>
        <v>0</v>
      </c>
      <c r="AD306" s="27" t="n">
        <f aca="false">MIN(H305*(1+H$8),MAX(T306,$B$11-SUM(X306:AC306)-SUM(U306:W306)))</f>
        <v>0</v>
      </c>
      <c r="AE306" s="27" t="n">
        <f aca="false">MIN(I305*(1+I$8),MAX(U306,$B$11-SUM(X306:AD306)-SUM(V306:W306)))</f>
        <v>0</v>
      </c>
      <c r="AF306" s="27" t="n">
        <f aca="false">MIN(J305*(1+J$8),MAX(V306,$B$11-SUM(X306:AE306)-SUM(W306:W306)))</f>
        <v>0</v>
      </c>
      <c r="AG306" s="27" t="n">
        <f aca="false">MIN(K305*(1+K$8),MAX(W306,$B$11-SUM(X306:AF306)))</f>
        <v>0</v>
      </c>
      <c r="AI306" s="27" t="n">
        <f aca="false">ROUND(MAX(0,AI305*(1+B$8)-BE306),2)</f>
        <v>0</v>
      </c>
      <c r="AJ306" s="27" t="n">
        <f aca="false">ROUND(MAX(0,AJ305*(1+C$8)-BF306),2)</f>
        <v>0</v>
      </c>
      <c r="AK306" s="27" t="n">
        <f aca="false">ROUND(MAX(0,AK305*(1+D$8)-BG306),2)</f>
        <v>0</v>
      </c>
      <c r="AL306" s="27" t="n">
        <f aca="false">ROUND(MAX(0,AL305*(1+E$8)-BH306),2)</f>
        <v>0</v>
      </c>
      <c r="AM306" s="27" t="n">
        <f aca="false">ROUND(MAX(0,AM305*(1+F$8)-BI306),2)</f>
        <v>0</v>
      </c>
      <c r="AN306" s="27" t="n">
        <f aca="false">ROUND(MAX(0,AN305*(1+G$8)-BJ306),2)</f>
        <v>0</v>
      </c>
      <c r="AO306" s="27" t="n">
        <f aca="false">ROUND(MAX(0,AO305*(1+H$8)-BK306),2)</f>
        <v>0</v>
      </c>
      <c r="AP306" s="27" t="n">
        <f aca="false">ROUND(MAX(0,AP305*(1+I$8)-BL306),2)</f>
        <v>0</v>
      </c>
      <c r="AQ306" s="27" t="n">
        <f aca="false">ROUND(MAX(0,AQ305*(1+J$8)-BM306),2)</f>
        <v>0</v>
      </c>
      <c r="AR306" s="27" t="n">
        <f aca="false">ROUND(MAX(0,AR305*(1+K$8)-BN306),2)</f>
        <v>0</v>
      </c>
      <c r="AS306" s="27" t="n">
        <f aca="false">SUM(AI306:AR306)</f>
        <v>0</v>
      </c>
      <c r="AT306" s="27" t="n">
        <f aca="false">SUMPRODUCT(AI305:AR305,$B$8:$K$8)</f>
        <v>0</v>
      </c>
      <c r="AU306" s="27" t="n">
        <f aca="false">MIN(AI305*(1+B$8),B$9)</f>
        <v>0</v>
      </c>
      <c r="AV306" s="27" t="n">
        <f aca="false">MIN(AJ305*(1+C$8),C$9)</f>
        <v>0</v>
      </c>
      <c r="AW306" s="27" t="n">
        <f aca="false">MIN(AK305*(1+D$8),D$9)</f>
        <v>0</v>
      </c>
      <c r="AX306" s="27" t="n">
        <f aca="false">MIN(AL305*(1+E$8),E$9)</f>
        <v>0</v>
      </c>
      <c r="AY306" s="27" t="n">
        <f aca="false">MIN(AM305*(1+F$8),F$9)</f>
        <v>0</v>
      </c>
      <c r="AZ306" s="27" t="n">
        <f aca="false">MIN(AN305*(1+G$8),G$9)</f>
        <v>0</v>
      </c>
      <c r="BA306" s="27" t="n">
        <f aca="false">MIN(AO305*(1+H$8),H$9)</f>
        <v>0</v>
      </c>
      <c r="BB306" s="27" t="n">
        <f aca="false">MIN(AP305*(1+I$8),I$9)</f>
        <v>0</v>
      </c>
      <c r="BC306" s="27" t="n">
        <f aca="false">MIN(AQ305*(1+J$8),J$9)</f>
        <v>0</v>
      </c>
      <c r="BD306" s="27" t="n">
        <f aca="false">MIN(AR305*(1+K$8),K$9)</f>
        <v>0</v>
      </c>
      <c r="BE306" s="27" t="n">
        <f aca="false">MIN(AI305*(1+B$8),MAX(AU306,$B$12-SUM(AV306:BD306)))</f>
        <v>0</v>
      </c>
      <c r="BF306" s="27" t="n">
        <f aca="false">MIN(AJ305*(1+C$8),MAX(AV306,$B$12-SUM(BE306:BE306)-SUM(AW306:BD306)))</f>
        <v>0</v>
      </c>
      <c r="BG306" s="27" t="n">
        <f aca="false">MIN(AK305*(1+D$8),MAX(AW306,$B$12-SUM(BE306:BF306)-SUM(AX306:BD306)))</f>
        <v>0</v>
      </c>
      <c r="BH306" s="27" t="n">
        <f aca="false">MIN(AL305*(1+E$8),MAX(AX306,$B$12-SUM(BE306:BG306)-SUM(AY306:BD306)))</f>
        <v>0</v>
      </c>
      <c r="BI306" s="27" t="n">
        <f aca="false">MIN(AM305*(1+F$8),MAX(AY306,$B$12-SUM(BE306:BH306)-SUM(AZ306:BD306)))</f>
        <v>0</v>
      </c>
      <c r="BJ306" s="27" t="n">
        <f aca="false">MIN(AN305*(1+G$8),MAX(AZ306,$B$12-SUM(BE306:BI306)-SUM(BA306:BD306)))</f>
        <v>0</v>
      </c>
      <c r="BK306" s="27" t="n">
        <f aca="false">MIN(AO305*(1+H$8),MAX(BA306,$B$12-SUM(BE306:BJ306)-SUM(BB306:BD306)))</f>
        <v>0</v>
      </c>
      <c r="BL306" s="27" t="n">
        <f aca="false">MIN(AP305*(1+I$8),MAX(BB306,$B$12-SUM(BE306:BK306)-SUM(BC306:BD306)))</f>
        <v>0</v>
      </c>
      <c r="BM306" s="27" t="n">
        <f aca="false">MIN(AQ305*(1+J$8),MAX(BC306,$B$12-SUM(BE306:BL306)-SUM(BD306:BD306)))</f>
        <v>0</v>
      </c>
      <c r="BN306" s="27" t="n">
        <f aca="false">MIN(AR305*(1+K$8),MAX(BD306,$B$12-SUM(BE306:BM306)))</f>
        <v>0</v>
      </c>
    </row>
    <row r="307" customFormat="false" ht="15" hidden="false" customHeight="false" outlineLevel="0" collapsed="false">
      <c r="A307" s="0" t="n">
        <v>293</v>
      </c>
      <c r="B307" s="27" t="n">
        <f aca="false">ROUND(MAX(0,B306*(1+B$8)-X307),2)</f>
        <v>0</v>
      </c>
      <c r="C307" s="27" t="n">
        <f aca="false">ROUND(MAX(0,C306*(1+C$8)-Y307),2)</f>
        <v>0</v>
      </c>
      <c r="D307" s="27" t="n">
        <f aca="false">ROUND(MAX(0,D306*(1+D$8)-Z307),2)</f>
        <v>0</v>
      </c>
      <c r="E307" s="27" t="n">
        <f aca="false">ROUND(MAX(0,E306*(1+E$8)-AA307),2)</f>
        <v>0</v>
      </c>
      <c r="F307" s="27" t="n">
        <f aca="false">ROUND(MAX(0,F306*(1+F$8)-AB307),2)</f>
        <v>0</v>
      </c>
      <c r="G307" s="27" t="n">
        <f aca="false">ROUND(MAX(0,G306*(1+G$8)-AC307),2)</f>
        <v>0</v>
      </c>
      <c r="H307" s="27" t="n">
        <f aca="false">ROUND(MAX(0,H306*(1+H$8)-AD307),2)</f>
        <v>0</v>
      </c>
      <c r="I307" s="27" t="n">
        <f aca="false">ROUND(MAX(0,I306*(1+I$8)-AE307),2)</f>
        <v>0</v>
      </c>
      <c r="J307" s="27" t="n">
        <f aca="false">ROUND(MAX(0,J306*(1+J$8)-AF307),2)</f>
        <v>0</v>
      </c>
      <c r="K307" s="27" t="n">
        <f aca="false">ROUND(MAX(0,K306*(1+K$8)-AG307),2)</f>
        <v>0</v>
      </c>
      <c r="L307" s="30" t="n">
        <f aca="false">SUM(B307:K307)</f>
        <v>0</v>
      </c>
      <c r="M307" s="27" t="n">
        <f aca="false">SUMPRODUCT(B306:K306,$B$8:$K$8)</f>
        <v>0</v>
      </c>
      <c r="N307" s="27" t="n">
        <f aca="false">MIN(B306*(1+B$8),B$9)</f>
        <v>0</v>
      </c>
      <c r="O307" s="27" t="n">
        <f aca="false">MIN(C306*(1+C$8),C$9)</f>
        <v>0</v>
      </c>
      <c r="P307" s="27" t="n">
        <f aca="false">MIN(D306*(1+D$8),D$9)</f>
        <v>0</v>
      </c>
      <c r="Q307" s="27" t="n">
        <f aca="false">MIN(E306*(1+E$8),E$9)</f>
        <v>0</v>
      </c>
      <c r="R307" s="27" t="n">
        <f aca="false">MIN(F306*(1+F$8),F$9)</f>
        <v>0</v>
      </c>
      <c r="S307" s="27" t="n">
        <f aca="false">MIN(G306*(1+G$8),G$9)</f>
        <v>0</v>
      </c>
      <c r="T307" s="27" t="n">
        <f aca="false">MIN(H306*(1+H$8),H$9)</f>
        <v>0</v>
      </c>
      <c r="U307" s="27" t="n">
        <f aca="false">MIN(I306*(1+I$8),I$9)</f>
        <v>0</v>
      </c>
      <c r="V307" s="27" t="n">
        <f aca="false">MIN(J306*(1+J$8),J$9)</f>
        <v>0</v>
      </c>
      <c r="W307" s="27" t="n">
        <f aca="false">MIN(K306*(1+K$8),K$9)</f>
        <v>0</v>
      </c>
      <c r="X307" s="27" t="n">
        <f aca="false">MIN(B306*(1+B$8),MAX(N307,$B$11-SUM(O307:W307)))</f>
        <v>0</v>
      </c>
      <c r="Y307" s="27" t="n">
        <f aca="false">MIN(C306*(1+C$8),MAX(O307,$B$11-SUM(X307:X307)-SUM(P307:W307)))</f>
        <v>0</v>
      </c>
      <c r="Z307" s="27" t="n">
        <f aca="false">MIN(D306*(1+D$8),MAX(P307,$B$11-SUM(X307:Y307)-SUM(Q307:W307)))</f>
        <v>0</v>
      </c>
      <c r="AA307" s="27" t="n">
        <f aca="false">MIN(E306*(1+E$8),MAX(Q307,$B$11-SUM(X307:Z307)-SUM(R307:W307)))</f>
        <v>0</v>
      </c>
      <c r="AB307" s="27" t="n">
        <f aca="false">MIN(F306*(1+F$8),MAX(R307,$B$11-SUM(X307:AA307)-SUM(S307:W307)))</f>
        <v>0</v>
      </c>
      <c r="AC307" s="27" t="n">
        <f aca="false">MIN(G306*(1+G$8),MAX(S307,$B$11-SUM(X307:AB307)-SUM(T307:W307)))</f>
        <v>0</v>
      </c>
      <c r="AD307" s="27" t="n">
        <f aca="false">MIN(H306*(1+H$8),MAX(T307,$B$11-SUM(X307:AC307)-SUM(U307:W307)))</f>
        <v>0</v>
      </c>
      <c r="AE307" s="27" t="n">
        <f aca="false">MIN(I306*(1+I$8),MAX(U307,$B$11-SUM(X307:AD307)-SUM(V307:W307)))</f>
        <v>0</v>
      </c>
      <c r="AF307" s="27" t="n">
        <f aca="false">MIN(J306*(1+J$8),MAX(V307,$B$11-SUM(X307:AE307)-SUM(W307:W307)))</f>
        <v>0</v>
      </c>
      <c r="AG307" s="27" t="n">
        <f aca="false">MIN(K306*(1+K$8),MAX(W307,$B$11-SUM(X307:AF307)))</f>
        <v>0</v>
      </c>
      <c r="AI307" s="27" t="n">
        <f aca="false">ROUND(MAX(0,AI306*(1+B$8)-BE307),2)</f>
        <v>0</v>
      </c>
      <c r="AJ307" s="27" t="n">
        <f aca="false">ROUND(MAX(0,AJ306*(1+C$8)-BF307),2)</f>
        <v>0</v>
      </c>
      <c r="AK307" s="27" t="n">
        <f aca="false">ROUND(MAX(0,AK306*(1+D$8)-BG307),2)</f>
        <v>0</v>
      </c>
      <c r="AL307" s="27" t="n">
        <f aca="false">ROUND(MAX(0,AL306*(1+E$8)-BH307),2)</f>
        <v>0</v>
      </c>
      <c r="AM307" s="27" t="n">
        <f aca="false">ROUND(MAX(0,AM306*(1+F$8)-BI307),2)</f>
        <v>0</v>
      </c>
      <c r="AN307" s="27" t="n">
        <f aca="false">ROUND(MAX(0,AN306*(1+G$8)-BJ307),2)</f>
        <v>0</v>
      </c>
      <c r="AO307" s="27" t="n">
        <f aca="false">ROUND(MAX(0,AO306*(1+H$8)-BK307),2)</f>
        <v>0</v>
      </c>
      <c r="AP307" s="27" t="n">
        <f aca="false">ROUND(MAX(0,AP306*(1+I$8)-BL307),2)</f>
        <v>0</v>
      </c>
      <c r="AQ307" s="27" t="n">
        <f aca="false">ROUND(MAX(0,AQ306*(1+J$8)-BM307),2)</f>
        <v>0</v>
      </c>
      <c r="AR307" s="27" t="n">
        <f aca="false">ROUND(MAX(0,AR306*(1+K$8)-BN307),2)</f>
        <v>0</v>
      </c>
      <c r="AS307" s="27" t="n">
        <f aca="false">SUM(AI307:AR307)</f>
        <v>0</v>
      </c>
      <c r="AT307" s="27" t="n">
        <f aca="false">SUMPRODUCT(AI306:AR306,$B$8:$K$8)</f>
        <v>0</v>
      </c>
      <c r="AU307" s="27" t="n">
        <f aca="false">MIN(AI306*(1+B$8),B$9)</f>
        <v>0</v>
      </c>
      <c r="AV307" s="27" t="n">
        <f aca="false">MIN(AJ306*(1+C$8),C$9)</f>
        <v>0</v>
      </c>
      <c r="AW307" s="27" t="n">
        <f aca="false">MIN(AK306*(1+D$8),D$9)</f>
        <v>0</v>
      </c>
      <c r="AX307" s="27" t="n">
        <f aca="false">MIN(AL306*(1+E$8),E$9)</f>
        <v>0</v>
      </c>
      <c r="AY307" s="27" t="n">
        <f aca="false">MIN(AM306*(1+F$8),F$9)</f>
        <v>0</v>
      </c>
      <c r="AZ307" s="27" t="n">
        <f aca="false">MIN(AN306*(1+G$8),G$9)</f>
        <v>0</v>
      </c>
      <c r="BA307" s="27" t="n">
        <f aca="false">MIN(AO306*(1+H$8),H$9)</f>
        <v>0</v>
      </c>
      <c r="BB307" s="27" t="n">
        <f aca="false">MIN(AP306*(1+I$8),I$9)</f>
        <v>0</v>
      </c>
      <c r="BC307" s="27" t="n">
        <f aca="false">MIN(AQ306*(1+J$8),J$9)</f>
        <v>0</v>
      </c>
      <c r="BD307" s="27" t="n">
        <f aca="false">MIN(AR306*(1+K$8),K$9)</f>
        <v>0</v>
      </c>
      <c r="BE307" s="27" t="n">
        <f aca="false">MIN(AI306*(1+B$8),MAX(AU307,$B$12-SUM(AV307:BD307)))</f>
        <v>0</v>
      </c>
      <c r="BF307" s="27" t="n">
        <f aca="false">MIN(AJ306*(1+C$8),MAX(AV307,$B$12-SUM(BE307:BE307)-SUM(AW307:BD307)))</f>
        <v>0</v>
      </c>
      <c r="BG307" s="27" t="n">
        <f aca="false">MIN(AK306*(1+D$8),MAX(AW307,$B$12-SUM(BE307:BF307)-SUM(AX307:BD307)))</f>
        <v>0</v>
      </c>
      <c r="BH307" s="27" t="n">
        <f aca="false">MIN(AL306*(1+E$8),MAX(AX307,$B$12-SUM(BE307:BG307)-SUM(AY307:BD307)))</f>
        <v>0</v>
      </c>
      <c r="BI307" s="27" t="n">
        <f aca="false">MIN(AM306*(1+F$8),MAX(AY307,$B$12-SUM(BE307:BH307)-SUM(AZ307:BD307)))</f>
        <v>0</v>
      </c>
      <c r="BJ307" s="27" t="n">
        <f aca="false">MIN(AN306*(1+G$8),MAX(AZ307,$B$12-SUM(BE307:BI307)-SUM(BA307:BD307)))</f>
        <v>0</v>
      </c>
      <c r="BK307" s="27" t="n">
        <f aca="false">MIN(AO306*(1+H$8),MAX(BA307,$B$12-SUM(BE307:BJ307)-SUM(BB307:BD307)))</f>
        <v>0</v>
      </c>
      <c r="BL307" s="27" t="n">
        <f aca="false">MIN(AP306*(1+I$8),MAX(BB307,$B$12-SUM(BE307:BK307)-SUM(BC307:BD307)))</f>
        <v>0</v>
      </c>
      <c r="BM307" s="27" t="n">
        <f aca="false">MIN(AQ306*(1+J$8),MAX(BC307,$B$12-SUM(BE307:BL307)-SUM(BD307:BD307)))</f>
        <v>0</v>
      </c>
      <c r="BN307" s="27" t="n">
        <f aca="false">MIN(AR306*(1+K$8),MAX(BD307,$B$12-SUM(BE307:BM307)))</f>
        <v>0</v>
      </c>
    </row>
    <row r="308" customFormat="false" ht="15" hidden="false" customHeight="false" outlineLevel="0" collapsed="false">
      <c r="A308" s="0" t="n">
        <v>294</v>
      </c>
      <c r="B308" s="27" t="n">
        <f aca="false">ROUND(MAX(0,B307*(1+B$8)-X308),2)</f>
        <v>0</v>
      </c>
      <c r="C308" s="27" t="n">
        <f aca="false">ROUND(MAX(0,C307*(1+C$8)-Y308),2)</f>
        <v>0</v>
      </c>
      <c r="D308" s="27" t="n">
        <f aca="false">ROUND(MAX(0,D307*(1+D$8)-Z308),2)</f>
        <v>0</v>
      </c>
      <c r="E308" s="27" t="n">
        <f aca="false">ROUND(MAX(0,E307*(1+E$8)-AA308),2)</f>
        <v>0</v>
      </c>
      <c r="F308" s="27" t="n">
        <f aca="false">ROUND(MAX(0,F307*(1+F$8)-AB308),2)</f>
        <v>0</v>
      </c>
      <c r="G308" s="27" t="n">
        <f aca="false">ROUND(MAX(0,G307*(1+G$8)-AC308),2)</f>
        <v>0</v>
      </c>
      <c r="H308" s="27" t="n">
        <f aca="false">ROUND(MAX(0,H307*(1+H$8)-AD308),2)</f>
        <v>0</v>
      </c>
      <c r="I308" s="27" t="n">
        <f aca="false">ROUND(MAX(0,I307*(1+I$8)-AE308),2)</f>
        <v>0</v>
      </c>
      <c r="J308" s="27" t="n">
        <f aca="false">ROUND(MAX(0,J307*(1+J$8)-AF308),2)</f>
        <v>0</v>
      </c>
      <c r="K308" s="27" t="n">
        <f aca="false">ROUND(MAX(0,K307*(1+K$8)-AG308),2)</f>
        <v>0</v>
      </c>
      <c r="L308" s="30" t="n">
        <f aca="false">SUM(B308:K308)</f>
        <v>0</v>
      </c>
      <c r="M308" s="27" t="n">
        <f aca="false">SUMPRODUCT(B307:K307,$B$8:$K$8)</f>
        <v>0</v>
      </c>
      <c r="N308" s="27" t="n">
        <f aca="false">MIN(B307*(1+B$8),B$9)</f>
        <v>0</v>
      </c>
      <c r="O308" s="27" t="n">
        <f aca="false">MIN(C307*(1+C$8),C$9)</f>
        <v>0</v>
      </c>
      <c r="P308" s="27" t="n">
        <f aca="false">MIN(D307*(1+D$8),D$9)</f>
        <v>0</v>
      </c>
      <c r="Q308" s="27" t="n">
        <f aca="false">MIN(E307*(1+E$8),E$9)</f>
        <v>0</v>
      </c>
      <c r="R308" s="27" t="n">
        <f aca="false">MIN(F307*(1+F$8),F$9)</f>
        <v>0</v>
      </c>
      <c r="S308" s="27" t="n">
        <f aca="false">MIN(G307*(1+G$8),G$9)</f>
        <v>0</v>
      </c>
      <c r="T308" s="27" t="n">
        <f aca="false">MIN(H307*(1+H$8),H$9)</f>
        <v>0</v>
      </c>
      <c r="U308" s="27" t="n">
        <f aca="false">MIN(I307*(1+I$8),I$9)</f>
        <v>0</v>
      </c>
      <c r="V308" s="27" t="n">
        <f aca="false">MIN(J307*(1+J$8),J$9)</f>
        <v>0</v>
      </c>
      <c r="W308" s="27" t="n">
        <f aca="false">MIN(K307*(1+K$8),K$9)</f>
        <v>0</v>
      </c>
      <c r="X308" s="27" t="n">
        <f aca="false">MIN(B307*(1+B$8),MAX(N308,$B$11-SUM(O308:W308)))</f>
        <v>0</v>
      </c>
      <c r="Y308" s="27" t="n">
        <f aca="false">MIN(C307*(1+C$8),MAX(O308,$B$11-SUM(X308:X308)-SUM(P308:W308)))</f>
        <v>0</v>
      </c>
      <c r="Z308" s="27" t="n">
        <f aca="false">MIN(D307*(1+D$8),MAX(P308,$B$11-SUM(X308:Y308)-SUM(Q308:W308)))</f>
        <v>0</v>
      </c>
      <c r="AA308" s="27" t="n">
        <f aca="false">MIN(E307*(1+E$8),MAX(Q308,$B$11-SUM(X308:Z308)-SUM(R308:W308)))</f>
        <v>0</v>
      </c>
      <c r="AB308" s="27" t="n">
        <f aca="false">MIN(F307*(1+F$8),MAX(R308,$B$11-SUM(X308:AA308)-SUM(S308:W308)))</f>
        <v>0</v>
      </c>
      <c r="AC308" s="27" t="n">
        <f aca="false">MIN(G307*(1+G$8),MAX(S308,$B$11-SUM(X308:AB308)-SUM(T308:W308)))</f>
        <v>0</v>
      </c>
      <c r="AD308" s="27" t="n">
        <f aca="false">MIN(H307*(1+H$8),MAX(T308,$B$11-SUM(X308:AC308)-SUM(U308:W308)))</f>
        <v>0</v>
      </c>
      <c r="AE308" s="27" t="n">
        <f aca="false">MIN(I307*(1+I$8),MAX(U308,$B$11-SUM(X308:AD308)-SUM(V308:W308)))</f>
        <v>0</v>
      </c>
      <c r="AF308" s="27" t="n">
        <f aca="false">MIN(J307*(1+J$8),MAX(V308,$B$11-SUM(X308:AE308)-SUM(W308:W308)))</f>
        <v>0</v>
      </c>
      <c r="AG308" s="27" t="n">
        <f aca="false">MIN(K307*(1+K$8),MAX(W308,$B$11-SUM(X308:AF308)))</f>
        <v>0</v>
      </c>
      <c r="AI308" s="27" t="n">
        <f aca="false">ROUND(MAX(0,AI307*(1+B$8)-BE308),2)</f>
        <v>0</v>
      </c>
      <c r="AJ308" s="27" t="n">
        <f aca="false">ROUND(MAX(0,AJ307*(1+C$8)-BF308),2)</f>
        <v>0</v>
      </c>
      <c r="AK308" s="27" t="n">
        <f aca="false">ROUND(MAX(0,AK307*(1+D$8)-BG308),2)</f>
        <v>0</v>
      </c>
      <c r="AL308" s="27" t="n">
        <f aca="false">ROUND(MAX(0,AL307*(1+E$8)-BH308),2)</f>
        <v>0</v>
      </c>
      <c r="AM308" s="27" t="n">
        <f aca="false">ROUND(MAX(0,AM307*(1+F$8)-BI308),2)</f>
        <v>0</v>
      </c>
      <c r="AN308" s="27" t="n">
        <f aca="false">ROUND(MAX(0,AN307*(1+G$8)-BJ308),2)</f>
        <v>0</v>
      </c>
      <c r="AO308" s="27" t="n">
        <f aca="false">ROUND(MAX(0,AO307*(1+H$8)-BK308),2)</f>
        <v>0</v>
      </c>
      <c r="AP308" s="27" t="n">
        <f aca="false">ROUND(MAX(0,AP307*(1+I$8)-BL308),2)</f>
        <v>0</v>
      </c>
      <c r="AQ308" s="27" t="n">
        <f aca="false">ROUND(MAX(0,AQ307*(1+J$8)-BM308),2)</f>
        <v>0</v>
      </c>
      <c r="AR308" s="27" t="n">
        <f aca="false">ROUND(MAX(0,AR307*(1+K$8)-BN308),2)</f>
        <v>0</v>
      </c>
      <c r="AS308" s="27" t="n">
        <f aca="false">SUM(AI308:AR308)</f>
        <v>0</v>
      </c>
      <c r="AT308" s="27" t="n">
        <f aca="false">SUMPRODUCT(AI307:AR307,$B$8:$K$8)</f>
        <v>0</v>
      </c>
      <c r="AU308" s="27" t="n">
        <f aca="false">MIN(AI307*(1+B$8),B$9)</f>
        <v>0</v>
      </c>
      <c r="AV308" s="27" t="n">
        <f aca="false">MIN(AJ307*(1+C$8),C$9)</f>
        <v>0</v>
      </c>
      <c r="AW308" s="27" t="n">
        <f aca="false">MIN(AK307*(1+D$8),D$9)</f>
        <v>0</v>
      </c>
      <c r="AX308" s="27" t="n">
        <f aca="false">MIN(AL307*(1+E$8),E$9)</f>
        <v>0</v>
      </c>
      <c r="AY308" s="27" t="n">
        <f aca="false">MIN(AM307*(1+F$8),F$9)</f>
        <v>0</v>
      </c>
      <c r="AZ308" s="27" t="n">
        <f aca="false">MIN(AN307*(1+G$8),G$9)</f>
        <v>0</v>
      </c>
      <c r="BA308" s="27" t="n">
        <f aca="false">MIN(AO307*(1+H$8),H$9)</f>
        <v>0</v>
      </c>
      <c r="BB308" s="27" t="n">
        <f aca="false">MIN(AP307*(1+I$8),I$9)</f>
        <v>0</v>
      </c>
      <c r="BC308" s="27" t="n">
        <f aca="false">MIN(AQ307*(1+J$8),J$9)</f>
        <v>0</v>
      </c>
      <c r="BD308" s="27" t="n">
        <f aca="false">MIN(AR307*(1+K$8),K$9)</f>
        <v>0</v>
      </c>
      <c r="BE308" s="27" t="n">
        <f aca="false">MIN(AI307*(1+B$8),MAX(AU308,$B$12-SUM(AV308:BD308)))</f>
        <v>0</v>
      </c>
      <c r="BF308" s="27" t="n">
        <f aca="false">MIN(AJ307*(1+C$8),MAX(AV308,$B$12-SUM(BE308:BE308)-SUM(AW308:BD308)))</f>
        <v>0</v>
      </c>
      <c r="BG308" s="27" t="n">
        <f aca="false">MIN(AK307*(1+D$8),MAX(AW308,$B$12-SUM(BE308:BF308)-SUM(AX308:BD308)))</f>
        <v>0</v>
      </c>
      <c r="BH308" s="27" t="n">
        <f aca="false">MIN(AL307*(1+E$8),MAX(AX308,$B$12-SUM(BE308:BG308)-SUM(AY308:BD308)))</f>
        <v>0</v>
      </c>
      <c r="BI308" s="27" t="n">
        <f aca="false">MIN(AM307*(1+F$8),MAX(AY308,$B$12-SUM(BE308:BH308)-SUM(AZ308:BD308)))</f>
        <v>0</v>
      </c>
      <c r="BJ308" s="27" t="n">
        <f aca="false">MIN(AN307*(1+G$8),MAX(AZ308,$B$12-SUM(BE308:BI308)-SUM(BA308:BD308)))</f>
        <v>0</v>
      </c>
      <c r="BK308" s="27" t="n">
        <f aca="false">MIN(AO307*(1+H$8),MAX(BA308,$B$12-SUM(BE308:BJ308)-SUM(BB308:BD308)))</f>
        <v>0</v>
      </c>
      <c r="BL308" s="27" t="n">
        <f aca="false">MIN(AP307*(1+I$8),MAX(BB308,$B$12-SUM(BE308:BK308)-SUM(BC308:BD308)))</f>
        <v>0</v>
      </c>
      <c r="BM308" s="27" t="n">
        <f aca="false">MIN(AQ307*(1+J$8),MAX(BC308,$B$12-SUM(BE308:BL308)-SUM(BD308:BD308)))</f>
        <v>0</v>
      </c>
      <c r="BN308" s="27" t="n">
        <f aca="false">MIN(AR307*(1+K$8),MAX(BD308,$B$12-SUM(BE308:BM308)))</f>
        <v>0</v>
      </c>
    </row>
    <row r="309" customFormat="false" ht="15" hidden="false" customHeight="false" outlineLevel="0" collapsed="false">
      <c r="A309" s="0" t="n">
        <v>295</v>
      </c>
      <c r="B309" s="27" t="n">
        <f aca="false">ROUND(MAX(0,B308*(1+B$8)-X309),2)</f>
        <v>0</v>
      </c>
      <c r="C309" s="27" t="n">
        <f aca="false">ROUND(MAX(0,C308*(1+C$8)-Y309),2)</f>
        <v>0</v>
      </c>
      <c r="D309" s="27" t="n">
        <f aca="false">ROUND(MAX(0,D308*(1+D$8)-Z309),2)</f>
        <v>0</v>
      </c>
      <c r="E309" s="27" t="n">
        <f aca="false">ROUND(MAX(0,E308*(1+E$8)-AA309),2)</f>
        <v>0</v>
      </c>
      <c r="F309" s="27" t="n">
        <f aca="false">ROUND(MAX(0,F308*(1+F$8)-AB309),2)</f>
        <v>0</v>
      </c>
      <c r="G309" s="27" t="n">
        <f aca="false">ROUND(MAX(0,G308*(1+G$8)-AC309),2)</f>
        <v>0</v>
      </c>
      <c r="H309" s="27" t="n">
        <f aca="false">ROUND(MAX(0,H308*(1+H$8)-AD309),2)</f>
        <v>0</v>
      </c>
      <c r="I309" s="27" t="n">
        <f aca="false">ROUND(MAX(0,I308*(1+I$8)-AE309),2)</f>
        <v>0</v>
      </c>
      <c r="J309" s="27" t="n">
        <f aca="false">ROUND(MAX(0,J308*(1+J$8)-AF309),2)</f>
        <v>0</v>
      </c>
      <c r="K309" s="27" t="n">
        <f aca="false">ROUND(MAX(0,K308*(1+K$8)-AG309),2)</f>
        <v>0</v>
      </c>
      <c r="L309" s="30" t="n">
        <f aca="false">SUM(B309:K309)</f>
        <v>0</v>
      </c>
      <c r="M309" s="27" t="n">
        <f aca="false">SUMPRODUCT(B308:K308,$B$8:$K$8)</f>
        <v>0</v>
      </c>
      <c r="N309" s="27" t="n">
        <f aca="false">MIN(B308*(1+B$8),B$9)</f>
        <v>0</v>
      </c>
      <c r="O309" s="27" t="n">
        <f aca="false">MIN(C308*(1+C$8),C$9)</f>
        <v>0</v>
      </c>
      <c r="P309" s="27" t="n">
        <f aca="false">MIN(D308*(1+D$8),D$9)</f>
        <v>0</v>
      </c>
      <c r="Q309" s="27" t="n">
        <f aca="false">MIN(E308*(1+E$8),E$9)</f>
        <v>0</v>
      </c>
      <c r="R309" s="27" t="n">
        <f aca="false">MIN(F308*(1+F$8),F$9)</f>
        <v>0</v>
      </c>
      <c r="S309" s="27" t="n">
        <f aca="false">MIN(G308*(1+G$8),G$9)</f>
        <v>0</v>
      </c>
      <c r="T309" s="27" t="n">
        <f aca="false">MIN(H308*(1+H$8),H$9)</f>
        <v>0</v>
      </c>
      <c r="U309" s="27" t="n">
        <f aca="false">MIN(I308*(1+I$8),I$9)</f>
        <v>0</v>
      </c>
      <c r="V309" s="27" t="n">
        <f aca="false">MIN(J308*(1+J$8),J$9)</f>
        <v>0</v>
      </c>
      <c r="W309" s="27" t="n">
        <f aca="false">MIN(K308*(1+K$8),K$9)</f>
        <v>0</v>
      </c>
      <c r="X309" s="27" t="n">
        <f aca="false">MIN(B308*(1+B$8),MAX(N309,$B$11-SUM(O309:W309)))</f>
        <v>0</v>
      </c>
      <c r="Y309" s="27" t="n">
        <f aca="false">MIN(C308*(1+C$8),MAX(O309,$B$11-SUM(X309:X309)-SUM(P309:W309)))</f>
        <v>0</v>
      </c>
      <c r="Z309" s="27" t="n">
        <f aca="false">MIN(D308*(1+D$8),MAX(P309,$B$11-SUM(X309:Y309)-SUM(Q309:W309)))</f>
        <v>0</v>
      </c>
      <c r="AA309" s="27" t="n">
        <f aca="false">MIN(E308*(1+E$8),MAX(Q309,$B$11-SUM(X309:Z309)-SUM(R309:W309)))</f>
        <v>0</v>
      </c>
      <c r="AB309" s="27" t="n">
        <f aca="false">MIN(F308*(1+F$8),MAX(R309,$B$11-SUM(X309:AA309)-SUM(S309:W309)))</f>
        <v>0</v>
      </c>
      <c r="AC309" s="27" t="n">
        <f aca="false">MIN(G308*(1+G$8),MAX(S309,$B$11-SUM(X309:AB309)-SUM(T309:W309)))</f>
        <v>0</v>
      </c>
      <c r="AD309" s="27" t="n">
        <f aca="false">MIN(H308*(1+H$8),MAX(T309,$B$11-SUM(X309:AC309)-SUM(U309:W309)))</f>
        <v>0</v>
      </c>
      <c r="AE309" s="27" t="n">
        <f aca="false">MIN(I308*(1+I$8),MAX(U309,$B$11-SUM(X309:AD309)-SUM(V309:W309)))</f>
        <v>0</v>
      </c>
      <c r="AF309" s="27" t="n">
        <f aca="false">MIN(J308*(1+J$8),MAX(V309,$B$11-SUM(X309:AE309)-SUM(W309:W309)))</f>
        <v>0</v>
      </c>
      <c r="AG309" s="27" t="n">
        <f aca="false">MIN(K308*(1+K$8),MAX(W309,$B$11-SUM(X309:AF309)))</f>
        <v>0</v>
      </c>
      <c r="AI309" s="27" t="n">
        <f aca="false">ROUND(MAX(0,AI308*(1+B$8)-BE309),2)</f>
        <v>0</v>
      </c>
      <c r="AJ309" s="27" t="n">
        <f aca="false">ROUND(MAX(0,AJ308*(1+C$8)-BF309),2)</f>
        <v>0</v>
      </c>
      <c r="AK309" s="27" t="n">
        <f aca="false">ROUND(MAX(0,AK308*(1+D$8)-BG309),2)</f>
        <v>0</v>
      </c>
      <c r="AL309" s="27" t="n">
        <f aca="false">ROUND(MAX(0,AL308*(1+E$8)-BH309),2)</f>
        <v>0</v>
      </c>
      <c r="AM309" s="27" t="n">
        <f aca="false">ROUND(MAX(0,AM308*(1+F$8)-BI309),2)</f>
        <v>0</v>
      </c>
      <c r="AN309" s="27" t="n">
        <f aca="false">ROUND(MAX(0,AN308*(1+G$8)-BJ309),2)</f>
        <v>0</v>
      </c>
      <c r="AO309" s="27" t="n">
        <f aca="false">ROUND(MAX(0,AO308*(1+H$8)-BK309),2)</f>
        <v>0</v>
      </c>
      <c r="AP309" s="27" t="n">
        <f aca="false">ROUND(MAX(0,AP308*(1+I$8)-BL309),2)</f>
        <v>0</v>
      </c>
      <c r="AQ309" s="27" t="n">
        <f aca="false">ROUND(MAX(0,AQ308*(1+J$8)-BM309),2)</f>
        <v>0</v>
      </c>
      <c r="AR309" s="27" t="n">
        <f aca="false">ROUND(MAX(0,AR308*(1+K$8)-BN309),2)</f>
        <v>0</v>
      </c>
      <c r="AS309" s="27" t="n">
        <f aca="false">SUM(AI309:AR309)</f>
        <v>0</v>
      </c>
      <c r="AT309" s="27" t="n">
        <f aca="false">SUMPRODUCT(AI308:AR308,$B$8:$K$8)</f>
        <v>0</v>
      </c>
      <c r="AU309" s="27" t="n">
        <f aca="false">MIN(AI308*(1+B$8),B$9)</f>
        <v>0</v>
      </c>
      <c r="AV309" s="27" t="n">
        <f aca="false">MIN(AJ308*(1+C$8),C$9)</f>
        <v>0</v>
      </c>
      <c r="AW309" s="27" t="n">
        <f aca="false">MIN(AK308*(1+D$8),D$9)</f>
        <v>0</v>
      </c>
      <c r="AX309" s="27" t="n">
        <f aca="false">MIN(AL308*(1+E$8),E$9)</f>
        <v>0</v>
      </c>
      <c r="AY309" s="27" t="n">
        <f aca="false">MIN(AM308*(1+F$8),F$9)</f>
        <v>0</v>
      </c>
      <c r="AZ309" s="27" t="n">
        <f aca="false">MIN(AN308*(1+G$8),G$9)</f>
        <v>0</v>
      </c>
      <c r="BA309" s="27" t="n">
        <f aca="false">MIN(AO308*(1+H$8),H$9)</f>
        <v>0</v>
      </c>
      <c r="BB309" s="27" t="n">
        <f aca="false">MIN(AP308*(1+I$8),I$9)</f>
        <v>0</v>
      </c>
      <c r="BC309" s="27" t="n">
        <f aca="false">MIN(AQ308*(1+J$8),J$9)</f>
        <v>0</v>
      </c>
      <c r="BD309" s="27" t="n">
        <f aca="false">MIN(AR308*(1+K$8),K$9)</f>
        <v>0</v>
      </c>
      <c r="BE309" s="27" t="n">
        <f aca="false">MIN(AI308*(1+B$8),MAX(AU309,$B$12-SUM(AV309:BD309)))</f>
        <v>0</v>
      </c>
      <c r="BF309" s="27" t="n">
        <f aca="false">MIN(AJ308*(1+C$8),MAX(AV309,$B$12-SUM(BE309:BE309)-SUM(AW309:BD309)))</f>
        <v>0</v>
      </c>
      <c r="BG309" s="27" t="n">
        <f aca="false">MIN(AK308*(1+D$8),MAX(AW309,$B$12-SUM(BE309:BF309)-SUM(AX309:BD309)))</f>
        <v>0</v>
      </c>
      <c r="BH309" s="27" t="n">
        <f aca="false">MIN(AL308*(1+E$8),MAX(AX309,$B$12-SUM(BE309:BG309)-SUM(AY309:BD309)))</f>
        <v>0</v>
      </c>
      <c r="BI309" s="27" t="n">
        <f aca="false">MIN(AM308*(1+F$8),MAX(AY309,$B$12-SUM(BE309:BH309)-SUM(AZ309:BD309)))</f>
        <v>0</v>
      </c>
      <c r="BJ309" s="27" t="n">
        <f aca="false">MIN(AN308*(1+G$8),MAX(AZ309,$B$12-SUM(BE309:BI309)-SUM(BA309:BD309)))</f>
        <v>0</v>
      </c>
      <c r="BK309" s="27" t="n">
        <f aca="false">MIN(AO308*(1+H$8),MAX(BA309,$B$12-SUM(BE309:BJ309)-SUM(BB309:BD309)))</f>
        <v>0</v>
      </c>
      <c r="BL309" s="27" t="n">
        <f aca="false">MIN(AP308*(1+I$8),MAX(BB309,$B$12-SUM(BE309:BK309)-SUM(BC309:BD309)))</f>
        <v>0</v>
      </c>
      <c r="BM309" s="27" t="n">
        <f aca="false">MIN(AQ308*(1+J$8),MAX(BC309,$B$12-SUM(BE309:BL309)-SUM(BD309:BD309)))</f>
        <v>0</v>
      </c>
      <c r="BN309" s="27" t="n">
        <f aca="false">MIN(AR308*(1+K$8),MAX(BD309,$B$12-SUM(BE309:BM309)))</f>
        <v>0</v>
      </c>
    </row>
    <row r="310" customFormat="false" ht="15" hidden="false" customHeight="false" outlineLevel="0" collapsed="false">
      <c r="A310" s="0" t="n">
        <v>296</v>
      </c>
      <c r="B310" s="27" t="n">
        <f aca="false">ROUND(MAX(0,B309*(1+B$8)-X310),2)</f>
        <v>0</v>
      </c>
      <c r="C310" s="27" t="n">
        <f aca="false">ROUND(MAX(0,C309*(1+C$8)-Y310),2)</f>
        <v>0</v>
      </c>
      <c r="D310" s="27" t="n">
        <f aca="false">ROUND(MAX(0,D309*(1+D$8)-Z310),2)</f>
        <v>0</v>
      </c>
      <c r="E310" s="27" t="n">
        <f aca="false">ROUND(MAX(0,E309*(1+E$8)-AA310),2)</f>
        <v>0</v>
      </c>
      <c r="F310" s="27" t="n">
        <f aca="false">ROUND(MAX(0,F309*(1+F$8)-AB310),2)</f>
        <v>0</v>
      </c>
      <c r="G310" s="27" t="n">
        <f aca="false">ROUND(MAX(0,G309*(1+G$8)-AC310),2)</f>
        <v>0</v>
      </c>
      <c r="H310" s="27" t="n">
        <f aca="false">ROUND(MAX(0,H309*(1+H$8)-AD310),2)</f>
        <v>0</v>
      </c>
      <c r="I310" s="27" t="n">
        <f aca="false">ROUND(MAX(0,I309*(1+I$8)-AE310),2)</f>
        <v>0</v>
      </c>
      <c r="J310" s="27" t="n">
        <f aca="false">ROUND(MAX(0,J309*(1+J$8)-AF310),2)</f>
        <v>0</v>
      </c>
      <c r="K310" s="27" t="n">
        <f aca="false">ROUND(MAX(0,K309*(1+K$8)-AG310),2)</f>
        <v>0</v>
      </c>
      <c r="L310" s="30" t="n">
        <f aca="false">SUM(B310:K310)</f>
        <v>0</v>
      </c>
      <c r="M310" s="27" t="n">
        <f aca="false">SUMPRODUCT(B309:K309,$B$8:$K$8)</f>
        <v>0</v>
      </c>
      <c r="N310" s="27" t="n">
        <f aca="false">MIN(B309*(1+B$8),B$9)</f>
        <v>0</v>
      </c>
      <c r="O310" s="27" t="n">
        <f aca="false">MIN(C309*(1+C$8),C$9)</f>
        <v>0</v>
      </c>
      <c r="P310" s="27" t="n">
        <f aca="false">MIN(D309*(1+D$8),D$9)</f>
        <v>0</v>
      </c>
      <c r="Q310" s="27" t="n">
        <f aca="false">MIN(E309*(1+E$8),E$9)</f>
        <v>0</v>
      </c>
      <c r="R310" s="27" t="n">
        <f aca="false">MIN(F309*(1+F$8),F$9)</f>
        <v>0</v>
      </c>
      <c r="S310" s="27" t="n">
        <f aca="false">MIN(G309*(1+G$8),G$9)</f>
        <v>0</v>
      </c>
      <c r="T310" s="27" t="n">
        <f aca="false">MIN(H309*(1+H$8),H$9)</f>
        <v>0</v>
      </c>
      <c r="U310" s="27" t="n">
        <f aca="false">MIN(I309*(1+I$8),I$9)</f>
        <v>0</v>
      </c>
      <c r="V310" s="27" t="n">
        <f aca="false">MIN(J309*(1+J$8),J$9)</f>
        <v>0</v>
      </c>
      <c r="W310" s="27" t="n">
        <f aca="false">MIN(K309*(1+K$8),K$9)</f>
        <v>0</v>
      </c>
      <c r="X310" s="27" t="n">
        <f aca="false">MIN(B309*(1+B$8),MAX(N310,$B$11-SUM(O310:W310)))</f>
        <v>0</v>
      </c>
      <c r="Y310" s="27" t="n">
        <f aca="false">MIN(C309*(1+C$8),MAX(O310,$B$11-SUM(X310:X310)-SUM(P310:W310)))</f>
        <v>0</v>
      </c>
      <c r="Z310" s="27" t="n">
        <f aca="false">MIN(D309*(1+D$8),MAX(P310,$B$11-SUM(X310:Y310)-SUM(Q310:W310)))</f>
        <v>0</v>
      </c>
      <c r="AA310" s="27" t="n">
        <f aca="false">MIN(E309*(1+E$8),MAX(Q310,$B$11-SUM(X310:Z310)-SUM(R310:W310)))</f>
        <v>0</v>
      </c>
      <c r="AB310" s="27" t="n">
        <f aca="false">MIN(F309*(1+F$8),MAX(R310,$B$11-SUM(X310:AA310)-SUM(S310:W310)))</f>
        <v>0</v>
      </c>
      <c r="AC310" s="27" t="n">
        <f aca="false">MIN(G309*(1+G$8),MAX(S310,$B$11-SUM(X310:AB310)-SUM(T310:W310)))</f>
        <v>0</v>
      </c>
      <c r="AD310" s="27" t="n">
        <f aca="false">MIN(H309*(1+H$8),MAX(T310,$B$11-SUM(X310:AC310)-SUM(U310:W310)))</f>
        <v>0</v>
      </c>
      <c r="AE310" s="27" t="n">
        <f aca="false">MIN(I309*(1+I$8),MAX(U310,$B$11-SUM(X310:AD310)-SUM(V310:W310)))</f>
        <v>0</v>
      </c>
      <c r="AF310" s="27" t="n">
        <f aca="false">MIN(J309*(1+J$8),MAX(V310,$B$11-SUM(X310:AE310)-SUM(W310:W310)))</f>
        <v>0</v>
      </c>
      <c r="AG310" s="27" t="n">
        <f aca="false">MIN(K309*(1+K$8),MAX(W310,$B$11-SUM(X310:AF310)))</f>
        <v>0</v>
      </c>
      <c r="AI310" s="27" t="n">
        <f aca="false">ROUND(MAX(0,AI309*(1+B$8)-BE310),2)</f>
        <v>0</v>
      </c>
      <c r="AJ310" s="27" t="n">
        <f aca="false">ROUND(MAX(0,AJ309*(1+C$8)-BF310),2)</f>
        <v>0</v>
      </c>
      <c r="AK310" s="27" t="n">
        <f aca="false">ROUND(MAX(0,AK309*(1+D$8)-BG310),2)</f>
        <v>0</v>
      </c>
      <c r="AL310" s="27" t="n">
        <f aca="false">ROUND(MAX(0,AL309*(1+E$8)-BH310),2)</f>
        <v>0</v>
      </c>
      <c r="AM310" s="27" t="n">
        <f aca="false">ROUND(MAX(0,AM309*(1+F$8)-BI310),2)</f>
        <v>0</v>
      </c>
      <c r="AN310" s="27" t="n">
        <f aca="false">ROUND(MAX(0,AN309*(1+G$8)-BJ310),2)</f>
        <v>0</v>
      </c>
      <c r="AO310" s="27" t="n">
        <f aca="false">ROUND(MAX(0,AO309*(1+H$8)-BK310),2)</f>
        <v>0</v>
      </c>
      <c r="AP310" s="27" t="n">
        <f aca="false">ROUND(MAX(0,AP309*(1+I$8)-BL310),2)</f>
        <v>0</v>
      </c>
      <c r="AQ310" s="27" t="n">
        <f aca="false">ROUND(MAX(0,AQ309*(1+J$8)-BM310),2)</f>
        <v>0</v>
      </c>
      <c r="AR310" s="27" t="n">
        <f aca="false">ROUND(MAX(0,AR309*(1+K$8)-BN310),2)</f>
        <v>0</v>
      </c>
      <c r="AS310" s="27" t="n">
        <f aca="false">SUM(AI310:AR310)</f>
        <v>0</v>
      </c>
      <c r="AT310" s="27" t="n">
        <f aca="false">SUMPRODUCT(AI309:AR309,$B$8:$K$8)</f>
        <v>0</v>
      </c>
      <c r="AU310" s="27" t="n">
        <f aca="false">MIN(AI309*(1+B$8),B$9)</f>
        <v>0</v>
      </c>
      <c r="AV310" s="27" t="n">
        <f aca="false">MIN(AJ309*(1+C$8),C$9)</f>
        <v>0</v>
      </c>
      <c r="AW310" s="27" t="n">
        <f aca="false">MIN(AK309*(1+D$8),D$9)</f>
        <v>0</v>
      </c>
      <c r="AX310" s="27" t="n">
        <f aca="false">MIN(AL309*(1+E$8),E$9)</f>
        <v>0</v>
      </c>
      <c r="AY310" s="27" t="n">
        <f aca="false">MIN(AM309*(1+F$8),F$9)</f>
        <v>0</v>
      </c>
      <c r="AZ310" s="27" t="n">
        <f aca="false">MIN(AN309*(1+G$8),G$9)</f>
        <v>0</v>
      </c>
      <c r="BA310" s="27" t="n">
        <f aca="false">MIN(AO309*(1+H$8),H$9)</f>
        <v>0</v>
      </c>
      <c r="BB310" s="27" t="n">
        <f aca="false">MIN(AP309*(1+I$8),I$9)</f>
        <v>0</v>
      </c>
      <c r="BC310" s="27" t="n">
        <f aca="false">MIN(AQ309*(1+J$8),J$9)</f>
        <v>0</v>
      </c>
      <c r="BD310" s="27" t="n">
        <f aca="false">MIN(AR309*(1+K$8),K$9)</f>
        <v>0</v>
      </c>
      <c r="BE310" s="27" t="n">
        <f aca="false">MIN(AI309*(1+B$8),MAX(AU310,$B$12-SUM(AV310:BD310)))</f>
        <v>0</v>
      </c>
      <c r="BF310" s="27" t="n">
        <f aca="false">MIN(AJ309*(1+C$8),MAX(AV310,$B$12-SUM(BE310:BE310)-SUM(AW310:BD310)))</f>
        <v>0</v>
      </c>
      <c r="BG310" s="27" t="n">
        <f aca="false">MIN(AK309*(1+D$8),MAX(AW310,$B$12-SUM(BE310:BF310)-SUM(AX310:BD310)))</f>
        <v>0</v>
      </c>
      <c r="BH310" s="27" t="n">
        <f aca="false">MIN(AL309*(1+E$8),MAX(AX310,$B$12-SUM(BE310:BG310)-SUM(AY310:BD310)))</f>
        <v>0</v>
      </c>
      <c r="BI310" s="27" t="n">
        <f aca="false">MIN(AM309*(1+F$8),MAX(AY310,$B$12-SUM(BE310:BH310)-SUM(AZ310:BD310)))</f>
        <v>0</v>
      </c>
      <c r="BJ310" s="27" t="n">
        <f aca="false">MIN(AN309*(1+G$8),MAX(AZ310,$B$12-SUM(BE310:BI310)-SUM(BA310:BD310)))</f>
        <v>0</v>
      </c>
      <c r="BK310" s="27" t="n">
        <f aca="false">MIN(AO309*(1+H$8),MAX(BA310,$B$12-SUM(BE310:BJ310)-SUM(BB310:BD310)))</f>
        <v>0</v>
      </c>
      <c r="BL310" s="27" t="n">
        <f aca="false">MIN(AP309*(1+I$8),MAX(BB310,$B$12-SUM(BE310:BK310)-SUM(BC310:BD310)))</f>
        <v>0</v>
      </c>
      <c r="BM310" s="27" t="n">
        <f aca="false">MIN(AQ309*(1+J$8),MAX(BC310,$B$12-SUM(BE310:BL310)-SUM(BD310:BD310)))</f>
        <v>0</v>
      </c>
      <c r="BN310" s="27" t="n">
        <f aca="false">MIN(AR309*(1+K$8),MAX(BD310,$B$12-SUM(BE310:BM310)))</f>
        <v>0</v>
      </c>
    </row>
    <row r="311" customFormat="false" ht="15" hidden="false" customHeight="false" outlineLevel="0" collapsed="false">
      <c r="A311" s="0" t="n">
        <v>297</v>
      </c>
      <c r="B311" s="27" t="n">
        <f aca="false">ROUND(MAX(0,B310*(1+B$8)-X311),2)</f>
        <v>0</v>
      </c>
      <c r="C311" s="27" t="n">
        <f aca="false">ROUND(MAX(0,C310*(1+C$8)-Y311),2)</f>
        <v>0</v>
      </c>
      <c r="D311" s="27" t="n">
        <f aca="false">ROUND(MAX(0,D310*(1+D$8)-Z311),2)</f>
        <v>0</v>
      </c>
      <c r="E311" s="27" t="n">
        <f aca="false">ROUND(MAX(0,E310*(1+E$8)-AA311),2)</f>
        <v>0</v>
      </c>
      <c r="F311" s="27" t="n">
        <f aca="false">ROUND(MAX(0,F310*(1+F$8)-AB311),2)</f>
        <v>0</v>
      </c>
      <c r="G311" s="27" t="n">
        <f aca="false">ROUND(MAX(0,G310*(1+G$8)-AC311),2)</f>
        <v>0</v>
      </c>
      <c r="H311" s="27" t="n">
        <f aca="false">ROUND(MAX(0,H310*(1+H$8)-AD311),2)</f>
        <v>0</v>
      </c>
      <c r="I311" s="27" t="n">
        <f aca="false">ROUND(MAX(0,I310*(1+I$8)-AE311),2)</f>
        <v>0</v>
      </c>
      <c r="J311" s="27" t="n">
        <f aca="false">ROUND(MAX(0,J310*(1+J$8)-AF311),2)</f>
        <v>0</v>
      </c>
      <c r="K311" s="27" t="n">
        <f aca="false">ROUND(MAX(0,K310*(1+K$8)-AG311),2)</f>
        <v>0</v>
      </c>
      <c r="L311" s="30" t="n">
        <f aca="false">SUM(B311:K311)</f>
        <v>0</v>
      </c>
      <c r="M311" s="27" t="n">
        <f aca="false">SUMPRODUCT(B310:K310,$B$8:$K$8)</f>
        <v>0</v>
      </c>
      <c r="N311" s="27" t="n">
        <f aca="false">MIN(B310*(1+B$8),B$9)</f>
        <v>0</v>
      </c>
      <c r="O311" s="27" t="n">
        <f aca="false">MIN(C310*(1+C$8),C$9)</f>
        <v>0</v>
      </c>
      <c r="P311" s="27" t="n">
        <f aca="false">MIN(D310*(1+D$8),D$9)</f>
        <v>0</v>
      </c>
      <c r="Q311" s="27" t="n">
        <f aca="false">MIN(E310*(1+E$8),E$9)</f>
        <v>0</v>
      </c>
      <c r="R311" s="27" t="n">
        <f aca="false">MIN(F310*(1+F$8),F$9)</f>
        <v>0</v>
      </c>
      <c r="S311" s="27" t="n">
        <f aca="false">MIN(G310*(1+G$8),G$9)</f>
        <v>0</v>
      </c>
      <c r="T311" s="27" t="n">
        <f aca="false">MIN(H310*(1+H$8),H$9)</f>
        <v>0</v>
      </c>
      <c r="U311" s="27" t="n">
        <f aca="false">MIN(I310*(1+I$8),I$9)</f>
        <v>0</v>
      </c>
      <c r="V311" s="27" t="n">
        <f aca="false">MIN(J310*(1+J$8),J$9)</f>
        <v>0</v>
      </c>
      <c r="W311" s="27" t="n">
        <f aca="false">MIN(K310*(1+K$8),K$9)</f>
        <v>0</v>
      </c>
      <c r="X311" s="27" t="n">
        <f aca="false">MIN(B310*(1+B$8),MAX(N311,$B$11-SUM(O311:W311)))</f>
        <v>0</v>
      </c>
      <c r="Y311" s="27" t="n">
        <f aca="false">MIN(C310*(1+C$8),MAX(O311,$B$11-SUM(X311:X311)-SUM(P311:W311)))</f>
        <v>0</v>
      </c>
      <c r="Z311" s="27" t="n">
        <f aca="false">MIN(D310*(1+D$8),MAX(P311,$B$11-SUM(X311:Y311)-SUM(Q311:W311)))</f>
        <v>0</v>
      </c>
      <c r="AA311" s="27" t="n">
        <f aca="false">MIN(E310*(1+E$8),MAX(Q311,$B$11-SUM(X311:Z311)-SUM(R311:W311)))</f>
        <v>0</v>
      </c>
      <c r="AB311" s="27" t="n">
        <f aca="false">MIN(F310*(1+F$8),MAX(R311,$B$11-SUM(X311:AA311)-SUM(S311:W311)))</f>
        <v>0</v>
      </c>
      <c r="AC311" s="27" t="n">
        <f aca="false">MIN(G310*(1+G$8),MAX(S311,$B$11-SUM(X311:AB311)-SUM(T311:W311)))</f>
        <v>0</v>
      </c>
      <c r="AD311" s="27" t="n">
        <f aca="false">MIN(H310*(1+H$8),MAX(T311,$B$11-SUM(X311:AC311)-SUM(U311:W311)))</f>
        <v>0</v>
      </c>
      <c r="AE311" s="27" t="n">
        <f aca="false">MIN(I310*(1+I$8),MAX(U311,$B$11-SUM(X311:AD311)-SUM(V311:W311)))</f>
        <v>0</v>
      </c>
      <c r="AF311" s="27" t="n">
        <f aca="false">MIN(J310*(1+J$8),MAX(V311,$B$11-SUM(X311:AE311)-SUM(W311:W311)))</f>
        <v>0</v>
      </c>
      <c r="AG311" s="27" t="n">
        <f aca="false">MIN(K310*(1+K$8),MAX(W311,$B$11-SUM(X311:AF311)))</f>
        <v>0</v>
      </c>
      <c r="AI311" s="27" t="n">
        <f aca="false">ROUND(MAX(0,AI310*(1+B$8)-BE311),2)</f>
        <v>0</v>
      </c>
      <c r="AJ311" s="27" t="n">
        <f aca="false">ROUND(MAX(0,AJ310*(1+C$8)-BF311),2)</f>
        <v>0</v>
      </c>
      <c r="AK311" s="27" t="n">
        <f aca="false">ROUND(MAX(0,AK310*(1+D$8)-BG311),2)</f>
        <v>0</v>
      </c>
      <c r="AL311" s="27" t="n">
        <f aca="false">ROUND(MAX(0,AL310*(1+E$8)-BH311),2)</f>
        <v>0</v>
      </c>
      <c r="AM311" s="27" t="n">
        <f aca="false">ROUND(MAX(0,AM310*(1+F$8)-BI311),2)</f>
        <v>0</v>
      </c>
      <c r="AN311" s="27" t="n">
        <f aca="false">ROUND(MAX(0,AN310*(1+G$8)-BJ311),2)</f>
        <v>0</v>
      </c>
      <c r="AO311" s="27" t="n">
        <f aca="false">ROUND(MAX(0,AO310*(1+H$8)-BK311),2)</f>
        <v>0</v>
      </c>
      <c r="AP311" s="27" t="n">
        <f aca="false">ROUND(MAX(0,AP310*(1+I$8)-BL311),2)</f>
        <v>0</v>
      </c>
      <c r="AQ311" s="27" t="n">
        <f aca="false">ROUND(MAX(0,AQ310*(1+J$8)-BM311),2)</f>
        <v>0</v>
      </c>
      <c r="AR311" s="27" t="n">
        <f aca="false">ROUND(MAX(0,AR310*(1+K$8)-BN311),2)</f>
        <v>0</v>
      </c>
      <c r="AS311" s="27" t="n">
        <f aca="false">SUM(AI311:AR311)</f>
        <v>0</v>
      </c>
      <c r="AT311" s="27" t="n">
        <f aca="false">SUMPRODUCT(AI310:AR310,$B$8:$K$8)</f>
        <v>0</v>
      </c>
      <c r="AU311" s="27" t="n">
        <f aca="false">MIN(AI310*(1+B$8),B$9)</f>
        <v>0</v>
      </c>
      <c r="AV311" s="27" t="n">
        <f aca="false">MIN(AJ310*(1+C$8),C$9)</f>
        <v>0</v>
      </c>
      <c r="AW311" s="27" t="n">
        <f aca="false">MIN(AK310*(1+D$8),D$9)</f>
        <v>0</v>
      </c>
      <c r="AX311" s="27" t="n">
        <f aca="false">MIN(AL310*(1+E$8),E$9)</f>
        <v>0</v>
      </c>
      <c r="AY311" s="27" t="n">
        <f aca="false">MIN(AM310*(1+F$8),F$9)</f>
        <v>0</v>
      </c>
      <c r="AZ311" s="27" t="n">
        <f aca="false">MIN(AN310*(1+G$8),G$9)</f>
        <v>0</v>
      </c>
      <c r="BA311" s="27" t="n">
        <f aca="false">MIN(AO310*(1+H$8),H$9)</f>
        <v>0</v>
      </c>
      <c r="BB311" s="27" t="n">
        <f aca="false">MIN(AP310*(1+I$8),I$9)</f>
        <v>0</v>
      </c>
      <c r="BC311" s="27" t="n">
        <f aca="false">MIN(AQ310*(1+J$8),J$9)</f>
        <v>0</v>
      </c>
      <c r="BD311" s="27" t="n">
        <f aca="false">MIN(AR310*(1+K$8),K$9)</f>
        <v>0</v>
      </c>
      <c r="BE311" s="27" t="n">
        <f aca="false">MIN(AI310*(1+B$8),MAX(AU311,$B$12-SUM(AV311:BD311)))</f>
        <v>0</v>
      </c>
      <c r="BF311" s="27" t="n">
        <f aca="false">MIN(AJ310*(1+C$8),MAX(AV311,$B$12-SUM(BE311:BE311)-SUM(AW311:BD311)))</f>
        <v>0</v>
      </c>
      <c r="BG311" s="27" t="n">
        <f aca="false">MIN(AK310*(1+D$8),MAX(AW311,$B$12-SUM(BE311:BF311)-SUM(AX311:BD311)))</f>
        <v>0</v>
      </c>
      <c r="BH311" s="27" t="n">
        <f aca="false">MIN(AL310*(1+E$8),MAX(AX311,$B$12-SUM(BE311:BG311)-SUM(AY311:BD311)))</f>
        <v>0</v>
      </c>
      <c r="BI311" s="27" t="n">
        <f aca="false">MIN(AM310*(1+F$8),MAX(AY311,$B$12-SUM(BE311:BH311)-SUM(AZ311:BD311)))</f>
        <v>0</v>
      </c>
      <c r="BJ311" s="27" t="n">
        <f aca="false">MIN(AN310*(1+G$8),MAX(AZ311,$B$12-SUM(BE311:BI311)-SUM(BA311:BD311)))</f>
        <v>0</v>
      </c>
      <c r="BK311" s="27" t="n">
        <f aca="false">MIN(AO310*(1+H$8),MAX(BA311,$B$12-SUM(BE311:BJ311)-SUM(BB311:BD311)))</f>
        <v>0</v>
      </c>
      <c r="BL311" s="27" t="n">
        <f aca="false">MIN(AP310*(1+I$8),MAX(BB311,$B$12-SUM(BE311:BK311)-SUM(BC311:BD311)))</f>
        <v>0</v>
      </c>
      <c r="BM311" s="27" t="n">
        <f aca="false">MIN(AQ310*(1+J$8),MAX(BC311,$B$12-SUM(BE311:BL311)-SUM(BD311:BD311)))</f>
        <v>0</v>
      </c>
      <c r="BN311" s="27" t="n">
        <f aca="false">MIN(AR310*(1+K$8),MAX(BD311,$B$12-SUM(BE311:BM311)))</f>
        <v>0</v>
      </c>
    </row>
    <row r="312" customFormat="false" ht="15" hidden="false" customHeight="false" outlineLevel="0" collapsed="false">
      <c r="A312" s="0" t="n">
        <v>298</v>
      </c>
      <c r="B312" s="27" t="n">
        <f aca="false">ROUND(MAX(0,B311*(1+B$8)-X312),2)</f>
        <v>0</v>
      </c>
      <c r="C312" s="27" t="n">
        <f aca="false">ROUND(MAX(0,C311*(1+C$8)-Y312),2)</f>
        <v>0</v>
      </c>
      <c r="D312" s="27" t="n">
        <f aca="false">ROUND(MAX(0,D311*(1+D$8)-Z312),2)</f>
        <v>0</v>
      </c>
      <c r="E312" s="27" t="n">
        <f aca="false">ROUND(MAX(0,E311*(1+E$8)-AA312),2)</f>
        <v>0</v>
      </c>
      <c r="F312" s="27" t="n">
        <f aca="false">ROUND(MAX(0,F311*(1+F$8)-AB312),2)</f>
        <v>0</v>
      </c>
      <c r="G312" s="27" t="n">
        <f aca="false">ROUND(MAX(0,G311*(1+G$8)-AC312),2)</f>
        <v>0</v>
      </c>
      <c r="H312" s="27" t="n">
        <f aca="false">ROUND(MAX(0,H311*(1+H$8)-AD312),2)</f>
        <v>0</v>
      </c>
      <c r="I312" s="27" t="n">
        <f aca="false">ROUND(MAX(0,I311*(1+I$8)-AE312),2)</f>
        <v>0</v>
      </c>
      <c r="J312" s="27" t="n">
        <f aca="false">ROUND(MAX(0,J311*(1+J$8)-AF312),2)</f>
        <v>0</v>
      </c>
      <c r="K312" s="27" t="n">
        <f aca="false">ROUND(MAX(0,K311*(1+K$8)-AG312),2)</f>
        <v>0</v>
      </c>
      <c r="L312" s="30" t="n">
        <f aca="false">SUM(B312:K312)</f>
        <v>0</v>
      </c>
      <c r="M312" s="27" t="n">
        <f aca="false">SUMPRODUCT(B311:K311,$B$8:$K$8)</f>
        <v>0</v>
      </c>
      <c r="N312" s="27" t="n">
        <f aca="false">MIN(B311*(1+B$8),B$9)</f>
        <v>0</v>
      </c>
      <c r="O312" s="27" t="n">
        <f aca="false">MIN(C311*(1+C$8),C$9)</f>
        <v>0</v>
      </c>
      <c r="P312" s="27" t="n">
        <f aca="false">MIN(D311*(1+D$8),D$9)</f>
        <v>0</v>
      </c>
      <c r="Q312" s="27" t="n">
        <f aca="false">MIN(E311*(1+E$8),E$9)</f>
        <v>0</v>
      </c>
      <c r="R312" s="27" t="n">
        <f aca="false">MIN(F311*(1+F$8),F$9)</f>
        <v>0</v>
      </c>
      <c r="S312" s="27" t="n">
        <f aca="false">MIN(G311*(1+G$8),G$9)</f>
        <v>0</v>
      </c>
      <c r="T312" s="27" t="n">
        <f aca="false">MIN(H311*(1+H$8),H$9)</f>
        <v>0</v>
      </c>
      <c r="U312" s="27" t="n">
        <f aca="false">MIN(I311*(1+I$8),I$9)</f>
        <v>0</v>
      </c>
      <c r="V312" s="27" t="n">
        <f aca="false">MIN(J311*(1+J$8),J$9)</f>
        <v>0</v>
      </c>
      <c r="W312" s="27" t="n">
        <f aca="false">MIN(K311*(1+K$8),K$9)</f>
        <v>0</v>
      </c>
      <c r="X312" s="27" t="n">
        <f aca="false">MIN(B311*(1+B$8),MAX(N312,$B$11-SUM(O312:W312)))</f>
        <v>0</v>
      </c>
      <c r="Y312" s="27" t="n">
        <f aca="false">MIN(C311*(1+C$8),MAX(O312,$B$11-SUM(X312:X312)-SUM(P312:W312)))</f>
        <v>0</v>
      </c>
      <c r="Z312" s="27" t="n">
        <f aca="false">MIN(D311*(1+D$8),MAX(P312,$B$11-SUM(X312:Y312)-SUM(Q312:W312)))</f>
        <v>0</v>
      </c>
      <c r="AA312" s="27" t="n">
        <f aca="false">MIN(E311*(1+E$8),MAX(Q312,$B$11-SUM(X312:Z312)-SUM(R312:W312)))</f>
        <v>0</v>
      </c>
      <c r="AB312" s="27" t="n">
        <f aca="false">MIN(F311*(1+F$8),MAX(R312,$B$11-SUM(X312:AA312)-SUM(S312:W312)))</f>
        <v>0</v>
      </c>
      <c r="AC312" s="27" t="n">
        <f aca="false">MIN(G311*(1+G$8),MAX(S312,$B$11-SUM(X312:AB312)-SUM(T312:W312)))</f>
        <v>0</v>
      </c>
      <c r="AD312" s="27" t="n">
        <f aca="false">MIN(H311*(1+H$8),MAX(T312,$B$11-SUM(X312:AC312)-SUM(U312:W312)))</f>
        <v>0</v>
      </c>
      <c r="AE312" s="27" t="n">
        <f aca="false">MIN(I311*(1+I$8),MAX(U312,$B$11-SUM(X312:AD312)-SUM(V312:W312)))</f>
        <v>0</v>
      </c>
      <c r="AF312" s="27" t="n">
        <f aca="false">MIN(J311*(1+J$8),MAX(V312,$B$11-SUM(X312:AE312)-SUM(W312:W312)))</f>
        <v>0</v>
      </c>
      <c r="AG312" s="27" t="n">
        <f aca="false">MIN(K311*(1+K$8),MAX(W312,$B$11-SUM(X312:AF312)))</f>
        <v>0</v>
      </c>
      <c r="AI312" s="27" t="n">
        <f aca="false">ROUND(MAX(0,AI311*(1+B$8)-BE312),2)</f>
        <v>0</v>
      </c>
      <c r="AJ312" s="27" t="n">
        <f aca="false">ROUND(MAX(0,AJ311*(1+C$8)-BF312),2)</f>
        <v>0</v>
      </c>
      <c r="AK312" s="27" t="n">
        <f aca="false">ROUND(MAX(0,AK311*(1+D$8)-BG312),2)</f>
        <v>0</v>
      </c>
      <c r="AL312" s="27" t="n">
        <f aca="false">ROUND(MAX(0,AL311*(1+E$8)-BH312),2)</f>
        <v>0</v>
      </c>
      <c r="AM312" s="27" t="n">
        <f aca="false">ROUND(MAX(0,AM311*(1+F$8)-BI312),2)</f>
        <v>0</v>
      </c>
      <c r="AN312" s="27" t="n">
        <f aca="false">ROUND(MAX(0,AN311*(1+G$8)-BJ312),2)</f>
        <v>0</v>
      </c>
      <c r="AO312" s="27" t="n">
        <f aca="false">ROUND(MAX(0,AO311*(1+H$8)-BK312),2)</f>
        <v>0</v>
      </c>
      <c r="AP312" s="27" t="n">
        <f aca="false">ROUND(MAX(0,AP311*(1+I$8)-BL312),2)</f>
        <v>0</v>
      </c>
      <c r="AQ312" s="27" t="n">
        <f aca="false">ROUND(MAX(0,AQ311*(1+J$8)-BM312),2)</f>
        <v>0</v>
      </c>
      <c r="AR312" s="27" t="n">
        <f aca="false">ROUND(MAX(0,AR311*(1+K$8)-BN312),2)</f>
        <v>0</v>
      </c>
      <c r="AS312" s="27" t="n">
        <f aca="false">SUM(AI312:AR312)</f>
        <v>0</v>
      </c>
      <c r="AT312" s="27" t="n">
        <f aca="false">SUMPRODUCT(AI311:AR311,$B$8:$K$8)</f>
        <v>0</v>
      </c>
      <c r="AU312" s="27" t="n">
        <f aca="false">MIN(AI311*(1+B$8),B$9)</f>
        <v>0</v>
      </c>
      <c r="AV312" s="27" t="n">
        <f aca="false">MIN(AJ311*(1+C$8),C$9)</f>
        <v>0</v>
      </c>
      <c r="AW312" s="27" t="n">
        <f aca="false">MIN(AK311*(1+D$8),D$9)</f>
        <v>0</v>
      </c>
      <c r="AX312" s="27" t="n">
        <f aca="false">MIN(AL311*(1+E$8),E$9)</f>
        <v>0</v>
      </c>
      <c r="AY312" s="27" t="n">
        <f aca="false">MIN(AM311*(1+F$8),F$9)</f>
        <v>0</v>
      </c>
      <c r="AZ312" s="27" t="n">
        <f aca="false">MIN(AN311*(1+G$8),G$9)</f>
        <v>0</v>
      </c>
      <c r="BA312" s="27" t="n">
        <f aca="false">MIN(AO311*(1+H$8),H$9)</f>
        <v>0</v>
      </c>
      <c r="BB312" s="27" t="n">
        <f aca="false">MIN(AP311*(1+I$8),I$9)</f>
        <v>0</v>
      </c>
      <c r="BC312" s="27" t="n">
        <f aca="false">MIN(AQ311*(1+J$8),J$9)</f>
        <v>0</v>
      </c>
      <c r="BD312" s="27" t="n">
        <f aca="false">MIN(AR311*(1+K$8),K$9)</f>
        <v>0</v>
      </c>
      <c r="BE312" s="27" t="n">
        <f aca="false">MIN(AI311*(1+B$8),MAX(AU312,$B$12-SUM(AV312:BD312)))</f>
        <v>0</v>
      </c>
      <c r="BF312" s="27" t="n">
        <f aca="false">MIN(AJ311*(1+C$8),MAX(AV312,$B$12-SUM(BE312:BE312)-SUM(AW312:BD312)))</f>
        <v>0</v>
      </c>
      <c r="BG312" s="27" t="n">
        <f aca="false">MIN(AK311*(1+D$8),MAX(AW312,$B$12-SUM(BE312:BF312)-SUM(AX312:BD312)))</f>
        <v>0</v>
      </c>
      <c r="BH312" s="27" t="n">
        <f aca="false">MIN(AL311*(1+E$8),MAX(AX312,$B$12-SUM(BE312:BG312)-SUM(AY312:BD312)))</f>
        <v>0</v>
      </c>
      <c r="BI312" s="27" t="n">
        <f aca="false">MIN(AM311*(1+F$8),MAX(AY312,$B$12-SUM(BE312:BH312)-SUM(AZ312:BD312)))</f>
        <v>0</v>
      </c>
      <c r="BJ312" s="27" t="n">
        <f aca="false">MIN(AN311*(1+G$8),MAX(AZ312,$B$12-SUM(BE312:BI312)-SUM(BA312:BD312)))</f>
        <v>0</v>
      </c>
      <c r="BK312" s="27" t="n">
        <f aca="false">MIN(AO311*(1+H$8),MAX(BA312,$B$12-SUM(BE312:BJ312)-SUM(BB312:BD312)))</f>
        <v>0</v>
      </c>
      <c r="BL312" s="27" t="n">
        <f aca="false">MIN(AP311*(1+I$8),MAX(BB312,$B$12-SUM(BE312:BK312)-SUM(BC312:BD312)))</f>
        <v>0</v>
      </c>
      <c r="BM312" s="27" t="n">
        <f aca="false">MIN(AQ311*(1+J$8),MAX(BC312,$B$12-SUM(BE312:BL312)-SUM(BD312:BD312)))</f>
        <v>0</v>
      </c>
      <c r="BN312" s="27" t="n">
        <f aca="false">MIN(AR311*(1+K$8),MAX(BD312,$B$12-SUM(BE312:BM312)))</f>
        <v>0</v>
      </c>
    </row>
    <row r="313" customFormat="false" ht="15" hidden="false" customHeight="false" outlineLevel="0" collapsed="false">
      <c r="A313" s="0" t="n">
        <v>299</v>
      </c>
      <c r="B313" s="27" t="n">
        <f aca="false">ROUND(MAX(0,B312*(1+B$8)-X313),2)</f>
        <v>0</v>
      </c>
      <c r="C313" s="27" t="n">
        <f aca="false">ROUND(MAX(0,C312*(1+C$8)-Y313),2)</f>
        <v>0</v>
      </c>
      <c r="D313" s="27" t="n">
        <f aca="false">ROUND(MAX(0,D312*(1+D$8)-Z313),2)</f>
        <v>0</v>
      </c>
      <c r="E313" s="27" t="n">
        <f aca="false">ROUND(MAX(0,E312*(1+E$8)-AA313),2)</f>
        <v>0</v>
      </c>
      <c r="F313" s="27" t="n">
        <f aca="false">ROUND(MAX(0,F312*(1+F$8)-AB313),2)</f>
        <v>0</v>
      </c>
      <c r="G313" s="27" t="n">
        <f aca="false">ROUND(MAX(0,G312*(1+G$8)-AC313),2)</f>
        <v>0</v>
      </c>
      <c r="H313" s="27" t="n">
        <f aca="false">ROUND(MAX(0,H312*(1+H$8)-AD313),2)</f>
        <v>0</v>
      </c>
      <c r="I313" s="27" t="n">
        <f aca="false">ROUND(MAX(0,I312*(1+I$8)-AE313),2)</f>
        <v>0</v>
      </c>
      <c r="J313" s="27" t="n">
        <f aca="false">ROUND(MAX(0,J312*(1+J$8)-AF313),2)</f>
        <v>0</v>
      </c>
      <c r="K313" s="27" t="n">
        <f aca="false">ROUND(MAX(0,K312*(1+K$8)-AG313),2)</f>
        <v>0</v>
      </c>
      <c r="L313" s="30" t="n">
        <f aca="false">SUM(B313:K313)</f>
        <v>0</v>
      </c>
      <c r="M313" s="27" t="n">
        <f aca="false">SUMPRODUCT(B312:K312,$B$8:$K$8)</f>
        <v>0</v>
      </c>
      <c r="N313" s="27" t="n">
        <f aca="false">MIN(B312*(1+B$8),B$9)</f>
        <v>0</v>
      </c>
      <c r="O313" s="27" t="n">
        <f aca="false">MIN(C312*(1+C$8),C$9)</f>
        <v>0</v>
      </c>
      <c r="P313" s="27" t="n">
        <f aca="false">MIN(D312*(1+D$8),D$9)</f>
        <v>0</v>
      </c>
      <c r="Q313" s="27" t="n">
        <f aca="false">MIN(E312*(1+E$8),E$9)</f>
        <v>0</v>
      </c>
      <c r="R313" s="27" t="n">
        <f aca="false">MIN(F312*(1+F$8),F$9)</f>
        <v>0</v>
      </c>
      <c r="S313" s="27" t="n">
        <f aca="false">MIN(G312*(1+G$8),G$9)</f>
        <v>0</v>
      </c>
      <c r="T313" s="27" t="n">
        <f aca="false">MIN(H312*(1+H$8),H$9)</f>
        <v>0</v>
      </c>
      <c r="U313" s="27" t="n">
        <f aca="false">MIN(I312*(1+I$8),I$9)</f>
        <v>0</v>
      </c>
      <c r="V313" s="27" t="n">
        <f aca="false">MIN(J312*(1+J$8),J$9)</f>
        <v>0</v>
      </c>
      <c r="W313" s="27" t="n">
        <f aca="false">MIN(K312*(1+K$8),K$9)</f>
        <v>0</v>
      </c>
      <c r="X313" s="27" t="n">
        <f aca="false">MIN(B312*(1+B$8),MAX(N313,$B$11-SUM(O313:W313)))</f>
        <v>0</v>
      </c>
      <c r="Y313" s="27" t="n">
        <f aca="false">MIN(C312*(1+C$8),MAX(O313,$B$11-SUM(X313:X313)-SUM(P313:W313)))</f>
        <v>0</v>
      </c>
      <c r="Z313" s="27" t="n">
        <f aca="false">MIN(D312*(1+D$8),MAX(P313,$B$11-SUM(X313:Y313)-SUM(Q313:W313)))</f>
        <v>0</v>
      </c>
      <c r="AA313" s="27" t="n">
        <f aca="false">MIN(E312*(1+E$8),MAX(Q313,$B$11-SUM(X313:Z313)-SUM(R313:W313)))</f>
        <v>0</v>
      </c>
      <c r="AB313" s="27" t="n">
        <f aca="false">MIN(F312*(1+F$8),MAX(R313,$B$11-SUM(X313:AA313)-SUM(S313:W313)))</f>
        <v>0</v>
      </c>
      <c r="AC313" s="27" t="n">
        <f aca="false">MIN(G312*(1+G$8),MAX(S313,$B$11-SUM(X313:AB313)-SUM(T313:W313)))</f>
        <v>0</v>
      </c>
      <c r="AD313" s="27" t="n">
        <f aca="false">MIN(H312*(1+H$8),MAX(T313,$B$11-SUM(X313:AC313)-SUM(U313:W313)))</f>
        <v>0</v>
      </c>
      <c r="AE313" s="27" t="n">
        <f aca="false">MIN(I312*(1+I$8),MAX(U313,$B$11-SUM(X313:AD313)-SUM(V313:W313)))</f>
        <v>0</v>
      </c>
      <c r="AF313" s="27" t="n">
        <f aca="false">MIN(J312*(1+J$8),MAX(V313,$B$11-SUM(X313:AE313)-SUM(W313:W313)))</f>
        <v>0</v>
      </c>
      <c r="AG313" s="27" t="n">
        <f aca="false">MIN(K312*(1+K$8),MAX(W313,$B$11-SUM(X313:AF313)))</f>
        <v>0</v>
      </c>
      <c r="AI313" s="27" t="n">
        <f aca="false">ROUND(MAX(0,AI312*(1+B$8)-BE313),2)</f>
        <v>0</v>
      </c>
      <c r="AJ313" s="27" t="n">
        <f aca="false">ROUND(MAX(0,AJ312*(1+C$8)-BF313),2)</f>
        <v>0</v>
      </c>
      <c r="AK313" s="27" t="n">
        <f aca="false">ROUND(MAX(0,AK312*(1+D$8)-BG313),2)</f>
        <v>0</v>
      </c>
      <c r="AL313" s="27" t="n">
        <f aca="false">ROUND(MAX(0,AL312*(1+E$8)-BH313),2)</f>
        <v>0</v>
      </c>
      <c r="AM313" s="27" t="n">
        <f aca="false">ROUND(MAX(0,AM312*(1+F$8)-BI313),2)</f>
        <v>0</v>
      </c>
      <c r="AN313" s="27" t="n">
        <f aca="false">ROUND(MAX(0,AN312*(1+G$8)-BJ313),2)</f>
        <v>0</v>
      </c>
      <c r="AO313" s="27" t="n">
        <f aca="false">ROUND(MAX(0,AO312*(1+H$8)-BK313),2)</f>
        <v>0</v>
      </c>
      <c r="AP313" s="27" t="n">
        <f aca="false">ROUND(MAX(0,AP312*(1+I$8)-BL313),2)</f>
        <v>0</v>
      </c>
      <c r="AQ313" s="27" t="n">
        <f aca="false">ROUND(MAX(0,AQ312*(1+J$8)-BM313),2)</f>
        <v>0</v>
      </c>
      <c r="AR313" s="27" t="n">
        <f aca="false">ROUND(MAX(0,AR312*(1+K$8)-BN313),2)</f>
        <v>0</v>
      </c>
      <c r="AS313" s="27" t="n">
        <f aca="false">SUM(AI313:AR313)</f>
        <v>0</v>
      </c>
      <c r="AT313" s="27" t="n">
        <f aca="false">SUMPRODUCT(AI312:AR312,$B$8:$K$8)</f>
        <v>0</v>
      </c>
      <c r="AU313" s="27" t="n">
        <f aca="false">MIN(AI312*(1+B$8),B$9)</f>
        <v>0</v>
      </c>
      <c r="AV313" s="27" t="n">
        <f aca="false">MIN(AJ312*(1+C$8),C$9)</f>
        <v>0</v>
      </c>
      <c r="AW313" s="27" t="n">
        <f aca="false">MIN(AK312*(1+D$8),D$9)</f>
        <v>0</v>
      </c>
      <c r="AX313" s="27" t="n">
        <f aca="false">MIN(AL312*(1+E$8),E$9)</f>
        <v>0</v>
      </c>
      <c r="AY313" s="27" t="n">
        <f aca="false">MIN(AM312*(1+F$8),F$9)</f>
        <v>0</v>
      </c>
      <c r="AZ313" s="27" t="n">
        <f aca="false">MIN(AN312*(1+G$8),G$9)</f>
        <v>0</v>
      </c>
      <c r="BA313" s="27" t="n">
        <f aca="false">MIN(AO312*(1+H$8),H$9)</f>
        <v>0</v>
      </c>
      <c r="BB313" s="27" t="n">
        <f aca="false">MIN(AP312*(1+I$8),I$9)</f>
        <v>0</v>
      </c>
      <c r="BC313" s="27" t="n">
        <f aca="false">MIN(AQ312*(1+J$8),J$9)</f>
        <v>0</v>
      </c>
      <c r="BD313" s="27" t="n">
        <f aca="false">MIN(AR312*(1+K$8),K$9)</f>
        <v>0</v>
      </c>
      <c r="BE313" s="27" t="n">
        <f aca="false">MIN(AI312*(1+B$8),MAX(AU313,$B$12-SUM(AV313:BD313)))</f>
        <v>0</v>
      </c>
      <c r="BF313" s="27" t="n">
        <f aca="false">MIN(AJ312*(1+C$8),MAX(AV313,$B$12-SUM(BE313:BE313)-SUM(AW313:BD313)))</f>
        <v>0</v>
      </c>
      <c r="BG313" s="27" t="n">
        <f aca="false">MIN(AK312*(1+D$8),MAX(AW313,$B$12-SUM(BE313:BF313)-SUM(AX313:BD313)))</f>
        <v>0</v>
      </c>
      <c r="BH313" s="27" t="n">
        <f aca="false">MIN(AL312*(1+E$8),MAX(AX313,$B$12-SUM(BE313:BG313)-SUM(AY313:BD313)))</f>
        <v>0</v>
      </c>
      <c r="BI313" s="27" t="n">
        <f aca="false">MIN(AM312*(1+F$8),MAX(AY313,$B$12-SUM(BE313:BH313)-SUM(AZ313:BD313)))</f>
        <v>0</v>
      </c>
      <c r="BJ313" s="27" t="n">
        <f aca="false">MIN(AN312*(1+G$8),MAX(AZ313,$B$12-SUM(BE313:BI313)-SUM(BA313:BD313)))</f>
        <v>0</v>
      </c>
      <c r="BK313" s="27" t="n">
        <f aca="false">MIN(AO312*(1+H$8),MAX(BA313,$B$12-SUM(BE313:BJ313)-SUM(BB313:BD313)))</f>
        <v>0</v>
      </c>
      <c r="BL313" s="27" t="n">
        <f aca="false">MIN(AP312*(1+I$8),MAX(BB313,$B$12-SUM(BE313:BK313)-SUM(BC313:BD313)))</f>
        <v>0</v>
      </c>
      <c r="BM313" s="27" t="n">
        <f aca="false">MIN(AQ312*(1+J$8),MAX(BC313,$B$12-SUM(BE313:BL313)-SUM(BD313:BD313)))</f>
        <v>0</v>
      </c>
      <c r="BN313" s="27" t="n">
        <f aca="false">MIN(AR312*(1+K$8),MAX(BD313,$B$12-SUM(BE313:BM313)))</f>
        <v>0</v>
      </c>
    </row>
    <row r="314" customFormat="false" ht="15" hidden="false" customHeight="false" outlineLevel="0" collapsed="false">
      <c r="A314" s="0" t="n">
        <v>300</v>
      </c>
      <c r="B314" s="27" t="n">
        <f aca="false">ROUND(MAX(0,B313*(1+B$8)-X314),2)</f>
        <v>0</v>
      </c>
      <c r="C314" s="27" t="n">
        <f aca="false">ROUND(MAX(0,C313*(1+C$8)-Y314),2)</f>
        <v>0</v>
      </c>
      <c r="D314" s="27" t="n">
        <f aca="false">ROUND(MAX(0,D313*(1+D$8)-Z314),2)</f>
        <v>0</v>
      </c>
      <c r="E314" s="27" t="n">
        <f aca="false">ROUND(MAX(0,E313*(1+E$8)-AA314),2)</f>
        <v>0</v>
      </c>
      <c r="F314" s="27" t="n">
        <f aca="false">ROUND(MAX(0,F313*(1+F$8)-AB314),2)</f>
        <v>0</v>
      </c>
      <c r="G314" s="27" t="n">
        <f aca="false">ROUND(MAX(0,G313*(1+G$8)-AC314),2)</f>
        <v>0</v>
      </c>
      <c r="H314" s="27" t="n">
        <f aca="false">ROUND(MAX(0,H313*(1+H$8)-AD314),2)</f>
        <v>0</v>
      </c>
      <c r="I314" s="27" t="n">
        <f aca="false">ROUND(MAX(0,I313*(1+I$8)-AE314),2)</f>
        <v>0</v>
      </c>
      <c r="J314" s="27" t="n">
        <f aca="false">ROUND(MAX(0,J313*(1+J$8)-AF314),2)</f>
        <v>0</v>
      </c>
      <c r="K314" s="27" t="n">
        <f aca="false">ROUND(MAX(0,K313*(1+K$8)-AG314),2)</f>
        <v>0</v>
      </c>
      <c r="L314" s="30" t="n">
        <f aca="false">SUM(B314:K314)</f>
        <v>0</v>
      </c>
      <c r="M314" s="27" t="n">
        <f aca="false">SUMPRODUCT(B313:K313,$B$8:$K$8)</f>
        <v>0</v>
      </c>
      <c r="N314" s="27" t="n">
        <f aca="false">MIN(B313*(1+B$8),B$9)</f>
        <v>0</v>
      </c>
      <c r="O314" s="27" t="n">
        <f aca="false">MIN(C313*(1+C$8),C$9)</f>
        <v>0</v>
      </c>
      <c r="P314" s="27" t="n">
        <f aca="false">MIN(D313*(1+D$8),D$9)</f>
        <v>0</v>
      </c>
      <c r="Q314" s="27" t="n">
        <f aca="false">MIN(E313*(1+E$8),E$9)</f>
        <v>0</v>
      </c>
      <c r="R314" s="27" t="n">
        <f aca="false">MIN(F313*(1+F$8),F$9)</f>
        <v>0</v>
      </c>
      <c r="S314" s="27" t="n">
        <f aca="false">MIN(G313*(1+G$8),G$9)</f>
        <v>0</v>
      </c>
      <c r="T314" s="27" t="n">
        <f aca="false">MIN(H313*(1+H$8),H$9)</f>
        <v>0</v>
      </c>
      <c r="U314" s="27" t="n">
        <f aca="false">MIN(I313*(1+I$8),I$9)</f>
        <v>0</v>
      </c>
      <c r="V314" s="27" t="n">
        <f aca="false">MIN(J313*(1+J$8),J$9)</f>
        <v>0</v>
      </c>
      <c r="W314" s="27" t="n">
        <f aca="false">MIN(K313*(1+K$8),K$9)</f>
        <v>0</v>
      </c>
      <c r="X314" s="27" t="n">
        <f aca="false">MIN(B313*(1+B$8),MAX(N314,$B$11-SUM(O314:W314)))</f>
        <v>0</v>
      </c>
      <c r="Y314" s="27" t="n">
        <f aca="false">MIN(C313*(1+C$8),MAX(O314,$B$11-SUM(X314:X314)-SUM(P314:W314)))</f>
        <v>0</v>
      </c>
      <c r="Z314" s="27" t="n">
        <f aca="false">MIN(D313*(1+D$8),MAX(P314,$B$11-SUM(X314:Y314)-SUM(Q314:W314)))</f>
        <v>0</v>
      </c>
      <c r="AA314" s="27" t="n">
        <f aca="false">MIN(E313*(1+E$8),MAX(Q314,$B$11-SUM(X314:Z314)-SUM(R314:W314)))</f>
        <v>0</v>
      </c>
      <c r="AB314" s="27" t="n">
        <f aca="false">MIN(F313*(1+F$8),MAX(R314,$B$11-SUM(X314:AA314)-SUM(S314:W314)))</f>
        <v>0</v>
      </c>
      <c r="AC314" s="27" t="n">
        <f aca="false">MIN(G313*(1+G$8),MAX(S314,$B$11-SUM(X314:AB314)-SUM(T314:W314)))</f>
        <v>0</v>
      </c>
      <c r="AD314" s="27" t="n">
        <f aca="false">MIN(H313*(1+H$8),MAX(T314,$B$11-SUM(X314:AC314)-SUM(U314:W314)))</f>
        <v>0</v>
      </c>
      <c r="AE314" s="27" t="n">
        <f aca="false">MIN(I313*(1+I$8),MAX(U314,$B$11-SUM(X314:AD314)-SUM(V314:W314)))</f>
        <v>0</v>
      </c>
      <c r="AF314" s="27" t="n">
        <f aca="false">MIN(J313*(1+J$8),MAX(V314,$B$11-SUM(X314:AE314)-SUM(W314:W314)))</f>
        <v>0</v>
      </c>
      <c r="AG314" s="27" t="n">
        <f aca="false">MIN(K313*(1+K$8),MAX(W314,$B$11-SUM(X314:AF314)))</f>
        <v>0</v>
      </c>
      <c r="AI314" s="27" t="n">
        <f aca="false">ROUND(MAX(0,AI313*(1+B$8)-BE314),2)</f>
        <v>0</v>
      </c>
      <c r="AJ314" s="27" t="n">
        <f aca="false">ROUND(MAX(0,AJ313*(1+C$8)-BF314),2)</f>
        <v>0</v>
      </c>
      <c r="AK314" s="27" t="n">
        <f aca="false">ROUND(MAX(0,AK313*(1+D$8)-BG314),2)</f>
        <v>0</v>
      </c>
      <c r="AL314" s="27" t="n">
        <f aca="false">ROUND(MAX(0,AL313*(1+E$8)-BH314),2)</f>
        <v>0</v>
      </c>
      <c r="AM314" s="27" t="n">
        <f aca="false">ROUND(MAX(0,AM313*(1+F$8)-BI314),2)</f>
        <v>0</v>
      </c>
      <c r="AN314" s="27" t="n">
        <f aca="false">ROUND(MAX(0,AN313*(1+G$8)-BJ314),2)</f>
        <v>0</v>
      </c>
      <c r="AO314" s="27" t="n">
        <f aca="false">ROUND(MAX(0,AO313*(1+H$8)-BK314),2)</f>
        <v>0</v>
      </c>
      <c r="AP314" s="27" t="n">
        <f aca="false">ROUND(MAX(0,AP313*(1+I$8)-BL314),2)</f>
        <v>0</v>
      </c>
      <c r="AQ314" s="27" t="n">
        <f aca="false">ROUND(MAX(0,AQ313*(1+J$8)-BM314),2)</f>
        <v>0</v>
      </c>
      <c r="AR314" s="27" t="n">
        <f aca="false">ROUND(MAX(0,AR313*(1+K$8)-BN314),2)</f>
        <v>0</v>
      </c>
      <c r="AS314" s="27" t="n">
        <f aca="false">SUM(AI314:AR314)</f>
        <v>0</v>
      </c>
      <c r="AT314" s="27" t="n">
        <f aca="false">SUMPRODUCT(AI313:AR313,$B$8:$K$8)</f>
        <v>0</v>
      </c>
      <c r="AU314" s="27" t="n">
        <f aca="false">MIN(AI313*(1+B$8),B$9)</f>
        <v>0</v>
      </c>
      <c r="AV314" s="27" t="n">
        <f aca="false">MIN(AJ313*(1+C$8),C$9)</f>
        <v>0</v>
      </c>
      <c r="AW314" s="27" t="n">
        <f aca="false">MIN(AK313*(1+D$8),D$9)</f>
        <v>0</v>
      </c>
      <c r="AX314" s="27" t="n">
        <f aca="false">MIN(AL313*(1+E$8),E$9)</f>
        <v>0</v>
      </c>
      <c r="AY314" s="27" t="n">
        <f aca="false">MIN(AM313*(1+F$8),F$9)</f>
        <v>0</v>
      </c>
      <c r="AZ314" s="27" t="n">
        <f aca="false">MIN(AN313*(1+G$8),G$9)</f>
        <v>0</v>
      </c>
      <c r="BA314" s="27" t="n">
        <f aca="false">MIN(AO313*(1+H$8),H$9)</f>
        <v>0</v>
      </c>
      <c r="BB314" s="27" t="n">
        <f aca="false">MIN(AP313*(1+I$8),I$9)</f>
        <v>0</v>
      </c>
      <c r="BC314" s="27" t="n">
        <f aca="false">MIN(AQ313*(1+J$8),J$9)</f>
        <v>0</v>
      </c>
      <c r="BD314" s="27" t="n">
        <f aca="false">MIN(AR313*(1+K$8),K$9)</f>
        <v>0</v>
      </c>
      <c r="BE314" s="27" t="n">
        <f aca="false">MIN(AI313*(1+B$8),MAX(AU314,$B$12-SUM(AV314:BD314)))</f>
        <v>0</v>
      </c>
      <c r="BF314" s="27" t="n">
        <f aca="false">MIN(AJ313*(1+C$8),MAX(AV314,$B$12-SUM(BE314:BE314)-SUM(AW314:BD314)))</f>
        <v>0</v>
      </c>
      <c r="BG314" s="27" t="n">
        <f aca="false">MIN(AK313*(1+D$8),MAX(AW314,$B$12-SUM(BE314:BF314)-SUM(AX314:BD314)))</f>
        <v>0</v>
      </c>
      <c r="BH314" s="27" t="n">
        <f aca="false">MIN(AL313*(1+E$8),MAX(AX314,$B$12-SUM(BE314:BG314)-SUM(AY314:BD314)))</f>
        <v>0</v>
      </c>
      <c r="BI314" s="27" t="n">
        <f aca="false">MIN(AM313*(1+F$8),MAX(AY314,$B$12-SUM(BE314:BH314)-SUM(AZ314:BD314)))</f>
        <v>0</v>
      </c>
      <c r="BJ314" s="27" t="n">
        <f aca="false">MIN(AN313*(1+G$8),MAX(AZ314,$B$12-SUM(BE314:BI314)-SUM(BA314:BD314)))</f>
        <v>0</v>
      </c>
      <c r="BK314" s="27" t="n">
        <f aca="false">MIN(AO313*(1+H$8),MAX(BA314,$B$12-SUM(BE314:BJ314)-SUM(BB314:BD314)))</f>
        <v>0</v>
      </c>
      <c r="BL314" s="27" t="n">
        <f aca="false">MIN(AP313*(1+I$8),MAX(BB314,$B$12-SUM(BE314:BK314)-SUM(BC314:BD314)))</f>
        <v>0</v>
      </c>
      <c r="BM314" s="27" t="n">
        <f aca="false">MIN(AQ313*(1+J$8),MAX(BC314,$B$12-SUM(BE314:BL314)-SUM(BD314:BD314)))</f>
        <v>0</v>
      </c>
      <c r="BN314" s="27" t="n">
        <f aca="false">MIN(AR313*(1+K$8),MAX(BD314,$B$12-SUM(BE314:BM314)))</f>
        <v>0</v>
      </c>
    </row>
    <row r="315" customFormat="false" ht="15" hidden="false" customHeight="false" outlineLevel="0" collapsed="false">
      <c r="A315" s="0" t="n">
        <v>301</v>
      </c>
      <c r="B315" s="27" t="n">
        <f aca="false">ROUND(MAX(0,B314*(1+B$8)-X315),2)</f>
        <v>0</v>
      </c>
      <c r="C315" s="27" t="n">
        <f aca="false">ROUND(MAX(0,C314*(1+C$8)-Y315),2)</f>
        <v>0</v>
      </c>
      <c r="D315" s="27" t="n">
        <f aca="false">ROUND(MAX(0,D314*(1+D$8)-Z315),2)</f>
        <v>0</v>
      </c>
      <c r="E315" s="27" t="n">
        <f aca="false">ROUND(MAX(0,E314*(1+E$8)-AA315),2)</f>
        <v>0</v>
      </c>
      <c r="F315" s="27" t="n">
        <f aca="false">ROUND(MAX(0,F314*(1+F$8)-AB315),2)</f>
        <v>0</v>
      </c>
      <c r="G315" s="27" t="n">
        <f aca="false">ROUND(MAX(0,G314*(1+G$8)-AC315),2)</f>
        <v>0</v>
      </c>
      <c r="H315" s="27" t="n">
        <f aca="false">ROUND(MAX(0,H314*(1+H$8)-AD315),2)</f>
        <v>0</v>
      </c>
      <c r="I315" s="27" t="n">
        <f aca="false">ROUND(MAX(0,I314*(1+I$8)-AE315),2)</f>
        <v>0</v>
      </c>
      <c r="J315" s="27" t="n">
        <f aca="false">ROUND(MAX(0,J314*(1+J$8)-AF315),2)</f>
        <v>0</v>
      </c>
      <c r="K315" s="27" t="n">
        <f aca="false">ROUND(MAX(0,K314*(1+K$8)-AG315),2)</f>
        <v>0</v>
      </c>
      <c r="L315" s="30" t="n">
        <f aca="false">SUM(B315:K315)</f>
        <v>0</v>
      </c>
      <c r="M315" s="27" t="n">
        <f aca="false">SUMPRODUCT(B314:K314,$B$8:$K$8)</f>
        <v>0</v>
      </c>
      <c r="N315" s="27" t="n">
        <f aca="false">MIN(B314*(1+B$8),B$9)</f>
        <v>0</v>
      </c>
      <c r="O315" s="27" t="n">
        <f aca="false">MIN(C314*(1+C$8),C$9)</f>
        <v>0</v>
      </c>
      <c r="P315" s="27" t="n">
        <f aca="false">MIN(D314*(1+D$8),D$9)</f>
        <v>0</v>
      </c>
      <c r="Q315" s="27" t="n">
        <f aca="false">MIN(E314*(1+E$8),E$9)</f>
        <v>0</v>
      </c>
      <c r="R315" s="27" t="n">
        <f aca="false">MIN(F314*(1+F$8),F$9)</f>
        <v>0</v>
      </c>
      <c r="S315" s="27" t="n">
        <f aca="false">MIN(G314*(1+G$8),G$9)</f>
        <v>0</v>
      </c>
      <c r="T315" s="27" t="n">
        <f aca="false">MIN(H314*(1+H$8),H$9)</f>
        <v>0</v>
      </c>
      <c r="U315" s="27" t="n">
        <f aca="false">MIN(I314*(1+I$8),I$9)</f>
        <v>0</v>
      </c>
      <c r="V315" s="27" t="n">
        <f aca="false">MIN(J314*(1+J$8),J$9)</f>
        <v>0</v>
      </c>
      <c r="W315" s="27" t="n">
        <f aca="false">MIN(K314*(1+K$8),K$9)</f>
        <v>0</v>
      </c>
      <c r="X315" s="27" t="n">
        <f aca="false">MIN(B314*(1+B$8),MAX(N315,$B$11-SUM(O315:W315)))</f>
        <v>0</v>
      </c>
      <c r="Y315" s="27" t="n">
        <f aca="false">MIN(C314*(1+C$8),MAX(O315,$B$11-SUM(X315:X315)-SUM(P315:W315)))</f>
        <v>0</v>
      </c>
      <c r="Z315" s="27" t="n">
        <f aca="false">MIN(D314*(1+D$8),MAX(P315,$B$11-SUM(X315:Y315)-SUM(Q315:W315)))</f>
        <v>0</v>
      </c>
      <c r="AA315" s="27" t="n">
        <f aca="false">MIN(E314*(1+E$8),MAX(Q315,$B$11-SUM(X315:Z315)-SUM(R315:W315)))</f>
        <v>0</v>
      </c>
      <c r="AB315" s="27" t="n">
        <f aca="false">MIN(F314*(1+F$8),MAX(R315,$B$11-SUM(X315:AA315)-SUM(S315:W315)))</f>
        <v>0</v>
      </c>
      <c r="AC315" s="27" t="n">
        <f aca="false">MIN(G314*(1+G$8),MAX(S315,$B$11-SUM(X315:AB315)-SUM(T315:W315)))</f>
        <v>0</v>
      </c>
      <c r="AD315" s="27" t="n">
        <f aca="false">MIN(H314*(1+H$8),MAX(T315,$B$11-SUM(X315:AC315)-SUM(U315:W315)))</f>
        <v>0</v>
      </c>
      <c r="AE315" s="27" t="n">
        <f aca="false">MIN(I314*(1+I$8),MAX(U315,$B$11-SUM(X315:AD315)-SUM(V315:W315)))</f>
        <v>0</v>
      </c>
      <c r="AF315" s="27" t="n">
        <f aca="false">MIN(J314*(1+J$8),MAX(V315,$B$11-SUM(X315:AE315)-SUM(W315:W315)))</f>
        <v>0</v>
      </c>
      <c r="AG315" s="27" t="n">
        <f aca="false">MIN(K314*(1+K$8),MAX(W315,$B$11-SUM(X315:AF315)))</f>
        <v>0</v>
      </c>
      <c r="AI315" s="27" t="n">
        <f aca="false">ROUND(MAX(0,AI314*(1+B$8)-BE315),2)</f>
        <v>0</v>
      </c>
      <c r="AJ315" s="27" t="n">
        <f aca="false">ROUND(MAX(0,AJ314*(1+C$8)-BF315),2)</f>
        <v>0</v>
      </c>
      <c r="AK315" s="27" t="n">
        <f aca="false">ROUND(MAX(0,AK314*(1+D$8)-BG315),2)</f>
        <v>0</v>
      </c>
      <c r="AL315" s="27" t="n">
        <f aca="false">ROUND(MAX(0,AL314*(1+E$8)-BH315),2)</f>
        <v>0</v>
      </c>
      <c r="AM315" s="27" t="n">
        <f aca="false">ROUND(MAX(0,AM314*(1+F$8)-BI315),2)</f>
        <v>0</v>
      </c>
      <c r="AN315" s="27" t="n">
        <f aca="false">ROUND(MAX(0,AN314*(1+G$8)-BJ315),2)</f>
        <v>0</v>
      </c>
      <c r="AO315" s="27" t="n">
        <f aca="false">ROUND(MAX(0,AO314*(1+H$8)-BK315),2)</f>
        <v>0</v>
      </c>
      <c r="AP315" s="27" t="n">
        <f aca="false">ROUND(MAX(0,AP314*(1+I$8)-BL315),2)</f>
        <v>0</v>
      </c>
      <c r="AQ315" s="27" t="n">
        <f aca="false">ROUND(MAX(0,AQ314*(1+J$8)-BM315),2)</f>
        <v>0</v>
      </c>
      <c r="AR315" s="27" t="n">
        <f aca="false">ROUND(MAX(0,AR314*(1+K$8)-BN315),2)</f>
        <v>0</v>
      </c>
      <c r="AS315" s="27" t="n">
        <f aca="false">SUM(AI315:AR315)</f>
        <v>0</v>
      </c>
      <c r="AT315" s="27" t="n">
        <f aca="false">SUMPRODUCT(AI314:AR314,$B$8:$K$8)</f>
        <v>0</v>
      </c>
      <c r="AU315" s="27" t="n">
        <f aca="false">MIN(AI314*(1+B$8),B$9)</f>
        <v>0</v>
      </c>
      <c r="AV315" s="27" t="n">
        <f aca="false">MIN(AJ314*(1+C$8),C$9)</f>
        <v>0</v>
      </c>
      <c r="AW315" s="27" t="n">
        <f aca="false">MIN(AK314*(1+D$8),D$9)</f>
        <v>0</v>
      </c>
      <c r="AX315" s="27" t="n">
        <f aca="false">MIN(AL314*(1+E$8),E$9)</f>
        <v>0</v>
      </c>
      <c r="AY315" s="27" t="n">
        <f aca="false">MIN(AM314*(1+F$8),F$9)</f>
        <v>0</v>
      </c>
      <c r="AZ315" s="27" t="n">
        <f aca="false">MIN(AN314*(1+G$8),G$9)</f>
        <v>0</v>
      </c>
      <c r="BA315" s="27" t="n">
        <f aca="false">MIN(AO314*(1+H$8),H$9)</f>
        <v>0</v>
      </c>
      <c r="BB315" s="27" t="n">
        <f aca="false">MIN(AP314*(1+I$8),I$9)</f>
        <v>0</v>
      </c>
      <c r="BC315" s="27" t="n">
        <f aca="false">MIN(AQ314*(1+J$8),J$9)</f>
        <v>0</v>
      </c>
      <c r="BD315" s="27" t="n">
        <f aca="false">MIN(AR314*(1+K$8),K$9)</f>
        <v>0</v>
      </c>
      <c r="BE315" s="27" t="n">
        <f aca="false">MIN(AI314*(1+B$8),MAX(AU315,$B$12-SUM(AV315:BD315)))</f>
        <v>0</v>
      </c>
      <c r="BF315" s="27" t="n">
        <f aca="false">MIN(AJ314*(1+C$8),MAX(AV315,$B$12-SUM(BE315:BE315)-SUM(AW315:BD315)))</f>
        <v>0</v>
      </c>
      <c r="BG315" s="27" t="n">
        <f aca="false">MIN(AK314*(1+D$8),MAX(AW315,$B$12-SUM(BE315:BF315)-SUM(AX315:BD315)))</f>
        <v>0</v>
      </c>
      <c r="BH315" s="27" t="n">
        <f aca="false">MIN(AL314*(1+E$8),MAX(AX315,$B$12-SUM(BE315:BG315)-SUM(AY315:BD315)))</f>
        <v>0</v>
      </c>
      <c r="BI315" s="27" t="n">
        <f aca="false">MIN(AM314*(1+F$8),MAX(AY315,$B$12-SUM(BE315:BH315)-SUM(AZ315:BD315)))</f>
        <v>0</v>
      </c>
      <c r="BJ315" s="27" t="n">
        <f aca="false">MIN(AN314*(1+G$8),MAX(AZ315,$B$12-SUM(BE315:BI315)-SUM(BA315:BD315)))</f>
        <v>0</v>
      </c>
      <c r="BK315" s="27" t="n">
        <f aca="false">MIN(AO314*(1+H$8),MAX(BA315,$B$12-SUM(BE315:BJ315)-SUM(BB315:BD315)))</f>
        <v>0</v>
      </c>
      <c r="BL315" s="27" t="n">
        <f aca="false">MIN(AP314*(1+I$8),MAX(BB315,$B$12-SUM(BE315:BK315)-SUM(BC315:BD315)))</f>
        <v>0</v>
      </c>
      <c r="BM315" s="27" t="n">
        <f aca="false">MIN(AQ314*(1+J$8),MAX(BC315,$B$12-SUM(BE315:BL315)-SUM(BD315:BD315)))</f>
        <v>0</v>
      </c>
      <c r="BN315" s="27" t="n">
        <f aca="false">MIN(AR314*(1+K$8),MAX(BD315,$B$12-SUM(BE315:BM315)))</f>
        <v>0</v>
      </c>
    </row>
    <row r="316" customFormat="false" ht="15" hidden="false" customHeight="false" outlineLevel="0" collapsed="false">
      <c r="A316" s="0" t="n">
        <v>302</v>
      </c>
      <c r="B316" s="27" t="n">
        <f aca="false">ROUND(MAX(0,B315*(1+B$8)-X316),2)</f>
        <v>0</v>
      </c>
      <c r="C316" s="27" t="n">
        <f aca="false">ROUND(MAX(0,C315*(1+C$8)-Y316),2)</f>
        <v>0</v>
      </c>
      <c r="D316" s="27" t="n">
        <f aca="false">ROUND(MAX(0,D315*(1+D$8)-Z316),2)</f>
        <v>0</v>
      </c>
      <c r="E316" s="27" t="n">
        <f aca="false">ROUND(MAX(0,E315*(1+E$8)-AA316),2)</f>
        <v>0</v>
      </c>
      <c r="F316" s="27" t="n">
        <f aca="false">ROUND(MAX(0,F315*(1+F$8)-AB316),2)</f>
        <v>0</v>
      </c>
      <c r="G316" s="27" t="n">
        <f aca="false">ROUND(MAX(0,G315*(1+G$8)-AC316),2)</f>
        <v>0</v>
      </c>
      <c r="H316" s="27" t="n">
        <f aca="false">ROUND(MAX(0,H315*(1+H$8)-AD316),2)</f>
        <v>0</v>
      </c>
      <c r="I316" s="27" t="n">
        <f aca="false">ROUND(MAX(0,I315*(1+I$8)-AE316),2)</f>
        <v>0</v>
      </c>
      <c r="J316" s="27" t="n">
        <f aca="false">ROUND(MAX(0,J315*(1+J$8)-AF316),2)</f>
        <v>0</v>
      </c>
      <c r="K316" s="27" t="n">
        <f aca="false">ROUND(MAX(0,K315*(1+K$8)-AG316),2)</f>
        <v>0</v>
      </c>
      <c r="L316" s="30" t="n">
        <f aca="false">SUM(B316:K316)</f>
        <v>0</v>
      </c>
      <c r="M316" s="27" t="n">
        <f aca="false">SUMPRODUCT(B315:K315,$B$8:$K$8)</f>
        <v>0</v>
      </c>
      <c r="N316" s="27" t="n">
        <f aca="false">MIN(B315*(1+B$8),B$9)</f>
        <v>0</v>
      </c>
      <c r="O316" s="27" t="n">
        <f aca="false">MIN(C315*(1+C$8),C$9)</f>
        <v>0</v>
      </c>
      <c r="P316" s="27" t="n">
        <f aca="false">MIN(D315*(1+D$8),D$9)</f>
        <v>0</v>
      </c>
      <c r="Q316" s="27" t="n">
        <f aca="false">MIN(E315*(1+E$8),E$9)</f>
        <v>0</v>
      </c>
      <c r="R316" s="27" t="n">
        <f aca="false">MIN(F315*(1+F$8),F$9)</f>
        <v>0</v>
      </c>
      <c r="S316" s="27" t="n">
        <f aca="false">MIN(G315*(1+G$8),G$9)</f>
        <v>0</v>
      </c>
      <c r="T316" s="27" t="n">
        <f aca="false">MIN(H315*(1+H$8),H$9)</f>
        <v>0</v>
      </c>
      <c r="U316" s="27" t="n">
        <f aca="false">MIN(I315*(1+I$8),I$9)</f>
        <v>0</v>
      </c>
      <c r="V316" s="27" t="n">
        <f aca="false">MIN(J315*(1+J$8),J$9)</f>
        <v>0</v>
      </c>
      <c r="W316" s="27" t="n">
        <f aca="false">MIN(K315*(1+K$8),K$9)</f>
        <v>0</v>
      </c>
      <c r="X316" s="27" t="n">
        <f aca="false">MIN(B315*(1+B$8),MAX(N316,$B$11-SUM(O316:W316)))</f>
        <v>0</v>
      </c>
      <c r="Y316" s="27" t="n">
        <f aca="false">MIN(C315*(1+C$8),MAX(O316,$B$11-SUM(X316:X316)-SUM(P316:W316)))</f>
        <v>0</v>
      </c>
      <c r="Z316" s="27" t="n">
        <f aca="false">MIN(D315*(1+D$8),MAX(P316,$B$11-SUM(X316:Y316)-SUM(Q316:W316)))</f>
        <v>0</v>
      </c>
      <c r="AA316" s="27" t="n">
        <f aca="false">MIN(E315*(1+E$8),MAX(Q316,$B$11-SUM(X316:Z316)-SUM(R316:W316)))</f>
        <v>0</v>
      </c>
      <c r="AB316" s="27" t="n">
        <f aca="false">MIN(F315*(1+F$8),MAX(R316,$B$11-SUM(X316:AA316)-SUM(S316:W316)))</f>
        <v>0</v>
      </c>
      <c r="AC316" s="27" t="n">
        <f aca="false">MIN(G315*(1+G$8),MAX(S316,$B$11-SUM(X316:AB316)-SUM(T316:W316)))</f>
        <v>0</v>
      </c>
      <c r="AD316" s="27" t="n">
        <f aca="false">MIN(H315*(1+H$8),MAX(T316,$B$11-SUM(X316:AC316)-SUM(U316:W316)))</f>
        <v>0</v>
      </c>
      <c r="AE316" s="27" t="n">
        <f aca="false">MIN(I315*(1+I$8),MAX(U316,$B$11-SUM(X316:AD316)-SUM(V316:W316)))</f>
        <v>0</v>
      </c>
      <c r="AF316" s="27" t="n">
        <f aca="false">MIN(J315*(1+J$8),MAX(V316,$B$11-SUM(X316:AE316)-SUM(W316:W316)))</f>
        <v>0</v>
      </c>
      <c r="AG316" s="27" t="n">
        <f aca="false">MIN(K315*(1+K$8),MAX(W316,$B$11-SUM(X316:AF316)))</f>
        <v>0</v>
      </c>
      <c r="AI316" s="27" t="n">
        <f aca="false">ROUND(MAX(0,AI315*(1+B$8)-BE316),2)</f>
        <v>0</v>
      </c>
      <c r="AJ316" s="27" t="n">
        <f aca="false">ROUND(MAX(0,AJ315*(1+C$8)-BF316),2)</f>
        <v>0</v>
      </c>
      <c r="AK316" s="27" t="n">
        <f aca="false">ROUND(MAX(0,AK315*(1+D$8)-BG316),2)</f>
        <v>0</v>
      </c>
      <c r="AL316" s="27" t="n">
        <f aca="false">ROUND(MAX(0,AL315*(1+E$8)-BH316),2)</f>
        <v>0</v>
      </c>
      <c r="AM316" s="27" t="n">
        <f aca="false">ROUND(MAX(0,AM315*(1+F$8)-BI316),2)</f>
        <v>0</v>
      </c>
      <c r="AN316" s="27" t="n">
        <f aca="false">ROUND(MAX(0,AN315*(1+G$8)-BJ316),2)</f>
        <v>0</v>
      </c>
      <c r="AO316" s="27" t="n">
        <f aca="false">ROUND(MAX(0,AO315*(1+H$8)-BK316),2)</f>
        <v>0</v>
      </c>
      <c r="AP316" s="27" t="n">
        <f aca="false">ROUND(MAX(0,AP315*(1+I$8)-BL316),2)</f>
        <v>0</v>
      </c>
      <c r="AQ316" s="27" t="n">
        <f aca="false">ROUND(MAX(0,AQ315*(1+J$8)-BM316),2)</f>
        <v>0</v>
      </c>
      <c r="AR316" s="27" t="n">
        <f aca="false">ROUND(MAX(0,AR315*(1+K$8)-BN316),2)</f>
        <v>0</v>
      </c>
      <c r="AS316" s="27" t="n">
        <f aca="false">SUM(AI316:AR316)</f>
        <v>0</v>
      </c>
      <c r="AT316" s="27" t="n">
        <f aca="false">SUMPRODUCT(AI315:AR315,$B$8:$K$8)</f>
        <v>0</v>
      </c>
      <c r="AU316" s="27" t="n">
        <f aca="false">MIN(AI315*(1+B$8),B$9)</f>
        <v>0</v>
      </c>
      <c r="AV316" s="27" t="n">
        <f aca="false">MIN(AJ315*(1+C$8),C$9)</f>
        <v>0</v>
      </c>
      <c r="AW316" s="27" t="n">
        <f aca="false">MIN(AK315*(1+D$8),D$9)</f>
        <v>0</v>
      </c>
      <c r="AX316" s="27" t="n">
        <f aca="false">MIN(AL315*(1+E$8),E$9)</f>
        <v>0</v>
      </c>
      <c r="AY316" s="27" t="n">
        <f aca="false">MIN(AM315*(1+F$8),F$9)</f>
        <v>0</v>
      </c>
      <c r="AZ316" s="27" t="n">
        <f aca="false">MIN(AN315*(1+G$8),G$9)</f>
        <v>0</v>
      </c>
      <c r="BA316" s="27" t="n">
        <f aca="false">MIN(AO315*(1+H$8),H$9)</f>
        <v>0</v>
      </c>
      <c r="BB316" s="27" t="n">
        <f aca="false">MIN(AP315*(1+I$8),I$9)</f>
        <v>0</v>
      </c>
      <c r="BC316" s="27" t="n">
        <f aca="false">MIN(AQ315*(1+J$8),J$9)</f>
        <v>0</v>
      </c>
      <c r="BD316" s="27" t="n">
        <f aca="false">MIN(AR315*(1+K$8),K$9)</f>
        <v>0</v>
      </c>
      <c r="BE316" s="27" t="n">
        <f aca="false">MIN(AI315*(1+B$8),MAX(AU316,$B$12-SUM(AV316:BD316)))</f>
        <v>0</v>
      </c>
      <c r="BF316" s="27" t="n">
        <f aca="false">MIN(AJ315*(1+C$8),MAX(AV316,$B$12-SUM(BE316:BE316)-SUM(AW316:BD316)))</f>
        <v>0</v>
      </c>
      <c r="BG316" s="27" t="n">
        <f aca="false">MIN(AK315*(1+D$8),MAX(AW316,$B$12-SUM(BE316:BF316)-SUM(AX316:BD316)))</f>
        <v>0</v>
      </c>
      <c r="BH316" s="27" t="n">
        <f aca="false">MIN(AL315*(1+E$8),MAX(AX316,$B$12-SUM(BE316:BG316)-SUM(AY316:BD316)))</f>
        <v>0</v>
      </c>
      <c r="BI316" s="27" t="n">
        <f aca="false">MIN(AM315*(1+F$8),MAX(AY316,$B$12-SUM(BE316:BH316)-SUM(AZ316:BD316)))</f>
        <v>0</v>
      </c>
      <c r="BJ316" s="27" t="n">
        <f aca="false">MIN(AN315*(1+G$8),MAX(AZ316,$B$12-SUM(BE316:BI316)-SUM(BA316:BD316)))</f>
        <v>0</v>
      </c>
      <c r="BK316" s="27" t="n">
        <f aca="false">MIN(AO315*(1+H$8),MAX(BA316,$B$12-SUM(BE316:BJ316)-SUM(BB316:BD316)))</f>
        <v>0</v>
      </c>
      <c r="BL316" s="27" t="n">
        <f aca="false">MIN(AP315*(1+I$8),MAX(BB316,$B$12-SUM(BE316:BK316)-SUM(BC316:BD316)))</f>
        <v>0</v>
      </c>
      <c r="BM316" s="27" t="n">
        <f aca="false">MIN(AQ315*(1+J$8),MAX(BC316,$B$12-SUM(BE316:BL316)-SUM(BD316:BD316)))</f>
        <v>0</v>
      </c>
      <c r="BN316" s="27" t="n">
        <f aca="false">MIN(AR315*(1+K$8),MAX(BD316,$B$12-SUM(BE316:BM316)))</f>
        <v>0</v>
      </c>
    </row>
    <row r="317" customFormat="false" ht="15" hidden="false" customHeight="false" outlineLevel="0" collapsed="false">
      <c r="A317" s="0" t="n">
        <v>303</v>
      </c>
      <c r="B317" s="27" t="n">
        <f aca="false">ROUND(MAX(0,B316*(1+B$8)-X317),2)</f>
        <v>0</v>
      </c>
      <c r="C317" s="27" t="n">
        <f aca="false">ROUND(MAX(0,C316*(1+C$8)-Y317),2)</f>
        <v>0</v>
      </c>
      <c r="D317" s="27" t="n">
        <f aca="false">ROUND(MAX(0,D316*(1+D$8)-Z317),2)</f>
        <v>0</v>
      </c>
      <c r="E317" s="27" t="n">
        <f aca="false">ROUND(MAX(0,E316*(1+E$8)-AA317),2)</f>
        <v>0</v>
      </c>
      <c r="F317" s="27" t="n">
        <f aca="false">ROUND(MAX(0,F316*(1+F$8)-AB317),2)</f>
        <v>0</v>
      </c>
      <c r="G317" s="27" t="n">
        <f aca="false">ROUND(MAX(0,G316*(1+G$8)-AC317),2)</f>
        <v>0</v>
      </c>
      <c r="H317" s="27" t="n">
        <f aca="false">ROUND(MAX(0,H316*(1+H$8)-AD317),2)</f>
        <v>0</v>
      </c>
      <c r="I317" s="27" t="n">
        <f aca="false">ROUND(MAX(0,I316*(1+I$8)-AE317),2)</f>
        <v>0</v>
      </c>
      <c r="J317" s="27" t="n">
        <f aca="false">ROUND(MAX(0,J316*(1+J$8)-AF317),2)</f>
        <v>0</v>
      </c>
      <c r="K317" s="27" t="n">
        <f aca="false">ROUND(MAX(0,K316*(1+K$8)-AG317),2)</f>
        <v>0</v>
      </c>
      <c r="L317" s="30" t="n">
        <f aca="false">SUM(B317:K317)</f>
        <v>0</v>
      </c>
      <c r="M317" s="27" t="n">
        <f aca="false">SUMPRODUCT(B316:K316,$B$8:$K$8)</f>
        <v>0</v>
      </c>
      <c r="N317" s="27" t="n">
        <f aca="false">MIN(B316*(1+B$8),B$9)</f>
        <v>0</v>
      </c>
      <c r="O317" s="27" t="n">
        <f aca="false">MIN(C316*(1+C$8),C$9)</f>
        <v>0</v>
      </c>
      <c r="P317" s="27" t="n">
        <f aca="false">MIN(D316*(1+D$8),D$9)</f>
        <v>0</v>
      </c>
      <c r="Q317" s="27" t="n">
        <f aca="false">MIN(E316*(1+E$8),E$9)</f>
        <v>0</v>
      </c>
      <c r="R317" s="27" t="n">
        <f aca="false">MIN(F316*(1+F$8),F$9)</f>
        <v>0</v>
      </c>
      <c r="S317" s="27" t="n">
        <f aca="false">MIN(G316*(1+G$8),G$9)</f>
        <v>0</v>
      </c>
      <c r="T317" s="27" t="n">
        <f aca="false">MIN(H316*(1+H$8),H$9)</f>
        <v>0</v>
      </c>
      <c r="U317" s="27" t="n">
        <f aca="false">MIN(I316*(1+I$8),I$9)</f>
        <v>0</v>
      </c>
      <c r="V317" s="27" t="n">
        <f aca="false">MIN(J316*(1+J$8),J$9)</f>
        <v>0</v>
      </c>
      <c r="W317" s="27" t="n">
        <f aca="false">MIN(K316*(1+K$8),K$9)</f>
        <v>0</v>
      </c>
      <c r="X317" s="27" t="n">
        <f aca="false">MIN(B316*(1+B$8),MAX(N317,$B$11-SUM(O317:W317)))</f>
        <v>0</v>
      </c>
      <c r="Y317" s="27" t="n">
        <f aca="false">MIN(C316*(1+C$8),MAX(O317,$B$11-SUM(X317:X317)-SUM(P317:W317)))</f>
        <v>0</v>
      </c>
      <c r="Z317" s="27" t="n">
        <f aca="false">MIN(D316*(1+D$8),MAX(P317,$B$11-SUM(X317:Y317)-SUM(Q317:W317)))</f>
        <v>0</v>
      </c>
      <c r="AA317" s="27" t="n">
        <f aca="false">MIN(E316*(1+E$8),MAX(Q317,$B$11-SUM(X317:Z317)-SUM(R317:W317)))</f>
        <v>0</v>
      </c>
      <c r="AB317" s="27" t="n">
        <f aca="false">MIN(F316*(1+F$8),MAX(R317,$B$11-SUM(X317:AA317)-SUM(S317:W317)))</f>
        <v>0</v>
      </c>
      <c r="AC317" s="27" t="n">
        <f aca="false">MIN(G316*(1+G$8),MAX(S317,$B$11-SUM(X317:AB317)-SUM(T317:W317)))</f>
        <v>0</v>
      </c>
      <c r="AD317" s="27" t="n">
        <f aca="false">MIN(H316*(1+H$8),MAX(T317,$B$11-SUM(X317:AC317)-SUM(U317:W317)))</f>
        <v>0</v>
      </c>
      <c r="AE317" s="27" t="n">
        <f aca="false">MIN(I316*(1+I$8),MAX(U317,$B$11-SUM(X317:AD317)-SUM(V317:W317)))</f>
        <v>0</v>
      </c>
      <c r="AF317" s="27" t="n">
        <f aca="false">MIN(J316*(1+J$8),MAX(V317,$B$11-SUM(X317:AE317)-SUM(W317:W317)))</f>
        <v>0</v>
      </c>
      <c r="AG317" s="27" t="n">
        <f aca="false">MIN(K316*(1+K$8),MAX(W317,$B$11-SUM(X317:AF317)))</f>
        <v>0</v>
      </c>
      <c r="AI317" s="27" t="n">
        <f aca="false">ROUND(MAX(0,AI316*(1+B$8)-BE317),2)</f>
        <v>0</v>
      </c>
      <c r="AJ317" s="27" t="n">
        <f aca="false">ROUND(MAX(0,AJ316*(1+C$8)-BF317),2)</f>
        <v>0</v>
      </c>
      <c r="AK317" s="27" t="n">
        <f aca="false">ROUND(MAX(0,AK316*(1+D$8)-BG317),2)</f>
        <v>0</v>
      </c>
      <c r="AL317" s="27" t="n">
        <f aca="false">ROUND(MAX(0,AL316*(1+E$8)-BH317),2)</f>
        <v>0</v>
      </c>
      <c r="AM317" s="27" t="n">
        <f aca="false">ROUND(MAX(0,AM316*(1+F$8)-BI317),2)</f>
        <v>0</v>
      </c>
      <c r="AN317" s="27" t="n">
        <f aca="false">ROUND(MAX(0,AN316*(1+G$8)-BJ317),2)</f>
        <v>0</v>
      </c>
      <c r="AO317" s="27" t="n">
        <f aca="false">ROUND(MAX(0,AO316*(1+H$8)-BK317),2)</f>
        <v>0</v>
      </c>
      <c r="AP317" s="27" t="n">
        <f aca="false">ROUND(MAX(0,AP316*(1+I$8)-BL317),2)</f>
        <v>0</v>
      </c>
      <c r="AQ317" s="27" t="n">
        <f aca="false">ROUND(MAX(0,AQ316*(1+J$8)-BM317),2)</f>
        <v>0</v>
      </c>
      <c r="AR317" s="27" t="n">
        <f aca="false">ROUND(MAX(0,AR316*(1+K$8)-BN317),2)</f>
        <v>0</v>
      </c>
      <c r="AS317" s="27" t="n">
        <f aca="false">SUM(AI317:AR317)</f>
        <v>0</v>
      </c>
      <c r="AT317" s="27" t="n">
        <f aca="false">SUMPRODUCT(AI316:AR316,$B$8:$K$8)</f>
        <v>0</v>
      </c>
      <c r="AU317" s="27" t="n">
        <f aca="false">MIN(AI316*(1+B$8),B$9)</f>
        <v>0</v>
      </c>
      <c r="AV317" s="27" t="n">
        <f aca="false">MIN(AJ316*(1+C$8),C$9)</f>
        <v>0</v>
      </c>
      <c r="AW317" s="27" t="n">
        <f aca="false">MIN(AK316*(1+D$8),D$9)</f>
        <v>0</v>
      </c>
      <c r="AX317" s="27" t="n">
        <f aca="false">MIN(AL316*(1+E$8),E$9)</f>
        <v>0</v>
      </c>
      <c r="AY317" s="27" t="n">
        <f aca="false">MIN(AM316*(1+F$8),F$9)</f>
        <v>0</v>
      </c>
      <c r="AZ317" s="27" t="n">
        <f aca="false">MIN(AN316*(1+G$8),G$9)</f>
        <v>0</v>
      </c>
      <c r="BA317" s="27" t="n">
        <f aca="false">MIN(AO316*(1+H$8),H$9)</f>
        <v>0</v>
      </c>
      <c r="BB317" s="27" t="n">
        <f aca="false">MIN(AP316*(1+I$8),I$9)</f>
        <v>0</v>
      </c>
      <c r="BC317" s="27" t="n">
        <f aca="false">MIN(AQ316*(1+J$8),J$9)</f>
        <v>0</v>
      </c>
      <c r="BD317" s="27" t="n">
        <f aca="false">MIN(AR316*(1+K$8),K$9)</f>
        <v>0</v>
      </c>
      <c r="BE317" s="27" t="n">
        <f aca="false">MIN(AI316*(1+B$8),MAX(AU317,$B$12-SUM(AV317:BD317)))</f>
        <v>0</v>
      </c>
      <c r="BF317" s="27" t="n">
        <f aca="false">MIN(AJ316*(1+C$8),MAX(AV317,$B$12-SUM(BE317:BE317)-SUM(AW317:BD317)))</f>
        <v>0</v>
      </c>
      <c r="BG317" s="27" t="n">
        <f aca="false">MIN(AK316*(1+D$8),MAX(AW317,$B$12-SUM(BE317:BF317)-SUM(AX317:BD317)))</f>
        <v>0</v>
      </c>
      <c r="BH317" s="27" t="n">
        <f aca="false">MIN(AL316*(1+E$8),MAX(AX317,$B$12-SUM(BE317:BG317)-SUM(AY317:BD317)))</f>
        <v>0</v>
      </c>
      <c r="BI317" s="27" t="n">
        <f aca="false">MIN(AM316*(1+F$8),MAX(AY317,$B$12-SUM(BE317:BH317)-SUM(AZ317:BD317)))</f>
        <v>0</v>
      </c>
      <c r="BJ317" s="27" t="n">
        <f aca="false">MIN(AN316*(1+G$8),MAX(AZ317,$B$12-SUM(BE317:BI317)-SUM(BA317:BD317)))</f>
        <v>0</v>
      </c>
      <c r="BK317" s="27" t="n">
        <f aca="false">MIN(AO316*(1+H$8),MAX(BA317,$B$12-SUM(BE317:BJ317)-SUM(BB317:BD317)))</f>
        <v>0</v>
      </c>
      <c r="BL317" s="27" t="n">
        <f aca="false">MIN(AP316*(1+I$8),MAX(BB317,$B$12-SUM(BE317:BK317)-SUM(BC317:BD317)))</f>
        <v>0</v>
      </c>
      <c r="BM317" s="27" t="n">
        <f aca="false">MIN(AQ316*(1+J$8),MAX(BC317,$B$12-SUM(BE317:BL317)-SUM(BD317:BD317)))</f>
        <v>0</v>
      </c>
      <c r="BN317" s="27" t="n">
        <f aca="false">MIN(AR316*(1+K$8),MAX(BD317,$B$12-SUM(BE317:BM317)))</f>
        <v>0</v>
      </c>
    </row>
    <row r="318" customFormat="false" ht="15" hidden="false" customHeight="false" outlineLevel="0" collapsed="false">
      <c r="A318" s="0" t="n">
        <v>304</v>
      </c>
      <c r="B318" s="27" t="n">
        <f aca="false">ROUND(MAX(0,B317*(1+B$8)-X318),2)</f>
        <v>0</v>
      </c>
      <c r="C318" s="27" t="n">
        <f aca="false">ROUND(MAX(0,C317*(1+C$8)-Y318),2)</f>
        <v>0</v>
      </c>
      <c r="D318" s="27" t="n">
        <f aca="false">ROUND(MAX(0,D317*(1+D$8)-Z318),2)</f>
        <v>0</v>
      </c>
      <c r="E318" s="27" t="n">
        <f aca="false">ROUND(MAX(0,E317*(1+E$8)-AA318),2)</f>
        <v>0</v>
      </c>
      <c r="F318" s="27" t="n">
        <f aca="false">ROUND(MAX(0,F317*(1+F$8)-AB318),2)</f>
        <v>0</v>
      </c>
      <c r="G318" s="27" t="n">
        <f aca="false">ROUND(MAX(0,G317*(1+G$8)-AC318),2)</f>
        <v>0</v>
      </c>
      <c r="H318" s="27" t="n">
        <f aca="false">ROUND(MAX(0,H317*(1+H$8)-AD318),2)</f>
        <v>0</v>
      </c>
      <c r="I318" s="27" t="n">
        <f aca="false">ROUND(MAX(0,I317*(1+I$8)-AE318),2)</f>
        <v>0</v>
      </c>
      <c r="J318" s="27" t="n">
        <f aca="false">ROUND(MAX(0,J317*(1+J$8)-AF318),2)</f>
        <v>0</v>
      </c>
      <c r="K318" s="27" t="n">
        <f aca="false">ROUND(MAX(0,K317*(1+K$8)-AG318),2)</f>
        <v>0</v>
      </c>
      <c r="L318" s="30" t="n">
        <f aca="false">SUM(B318:K318)</f>
        <v>0</v>
      </c>
      <c r="M318" s="27" t="n">
        <f aca="false">SUMPRODUCT(B317:K317,$B$8:$K$8)</f>
        <v>0</v>
      </c>
      <c r="N318" s="27" t="n">
        <f aca="false">MIN(B317*(1+B$8),B$9)</f>
        <v>0</v>
      </c>
      <c r="O318" s="27" t="n">
        <f aca="false">MIN(C317*(1+C$8),C$9)</f>
        <v>0</v>
      </c>
      <c r="P318" s="27" t="n">
        <f aca="false">MIN(D317*(1+D$8),D$9)</f>
        <v>0</v>
      </c>
      <c r="Q318" s="27" t="n">
        <f aca="false">MIN(E317*(1+E$8),E$9)</f>
        <v>0</v>
      </c>
      <c r="R318" s="27" t="n">
        <f aca="false">MIN(F317*(1+F$8),F$9)</f>
        <v>0</v>
      </c>
      <c r="S318" s="27" t="n">
        <f aca="false">MIN(G317*(1+G$8),G$9)</f>
        <v>0</v>
      </c>
      <c r="T318" s="27" t="n">
        <f aca="false">MIN(H317*(1+H$8),H$9)</f>
        <v>0</v>
      </c>
      <c r="U318" s="27" t="n">
        <f aca="false">MIN(I317*(1+I$8),I$9)</f>
        <v>0</v>
      </c>
      <c r="V318" s="27" t="n">
        <f aca="false">MIN(J317*(1+J$8),J$9)</f>
        <v>0</v>
      </c>
      <c r="W318" s="27" t="n">
        <f aca="false">MIN(K317*(1+K$8),K$9)</f>
        <v>0</v>
      </c>
      <c r="X318" s="27" t="n">
        <f aca="false">MIN(B317*(1+B$8),MAX(N318,$B$11-SUM(O318:W318)))</f>
        <v>0</v>
      </c>
      <c r="Y318" s="27" t="n">
        <f aca="false">MIN(C317*(1+C$8),MAX(O318,$B$11-SUM(X318:X318)-SUM(P318:W318)))</f>
        <v>0</v>
      </c>
      <c r="Z318" s="27" t="n">
        <f aca="false">MIN(D317*(1+D$8),MAX(P318,$B$11-SUM(X318:Y318)-SUM(Q318:W318)))</f>
        <v>0</v>
      </c>
      <c r="AA318" s="27" t="n">
        <f aca="false">MIN(E317*(1+E$8),MAX(Q318,$B$11-SUM(X318:Z318)-SUM(R318:W318)))</f>
        <v>0</v>
      </c>
      <c r="AB318" s="27" t="n">
        <f aca="false">MIN(F317*(1+F$8),MAX(R318,$B$11-SUM(X318:AA318)-SUM(S318:W318)))</f>
        <v>0</v>
      </c>
      <c r="AC318" s="27" t="n">
        <f aca="false">MIN(G317*(1+G$8),MAX(S318,$B$11-SUM(X318:AB318)-SUM(T318:W318)))</f>
        <v>0</v>
      </c>
      <c r="AD318" s="27" t="n">
        <f aca="false">MIN(H317*(1+H$8),MAX(T318,$B$11-SUM(X318:AC318)-SUM(U318:W318)))</f>
        <v>0</v>
      </c>
      <c r="AE318" s="27" t="n">
        <f aca="false">MIN(I317*(1+I$8),MAX(U318,$B$11-SUM(X318:AD318)-SUM(V318:W318)))</f>
        <v>0</v>
      </c>
      <c r="AF318" s="27" t="n">
        <f aca="false">MIN(J317*(1+J$8),MAX(V318,$B$11-SUM(X318:AE318)-SUM(W318:W318)))</f>
        <v>0</v>
      </c>
      <c r="AG318" s="27" t="n">
        <f aca="false">MIN(K317*(1+K$8),MAX(W318,$B$11-SUM(X318:AF318)))</f>
        <v>0</v>
      </c>
      <c r="AI318" s="27" t="n">
        <f aca="false">ROUND(MAX(0,AI317*(1+B$8)-BE318),2)</f>
        <v>0</v>
      </c>
      <c r="AJ318" s="27" t="n">
        <f aca="false">ROUND(MAX(0,AJ317*(1+C$8)-BF318),2)</f>
        <v>0</v>
      </c>
      <c r="AK318" s="27" t="n">
        <f aca="false">ROUND(MAX(0,AK317*(1+D$8)-BG318),2)</f>
        <v>0</v>
      </c>
      <c r="AL318" s="27" t="n">
        <f aca="false">ROUND(MAX(0,AL317*(1+E$8)-BH318),2)</f>
        <v>0</v>
      </c>
      <c r="AM318" s="27" t="n">
        <f aca="false">ROUND(MAX(0,AM317*(1+F$8)-BI318),2)</f>
        <v>0</v>
      </c>
      <c r="AN318" s="27" t="n">
        <f aca="false">ROUND(MAX(0,AN317*(1+G$8)-BJ318),2)</f>
        <v>0</v>
      </c>
      <c r="AO318" s="27" t="n">
        <f aca="false">ROUND(MAX(0,AO317*(1+H$8)-BK318),2)</f>
        <v>0</v>
      </c>
      <c r="AP318" s="27" t="n">
        <f aca="false">ROUND(MAX(0,AP317*(1+I$8)-BL318),2)</f>
        <v>0</v>
      </c>
      <c r="AQ318" s="27" t="n">
        <f aca="false">ROUND(MAX(0,AQ317*(1+J$8)-BM318),2)</f>
        <v>0</v>
      </c>
      <c r="AR318" s="27" t="n">
        <f aca="false">ROUND(MAX(0,AR317*(1+K$8)-BN318),2)</f>
        <v>0</v>
      </c>
      <c r="AS318" s="27" t="n">
        <f aca="false">SUM(AI318:AR318)</f>
        <v>0</v>
      </c>
      <c r="AT318" s="27" t="n">
        <f aca="false">SUMPRODUCT(AI317:AR317,$B$8:$K$8)</f>
        <v>0</v>
      </c>
      <c r="AU318" s="27" t="n">
        <f aca="false">MIN(AI317*(1+B$8),B$9)</f>
        <v>0</v>
      </c>
      <c r="AV318" s="27" t="n">
        <f aca="false">MIN(AJ317*(1+C$8),C$9)</f>
        <v>0</v>
      </c>
      <c r="AW318" s="27" t="n">
        <f aca="false">MIN(AK317*(1+D$8),D$9)</f>
        <v>0</v>
      </c>
      <c r="AX318" s="27" t="n">
        <f aca="false">MIN(AL317*(1+E$8),E$9)</f>
        <v>0</v>
      </c>
      <c r="AY318" s="27" t="n">
        <f aca="false">MIN(AM317*(1+F$8),F$9)</f>
        <v>0</v>
      </c>
      <c r="AZ318" s="27" t="n">
        <f aca="false">MIN(AN317*(1+G$8),G$9)</f>
        <v>0</v>
      </c>
      <c r="BA318" s="27" t="n">
        <f aca="false">MIN(AO317*(1+H$8),H$9)</f>
        <v>0</v>
      </c>
      <c r="BB318" s="27" t="n">
        <f aca="false">MIN(AP317*(1+I$8),I$9)</f>
        <v>0</v>
      </c>
      <c r="BC318" s="27" t="n">
        <f aca="false">MIN(AQ317*(1+J$8),J$9)</f>
        <v>0</v>
      </c>
      <c r="BD318" s="27" t="n">
        <f aca="false">MIN(AR317*(1+K$8),K$9)</f>
        <v>0</v>
      </c>
      <c r="BE318" s="27" t="n">
        <f aca="false">MIN(AI317*(1+B$8),MAX(AU318,$B$12-SUM(AV318:BD318)))</f>
        <v>0</v>
      </c>
      <c r="BF318" s="27" t="n">
        <f aca="false">MIN(AJ317*(1+C$8),MAX(AV318,$B$12-SUM(BE318:BE318)-SUM(AW318:BD318)))</f>
        <v>0</v>
      </c>
      <c r="BG318" s="27" t="n">
        <f aca="false">MIN(AK317*(1+D$8),MAX(AW318,$B$12-SUM(BE318:BF318)-SUM(AX318:BD318)))</f>
        <v>0</v>
      </c>
      <c r="BH318" s="27" t="n">
        <f aca="false">MIN(AL317*(1+E$8),MAX(AX318,$B$12-SUM(BE318:BG318)-SUM(AY318:BD318)))</f>
        <v>0</v>
      </c>
      <c r="BI318" s="27" t="n">
        <f aca="false">MIN(AM317*(1+F$8),MAX(AY318,$B$12-SUM(BE318:BH318)-SUM(AZ318:BD318)))</f>
        <v>0</v>
      </c>
      <c r="BJ318" s="27" t="n">
        <f aca="false">MIN(AN317*(1+G$8),MAX(AZ318,$B$12-SUM(BE318:BI318)-SUM(BA318:BD318)))</f>
        <v>0</v>
      </c>
      <c r="BK318" s="27" t="n">
        <f aca="false">MIN(AO317*(1+H$8),MAX(BA318,$B$12-SUM(BE318:BJ318)-SUM(BB318:BD318)))</f>
        <v>0</v>
      </c>
      <c r="BL318" s="27" t="n">
        <f aca="false">MIN(AP317*(1+I$8),MAX(BB318,$B$12-SUM(BE318:BK318)-SUM(BC318:BD318)))</f>
        <v>0</v>
      </c>
      <c r="BM318" s="27" t="n">
        <f aca="false">MIN(AQ317*(1+J$8),MAX(BC318,$B$12-SUM(BE318:BL318)-SUM(BD318:BD318)))</f>
        <v>0</v>
      </c>
      <c r="BN318" s="27" t="n">
        <f aca="false">MIN(AR317*(1+K$8),MAX(BD318,$B$12-SUM(BE318:BM318)))</f>
        <v>0</v>
      </c>
    </row>
    <row r="319" customFormat="false" ht="15" hidden="false" customHeight="false" outlineLevel="0" collapsed="false">
      <c r="A319" s="0" t="n">
        <v>305</v>
      </c>
      <c r="B319" s="27" t="n">
        <f aca="false">ROUND(MAX(0,B318*(1+B$8)-X319),2)</f>
        <v>0</v>
      </c>
      <c r="C319" s="27" t="n">
        <f aca="false">ROUND(MAX(0,C318*(1+C$8)-Y319),2)</f>
        <v>0</v>
      </c>
      <c r="D319" s="27" t="n">
        <f aca="false">ROUND(MAX(0,D318*(1+D$8)-Z319),2)</f>
        <v>0</v>
      </c>
      <c r="E319" s="27" t="n">
        <f aca="false">ROUND(MAX(0,E318*(1+E$8)-AA319),2)</f>
        <v>0</v>
      </c>
      <c r="F319" s="27" t="n">
        <f aca="false">ROUND(MAX(0,F318*(1+F$8)-AB319),2)</f>
        <v>0</v>
      </c>
      <c r="G319" s="27" t="n">
        <f aca="false">ROUND(MAX(0,G318*(1+G$8)-AC319),2)</f>
        <v>0</v>
      </c>
      <c r="H319" s="27" t="n">
        <f aca="false">ROUND(MAX(0,H318*(1+H$8)-AD319),2)</f>
        <v>0</v>
      </c>
      <c r="I319" s="27" t="n">
        <f aca="false">ROUND(MAX(0,I318*(1+I$8)-AE319),2)</f>
        <v>0</v>
      </c>
      <c r="J319" s="27" t="n">
        <f aca="false">ROUND(MAX(0,J318*(1+J$8)-AF319),2)</f>
        <v>0</v>
      </c>
      <c r="K319" s="27" t="n">
        <f aca="false">ROUND(MAX(0,K318*(1+K$8)-AG319),2)</f>
        <v>0</v>
      </c>
      <c r="L319" s="30" t="n">
        <f aca="false">SUM(B319:K319)</f>
        <v>0</v>
      </c>
      <c r="M319" s="27" t="n">
        <f aca="false">SUMPRODUCT(B318:K318,$B$8:$K$8)</f>
        <v>0</v>
      </c>
      <c r="N319" s="27" t="n">
        <f aca="false">MIN(B318*(1+B$8),B$9)</f>
        <v>0</v>
      </c>
      <c r="O319" s="27" t="n">
        <f aca="false">MIN(C318*(1+C$8),C$9)</f>
        <v>0</v>
      </c>
      <c r="P319" s="27" t="n">
        <f aca="false">MIN(D318*(1+D$8),D$9)</f>
        <v>0</v>
      </c>
      <c r="Q319" s="27" t="n">
        <f aca="false">MIN(E318*(1+E$8),E$9)</f>
        <v>0</v>
      </c>
      <c r="R319" s="27" t="n">
        <f aca="false">MIN(F318*(1+F$8),F$9)</f>
        <v>0</v>
      </c>
      <c r="S319" s="27" t="n">
        <f aca="false">MIN(G318*(1+G$8),G$9)</f>
        <v>0</v>
      </c>
      <c r="T319" s="27" t="n">
        <f aca="false">MIN(H318*(1+H$8),H$9)</f>
        <v>0</v>
      </c>
      <c r="U319" s="27" t="n">
        <f aca="false">MIN(I318*(1+I$8),I$9)</f>
        <v>0</v>
      </c>
      <c r="V319" s="27" t="n">
        <f aca="false">MIN(J318*(1+J$8),J$9)</f>
        <v>0</v>
      </c>
      <c r="W319" s="27" t="n">
        <f aca="false">MIN(K318*(1+K$8),K$9)</f>
        <v>0</v>
      </c>
      <c r="X319" s="27" t="n">
        <f aca="false">MIN(B318*(1+B$8),MAX(N319,$B$11-SUM(O319:W319)))</f>
        <v>0</v>
      </c>
      <c r="Y319" s="27" t="n">
        <f aca="false">MIN(C318*(1+C$8),MAX(O319,$B$11-SUM(X319:X319)-SUM(P319:W319)))</f>
        <v>0</v>
      </c>
      <c r="Z319" s="27" t="n">
        <f aca="false">MIN(D318*(1+D$8),MAX(P319,$B$11-SUM(X319:Y319)-SUM(Q319:W319)))</f>
        <v>0</v>
      </c>
      <c r="AA319" s="27" t="n">
        <f aca="false">MIN(E318*(1+E$8),MAX(Q319,$B$11-SUM(X319:Z319)-SUM(R319:W319)))</f>
        <v>0</v>
      </c>
      <c r="AB319" s="27" t="n">
        <f aca="false">MIN(F318*(1+F$8),MAX(R319,$B$11-SUM(X319:AA319)-SUM(S319:W319)))</f>
        <v>0</v>
      </c>
      <c r="AC319" s="27" t="n">
        <f aca="false">MIN(G318*(1+G$8),MAX(S319,$B$11-SUM(X319:AB319)-SUM(T319:W319)))</f>
        <v>0</v>
      </c>
      <c r="AD319" s="27" t="n">
        <f aca="false">MIN(H318*(1+H$8),MAX(T319,$B$11-SUM(X319:AC319)-SUM(U319:W319)))</f>
        <v>0</v>
      </c>
      <c r="AE319" s="27" t="n">
        <f aca="false">MIN(I318*(1+I$8),MAX(U319,$B$11-SUM(X319:AD319)-SUM(V319:W319)))</f>
        <v>0</v>
      </c>
      <c r="AF319" s="27" t="n">
        <f aca="false">MIN(J318*(1+J$8),MAX(V319,$B$11-SUM(X319:AE319)-SUM(W319:W319)))</f>
        <v>0</v>
      </c>
      <c r="AG319" s="27" t="n">
        <f aca="false">MIN(K318*(1+K$8),MAX(W319,$B$11-SUM(X319:AF319)))</f>
        <v>0</v>
      </c>
      <c r="AI319" s="27" t="n">
        <f aca="false">ROUND(MAX(0,AI318*(1+B$8)-BE319),2)</f>
        <v>0</v>
      </c>
      <c r="AJ319" s="27" t="n">
        <f aca="false">ROUND(MAX(0,AJ318*(1+C$8)-BF319),2)</f>
        <v>0</v>
      </c>
      <c r="AK319" s="27" t="n">
        <f aca="false">ROUND(MAX(0,AK318*(1+D$8)-BG319),2)</f>
        <v>0</v>
      </c>
      <c r="AL319" s="27" t="n">
        <f aca="false">ROUND(MAX(0,AL318*(1+E$8)-BH319),2)</f>
        <v>0</v>
      </c>
      <c r="AM319" s="27" t="n">
        <f aca="false">ROUND(MAX(0,AM318*(1+F$8)-BI319),2)</f>
        <v>0</v>
      </c>
      <c r="AN319" s="27" t="n">
        <f aca="false">ROUND(MAX(0,AN318*(1+G$8)-BJ319),2)</f>
        <v>0</v>
      </c>
      <c r="AO319" s="27" t="n">
        <f aca="false">ROUND(MAX(0,AO318*(1+H$8)-BK319),2)</f>
        <v>0</v>
      </c>
      <c r="AP319" s="27" t="n">
        <f aca="false">ROUND(MAX(0,AP318*(1+I$8)-BL319),2)</f>
        <v>0</v>
      </c>
      <c r="AQ319" s="27" t="n">
        <f aca="false">ROUND(MAX(0,AQ318*(1+J$8)-BM319),2)</f>
        <v>0</v>
      </c>
      <c r="AR319" s="27" t="n">
        <f aca="false">ROUND(MAX(0,AR318*(1+K$8)-BN319),2)</f>
        <v>0</v>
      </c>
      <c r="AS319" s="27" t="n">
        <f aca="false">SUM(AI319:AR319)</f>
        <v>0</v>
      </c>
      <c r="AT319" s="27" t="n">
        <f aca="false">SUMPRODUCT(AI318:AR318,$B$8:$K$8)</f>
        <v>0</v>
      </c>
      <c r="AU319" s="27" t="n">
        <f aca="false">MIN(AI318*(1+B$8),B$9)</f>
        <v>0</v>
      </c>
      <c r="AV319" s="27" t="n">
        <f aca="false">MIN(AJ318*(1+C$8),C$9)</f>
        <v>0</v>
      </c>
      <c r="AW319" s="27" t="n">
        <f aca="false">MIN(AK318*(1+D$8),D$9)</f>
        <v>0</v>
      </c>
      <c r="AX319" s="27" t="n">
        <f aca="false">MIN(AL318*(1+E$8),E$9)</f>
        <v>0</v>
      </c>
      <c r="AY319" s="27" t="n">
        <f aca="false">MIN(AM318*(1+F$8),F$9)</f>
        <v>0</v>
      </c>
      <c r="AZ319" s="27" t="n">
        <f aca="false">MIN(AN318*(1+G$8),G$9)</f>
        <v>0</v>
      </c>
      <c r="BA319" s="27" t="n">
        <f aca="false">MIN(AO318*(1+H$8),H$9)</f>
        <v>0</v>
      </c>
      <c r="BB319" s="27" t="n">
        <f aca="false">MIN(AP318*(1+I$8),I$9)</f>
        <v>0</v>
      </c>
      <c r="BC319" s="27" t="n">
        <f aca="false">MIN(AQ318*(1+J$8),J$9)</f>
        <v>0</v>
      </c>
      <c r="BD319" s="27" t="n">
        <f aca="false">MIN(AR318*(1+K$8),K$9)</f>
        <v>0</v>
      </c>
      <c r="BE319" s="27" t="n">
        <f aca="false">MIN(AI318*(1+B$8),MAX(AU319,$B$12-SUM(AV319:BD319)))</f>
        <v>0</v>
      </c>
      <c r="BF319" s="27" t="n">
        <f aca="false">MIN(AJ318*(1+C$8),MAX(AV319,$B$12-SUM(BE319:BE319)-SUM(AW319:BD319)))</f>
        <v>0</v>
      </c>
      <c r="BG319" s="27" t="n">
        <f aca="false">MIN(AK318*(1+D$8),MAX(AW319,$B$12-SUM(BE319:BF319)-SUM(AX319:BD319)))</f>
        <v>0</v>
      </c>
      <c r="BH319" s="27" t="n">
        <f aca="false">MIN(AL318*(1+E$8),MAX(AX319,$B$12-SUM(BE319:BG319)-SUM(AY319:BD319)))</f>
        <v>0</v>
      </c>
      <c r="BI319" s="27" t="n">
        <f aca="false">MIN(AM318*(1+F$8),MAX(AY319,$B$12-SUM(BE319:BH319)-SUM(AZ319:BD319)))</f>
        <v>0</v>
      </c>
      <c r="BJ319" s="27" t="n">
        <f aca="false">MIN(AN318*(1+G$8),MAX(AZ319,$B$12-SUM(BE319:BI319)-SUM(BA319:BD319)))</f>
        <v>0</v>
      </c>
      <c r="BK319" s="27" t="n">
        <f aca="false">MIN(AO318*(1+H$8),MAX(BA319,$B$12-SUM(BE319:BJ319)-SUM(BB319:BD319)))</f>
        <v>0</v>
      </c>
      <c r="BL319" s="27" t="n">
        <f aca="false">MIN(AP318*(1+I$8),MAX(BB319,$B$12-SUM(BE319:BK319)-SUM(BC319:BD319)))</f>
        <v>0</v>
      </c>
      <c r="BM319" s="27" t="n">
        <f aca="false">MIN(AQ318*(1+J$8),MAX(BC319,$B$12-SUM(BE319:BL319)-SUM(BD319:BD319)))</f>
        <v>0</v>
      </c>
      <c r="BN319" s="27" t="n">
        <f aca="false">MIN(AR318*(1+K$8),MAX(BD319,$B$12-SUM(BE319:BM319)))</f>
        <v>0</v>
      </c>
    </row>
    <row r="320" customFormat="false" ht="15" hidden="false" customHeight="false" outlineLevel="0" collapsed="false">
      <c r="A320" s="0" t="n">
        <v>306</v>
      </c>
      <c r="B320" s="27" t="n">
        <f aca="false">ROUND(MAX(0,B319*(1+B$8)-X320),2)</f>
        <v>0</v>
      </c>
      <c r="C320" s="27" t="n">
        <f aca="false">ROUND(MAX(0,C319*(1+C$8)-Y320),2)</f>
        <v>0</v>
      </c>
      <c r="D320" s="27" t="n">
        <f aca="false">ROUND(MAX(0,D319*(1+D$8)-Z320),2)</f>
        <v>0</v>
      </c>
      <c r="E320" s="27" t="n">
        <f aca="false">ROUND(MAX(0,E319*(1+E$8)-AA320),2)</f>
        <v>0</v>
      </c>
      <c r="F320" s="27" t="n">
        <f aca="false">ROUND(MAX(0,F319*(1+F$8)-AB320),2)</f>
        <v>0</v>
      </c>
      <c r="G320" s="27" t="n">
        <f aca="false">ROUND(MAX(0,G319*(1+G$8)-AC320),2)</f>
        <v>0</v>
      </c>
      <c r="H320" s="27" t="n">
        <f aca="false">ROUND(MAX(0,H319*(1+H$8)-AD320),2)</f>
        <v>0</v>
      </c>
      <c r="I320" s="27" t="n">
        <f aca="false">ROUND(MAX(0,I319*(1+I$8)-AE320),2)</f>
        <v>0</v>
      </c>
      <c r="J320" s="27" t="n">
        <f aca="false">ROUND(MAX(0,J319*(1+J$8)-AF320),2)</f>
        <v>0</v>
      </c>
      <c r="K320" s="27" t="n">
        <f aca="false">ROUND(MAX(0,K319*(1+K$8)-AG320),2)</f>
        <v>0</v>
      </c>
      <c r="L320" s="30" t="n">
        <f aca="false">SUM(B320:K320)</f>
        <v>0</v>
      </c>
      <c r="M320" s="27" t="n">
        <f aca="false">SUMPRODUCT(B319:K319,$B$8:$K$8)</f>
        <v>0</v>
      </c>
      <c r="N320" s="27" t="n">
        <f aca="false">MIN(B319*(1+B$8),B$9)</f>
        <v>0</v>
      </c>
      <c r="O320" s="27" t="n">
        <f aca="false">MIN(C319*(1+C$8),C$9)</f>
        <v>0</v>
      </c>
      <c r="P320" s="27" t="n">
        <f aca="false">MIN(D319*(1+D$8),D$9)</f>
        <v>0</v>
      </c>
      <c r="Q320" s="27" t="n">
        <f aca="false">MIN(E319*(1+E$8),E$9)</f>
        <v>0</v>
      </c>
      <c r="R320" s="27" t="n">
        <f aca="false">MIN(F319*(1+F$8),F$9)</f>
        <v>0</v>
      </c>
      <c r="S320" s="27" t="n">
        <f aca="false">MIN(G319*(1+G$8),G$9)</f>
        <v>0</v>
      </c>
      <c r="T320" s="27" t="n">
        <f aca="false">MIN(H319*(1+H$8),H$9)</f>
        <v>0</v>
      </c>
      <c r="U320" s="27" t="n">
        <f aca="false">MIN(I319*(1+I$8),I$9)</f>
        <v>0</v>
      </c>
      <c r="V320" s="27" t="n">
        <f aca="false">MIN(J319*(1+J$8),J$9)</f>
        <v>0</v>
      </c>
      <c r="W320" s="27" t="n">
        <f aca="false">MIN(K319*(1+K$8),K$9)</f>
        <v>0</v>
      </c>
      <c r="X320" s="27" t="n">
        <f aca="false">MIN(B319*(1+B$8),MAX(N320,$B$11-SUM(O320:W320)))</f>
        <v>0</v>
      </c>
      <c r="Y320" s="27" t="n">
        <f aca="false">MIN(C319*(1+C$8),MAX(O320,$B$11-SUM(X320:X320)-SUM(P320:W320)))</f>
        <v>0</v>
      </c>
      <c r="Z320" s="27" t="n">
        <f aca="false">MIN(D319*(1+D$8),MAX(P320,$B$11-SUM(X320:Y320)-SUM(Q320:W320)))</f>
        <v>0</v>
      </c>
      <c r="AA320" s="27" t="n">
        <f aca="false">MIN(E319*(1+E$8),MAX(Q320,$B$11-SUM(X320:Z320)-SUM(R320:W320)))</f>
        <v>0</v>
      </c>
      <c r="AB320" s="27" t="n">
        <f aca="false">MIN(F319*(1+F$8),MAX(R320,$B$11-SUM(X320:AA320)-SUM(S320:W320)))</f>
        <v>0</v>
      </c>
      <c r="AC320" s="27" t="n">
        <f aca="false">MIN(G319*(1+G$8),MAX(S320,$B$11-SUM(X320:AB320)-SUM(T320:W320)))</f>
        <v>0</v>
      </c>
      <c r="AD320" s="27" t="n">
        <f aca="false">MIN(H319*(1+H$8),MAX(T320,$B$11-SUM(X320:AC320)-SUM(U320:W320)))</f>
        <v>0</v>
      </c>
      <c r="AE320" s="27" t="n">
        <f aca="false">MIN(I319*(1+I$8),MAX(U320,$B$11-SUM(X320:AD320)-SUM(V320:W320)))</f>
        <v>0</v>
      </c>
      <c r="AF320" s="27" t="n">
        <f aca="false">MIN(J319*(1+J$8),MAX(V320,$B$11-SUM(X320:AE320)-SUM(W320:W320)))</f>
        <v>0</v>
      </c>
      <c r="AG320" s="27" t="n">
        <f aca="false">MIN(K319*(1+K$8),MAX(W320,$B$11-SUM(X320:AF320)))</f>
        <v>0</v>
      </c>
      <c r="AI320" s="27" t="n">
        <f aca="false">ROUND(MAX(0,AI319*(1+B$8)-BE320),2)</f>
        <v>0</v>
      </c>
      <c r="AJ320" s="27" t="n">
        <f aca="false">ROUND(MAX(0,AJ319*(1+C$8)-BF320),2)</f>
        <v>0</v>
      </c>
      <c r="AK320" s="27" t="n">
        <f aca="false">ROUND(MAX(0,AK319*(1+D$8)-BG320),2)</f>
        <v>0</v>
      </c>
      <c r="AL320" s="27" t="n">
        <f aca="false">ROUND(MAX(0,AL319*(1+E$8)-BH320),2)</f>
        <v>0</v>
      </c>
      <c r="AM320" s="27" t="n">
        <f aca="false">ROUND(MAX(0,AM319*(1+F$8)-BI320),2)</f>
        <v>0</v>
      </c>
      <c r="AN320" s="27" t="n">
        <f aca="false">ROUND(MAX(0,AN319*(1+G$8)-BJ320),2)</f>
        <v>0</v>
      </c>
      <c r="AO320" s="27" t="n">
        <f aca="false">ROUND(MAX(0,AO319*(1+H$8)-BK320),2)</f>
        <v>0</v>
      </c>
      <c r="AP320" s="27" t="n">
        <f aca="false">ROUND(MAX(0,AP319*(1+I$8)-BL320),2)</f>
        <v>0</v>
      </c>
      <c r="AQ320" s="27" t="n">
        <f aca="false">ROUND(MAX(0,AQ319*(1+J$8)-BM320),2)</f>
        <v>0</v>
      </c>
      <c r="AR320" s="27" t="n">
        <f aca="false">ROUND(MAX(0,AR319*(1+K$8)-BN320),2)</f>
        <v>0</v>
      </c>
      <c r="AS320" s="27" t="n">
        <f aca="false">SUM(AI320:AR320)</f>
        <v>0</v>
      </c>
      <c r="AT320" s="27" t="n">
        <f aca="false">SUMPRODUCT(AI319:AR319,$B$8:$K$8)</f>
        <v>0</v>
      </c>
      <c r="AU320" s="27" t="n">
        <f aca="false">MIN(AI319*(1+B$8),B$9)</f>
        <v>0</v>
      </c>
      <c r="AV320" s="27" t="n">
        <f aca="false">MIN(AJ319*(1+C$8),C$9)</f>
        <v>0</v>
      </c>
      <c r="AW320" s="27" t="n">
        <f aca="false">MIN(AK319*(1+D$8),D$9)</f>
        <v>0</v>
      </c>
      <c r="AX320" s="27" t="n">
        <f aca="false">MIN(AL319*(1+E$8),E$9)</f>
        <v>0</v>
      </c>
      <c r="AY320" s="27" t="n">
        <f aca="false">MIN(AM319*(1+F$8),F$9)</f>
        <v>0</v>
      </c>
      <c r="AZ320" s="27" t="n">
        <f aca="false">MIN(AN319*(1+G$8),G$9)</f>
        <v>0</v>
      </c>
      <c r="BA320" s="27" t="n">
        <f aca="false">MIN(AO319*(1+H$8),H$9)</f>
        <v>0</v>
      </c>
      <c r="BB320" s="27" t="n">
        <f aca="false">MIN(AP319*(1+I$8),I$9)</f>
        <v>0</v>
      </c>
      <c r="BC320" s="27" t="n">
        <f aca="false">MIN(AQ319*(1+J$8),J$9)</f>
        <v>0</v>
      </c>
      <c r="BD320" s="27" t="n">
        <f aca="false">MIN(AR319*(1+K$8),K$9)</f>
        <v>0</v>
      </c>
      <c r="BE320" s="27" t="n">
        <f aca="false">MIN(AI319*(1+B$8),MAX(AU320,$B$12-SUM(AV320:BD320)))</f>
        <v>0</v>
      </c>
      <c r="BF320" s="27" t="n">
        <f aca="false">MIN(AJ319*(1+C$8),MAX(AV320,$B$12-SUM(BE320:BE320)-SUM(AW320:BD320)))</f>
        <v>0</v>
      </c>
      <c r="BG320" s="27" t="n">
        <f aca="false">MIN(AK319*(1+D$8),MAX(AW320,$B$12-SUM(BE320:BF320)-SUM(AX320:BD320)))</f>
        <v>0</v>
      </c>
      <c r="BH320" s="27" t="n">
        <f aca="false">MIN(AL319*(1+E$8),MAX(AX320,$B$12-SUM(BE320:BG320)-SUM(AY320:BD320)))</f>
        <v>0</v>
      </c>
      <c r="BI320" s="27" t="n">
        <f aca="false">MIN(AM319*(1+F$8),MAX(AY320,$B$12-SUM(BE320:BH320)-SUM(AZ320:BD320)))</f>
        <v>0</v>
      </c>
      <c r="BJ320" s="27" t="n">
        <f aca="false">MIN(AN319*(1+G$8),MAX(AZ320,$B$12-SUM(BE320:BI320)-SUM(BA320:BD320)))</f>
        <v>0</v>
      </c>
      <c r="BK320" s="27" t="n">
        <f aca="false">MIN(AO319*(1+H$8),MAX(BA320,$B$12-SUM(BE320:BJ320)-SUM(BB320:BD320)))</f>
        <v>0</v>
      </c>
      <c r="BL320" s="27" t="n">
        <f aca="false">MIN(AP319*(1+I$8),MAX(BB320,$B$12-SUM(BE320:BK320)-SUM(BC320:BD320)))</f>
        <v>0</v>
      </c>
      <c r="BM320" s="27" t="n">
        <f aca="false">MIN(AQ319*(1+J$8),MAX(BC320,$B$12-SUM(BE320:BL320)-SUM(BD320:BD320)))</f>
        <v>0</v>
      </c>
      <c r="BN320" s="27" t="n">
        <f aca="false">MIN(AR319*(1+K$8),MAX(BD320,$B$12-SUM(BE320:BM320)))</f>
        <v>0</v>
      </c>
    </row>
    <row r="321" customFormat="false" ht="15" hidden="false" customHeight="false" outlineLevel="0" collapsed="false">
      <c r="A321" s="0" t="n">
        <v>307</v>
      </c>
      <c r="B321" s="27" t="n">
        <f aca="false">ROUND(MAX(0,B320*(1+B$8)-X321),2)</f>
        <v>0</v>
      </c>
      <c r="C321" s="27" t="n">
        <f aca="false">ROUND(MAX(0,C320*(1+C$8)-Y321),2)</f>
        <v>0</v>
      </c>
      <c r="D321" s="27" t="n">
        <f aca="false">ROUND(MAX(0,D320*(1+D$8)-Z321),2)</f>
        <v>0</v>
      </c>
      <c r="E321" s="27" t="n">
        <f aca="false">ROUND(MAX(0,E320*(1+E$8)-AA321),2)</f>
        <v>0</v>
      </c>
      <c r="F321" s="27" t="n">
        <f aca="false">ROUND(MAX(0,F320*(1+F$8)-AB321),2)</f>
        <v>0</v>
      </c>
      <c r="G321" s="27" t="n">
        <f aca="false">ROUND(MAX(0,G320*(1+G$8)-AC321),2)</f>
        <v>0</v>
      </c>
      <c r="H321" s="27" t="n">
        <f aca="false">ROUND(MAX(0,H320*(1+H$8)-AD321),2)</f>
        <v>0</v>
      </c>
      <c r="I321" s="27" t="n">
        <f aca="false">ROUND(MAX(0,I320*(1+I$8)-AE321),2)</f>
        <v>0</v>
      </c>
      <c r="J321" s="27" t="n">
        <f aca="false">ROUND(MAX(0,J320*(1+J$8)-AF321),2)</f>
        <v>0</v>
      </c>
      <c r="K321" s="27" t="n">
        <f aca="false">ROUND(MAX(0,K320*(1+K$8)-AG321),2)</f>
        <v>0</v>
      </c>
      <c r="L321" s="30" t="n">
        <f aca="false">SUM(B321:K321)</f>
        <v>0</v>
      </c>
      <c r="M321" s="27" t="n">
        <f aca="false">SUMPRODUCT(B320:K320,$B$8:$K$8)</f>
        <v>0</v>
      </c>
      <c r="N321" s="27" t="n">
        <f aca="false">MIN(B320*(1+B$8),B$9)</f>
        <v>0</v>
      </c>
      <c r="O321" s="27" t="n">
        <f aca="false">MIN(C320*(1+C$8),C$9)</f>
        <v>0</v>
      </c>
      <c r="P321" s="27" t="n">
        <f aca="false">MIN(D320*(1+D$8),D$9)</f>
        <v>0</v>
      </c>
      <c r="Q321" s="27" t="n">
        <f aca="false">MIN(E320*(1+E$8),E$9)</f>
        <v>0</v>
      </c>
      <c r="R321" s="27" t="n">
        <f aca="false">MIN(F320*(1+F$8),F$9)</f>
        <v>0</v>
      </c>
      <c r="S321" s="27" t="n">
        <f aca="false">MIN(G320*(1+G$8),G$9)</f>
        <v>0</v>
      </c>
      <c r="T321" s="27" t="n">
        <f aca="false">MIN(H320*(1+H$8),H$9)</f>
        <v>0</v>
      </c>
      <c r="U321" s="27" t="n">
        <f aca="false">MIN(I320*(1+I$8),I$9)</f>
        <v>0</v>
      </c>
      <c r="V321" s="27" t="n">
        <f aca="false">MIN(J320*(1+J$8),J$9)</f>
        <v>0</v>
      </c>
      <c r="W321" s="27" t="n">
        <f aca="false">MIN(K320*(1+K$8),K$9)</f>
        <v>0</v>
      </c>
      <c r="X321" s="27" t="n">
        <f aca="false">MIN(B320*(1+B$8),MAX(N321,$B$11-SUM(O321:W321)))</f>
        <v>0</v>
      </c>
      <c r="Y321" s="27" t="n">
        <f aca="false">MIN(C320*(1+C$8),MAX(O321,$B$11-SUM(X321:X321)-SUM(P321:W321)))</f>
        <v>0</v>
      </c>
      <c r="Z321" s="27" t="n">
        <f aca="false">MIN(D320*(1+D$8),MAX(P321,$B$11-SUM(X321:Y321)-SUM(Q321:W321)))</f>
        <v>0</v>
      </c>
      <c r="AA321" s="27" t="n">
        <f aca="false">MIN(E320*(1+E$8),MAX(Q321,$B$11-SUM(X321:Z321)-SUM(R321:W321)))</f>
        <v>0</v>
      </c>
      <c r="AB321" s="27" t="n">
        <f aca="false">MIN(F320*(1+F$8),MAX(R321,$B$11-SUM(X321:AA321)-SUM(S321:W321)))</f>
        <v>0</v>
      </c>
      <c r="AC321" s="27" t="n">
        <f aca="false">MIN(G320*(1+G$8),MAX(S321,$B$11-SUM(X321:AB321)-SUM(T321:W321)))</f>
        <v>0</v>
      </c>
      <c r="AD321" s="27" t="n">
        <f aca="false">MIN(H320*(1+H$8),MAX(T321,$B$11-SUM(X321:AC321)-SUM(U321:W321)))</f>
        <v>0</v>
      </c>
      <c r="AE321" s="27" t="n">
        <f aca="false">MIN(I320*(1+I$8),MAX(U321,$B$11-SUM(X321:AD321)-SUM(V321:W321)))</f>
        <v>0</v>
      </c>
      <c r="AF321" s="27" t="n">
        <f aca="false">MIN(J320*(1+J$8),MAX(V321,$B$11-SUM(X321:AE321)-SUM(W321:W321)))</f>
        <v>0</v>
      </c>
      <c r="AG321" s="27" t="n">
        <f aca="false">MIN(K320*(1+K$8),MAX(W321,$B$11-SUM(X321:AF321)))</f>
        <v>0</v>
      </c>
      <c r="AI321" s="27" t="n">
        <f aca="false">ROUND(MAX(0,AI320*(1+B$8)-BE321),2)</f>
        <v>0</v>
      </c>
      <c r="AJ321" s="27" t="n">
        <f aca="false">ROUND(MAX(0,AJ320*(1+C$8)-BF321),2)</f>
        <v>0</v>
      </c>
      <c r="AK321" s="27" t="n">
        <f aca="false">ROUND(MAX(0,AK320*(1+D$8)-BG321),2)</f>
        <v>0</v>
      </c>
      <c r="AL321" s="27" t="n">
        <f aca="false">ROUND(MAX(0,AL320*(1+E$8)-BH321),2)</f>
        <v>0</v>
      </c>
      <c r="AM321" s="27" t="n">
        <f aca="false">ROUND(MAX(0,AM320*(1+F$8)-BI321),2)</f>
        <v>0</v>
      </c>
      <c r="AN321" s="27" t="n">
        <f aca="false">ROUND(MAX(0,AN320*(1+G$8)-BJ321),2)</f>
        <v>0</v>
      </c>
      <c r="AO321" s="27" t="n">
        <f aca="false">ROUND(MAX(0,AO320*(1+H$8)-BK321),2)</f>
        <v>0</v>
      </c>
      <c r="AP321" s="27" t="n">
        <f aca="false">ROUND(MAX(0,AP320*(1+I$8)-BL321),2)</f>
        <v>0</v>
      </c>
      <c r="AQ321" s="27" t="n">
        <f aca="false">ROUND(MAX(0,AQ320*(1+J$8)-BM321),2)</f>
        <v>0</v>
      </c>
      <c r="AR321" s="27" t="n">
        <f aca="false">ROUND(MAX(0,AR320*(1+K$8)-BN321),2)</f>
        <v>0</v>
      </c>
      <c r="AS321" s="27" t="n">
        <f aca="false">SUM(AI321:AR321)</f>
        <v>0</v>
      </c>
      <c r="AT321" s="27" t="n">
        <f aca="false">SUMPRODUCT(AI320:AR320,$B$8:$K$8)</f>
        <v>0</v>
      </c>
      <c r="AU321" s="27" t="n">
        <f aca="false">MIN(AI320*(1+B$8),B$9)</f>
        <v>0</v>
      </c>
      <c r="AV321" s="27" t="n">
        <f aca="false">MIN(AJ320*(1+C$8),C$9)</f>
        <v>0</v>
      </c>
      <c r="AW321" s="27" t="n">
        <f aca="false">MIN(AK320*(1+D$8),D$9)</f>
        <v>0</v>
      </c>
      <c r="AX321" s="27" t="n">
        <f aca="false">MIN(AL320*(1+E$8),E$9)</f>
        <v>0</v>
      </c>
      <c r="AY321" s="27" t="n">
        <f aca="false">MIN(AM320*(1+F$8),F$9)</f>
        <v>0</v>
      </c>
      <c r="AZ321" s="27" t="n">
        <f aca="false">MIN(AN320*(1+G$8),G$9)</f>
        <v>0</v>
      </c>
      <c r="BA321" s="27" t="n">
        <f aca="false">MIN(AO320*(1+H$8),H$9)</f>
        <v>0</v>
      </c>
      <c r="BB321" s="27" t="n">
        <f aca="false">MIN(AP320*(1+I$8),I$9)</f>
        <v>0</v>
      </c>
      <c r="BC321" s="27" t="n">
        <f aca="false">MIN(AQ320*(1+J$8),J$9)</f>
        <v>0</v>
      </c>
      <c r="BD321" s="27" t="n">
        <f aca="false">MIN(AR320*(1+K$8),K$9)</f>
        <v>0</v>
      </c>
      <c r="BE321" s="27" t="n">
        <f aca="false">MIN(AI320*(1+B$8),MAX(AU321,$B$12-SUM(AV321:BD321)))</f>
        <v>0</v>
      </c>
      <c r="BF321" s="27" t="n">
        <f aca="false">MIN(AJ320*(1+C$8),MAX(AV321,$B$12-SUM(BE321:BE321)-SUM(AW321:BD321)))</f>
        <v>0</v>
      </c>
      <c r="BG321" s="27" t="n">
        <f aca="false">MIN(AK320*(1+D$8),MAX(AW321,$B$12-SUM(BE321:BF321)-SUM(AX321:BD321)))</f>
        <v>0</v>
      </c>
      <c r="BH321" s="27" t="n">
        <f aca="false">MIN(AL320*(1+E$8),MAX(AX321,$B$12-SUM(BE321:BG321)-SUM(AY321:BD321)))</f>
        <v>0</v>
      </c>
      <c r="BI321" s="27" t="n">
        <f aca="false">MIN(AM320*(1+F$8),MAX(AY321,$B$12-SUM(BE321:BH321)-SUM(AZ321:BD321)))</f>
        <v>0</v>
      </c>
      <c r="BJ321" s="27" t="n">
        <f aca="false">MIN(AN320*(1+G$8),MAX(AZ321,$B$12-SUM(BE321:BI321)-SUM(BA321:BD321)))</f>
        <v>0</v>
      </c>
      <c r="BK321" s="27" t="n">
        <f aca="false">MIN(AO320*(1+H$8),MAX(BA321,$B$12-SUM(BE321:BJ321)-SUM(BB321:BD321)))</f>
        <v>0</v>
      </c>
      <c r="BL321" s="27" t="n">
        <f aca="false">MIN(AP320*(1+I$8),MAX(BB321,$B$12-SUM(BE321:BK321)-SUM(BC321:BD321)))</f>
        <v>0</v>
      </c>
      <c r="BM321" s="27" t="n">
        <f aca="false">MIN(AQ320*(1+J$8),MAX(BC321,$B$12-SUM(BE321:BL321)-SUM(BD321:BD321)))</f>
        <v>0</v>
      </c>
      <c r="BN321" s="27" t="n">
        <f aca="false">MIN(AR320*(1+K$8),MAX(BD321,$B$12-SUM(BE321:BM321)))</f>
        <v>0</v>
      </c>
    </row>
    <row r="322" customFormat="false" ht="15" hidden="false" customHeight="false" outlineLevel="0" collapsed="false">
      <c r="A322" s="0" t="n">
        <v>308</v>
      </c>
      <c r="B322" s="27" t="n">
        <f aca="false">ROUND(MAX(0,B321*(1+B$8)-X322),2)</f>
        <v>0</v>
      </c>
      <c r="C322" s="27" t="n">
        <f aca="false">ROUND(MAX(0,C321*(1+C$8)-Y322),2)</f>
        <v>0</v>
      </c>
      <c r="D322" s="27" t="n">
        <f aca="false">ROUND(MAX(0,D321*(1+D$8)-Z322),2)</f>
        <v>0</v>
      </c>
      <c r="E322" s="27" t="n">
        <f aca="false">ROUND(MAX(0,E321*(1+E$8)-AA322),2)</f>
        <v>0</v>
      </c>
      <c r="F322" s="27" t="n">
        <f aca="false">ROUND(MAX(0,F321*(1+F$8)-AB322),2)</f>
        <v>0</v>
      </c>
      <c r="G322" s="27" t="n">
        <f aca="false">ROUND(MAX(0,G321*(1+G$8)-AC322),2)</f>
        <v>0</v>
      </c>
      <c r="H322" s="27" t="n">
        <f aca="false">ROUND(MAX(0,H321*(1+H$8)-AD322),2)</f>
        <v>0</v>
      </c>
      <c r="I322" s="27" t="n">
        <f aca="false">ROUND(MAX(0,I321*(1+I$8)-AE322),2)</f>
        <v>0</v>
      </c>
      <c r="J322" s="27" t="n">
        <f aca="false">ROUND(MAX(0,J321*(1+J$8)-AF322),2)</f>
        <v>0</v>
      </c>
      <c r="K322" s="27" t="n">
        <f aca="false">ROUND(MAX(0,K321*(1+K$8)-AG322),2)</f>
        <v>0</v>
      </c>
      <c r="L322" s="30" t="n">
        <f aca="false">SUM(B322:K322)</f>
        <v>0</v>
      </c>
      <c r="M322" s="27" t="n">
        <f aca="false">SUMPRODUCT(B321:K321,$B$8:$K$8)</f>
        <v>0</v>
      </c>
      <c r="N322" s="27" t="n">
        <f aca="false">MIN(B321*(1+B$8),B$9)</f>
        <v>0</v>
      </c>
      <c r="O322" s="27" t="n">
        <f aca="false">MIN(C321*(1+C$8),C$9)</f>
        <v>0</v>
      </c>
      <c r="P322" s="27" t="n">
        <f aca="false">MIN(D321*(1+D$8),D$9)</f>
        <v>0</v>
      </c>
      <c r="Q322" s="27" t="n">
        <f aca="false">MIN(E321*(1+E$8),E$9)</f>
        <v>0</v>
      </c>
      <c r="R322" s="27" t="n">
        <f aca="false">MIN(F321*(1+F$8),F$9)</f>
        <v>0</v>
      </c>
      <c r="S322" s="27" t="n">
        <f aca="false">MIN(G321*(1+G$8),G$9)</f>
        <v>0</v>
      </c>
      <c r="T322" s="27" t="n">
        <f aca="false">MIN(H321*(1+H$8),H$9)</f>
        <v>0</v>
      </c>
      <c r="U322" s="27" t="n">
        <f aca="false">MIN(I321*(1+I$8),I$9)</f>
        <v>0</v>
      </c>
      <c r="V322" s="27" t="n">
        <f aca="false">MIN(J321*(1+J$8),J$9)</f>
        <v>0</v>
      </c>
      <c r="W322" s="27" t="n">
        <f aca="false">MIN(K321*(1+K$8),K$9)</f>
        <v>0</v>
      </c>
      <c r="X322" s="27" t="n">
        <f aca="false">MIN(B321*(1+B$8),MAX(N322,$B$11-SUM(O322:W322)))</f>
        <v>0</v>
      </c>
      <c r="Y322" s="27" t="n">
        <f aca="false">MIN(C321*(1+C$8),MAX(O322,$B$11-SUM(X322:X322)-SUM(P322:W322)))</f>
        <v>0</v>
      </c>
      <c r="Z322" s="27" t="n">
        <f aca="false">MIN(D321*(1+D$8),MAX(P322,$B$11-SUM(X322:Y322)-SUM(Q322:W322)))</f>
        <v>0</v>
      </c>
      <c r="AA322" s="27" t="n">
        <f aca="false">MIN(E321*(1+E$8),MAX(Q322,$B$11-SUM(X322:Z322)-SUM(R322:W322)))</f>
        <v>0</v>
      </c>
      <c r="AB322" s="27" t="n">
        <f aca="false">MIN(F321*(1+F$8),MAX(R322,$B$11-SUM(X322:AA322)-SUM(S322:W322)))</f>
        <v>0</v>
      </c>
      <c r="AC322" s="27" t="n">
        <f aca="false">MIN(G321*(1+G$8),MAX(S322,$B$11-SUM(X322:AB322)-SUM(T322:W322)))</f>
        <v>0</v>
      </c>
      <c r="AD322" s="27" t="n">
        <f aca="false">MIN(H321*(1+H$8),MAX(T322,$B$11-SUM(X322:AC322)-SUM(U322:W322)))</f>
        <v>0</v>
      </c>
      <c r="AE322" s="27" t="n">
        <f aca="false">MIN(I321*(1+I$8),MAX(U322,$B$11-SUM(X322:AD322)-SUM(V322:W322)))</f>
        <v>0</v>
      </c>
      <c r="AF322" s="27" t="n">
        <f aca="false">MIN(J321*(1+J$8),MAX(V322,$B$11-SUM(X322:AE322)-SUM(W322:W322)))</f>
        <v>0</v>
      </c>
      <c r="AG322" s="27" t="n">
        <f aca="false">MIN(K321*(1+K$8),MAX(W322,$B$11-SUM(X322:AF322)))</f>
        <v>0</v>
      </c>
      <c r="AI322" s="27" t="n">
        <f aca="false">ROUND(MAX(0,AI321*(1+B$8)-BE322),2)</f>
        <v>0</v>
      </c>
      <c r="AJ322" s="27" t="n">
        <f aca="false">ROUND(MAX(0,AJ321*(1+C$8)-BF322),2)</f>
        <v>0</v>
      </c>
      <c r="AK322" s="27" t="n">
        <f aca="false">ROUND(MAX(0,AK321*(1+D$8)-BG322),2)</f>
        <v>0</v>
      </c>
      <c r="AL322" s="27" t="n">
        <f aca="false">ROUND(MAX(0,AL321*(1+E$8)-BH322),2)</f>
        <v>0</v>
      </c>
      <c r="AM322" s="27" t="n">
        <f aca="false">ROUND(MAX(0,AM321*(1+F$8)-BI322),2)</f>
        <v>0</v>
      </c>
      <c r="AN322" s="27" t="n">
        <f aca="false">ROUND(MAX(0,AN321*(1+G$8)-BJ322),2)</f>
        <v>0</v>
      </c>
      <c r="AO322" s="27" t="n">
        <f aca="false">ROUND(MAX(0,AO321*(1+H$8)-BK322),2)</f>
        <v>0</v>
      </c>
      <c r="AP322" s="27" t="n">
        <f aca="false">ROUND(MAX(0,AP321*(1+I$8)-BL322),2)</f>
        <v>0</v>
      </c>
      <c r="AQ322" s="27" t="n">
        <f aca="false">ROUND(MAX(0,AQ321*(1+J$8)-BM322),2)</f>
        <v>0</v>
      </c>
      <c r="AR322" s="27" t="n">
        <f aca="false">ROUND(MAX(0,AR321*(1+K$8)-BN322),2)</f>
        <v>0</v>
      </c>
      <c r="AS322" s="27" t="n">
        <f aca="false">SUM(AI322:AR322)</f>
        <v>0</v>
      </c>
      <c r="AT322" s="27" t="n">
        <f aca="false">SUMPRODUCT(AI321:AR321,$B$8:$K$8)</f>
        <v>0</v>
      </c>
      <c r="AU322" s="27" t="n">
        <f aca="false">MIN(AI321*(1+B$8),B$9)</f>
        <v>0</v>
      </c>
      <c r="AV322" s="27" t="n">
        <f aca="false">MIN(AJ321*(1+C$8),C$9)</f>
        <v>0</v>
      </c>
      <c r="AW322" s="27" t="n">
        <f aca="false">MIN(AK321*(1+D$8),D$9)</f>
        <v>0</v>
      </c>
      <c r="AX322" s="27" t="n">
        <f aca="false">MIN(AL321*(1+E$8),E$9)</f>
        <v>0</v>
      </c>
      <c r="AY322" s="27" t="n">
        <f aca="false">MIN(AM321*(1+F$8),F$9)</f>
        <v>0</v>
      </c>
      <c r="AZ322" s="27" t="n">
        <f aca="false">MIN(AN321*(1+G$8),G$9)</f>
        <v>0</v>
      </c>
      <c r="BA322" s="27" t="n">
        <f aca="false">MIN(AO321*(1+H$8),H$9)</f>
        <v>0</v>
      </c>
      <c r="BB322" s="27" t="n">
        <f aca="false">MIN(AP321*(1+I$8),I$9)</f>
        <v>0</v>
      </c>
      <c r="BC322" s="27" t="n">
        <f aca="false">MIN(AQ321*(1+J$8),J$9)</f>
        <v>0</v>
      </c>
      <c r="BD322" s="27" t="n">
        <f aca="false">MIN(AR321*(1+K$8),K$9)</f>
        <v>0</v>
      </c>
      <c r="BE322" s="27" t="n">
        <f aca="false">MIN(AI321*(1+B$8),MAX(AU322,$B$12-SUM(AV322:BD322)))</f>
        <v>0</v>
      </c>
      <c r="BF322" s="27" t="n">
        <f aca="false">MIN(AJ321*(1+C$8),MAX(AV322,$B$12-SUM(BE322:BE322)-SUM(AW322:BD322)))</f>
        <v>0</v>
      </c>
      <c r="BG322" s="27" t="n">
        <f aca="false">MIN(AK321*(1+D$8),MAX(AW322,$B$12-SUM(BE322:BF322)-SUM(AX322:BD322)))</f>
        <v>0</v>
      </c>
      <c r="BH322" s="27" t="n">
        <f aca="false">MIN(AL321*(1+E$8),MAX(AX322,$B$12-SUM(BE322:BG322)-SUM(AY322:BD322)))</f>
        <v>0</v>
      </c>
      <c r="BI322" s="27" t="n">
        <f aca="false">MIN(AM321*(1+F$8),MAX(AY322,$B$12-SUM(BE322:BH322)-SUM(AZ322:BD322)))</f>
        <v>0</v>
      </c>
      <c r="BJ322" s="27" t="n">
        <f aca="false">MIN(AN321*(1+G$8),MAX(AZ322,$B$12-SUM(BE322:BI322)-SUM(BA322:BD322)))</f>
        <v>0</v>
      </c>
      <c r="BK322" s="27" t="n">
        <f aca="false">MIN(AO321*(1+H$8),MAX(BA322,$B$12-SUM(BE322:BJ322)-SUM(BB322:BD322)))</f>
        <v>0</v>
      </c>
      <c r="BL322" s="27" t="n">
        <f aca="false">MIN(AP321*(1+I$8),MAX(BB322,$B$12-SUM(BE322:BK322)-SUM(BC322:BD322)))</f>
        <v>0</v>
      </c>
      <c r="BM322" s="27" t="n">
        <f aca="false">MIN(AQ321*(1+J$8),MAX(BC322,$B$12-SUM(BE322:BL322)-SUM(BD322:BD322)))</f>
        <v>0</v>
      </c>
      <c r="BN322" s="27" t="n">
        <f aca="false">MIN(AR321*(1+K$8),MAX(BD322,$B$12-SUM(BE322:BM322)))</f>
        <v>0</v>
      </c>
    </row>
    <row r="323" customFormat="false" ht="15" hidden="false" customHeight="false" outlineLevel="0" collapsed="false">
      <c r="A323" s="0" t="n">
        <v>309</v>
      </c>
      <c r="B323" s="27" t="n">
        <f aca="false">ROUND(MAX(0,B322*(1+B$8)-X323),2)</f>
        <v>0</v>
      </c>
      <c r="C323" s="27" t="n">
        <f aca="false">ROUND(MAX(0,C322*(1+C$8)-Y323),2)</f>
        <v>0</v>
      </c>
      <c r="D323" s="27" t="n">
        <f aca="false">ROUND(MAX(0,D322*(1+D$8)-Z323),2)</f>
        <v>0</v>
      </c>
      <c r="E323" s="27" t="n">
        <f aca="false">ROUND(MAX(0,E322*(1+E$8)-AA323),2)</f>
        <v>0</v>
      </c>
      <c r="F323" s="27" t="n">
        <f aca="false">ROUND(MAX(0,F322*(1+F$8)-AB323),2)</f>
        <v>0</v>
      </c>
      <c r="G323" s="27" t="n">
        <f aca="false">ROUND(MAX(0,G322*(1+G$8)-AC323),2)</f>
        <v>0</v>
      </c>
      <c r="H323" s="27" t="n">
        <f aca="false">ROUND(MAX(0,H322*(1+H$8)-AD323),2)</f>
        <v>0</v>
      </c>
      <c r="I323" s="27" t="n">
        <f aca="false">ROUND(MAX(0,I322*(1+I$8)-AE323),2)</f>
        <v>0</v>
      </c>
      <c r="J323" s="27" t="n">
        <f aca="false">ROUND(MAX(0,J322*(1+J$8)-AF323),2)</f>
        <v>0</v>
      </c>
      <c r="K323" s="27" t="n">
        <f aca="false">ROUND(MAX(0,K322*(1+K$8)-AG323),2)</f>
        <v>0</v>
      </c>
      <c r="L323" s="30" t="n">
        <f aca="false">SUM(B323:K323)</f>
        <v>0</v>
      </c>
      <c r="M323" s="27" t="n">
        <f aca="false">SUMPRODUCT(B322:K322,$B$8:$K$8)</f>
        <v>0</v>
      </c>
      <c r="N323" s="27" t="n">
        <f aca="false">MIN(B322*(1+B$8),B$9)</f>
        <v>0</v>
      </c>
      <c r="O323" s="27" t="n">
        <f aca="false">MIN(C322*(1+C$8),C$9)</f>
        <v>0</v>
      </c>
      <c r="P323" s="27" t="n">
        <f aca="false">MIN(D322*(1+D$8),D$9)</f>
        <v>0</v>
      </c>
      <c r="Q323" s="27" t="n">
        <f aca="false">MIN(E322*(1+E$8),E$9)</f>
        <v>0</v>
      </c>
      <c r="R323" s="27" t="n">
        <f aca="false">MIN(F322*(1+F$8),F$9)</f>
        <v>0</v>
      </c>
      <c r="S323" s="27" t="n">
        <f aca="false">MIN(G322*(1+G$8),G$9)</f>
        <v>0</v>
      </c>
      <c r="T323" s="27" t="n">
        <f aca="false">MIN(H322*(1+H$8),H$9)</f>
        <v>0</v>
      </c>
      <c r="U323" s="27" t="n">
        <f aca="false">MIN(I322*(1+I$8),I$9)</f>
        <v>0</v>
      </c>
      <c r="V323" s="27" t="n">
        <f aca="false">MIN(J322*(1+J$8),J$9)</f>
        <v>0</v>
      </c>
      <c r="W323" s="27" t="n">
        <f aca="false">MIN(K322*(1+K$8),K$9)</f>
        <v>0</v>
      </c>
      <c r="X323" s="27" t="n">
        <f aca="false">MIN(B322*(1+B$8),MAX(N323,$B$11-SUM(O323:W323)))</f>
        <v>0</v>
      </c>
      <c r="Y323" s="27" t="n">
        <f aca="false">MIN(C322*(1+C$8),MAX(O323,$B$11-SUM(X323:X323)-SUM(P323:W323)))</f>
        <v>0</v>
      </c>
      <c r="Z323" s="27" t="n">
        <f aca="false">MIN(D322*(1+D$8),MAX(P323,$B$11-SUM(X323:Y323)-SUM(Q323:W323)))</f>
        <v>0</v>
      </c>
      <c r="AA323" s="27" t="n">
        <f aca="false">MIN(E322*(1+E$8),MAX(Q323,$B$11-SUM(X323:Z323)-SUM(R323:W323)))</f>
        <v>0</v>
      </c>
      <c r="AB323" s="27" t="n">
        <f aca="false">MIN(F322*(1+F$8),MAX(R323,$B$11-SUM(X323:AA323)-SUM(S323:W323)))</f>
        <v>0</v>
      </c>
      <c r="AC323" s="27" t="n">
        <f aca="false">MIN(G322*(1+G$8),MAX(S323,$B$11-SUM(X323:AB323)-SUM(T323:W323)))</f>
        <v>0</v>
      </c>
      <c r="AD323" s="27" t="n">
        <f aca="false">MIN(H322*(1+H$8),MAX(T323,$B$11-SUM(X323:AC323)-SUM(U323:W323)))</f>
        <v>0</v>
      </c>
      <c r="AE323" s="27" t="n">
        <f aca="false">MIN(I322*(1+I$8),MAX(U323,$B$11-SUM(X323:AD323)-SUM(V323:W323)))</f>
        <v>0</v>
      </c>
      <c r="AF323" s="27" t="n">
        <f aca="false">MIN(J322*(1+J$8),MAX(V323,$B$11-SUM(X323:AE323)-SUM(W323:W323)))</f>
        <v>0</v>
      </c>
      <c r="AG323" s="27" t="n">
        <f aca="false">MIN(K322*(1+K$8),MAX(W323,$B$11-SUM(X323:AF323)))</f>
        <v>0</v>
      </c>
      <c r="AI323" s="27" t="n">
        <f aca="false">ROUND(MAX(0,AI322*(1+B$8)-BE323),2)</f>
        <v>0</v>
      </c>
      <c r="AJ323" s="27" t="n">
        <f aca="false">ROUND(MAX(0,AJ322*(1+C$8)-BF323),2)</f>
        <v>0</v>
      </c>
      <c r="AK323" s="27" t="n">
        <f aca="false">ROUND(MAX(0,AK322*(1+D$8)-BG323),2)</f>
        <v>0</v>
      </c>
      <c r="AL323" s="27" t="n">
        <f aca="false">ROUND(MAX(0,AL322*(1+E$8)-BH323),2)</f>
        <v>0</v>
      </c>
      <c r="AM323" s="27" t="n">
        <f aca="false">ROUND(MAX(0,AM322*(1+F$8)-BI323),2)</f>
        <v>0</v>
      </c>
      <c r="AN323" s="27" t="n">
        <f aca="false">ROUND(MAX(0,AN322*(1+G$8)-BJ323),2)</f>
        <v>0</v>
      </c>
      <c r="AO323" s="27" t="n">
        <f aca="false">ROUND(MAX(0,AO322*(1+H$8)-BK323),2)</f>
        <v>0</v>
      </c>
      <c r="AP323" s="27" t="n">
        <f aca="false">ROUND(MAX(0,AP322*(1+I$8)-BL323),2)</f>
        <v>0</v>
      </c>
      <c r="AQ323" s="27" t="n">
        <f aca="false">ROUND(MAX(0,AQ322*(1+J$8)-BM323),2)</f>
        <v>0</v>
      </c>
      <c r="AR323" s="27" t="n">
        <f aca="false">ROUND(MAX(0,AR322*(1+K$8)-BN323),2)</f>
        <v>0</v>
      </c>
      <c r="AS323" s="27" t="n">
        <f aca="false">SUM(AI323:AR323)</f>
        <v>0</v>
      </c>
      <c r="AT323" s="27" t="n">
        <f aca="false">SUMPRODUCT(AI322:AR322,$B$8:$K$8)</f>
        <v>0</v>
      </c>
      <c r="AU323" s="27" t="n">
        <f aca="false">MIN(AI322*(1+B$8),B$9)</f>
        <v>0</v>
      </c>
      <c r="AV323" s="27" t="n">
        <f aca="false">MIN(AJ322*(1+C$8),C$9)</f>
        <v>0</v>
      </c>
      <c r="AW323" s="27" t="n">
        <f aca="false">MIN(AK322*(1+D$8),D$9)</f>
        <v>0</v>
      </c>
      <c r="AX323" s="27" t="n">
        <f aca="false">MIN(AL322*(1+E$8),E$9)</f>
        <v>0</v>
      </c>
      <c r="AY323" s="27" t="n">
        <f aca="false">MIN(AM322*(1+F$8),F$9)</f>
        <v>0</v>
      </c>
      <c r="AZ323" s="27" t="n">
        <f aca="false">MIN(AN322*(1+G$8),G$9)</f>
        <v>0</v>
      </c>
      <c r="BA323" s="27" t="n">
        <f aca="false">MIN(AO322*(1+H$8),H$9)</f>
        <v>0</v>
      </c>
      <c r="BB323" s="27" t="n">
        <f aca="false">MIN(AP322*(1+I$8),I$9)</f>
        <v>0</v>
      </c>
      <c r="BC323" s="27" t="n">
        <f aca="false">MIN(AQ322*(1+J$8),J$9)</f>
        <v>0</v>
      </c>
      <c r="BD323" s="27" t="n">
        <f aca="false">MIN(AR322*(1+K$8),K$9)</f>
        <v>0</v>
      </c>
      <c r="BE323" s="27" t="n">
        <f aca="false">MIN(AI322*(1+B$8),MAX(AU323,$B$12-SUM(AV323:BD323)))</f>
        <v>0</v>
      </c>
      <c r="BF323" s="27" t="n">
        <f aca="false">MIN(AJ322*(1+C$8),MAX(AV323,$B$12-SUM(BE323:BE323)-SUM(AW323:BD323)))</f>
        <v>0</v>
      </c>
      <c r="BG323" s="27" t="n">
        <f aca="false">MIN(AK322*(1+D$8),MAX(AW323,$B$12-SUM(BE323:BF323)-SUM(AX323:BD323)))</f>
        <v>0</v>
      </c>
      <c r="BH323" s="27" t="n">
        <f aca="false">MIN(AL322*(1+E$8),MAX(AX323,$B$12-SUM(BE323:BG323)-SUM(AY323:BD323)))</f>
        <v>0</v>
      </c>
      <c r="BI323" s="27" t="n">
        <f aca="false">MIN(AM322*(1+F$8),MAX(AY323,$B$12-SUM(BE323:BH323)-SUM(AZ323:BD323)))</f>
        <v>0</v>
      </c>
      <c r="BJ323" s="27" t="n">
        <f aca="false">MIN(AN322*(1+G$8),MAX(AZ323,$B$12-SUM(BE323:BI323)-SUM(BA323:BD323)))</f>
        <v>0</v>
      </c>
      <c r="BK323" s="27" t="n">
        <f aca="false">MIN(AO322*(1+H$8),MAX(BA323,$B$12-SUM(BE323:BJ323)-SUM(BB323:BD323)))</f>
        <v>0</v>
      </c>
      <c r="BL323" s="27" t="n">
        <f aca="false">MIN(AP322*(1+I$8),MAX(BB323,$B$12-SUM(BE323:BK323)-SUM(BC323:BD323)))</f>
        <v>0</v>
      </c>
      <c r="BM323" s="27" t="n">
        <f aca="false">MIN(AQ322*(1+J$8),MAX(BC323,$B$12-SUM(BE323:BL323)-SUM(BD323:BD323)))</f>
        <v>0</v>
      </c>
      <c r="BN323" s="27" t="n">
        <f aca="false">MIN(AR322*(1+K$8),MAX(BD323,$B$12-SUM(BE323:BM323)))</f>
        <v>0</v>
      </c>
    </row>
    <row r="324" customFormat="false" ht="15" hidden="false" customHeight="false" outlineLevel="0" collapsed="false">
      <c r="A324" s="0" t="n">
        <v>310</v>
      </c>
      <c r="B324" s="27" t="n">
        <f aca="false">ROUND(MAX(0,B323*(1+B$8)-X324),2)</f>
        <v>0</v>
      </c>
      <c r="C324" s="27" t="n">
        <f aca="false">ROUND(MAX(0,C323*(1+C$8)-Y324),2)</f>
        <v>0</v>
      </c>
      <c r="D324" s="27" t="n">
        <f aca="false">ROUND(MAX(0,D323*(1+D$8)-Z324),2)</f>
        <v>0</v>
      </c>
      <c r="E324" s="27" t="n">
        <f aca="false">ROUND(MAX(0,E323*(1+E$8)-AA324),2)</f>
        <v>0</v>
      </c>
      <c r="F324" s="27" t="n">
        <f aca="false">ROUND(MAX(0,F323*(1+F$8)-AB324),2)</f>
        <v>0</v>
      </c>
      <c r="G324" s="27" t="n">
        <f aca="false">ROUND(MAX(0,G323*(1+G$8)-AC324),2)</f>
        <v>0</v>
      </c>
      <c r="H324" s="27" t="n">
        <f aca="false">ROUND(MAX(0,H323*(1+H$8)-AD324),2)</f>
        <v>0</v>
      </c>
      <c r="I324" s="27" t="n">
        <f aca="false">ROUND(MAX(0,I323*(1+I$8)-AE324),2)</f>
        <v>0</v>
      </c>
      <c r="J324" s="27" t="n">
        <f aca="false">ROUND(MAX(0,J323*(1+J$8)-AF324),2)</f>
        <v>0</v>
      </c>
      <c r="K324" s="27" t="n">
        <f aca="false">ROUND(MAX(0,K323*(1+K$8)-AG324),2)</f>
        <v>0</v>
      </c>
      <c r="L324" s="30" t="n">
        <f aca="false">SUM(B324:K324)</f>
        <v>0</v>
      </c>
      <c r="M324" s="27" t="n">
        <f aca="false">SUMPRODUCT(B323:K323,$B$8:$K$8)</f>
        <v>0</v>
      </c>
      <c r="N324" s="27" t="n">
        <f aca="false">MIN(B323*(1+B$8),B$9)</f>
        <v>0</v>
      </c>
      <c r="O324" s="27" t="n">
        <f aca="false">MIN(C323*(1+C$8),C$9)</f>
        <v>0</v>
      </c>
      <c r="P324" s="27" t="n">
        <f aca="false">MIN(D323*(1+D$8),D$9)</f>
        <v>0</v>
      </c>
      <c r="Q324" s="27" t="n">
        <f aca="false">MIN(E323*(1+E$8),E$9)</f>
        <v>0</v>
      </c>
      <c r="R324" s="27" t="n">
        <f aca="false">MIN(F323*(1+F$8),F$9)</f>
        <v>0</v>
      </c>
      <c r="S324" s="27" t="n">
        <f aca="false">MIN(G323*(1+G$8),G$9)</f>
        <v>0</v>
      </c>
      <c r="T324" s="27" t="n">
        <f aca="false">MIN(H323*(1+H$8),H$9)</f>
        <v>0</v>
      </c>
      <c r="U324" s="27" t="n">
        <f aca="false">MIN(I323*(1+I$8),I$9)</f>
        <v>0</v>
      </c>
      <c r="V324" s="27" t="n">
        <f aca="false">MIN(J323*(1+J$8),J$9)</f>
        <v>0</v>
      </c>
      <c r="W324" s="27" t="n">
        <f aca="false">MIN(K323*(1+K$8),K$9)</f>
        <v>0</v>
      </c>
      <c r="X324" s="27" t="n">
        <f aca="false">MIN(B323*(1+B$8),MAX(N324,$B$11-SUM(O324:W324)))</f>
        <v>0</v>
      </c>
      <c r="Y324" s="27" t="n">
        <f aca="false">MIN(C323*(1+C$8),MAX(O324,$B$11-SUM(X324:X324)-SUM(P324:W324)))</f>
        <v>0</v>
      </c>
      <c r="Z324" s="27" t="n">
        <f aca="false">MIN(D323*(1+D$8),MAX(P324,$B$11-SUM(X324:Y324)-SUM(Q324:W324)))</f>
        <v>0</v>
      </c>
      <c r="AA324" s="27" t="n">
        <f aca="false">MIN(E323*(1+E$8),MAX(Q324,$B$11-SUM(X324:Z324)-SUM(R324:W324)))</f>
        <v>0</v>
      </c>
      <c r="AB324" s="27" t="n">
        <f aca="false">MIN(F323*(1+F$8),MAX(R324,$B$11-SUM(X324:AA324)-SUM(S324:W324)))</f>
        <v>0</v>
      </c>
      <c r="AC324" s="27" t="n">
        <f aca="false">MIN(G323*(1+G$8),MAX(S324,$B$11-SUM(X324:AB324)-SUM(T324:W324)))</f>
        <v>0</v>
      </c>
      <c r="AD324" s="27" t="n">
        <f aca="false">MIN(H323*(1+H$8),MAX(T324,$B$11-SUM(X324:AC324)-SUM(U324:W324)))</f>
        <v>0</v>
      </c>
      <c r="AE324" s="27" t="n">
        <f aca="false">MIN(I323*(1+I$8),MAX(U324,$B$11-SUM(X324:AD324)-SUM(V324:W324)))</f>
        <v>0</v>
      </c>
      <c r="AF324" s="27" t="n">
        <f aca="false">MIN(J323*(1+J$8),MAX(V324,$B$11-SUM(X324:AE324)-SUM(W324:W324)))</f>
        <v>0</v>
      </c>
      <c r="AG324" s="27" t="n">
        <f aca="false">MIN(K323*(1+K$8),MAX(W324,$B$11-SUM(X324:AF324)))</f>
        <v>0</v>
      </c>
      <c r="AI324" s="27" t="n">
        <f aca="false">ROUND(MAX(0,AI323*(1+B$8)-BE324),2)</f>
        <v>0</v>
      </c>
      <c r="AJ324" s="27" t="n">
        <f aca="false">ROUND(MAX(0,AJ323*(1+C$8)-BF324),2)</f>
        <v>0</v>
      </c>
      <c r="AK324" s="27" t="n">
        <f aca="false">ROUND(MAX(0,AK323*(1+D$8)-BG324),2)</f>
        <v>0</v>
      </c>
      <c r="AL324" s="27" t="n">
        <f aca="false">ROUND(MAX(0,AL323*(1+E$8)-BH324),2)</f>
        <v>0</v>
      </c>
      <c r="AM324" s="27" t="n">
        <f aca="false">ROUND(MAX(0,AM323*(1+F$8)-BI324),2)</f>
        <v>0</v>
      </c>
      <c r="AN324" s="27" t="n">
        <f aca="false">ROUND(MAX(0,AN323*(1+G$8)-BJ324),2)</f>
        <v>0</v>
      </c>
      <c r="AO324" s="27" t="n">
        <f aca="false">ROUND(MAX(0,AO323*(1+H$8)-BK324),2)</f>
        <v>0</v>
      </c>
      <c r="AP324" s="27" t="n">
        <f aca="false">ROUND(MAX(0,AP323*(1+I$8)-BL324),2)</f>
        <v>0</v>
      </c>
      <c r="AQ324" s="27" t="n">
        <f aca="false">ROUND(MAX(0,AQ323*(1+J$8)-BM324),2)</f>
        <v>0</v>
      </c>
      <c r="AR324" s="27" t="n">
        <f aca="false">ROUND(MAX(0,AR323*(1+K$8)-BN324),2)</f>
        <v>0</v>
      </c>
      <c r="AS324" s="27" t="n">
        <f aca="false">SUM(AI324:AR324)</f>
        <v>0</v>
      </c>
      <c r="AT324" s="27" t="n">
        <f aca="false">SUMPRODUCT(AI323:AR323,$B$8:$K$8)</f>
        <v>0</v>
      </c>
      <c r="AU324" s="27" t="n">
        <f aca="false">MIN(AI323*(1+B$8),B$9)</f>
        <v>0</v>
      </c>
      <c r="AV324" s="27" t="n">
        <f aca="false">MIN(AJ323*(1+C$8),C$9)</f>
        <v>0</v>
      </c>
      <c r="AW324" s="27" t="n">
        <f aca="false">MIN(AK323*(1+D$8),D$9)</f>
        <v>0</v>
      </c>
      <c r="AX324" s="27" t="n">
        <f aca="false">MIN(AL323*(1+E$8),E$9)</f>
        <v>0</v>
      </c>
      <c r="AY324" s="27" t="n">
        <f aca="false">MIN(AM323*(1+F$8),F$9)</f>
        <v>0</v>
      </c>
      <c r="AZ324" s="27" t="n">
        <f aca="false">MIN(AN323*(1+G$8),G$9)</f>
        <v>0</v>
      </c>
      <c r="BA324" s="27" t="n">
        <f aca="false">MIN(AO323*(1+H$8),H$9)</f>
        <v>0</v>
      </c>
      <c r="BB324" s="27" t="n">
        <f aca="false">MIN(AP323*(1+I$8),I$9)</f>
        <v>0</v>
      </c>
      <c r="BC324" s="27" t="n">
        <f aca="false">MIN(AQ323*(1+J$8),J$9)</f>
        <v>0</v>
      </c>
      <c r="BD324" s="27" t="n">
        <f aca="false">MIN(AR323*(1+K$8),K$9)</f>
        <v>0</v>
      </c>
      <c r="BE324" s="27" t="n">
        <f aca="false">MIN(AI323*(1+B$8),MAX(AU324,$B$12-SUM(AV324:BD324)))</f>
        <v>0</v>
      </c>
      <c r="BF324" s="27" t="n">
        <f aca="false">MIN(AJ323*(1+C$8),MAX(AV324,$B$12-SUM(BE324:BE324)-SUM(AW324:BD324)))</f>
        <v>0</v>
      </c>
      <c r="BG324" s="27" t="n">
        <f aca="false">MIN(AK323*(1+D$8),MAX(AW324,$B$12-SUM(BE324:BF324)-SUM(AX324:BD324)))</f>
        <v>0</v>
      </c>
      <c r="BH324" s="27" t="n">
        <f aca="false">MIN(AL323*(1+E$8),MAX(AX324,$B$12-SUM(BE324:BG324)-SUM(AY324:BD324)))</f>
        <v>0</v>
      </c>
      <c r="BI324" s="27" t="n">
        <f aca="false">MIN(AM323*(1+F$8),MAX(AY324,$B$12-SUM(BE324:BH324)-SUM(AZ324:BD324)))</f>
        <v>0</v>
      </c>
      <c r="BJ324" s="27" t="n">
        <f aca="false">MIN(AN323*(1+G$8),MAX(AZ324,$B$12-SUM(BE324:BI324)-SUM(BA324:BD324)))</f>
        <v>0</v>
      </c>
      <c r="BK324" s="27" t="n">
        <f aca="false">MIN(AO323*(1+H$8),MAX(BA324,$B$12-SUM(BE324:BJ324)-SUM(BB324:BD324)))</f>
        <v>0</v>
      </c>
      <c r="BL324" s="27" t="n">
        <f aca="false">MIN(AP323*(1+I$8),MAX(BB324,$B$12-SUM(BE324:BK324)-SUM(BC324:BD324)))</f>
        <v>0</v>
      </c>
      <c r="BM324" s="27" t="n">
        <f aca="false">MIN(AQ323*(1+J$8),MAX(BC324,$B$12-SUM(BE324:BL324)-SUM(BD324:BD324)))</f>
        <v>0</v>
      </c>
      <c r="BN324" s="27" t="n">
        <f aca="false">MIN(AR323*(1+K$8),MAX(BD324,$B$12-SUM(BE324:BM324)))</f>
        <v>0</v>
      </c>
    </row>
    <row r="325" customFormat="false" ht="15" hidden="false" customHeight="false" outlineLevel="0" collapsed="false">
      <c r="A325" s="0" t="n">
        <v>311</v>
      </c>
      <c r="B325" s="27" t="n">
        <f aca="false">ROUND(MAX(0,B324*(1+B$8)-X325),2)</f>
        <v>0</v>
      </c>
      <c r="C325" s="27" t="n">
        <f aca="false">ROUND(MAX(0,C324*(1+C$8)-Y325),2)</f>
        <v>0</v>
      </c>
      <c r="D325" s="27" t="n">
        <f aca="false">ROUND(MAX(0,D324*(1+D$8)-Z325),2)</f>
        <v>0</v>
      </c>
      <c r="E325" s="27" t="n">
        <f aca="false">ROUND(MAX(0,E324*(1+E$8)-AA325),2)</f>
        <v>0</v>
      </c>
      <c r="F325" s="27" t="n">
        <f aca="false">ROUND(MAX(0,F324*(1+F$8)-AB325),2)</f>
        <v>0</v>
      </c>
      <c r="G325" s="27" t="n">
        <f aca="false">ROUND(MAX(0,G324*(1+G$8)-AC325),2)</f>
        <v>0</v>
      </c>
      <c r="H325" s="27" t="n">
        <f aca="false">ROUND(MAX(0,H324*(1+H$8)-AD325),2)</f>
        <v>0</v>
      </c>
      <c r="I325" s="27" t="n">
        <f aca="false">ROUND(MAX(0,I324*(1+I$8)-AE325),2)</f>
        <v>0</v>
      </c>
      <c r="J325" s="27" t="n">
        <f aca="false">ROUND(MAX(0,J324*(1+J$8)-AF325),2)</f>
        <v>0</v>
      </c>
      <c r="K325" s="27" t="n">
        <f aca="false">ROUND(MAX(0,K324*(1+K$8)-AG325),2)</f>
        <v>0</v>
      </c>
      <c r="L325" s="30" t="n">
        <f aca="false">SUM(B325:K325)</f>
        <v>0</v>
      </c>
      <c r="M325" s="27" t="n">
        <f aca="false">SUMPRODUCT(B324:K324,$B$8:$K$8)</f>
        <v>0</v>
      </c>
      <c r="N325" s="27" t="n">
        <f aca="false">MIN(B324*(1+B$8),B$9)</f>
        <v>0</v>
      </c>
      <c r="O325" s="27" t="n">
        <f aca="false">MIN(C324*(1+C$8),C$9)</f>
        <v>0</v>
      </c>
      <c r="P325" s="27" t="n">
        <f aca="false">MIN(D324*(1+D$8),D$9)</f>
        <v>0</v>
      </c>
      <c r="Q325" s="27" t="n">
        <f aca="false">MIN(E324*(1+E$8),E$9)</f>
        <v>0</v>
      </c>
      <c r="R325" s="27" t="n">
        <f aca="false">MIN(F324*(1+F$8),F$9)</f>
        <v>0</v>
      </c>
      <c r="S325" s="27" t="n">
        <f aca="false">MIN(G324*(1+G$8),G$9)</f>
        <v>0</v>
      </c>
      <c r="T325" s="27" t="n">
        <f aca="false">MIN(H324*(1+H$8),H$9)</f>
        <v>0</v>
      </c>
      <c r="U325" s="27" t="n">
        <f aca="false">MIN(I324*(1+I$8),I$9)</f>
        <v>0</v>
      </c>
      <c r="V325" s="27" t="n">
        <f aca="false">MIN(J324*(1+J$8),J$9)</f>
        <v>0</v>
      </c>
      <c r="W325" s="27" t="n">
        <f aca="false">MIN(K324*(1+K$8),K$9)</f>
        <v>0</v>
      </c>
      <c r="X325" s="27" t="n">
        <f aca="false">MIN(B324*(1+B$8),MAX(N325,$B$11-SUM(O325:W325)))</f>
        <v>0</v>
      </c>
      <c r="Y325" s="27" t="n">
        <f aca="false">MIN(C324*(1+C$8),MAX(O325,$B$11-SUM(X325:X325)-SUM(P325:W325)))</f>
        <v>0</v>
      </c>
      <c r="Z325" s="27" t="n">
        <f aca="false">MIN(D324*(1+D$8),MAX(P325,$B$11-SUM(X325:Y325)-SUM(Q325:W325)))</f>
        <v>0</v>
      </c>
      <c r="AA325" s="27" t="n">
        <f aca="false">MIN(E324*(1+E$8),MAX(Q325,$B$11-SUM(X325:Z325)-SUM(R325:W325)))</f>
        <v>0</v>
      </c>
      <c r="AB325" s="27" t="n">
        <f aca="false">MIN(F324*(1+F$8),MAX(R325,$B$11-SUM(X325:AA325)-SUM(S325:W325)))</f>
        <v>0</v>
      </c>
      <c r="AC325" s="27" t="n">
        <f aca="false">MIN(G324*(1+G$8),MAX(S325,$B$11-SUM(X325:AB325)-SUM(T325:W325)))</f>
        <v>0</v>
      </c>
      <c r="AD325" s="27" t="n">
        <f aca="false">MIN(H324*(1+H$8),MAX(T325,$B$11-SUM(X325:AC325)-SUM(U325:W325)))</f>
        <v>0</v>
      </c>
      <c r="AE325" s="27" t="n">
        <f aca="false">MIN(I324*(1+I$8),MAX(U325,$B$11-SUM(X325:AD325)-SUM(V325:W325)))</f>
        <v>0</v>
      </c>
      <c r="AF325" s="27" t="n">
        <f aca="false">MIN(J324*(1+J$8),MAX(V325,$B$11-SUM(X325:AE325)-SUM(W325:W325)))</f>
        <v>0</v>
      </c>
      <c r="AG325" s="27" t="n">
        <f aca="false">MIN(K324*(1+K$8),MAX(W325,$B$11-SUM(X325:AF325)))</f>
        <v>0</v>
      </c>
      <c r="AI325" s="27" t="n">
        <f aca="false">ROUND(MAX(0,AI324*(1+B$8)-BE325),2)</f>
        <v>0</v>
      </c>
      <c r="AJ325" s="27" t="n">
        <f aca="false">ROUND(MAX(0,AJ324*(1+C$8)-BF325),2)</f>
        <v>0</v>
      </c>
      <c r="AK325" s="27" t="n">
        <f aca="false">ROUND(MAX(0,AK324*(1+D$8)-BG325),2)</f>
        <v>0</v>
      </c>
      <c r="AL325" s="27" t="n">
        <f aca="false">ROUND(MAX(0,AL324*(1+E$8)-BH325),2)</f>
        <v>0</v>
      </c>
      <c r="AM325" s="27" t="n">
        <f aca="false">ROUND(MAX(0,AM324*(1+F$8)-BI325),2)</f>
        <v>0</v>
      </c>
      <c r="AN325" s="27" t="n">
        <f aca="false">ROUND(MAX(0,AN324*(1+G$8)-BJ325),2)</f>
        <v>0</v>
      </c>
      <c r="AO325" s="27" t="n">
        <f aca="false">ROUND(MAX(0,AO324*(1+H$8)-BK325),2)</f>
        <v>0</v>
      </c>
      <c r="AP325" s="27" t="n">
        <f aca="false">ROUND(MAX(0,AP324*(1+I$8)-BL325),2)</f>
        <v>0</v>
      </c>
      <c r="AQ325" s="27" t="n">
        <f aca="false">ROUND(MAX(0,AQ324*(1+J$8)-BM325),2)</f>
        <v>0</v>
      </c>
      <c r="AR325" s="27" t="n">
        <f aca="false">ROUND(MAX(0,AR324*(1+K$8)-BN325),2)</f>
        <v>0</v>
      </c>
      <c r="AS325" s="27" t="n">
        <f aca="false">SUM(AI325:AR325)</f>
        <v>0</v>
      </c>
      <c r="AT325" s="27" t="n">
        <f aca="false">SUMPRODUCT(AI324:AR324,$B$8:$K$8)</f>
        <v>0</v>
      </c>
      <c r="AU325" s="27" t="n">
        <f aca="false">MIN(AI324*(1+B$8),B$9)</f>
        <v>0</v>
      </c>
      <c r="AV325" s="27" t="n">
        <f aca="false">MIN(AJ324*(1+C$8),C$9)</f>
        <v>0</v>
      </c>
      <c r="AW325" s="27" t="n">
        <f aca="false">MIN(AK324*(1+D$8),D$9)</f>
        <v>0</v>
      </c>
      <c r="AX325" s="27" t="n">
        <f aca="false">MIN(AL324*(1+E$8),E$9)</f>
        <v>0</v>
      </c>
      <c r="AY325" s="27" t="n">
        <f aca="false">MIN(AM324*(1+F$8),F$9)</f>
        <v>0</v>
      </c>
      <c r="AZ325" s="27" t="n">
        <f aca="false">MIN(AN324*(1+G$8),G$9)</f>
        <v>0</v>
      </c>
      <c r="BA325" s="27" t="n">
        <f aca="false">MIN(AO324*(1+H$8),H$9)</f>
        <v>0</v>
      </c>
      <c r="BB325" s="27" t="n">
        <f aca="false">MIN(AP324*(1+I$8),I$9)</f>
        <v>0</v>
      </c>
      <c r="BC325" s="27" t="n">
        <f aca="false">MIN(AQ324*(1+J$8),J$9)</f>
        <v>0</v>
      </c>
      <c r="BD325" s="27" t="n">
        <f aca="false">MIN(AR324*(1+K$8),K$9)</f>
        <v>0</v>
      </c>
      <c r="BE325" s="27" t="n">
        <f aca="false">MIN(AI324*(1+B$8),MAX(AU325,$B$12-SUM(AV325:BD325)))</f>
        <v>0</v>
      </c>
      <c r="BF325" s="27" t="n">
        <f aca="false">MIN(AJ324*(1+C$8),MAX(AV325,$B$12-SUM(BE325:BE325)-SUM(AW325:BD325)))</f>
        <v>0</v>
      </c>
      <c r="BG325" s="27" t="n">
        <f aca="false">MIN(AK324*(1+D$8),MAX(AW325,$B$12-SUM(BE325:BF325)-SUM(AX325:BD325)))</f>
        <v>0</v>
      </c>
      <c r="BH325" s="27" t="n">
        <f aca="false">MIN(AL324*(1+E$8),MAX(AX325,$B$12-SUM(BE325:BG325)-SUM(AY325:BD325)))</f>
        <v>0</v>
      </c>
      <c r="BI325" s="27" t="n">
        <f aca="false">MIN(AM324*(1+F$8),MAX(AY325,$B$12-SUM(BE325:BH325)-SUM(AZ325:BD325)))</f>
        <v>0</v>
      </c>
      <c r="BJ325" s="27" t="n">
        <f aca="false">MIN(AN324*(1+G$8),MAX(AZ325,$B$12-SUM(BE325:BI325)-SUM(BA325:BD325)))</f>
        <v>0</v>
      </c>
      <c r="BK325" s="27" t="n">
        <f aca="false">MIN(AO324*(1+H$8),MAX(BA325,$B$12-SUM(BE325:BJ325)-SUM(BB325:BD325)))</f>
        <v>0</v>
      </c>
      <c r="BL325" s="27" t="n">
        <f aca="false">MIN(AP324*(1+I$8),MAX(BB325,$B$12-SUM(BE325:BK325)-SUM(BC325:BD325)))</f>
        <v>0</v>
      </c>
      <c r="BM325" s="27" t="n">
        <f aca="false">MIN(AQ324*(1+J$8),MAX(BC325,$B$12-SUM(BE325:BL325)-SUM(BD325:BD325)))</f>
        <v>0</v>
      </c>
      <c r="BN325" s="27" t="n">
        <f aca="false">MIN(AR324*(1+K$8),MAX(BD325,$B$12-SUM(BE325:BM325)))</f>
        <v>0</v>
      </c>
    </row>
    <row r="326" customFormat="false" ht="15" hidden="false" customHeight="false" outlineLevel="0" collapsed="false">
      <c r="A326" s="0" t="n">
        <v>312</v>
      </c>
      <c r="B326" s="27" t="n">
        <f aca="false">ROUND(MAX(0,B325*(1+B$8)-X326),2)</f>
        <v>0</v>
      </c>
      <c r="C326" s="27" t="n">
        <f aca="false">ROUND(MAX(0,C325*(1+C$8)-Y326),2)</f>
        <v>0</v>
      </c>
      <c r="D326" s="27" t="n">
        <f aca="false">ROUND(MAX(0,D325*(1+D$8)-Z326),2)</f>
        <v>0</v>
      </c>
      <c r="E326" s="27" t="n">
        <f aca="false">ROUND(MAX(0,E325*(1+E$8)-AA326),2)</f>
        <v>0</v>
      </c>
      <c r="F326" s="27" t="n">
        <f aca="false">ROUND(MAX(0,F325*(1+F$8)-AB326),2)</f>
        <v>0</v>
      </c>
      <c r="G326" s="27" t="n">
        <f aca="false">ROUND(MAX(0,G325*(1+G$8)-AC326),2)</f>
        <v>0</v>
      </c>
      <c r="H326" s="27" t="n">
        <f aca="false">ROUND(MAX(0,H325*(1+H$8)-AD326),2)</f>
        <v>0</v>
      </c>
      <c r="I326" s="27" t="n">
        <f aca="false">ROUND(MAX(0,I325*(1+I$8)-AE326),2)</f>
        <v>0</v>
      </c>
      <c r="J326" s="27" t="n">
        <f aca="false">ROUND(MAX(0,J325*(1+J$8)-AF326),2)</f>
        <v>0</v>
      </c>
      <c r="K326" s="27" t="n">
        <f aca="false">ROUND(MAX(0,K325*(1+K$8)-AG326),2)</f>
        <v>0</v>
      </c>
      <c r="L326" s="30" t="n">
        <f aca="false">SUM(B326:K326)</f>
        <v>0</v>
      </c>
      <c r="M326" s="27" t="n">
        <f aca="false">SUMPRODUCT(B325:K325,$B$8:$K$8)</f>
        <v>0</v>
      </c>
      <c r="N326" s="27" t="n">
        <f aca="false">MIN(B325*(1+B$8),B$9)</f>
        <v>0</v>
      </c>
      <c r="O326" s="27" t="n">
        <f aca="false">MIN(C325*(1+C$8),C$9)</f>
        <v>0</v>
      </c>
      <c r="P326" s="27" t="n">
        <f aca="false">MIN(D325*(1+D$8),D$9)</f>
        <v>0</v>
      </c>
      <c r="Q326" s="27" t="n">
        <f aca="false">MIN(E325*(1+E$8),E$9)</f>
        <v>0</v>
      </c>
      <c r="R326" s="27" t="n">
        <f aca="false">MIN(F325*(1+F$8),F$9)</f>
        <v>0</v>
      </c>
      <c r="S326" s="27" t="n">
        <f aca="false">MIN(G325*(1+G$8),G$9)</f>
        <v>0</v>
      </c>
      <c r="T326" s="27" t="n">
        <f aca="false">MIN(H325*(1+H$8),H$9)</f>
        <v>0</v>
      </c>
      <c r="U326" s="27" t="n">
        <f aca="false">MIN(I325*(1+I$8),I$9)</f>
        <v>0</v>
      </c>
      <c r="V326" s="27" t="n">
        <f aca="false">MIN(J325*(1+J$8),J$9)</f>
        <v>0</v>
      </c>
      <c r="W326" s="27" t="n">
        <f aca="false">MIN(K325*(1+K$8),K$9)</f>
        <v>0</v>
      </c>
      <c r="X326" s="27" t="n">
        <f aca="false">MIN(B325*(1+B$8),MAX(N326,$B$11-SUM(O326:W326)))</f>
        <v>0</v>
      </c>
      <c r="Y326" s="27" t="n">
        <f aca="false">MIN(C325*(1+C$8),MAX(O326,$B$11-SUM(X326:X326)-SUM(P326:W326)))</f>
        <v>0</v>
      </c>
      <c r="Z326" s="27" t="n">
        <f aca="false">MIN(D325*(1+D$8),MAX(P326,$B$11-SUM(X326:Y326)-SUM(Q326:W326)))</f>
        <v>0</v>
      </c>
      <c r="AA326" s="27" t="n">
        <f aca="false">MIN(E325*(1+E$8),MAX(Q326,$B$11-SUM(X326:Z326)-SUM(R326:W326)))</f>
        <v>0</v>
      </c>
      <c r="AB326" s="27" t="n">
        <f aca="false">MIN(F325*(1+F$8),MAX(R326,$B$11-SUM(X326:AA326)-SUM(S326:W326)))</f>
        <v>0</v>
      </c>
      <c r="AC326" s="27" t="n">
        <f aca="false">MIN(G325*(1+G$8),MAX(S326,$B$11-SUM(X326:AB326)-SUM(T326:W326)))</f>
        <v>0</v>
      </c>
      <c r="AD326" s="27" t="n">
        <f aca="false">MIN(H325*(1+H$8),MAX(T326,$B$11-SUM(X326:AC326)-SUM(U326:W326)))</f>
        <v>0</v>
      </c>
      <c r="AE326" s="27" t="n">
        <f aca="false">MIN(I325*(1+I$8),MAX(U326,$B$11-SUM(X326:AD326)-SUM(V326:W326)))</f>
        <v>0</v>
      </c>
      <c r="AF326" s="27" t="n">
        <f aca="false">MIN(J325*(1+J$8),MAX(V326,$B$11-SUM(X326:AE326)-SUM(W326:W326)))</f>
        <v>0</v>
      </c>
      <c r="AG326" s="27" t="n">
        <f aca="false">MIN(K325*(1+K$8),MAX(W326,$B$11-SUM(X326:AF326)))</f>
        <v>0</v>
      </c>
      <c r="AI326" s="27" t="n">
        <f aca="false">ROUND(MAX(0,AI325*(1+B$8)-BE326),2)</f>
        <v>0</v>
      </c>
      <c r="AJ326" s="27" t="n">
        <f aca="false">ROUND(MAX(0,AJ325*(1+C$8)-BF326),2)</f>
        <v>0</v>
      </c>
      <c r="AK326" s="27" t="n">
        <f aca="false">ROUND(MAX(0,AK325*(1+D$8)-BG326),2)</f>
        <v>0</v>
      </c>
      <c r="AL326" s="27" t="n">
        <f aca="false">ROUND(MAX(0,AL325*(1+E$8)-BH326),2)</f>
        <v>0</v>
      </c>
      <c r="AM326" s="27" t="n">
        <f aca="false">ROUND(MAX(0,AM325*(1+F$8)-BI326),2)</f>
        <v>0</v>
      </c>
      <c r="AN326" s="27" t="n">
        <f aca="false">ROUND(MAX(0,AN325*(1+G$8)-BJ326),2)</f>
        <v>0</v>
      </c>
      <c r="AO326" s="27" t="n">
        <f aca="false">ROUND(MAX(0,AO325*(1+H$8)-BK326),2)</f>
        <v>0</v>
      </c>
      <c r="AP326" s="27" t="n">
        <f aca="false">ROUND(MAX(0,AP325*(1+I$8)-BL326),2)</f>
        <v>0</v>
      </c>
      <c r="AQ326" s="27" t="n">
        <f aca="false">ROUND(MAX(0,AQ325*(1+J$8)-BM326),2)</f>
        <v>0</v>
      </c>
      <c r="AR326" s="27" t="n">
        <f aca="false">ROUND(MAX(0,AR325*(1+K$8)-BN326),2)</f>
        <v>0</v>
      </c>
      <c r="AS326" s="27" t="n">
        <f aca="false">SUM(AI326:AR326)</f>
        <v>0</v>
      </c>
      <c r="AT326" s="27" t="n">
        <f aca="false">SUMPRODUCT(AI325:AR325,$B$8:$K$8)</f>
        <v>0</v>
      </c>
      <c r="AU326" s="27" t="n">
        <f aca="false">MIN(AI325*(1+B$8),B$9)</f>
        <v>0</v>
      </c>
      <c r="AV326" s="27" t="n">
        <f aca="false">MIN(AJ325*(1+C$8),C$9)</f>
        <v>0</v>
      </c>
      <c r="AW326" s="27" t="n">
        <f aca="false">MIN(AK325*(1+D$8),D$9)</f>
        <v>0</v>
      </c>
      <c r="AX326" s="27" t="n">
        <f aca="false">MIN(AL325*(1+E$8),E$9)</f>
        <v>0</v>
      </c>
      <c r="AY326" s="27" t="n">
        <f aca="false">MIN(AM325*(1+F$8),F$9)</f>
        <v>0</v>
      </c>
      <c r="AZ326" s="27" t="n">
        <f aca="false">MIN(AN325*(1+G$8),G$9)</f>
        <v>0</v>
      </c>
      <c r="BA326" s="27" t="n">
        <f aca="false">MIN(AO325*(1+H$8),H$9)</f>
        <v>0</v>
      </c>
      <c r="BB326" s="27" t="n">
        <f aca="false">MIN(AP325*(1+I$8),I$9)</f>
        <v>0</v>
      </c>
      <c r="BC326" s="27" t="n">
        <f aca="false">MIN(AQ325*(1+J$8),J$9)</f>
        <v>0</v>
      </c>
      <c r="BD326" s="27" t="n">
        <f aca="false">MIN(AR325*(1+K$8),K$9)</f>
        <v>0</v>
      </c>
      <c r="BE326" s="27" t="n">
        <f aca="false">MIN(AI325*(1+B$8),MAX(AU326,$B$12-SUM(AV326:BD326)))</f>
        <v>0</v>
      </c>
      <c r="BF326" s="27" t="n">
        <f aca="false">MIN(AJ325*(1+C$8),MAX(AV326,$B$12-SUM(BE326:BE326)-SUM(AW326:BD326)))</f>
        <v>0</v>
      </c>
      <c r="BG326" s="27" t="n">
        <f aca="false">MIN(AK325*(1+D$8),MAX(AW326,$B$12-SUM(BE326:BF326)-SUM(AX326:BD326)))</f>
        <v>0</v>
      </c>
      <c r="BH326" s="27" t="n">
        <f aca="false">MIN(AL325*(1+E$8),MAX(AX326,$B$12-SUM(BE326:BG326)-SUM(AY326:BD326)))</f>
        <v>0</v>
      </c>
      <c r="BI326" s="27" t="n">
        <f aca="false">MIN(AM325*(1+F$8),MAX(AY326,$B$12-SUM(BE326:BH326)-SUM(AZ326:BD326)))</f>
        <v>0</v>
      </c>
      <c r="BJ326" s="27" t="n">
        <f aca="false">MIN(AN325*(1+G$8),MAX(AZ326,$B$12-SUM(BE326:BI326)-SUM(BA326:BD326)))</f>
        <v>0</v>
      </c>
      <c r="BK326" s="27" t="n">
        <f aca="false">MIN(AO325*(1+H$8),MAX(BA326,$B$12-SUM(BE326:BJ326)-SUM(BB326:BD326)))</f>
        <v>0</v>
      </c>
      <c r="BL326" s="27" t="n">
        <f aca="false">MIN(AP325*(1+I$8),MAX(BB326,$B$12-SUM(BE326:BK326)-SUM(BC326:BD326)))</f>
        <v>0</v>
      </c>
      <c r="BM326" s="27" t="n">
        <f aca="false">MIN(AQ325*(1+J$8),MAX(BC326,$B$12-SUM(BE326:BL326)-SUM(BD326:BD326)))</f>
        <v>0</v>
      </c>
      <c r="BN326" s="27" t="n">
        <f aca="false">MIN(AR325*(1+K$8),MAX(BD326,$B$12-SUM(BE326:BM326)))</f>
        <v>0</v>
      </c>
    </row>
    <row r="327" customFormat="false" ht="15" hidden="false" customHeight="false" outlineLevel="0" collapsed="false">
      <c r="A327" s="0" t="n">
        <v>313</v>
      </c>
      <c r="B327" s="27" t="n">
        <f aca="false">ROUND(MAX(0,B326*(1+B$8)-X327),2)</f>
        <v>0</v>
      </c>
      <c r="C327" s="27" t="n">
        <f aca="false">ROUND(MAX(0,C326*(1+C$8)-Y327),2)</f>
        <v>0</v>
      </c>
      <c r="D327" s="27" t="n">
        <f aca="false">ROUND(MAX(0,D326*(1+D$8)-Z327),2)</f>
        <v>0</v>
      </c>
      <c r="E327" s="27" t="n">
        <f aca="false">ROUND(MAX(0,E326*(1+E$8)-AA327),2)</f>
        <v>0</v>
      </c>
      <c r="F327" s="27" t="n">
        <f aca="false">ROUND(MAX(0,F326*(1+F$8)-AB327),2)</f>
        <v>0</v>
      </c>
      <c r="G327" s="27" t="n">
        <f aca="false">ROUND(MAX(0,G326*(1+G$8)-AC327),2)</f>
        <v>0</v>
      </c>
      <c r="H327" s="27" t="n">
        <f aca="false">ROUND(MAX(0,H326*(1+H$8)-AD327),2)</f>
        <v>0</v>
      </c>
      <c r="I327" s="27" t="n">
        <f aca="false">ROUND(MAX(0,I326*(1+I$8)-AE327),2)</f>
        <v>0</v>
      </c>
      <c r="J327" s="27" t="n">
        <f aca="false">ROUND(MAX(0,J326*(1+J$8)-AF327),2)</f>
        <v>0</v>
      </c>
      <c r="K327" s="27" t="n">
        <f aca="false">ROUND(MAX(0,K326*(1+K$8)-AG327),2)</f>
        <v>0</v>
      </c>
      <c r="L327" s="30" t="n">
        <f aca="false">SUM(B327:K327)</f>
        <v>0</v>
      </c>
      <c r="M327" s="27" t="n">
        <f aca="false">SUMPRODUCT(B326:K326,$B$8:$K$8)</f>
        <v>0</v>
      </c>
      <c r="N327" s="27" t="n">
        <f aca="false">MIN(B326*(1+B$8),B$9)</f>
        <v>0</v>
      </c>
      <c r="O327" s="27" t="n">
        <f aca="false">MIN(C326*(1+C$8),C$9)</f>
        <v>0</v>
      </c>
      <c r="P327" s="27" t="n">
        <f aca="false">MIN(D326*(1+D$8),D$9)</f>
        <v>0</v>
      </c>
      <c r="Q327" s="27" t="n">
        <f aca="false">MIN(E326*(1+E$8),E$9)</f>
        <v>0</v>
      </c>
      <c r="R327" s="27" t="n">
        <f aca="false">MIN(F326*(1+F$8),F$9)</f>
        <v>0</v>
      </c>
      <c r="S327" s="27" t="n">
        <f aca="false">MIN(G326*(1+G$8),G$9)</f>
        <v>0</v>
      </c>
      <c r="T327" s="27" t="n">
        <f aca="false">MIN(H326*(1+H$8),H$9)</f>
        <v>0</v>
      </c>
      <c r="U327" s="27" t="n">
        <f aca="false">MIN(I326*(1+I$8),I$9)</f>
        <v>0</v>
      </c>
      <c r="V327" s="27" t="n">
        <f aca="false">MIN(J326*(1+J$8),J$9)</f>
        <v>0</v>
      </c>
      <c r="W327" s="27" t="n">
        <f aca="false">MIN(K326*(1+K$8),K$9)</f>
        <v>0</v>
      </c>
      <c r="X327" s="27" t="n">
        <f aca="false">MIN(B326*(1+B$8),MAX(N327,$B$11-SUM(O327:W327)))</f>
        <v>0</v>
      </c>
      <c r="Y327" s="27" t="n">
        <f aca="false">MIN(C326*(1+C$8),MAX(O327,$B$11-SUM(X327:X327)-SUM(P327:W327)))</f>
        <v>0</v>
      </c>
      <c r="Z327" s="27" t="n">
        <f aca="false">MIN(D326*(1+D$8),MAX(P327,$B$11-SUM(X327:Y327)-SUM(Q327:W327)))</f>
        <v>0</v>
      </c>
      <c r="AA327" s="27" t="n">
        <f aca="false">MIN(E326*(1+E$8),MAX(Q327,$B$11-SUM(X327:Z327)-SUM(R327:W327)))</f>
        <v>0</v>
      </c>
      <c r="AB327" s="27" t="n">
        <f aca="false">MIN(F326*(1+F$8),MAX(R327,$B$11-SUM(X327:AA327)-SUM(S327:W327)))</f>
        <v>0</v>
      </c>
      <c r="AC327" s="27" t="n">
        <f aca="false">MIN(G326*(1+G$8),MAX(S327,$B$11-SUM(X327:AB327)-SUM(T327:W327)))</f>
        <v>0</v>
      </c>
      <c r="AD327" s="27" t="n">
        <f aca="false">MIN(H326*(1+H$8),MAX(T327,$B$11-SUM(X327:AC327)-SUM(U327:W327)))</f>
        <v>0</v>
      </c>
      <c r="AE327" s="27" t="n">
        <f aca="false">MIN(I326*(1+I$8),MAX(U327,$B$11-SUM(X327:AD327)-SUM(V327:W327)))</f>
        <v>0</v>
      </c>
      <c r="AF327" s="27" t="n">
        <f aca="false">MIN(J326*(1+J$8),MAX(V327,$B$11-SUM(X327:AE327)-SUM(W327:W327)))</f>
        <v>0</v>
      </c>
      <c r="AG327" s="27" t="n">
        <f aca="false">MIN(K326*(1+K$8),MAX(W327,$B$11-SUM(X327:AF327)))</f>
        <v>0</v>
      </c>
      <c r="AI327" s="27" t="n">
        <f aca="false">ROUND(MAX(0,AI326*(1+B$8)-BE327),2)</f>
        <v>0</v>
      </c>
      <c r="AJ327" s="27" t="n">
        <f aca="false">ROUND(MAX(0,AJ326*(1+C$8)-BF327),2)</f>
        <v>0</v>
      </c>
      <c r="AK327" s="27" t="n">
        <f aca="false">ROUND(MAX(0,AK326*(1+D$8)-BG327),2)</f>
        <v>0</v>
      </c>
      <c r="AL327" s="27" t="n">
        <f aca="false">ROUND(MAX(0,AL326*(1+E$8)-BH327),2)</f>
        <v>0</v>
      </c>
      <c r="AM327" s="27" t="n">
        <f aca="false">ROUND(MAX(0,AM326*(1+F$8)-BI327),2)</f>
        <v>0</v>
      </c>
      <c r="AN327" s="27" t="n">
        <f aca="false">ROUND(MAX(0,AN326*(1+G$8)-BJ327),2)</f>
        <v>0</v>
      </c>
      <c r="AO327" s="27" t="n">
        <f aca="false">ROUND(MAX(0,AO326*(1+H$8)-BK327),2)</f>
        <v>0</v>
      </c>
      <c r="AP327" s="27" t="n">
        <f aca="false">ROUND(MAX(0,AP326*(1+I$8)-BL327),2)</f>
        <v>0</v>
      </c>
      <c r="AQ327" s="27" t="n">
        <f aca="false">ROUND(MAX(0,AQ326*(1+J$8)-BM327),2)</f>
        <v>0</v>
      </c>
      <c r="AR327" s="27" t="n">
        <f aca="false">ROUND(MAX(0,AR326*(1+K$8)-BN327),2)</f>
        <v>0</v>
      </c>
      <c r="AS327" s="27" t="n">
        <f aca="false">SUM(AI327:AR327)</f>
        <v>0</v>
      </c>
      <c r="AT327" s="27" t="n">
        <f aca="false">SUMPRODUCT(AI326:AR326,$B$8:$K$8)</f>
        <v>0</v>
      </c>
      <c r="AU327" s="27" t="n">
        <f aca="false">MIN(AI326*(1+B$8),B$9)</f>
        <v>0</v>
      </c>
      <c r="AV327" s="27" t="n">
        <f aca="false">MIN(AJ326*(1+C$8),C$9)</f>
        <v>0</v>
      </c>
      <c r="AW327" s="27" t="n">
        <f aca="false">MIN(AK326*(1+D$8),D$9)</f>
        <v>0</v>
      </c>
      <c r="AX327" s="27" t="n">
        <f aca="false">MIN(AL326*(1+E$8),E$9)</f>
        <v>0</v>
      </c>
      <c r="AY327" s="27" t="n">
        <f aca="false">MIN(AM326*(1+F$8),F$9)</f>
        <v>0</v>
      </c>
      <c r="AZ327" s="27" t="n">
        <f aca="false">MIN(AN326*(1+G$8),G$9)</f>
        <v>0</v>
      </c>
      <c r="BA327" s="27" t="n">
        <f aca="false">MIN(AO326*(1+H$8),H$9)</f>
        <v>0</v>
      </c>
      <c r="BB327" s="27" t="n">
        <f aca="false">MIN(AP326*(1+I$8),I$9)</f>
        <v>0</v>
      </c>
      <c r="BC327" s="27" t="n">
        <f aca="false">MIN(AQ326*(1+J$8),J$9)</f>
        <v>0</v>
      </c>
      <c r="BD327" s="27" t="n">
        <f aca="false">MIN(AR326*(1+K$8),K$9)</f>
        <v>0</v>
      </c>
      <c r="BE327" s="27" t="n">
        <f aca="false">MIN(AI326*(1+B$8),MAX(AU327,$B$12-SUM(AV327:BD327)))</f>
        <v>0</v>
      </c>
      <c r="BF327" s="27" t="n">
        <f aca="false">MIN(AJ326*(1+C$8),MAX(AV327,$B$12-SUM(BE327:BE327)-SUM(AW327:BD327)))</f>
        <v>0</v>
      </c>
      <c r="BG327" s="27" t="n">
        <f aca="false">MIN(AK326*(1+D$8),MAX(AW327,$B$12-SUM(BE327:BF327)-SUM(AX327:BD327)))</f>
        <v>0</v>
      </c>
      <c r="BH327" s="27" t="n">
        <f aca="false">MIN(AL326*(1+E$8),MAX(AX327,$B$12-SUM(BE327:BG327)-SUM(AY327:BD327)))</f>
        <v>0</v>
      </c>
      <c r="BI327" s="27" t="n">
        <f aca="false">MIN(AM326*(1+F$8),MAX(AY327,$B$12-SUM(BE327:BH327)-SUM(AZ327:BD327)))</f>
        <v>0</v>
      </c>
      <c r="BJ327" s="27" t="n">
        <f aca="false">MIN(AN326*(1+G$8),MAX(AZ327,$B$12-SUM(BE327:BI327)-SUM(BA327:BD327)))</f>
        <v>0</v>
      </c>
      <c r="BK327" s="27" t="n">
        <f aca="false">MIN(AO326*(1+H$8),MAX(BA327,$B$12-SUM(BE327:BJ327)-SUM(BB327:BD327)))</f>
        <v>0</v>
      </c>
      <c r="BL327" s="27" t="n">
        <f aca="false">MIN(AP326*(1+I$8),MAX(BB327,$B$12-SUM(BE327:BK327)-SUM(BC327:BD327)))</f>
        <v>0</v>
      </c>
      <c r="BM327" s="27" t="n">
        <f aca="false">MIN(AQ326*(1+J$8),MAX(BC327,$B$12-SUM(BE327:BL327)-SUM(BD327:BD327)))</f>
        <v>0</v>
      </c>
      <c r="BN327" s="27" t="n">
        <f aca="false">MIN(AR326*(1+K$8),MAX(BD327,$B$12-SUM(BE327:BM327)))</f>
        <v>0</v>
      </c>
    </row>
    <row r="328" customFormat="false" ht="15" hidden="false" customHeight="false" outlineLevel="0" collapsed="false">
      <c r="A328" s="0" t="n">
        <v>314</v>
      </c>
      <c r="B328" s="27" t="n">
        <f aca="false">ROUND(MAX(0,B327*(1+B$8)-X328),2)</f>
        <v>0</v>
      </c>
      <c r="C328" s="27" t="n">
        <f aca="false">ROUND(MAX(0,C327*(1+C$8)-Y328),2)</f>
        <v>0</v>
      </c>
      <c r="D328" s="27" t="n">
        <f aca="false">ROUND(MAX(0,D327*(1+D$8)-Z328),2)</f>
        <v>0</v>
      </c>
      <c r="E328" s="27" t="n">
        <f aca="false">ROUND(MAX(0,E327*(1+E$8)-AA328),2)</f>
        <v>0</v>
      </c>
      <c r="F328" s="27" t="n">
        <f aca="false">ROUND(MAX(0,F327*(1+F$8)-AB328),2)</f>
        <v>0</v>
      </c>
      <c r="G328" s="27" t="n">
        <f aca="false">ROUND(MAX(0,G327*(1+G$8)-AC328),2)</f>
        <v>0</v>
      </c>
      <c r="H328" s="27" t="n">
        <f aca="false">ROUND(MAX(0,H327*(1+H$8)-AD328),2)</f>
        <v>0</v>
      </c>
      <c r="I328" s="27" t="n">
        <f aca="false">ROUND(MAX(0,I327*(1+I$8)-AE328),2)</f>
        <v>0</v>
      </c>
      <c r="J328" s="27" t="n">
        <f aca="false">ROUND(MAX(0,J327*(1+J$8)-AF328),2)</f>
        <v>0</v>
      </c>
      <c r="K328" s="27" t="n">
        <f aca="false">ROUND(MAX(0,K327*(1+K$8)-AG328),2)</f>
        <v>0</v>
      </c>
      <c r="L328" s="30" t="n">
        <f aca="false">SUM(B328:K328)</f>
        <v>0</v>
      </c>
      <c r="M328" s="27" t="n">
        <f aca="false">SUMPRODUCT(B327:K327,$B$8:$K$8)</f>
        <v>0</v>
      </c>
      <c r="N328" s="27" t="n">
        <f aca="false">MIN(B327*(1+B$8),B$9)</f>
        <v>0</v>
      </c>
      <c r="O328" s="27" t="n">
        <f aca="false">MIN(C327*(1+C$8),C$9)</f>
        <v>0</v>
      </c>
      <c r="P328" s="27" t="n">
        <f aca="false">MIN(D327*(1+D$8),D$9)</f>
        <v>0</v>
      </c>
      <c r="Q328" s="27" t="n">
        <f aca="false">MIN(E327*(1+E$8),E$9)</f>
        <v>0</v>
      </c>
      <c r="R328" s="27" t="n">
        <f aca="false">MIN(F327*(1+F$8),F$9)</f>
        <v>0</v>
      </c>
      <c r="S328" s="27" t="n">
        <f aca="false">MIN(G327*(1+G$8),G$9)</f>
        <v>0</v>
      </c>
      <c r="T328" s="27" t="n">
        <f aca="false">MIN(H327*(1+H$8),H$9)</f>
        <v>0</v>
      </c>
      <c r="U328" s="27" t="n">
        <f aca="false">MIN(I327*(1+I$8),I$9)</f>
        <v>0</v>
      </c>
      <c r="V328" s="27" t="n">
        <f aca="false">MIN(J327*(1+J$8),J$9)</f>
        <v>0</v>
      </c>
      <c r="W328" s="27" t="n">
        <f aca="false">MIN(K327*(1+K$8),K$9)</f>
        <v>0</v>
      </c>
      <c r="X328" s="27" t="n">
        <f aca="false">MIN(B327*(1+B$8),MAX(N328,$B$11-SUM(O328:W328)))</f>
        <v>0</v>
      </c>
      <c r="Y328" s="27" t="n">
        <f aca="false">MIN(C327*(1+C$8),MAX(O328,$B$11-SUM(X328:X328)-SUM(P328:W328)))</f>
        <v>0</v>
      </c>
      <c r="Z328" s="27" t="n">
        <f aca="false">MIN(D327*(1+D$8),MAX(P328,$B$11-SUM(X328:Y328)-SUM(Q328:W328)))</f>
        <v>0</v>
      </c>
      <c r="AA328" s="27" t="n">
        <f aca="false">MIN(E327*(1+E$8),MAX(Q328,$B$11-SUM(X328:Z328)-SUM(R328:W328)))</f>
        <v>0</v>
      </c>
      <c r="AB328" s="27" t="n">
        <f aca="false">MIN(F327*(1+F$8),MAX(R328,$B$11-SUM(X328:AA328)-SUM(S328:W328)))</f>
        <v>0</v>
      </c>
      <c r="AC328" s="27" t="n">
        <f aca="false">MIN(G327*(1+G$8),MAX(S328,$B$11-SUM(X328:AB328)-SUM(T328:W328)))</f>
        <v>0</v>
      </c>
      <c r="AD328" s="27" t="n">
        <f aca="false">MIN(H327*(1+H$8),MAX(T328,$B$11-SUM(X328:AC328)-SUM(U328:W328)))</f>
        <v>0</v>
      </c>
      <c r="AE328" s="27" t="n">
        <f aca="false">MIN(I327*(1+I$8),MAX(U328,$B$11-SUM(X328:AD328)-SUM(V328:W328)))</f>
        <v>0</v>
      </c>
      <c r="AF328" s="27" t="n">
        <f aca="false">MIN(J327*(1+J$8),MAX(V328,$B$11-SUM(X328:AE328)-SUM(W328:W328)))</f>
        <v>0</v>
      </c>
      <c r="AG328" s="27" t="n">
        <f aca="false">MIN(K327*(1+K$8),MAX(W328,$B$11-SUM(X328:AF328)))</f>
        <v>0</v>
      </c>
      <c r="AI328" s="27" t="n">
        <f aca="false">ROUND(MAX(0,AI327*(1+B$8)-BE328),2)</f>
        <v>0</v>
      </c>
      <c r="AJ328" s="27" t="n">
        <f aca="false">ROUND(MAX(0,AJ327*(1+C$8)-BF328),2)</f>
        <v>0</v>
      </c>
      <c r="AK328" s="27" t="n">
        <f aca="false">ROUND(MAX(0,AK327*(1+D$8)-BG328),2)</f>
        <v>0</v>
      </c>
      <c r="AL328" s="27" t="n">
        <f aca="false">ROUND(MAX(0,AL327*(1+E$8)-BH328),2)</f>
        <v>0</v>
      </c>
      <c r="AM328" s="27" t="n">
        <f aca="false">ROUND(MAX(0,AM327*(1+F$8)-BI328),2)</f>
        <v>0</v>
      </c>
      <c r="AN328" s="27" t="n">
        <f aca="false">ROUND(MAX(0,AN327*(1+G$8)-BJ328),2)</f>
        <v>0</v>
      </c>
      <c r="AO328" s="27" t="n">
        <f aca="false">ROUND(MAX(0,AO327*(1+H$8)-BK328),2)</f>
        <v>0</v>
      </c>
      <c r="AP328" s="27" t="n">
        <f aca="false">ROUND(MAX(0,AP327*(1+I$8)-BL328),2)</f>
        <v>0</v>
      </c>
      <c r="AQ328" s="27" t="n">
        <f aca="false">ROUND(MAX(0,AQ327*(1+J$8)-BM328),2)</f>
        <v>0</v>
      </c>
      <c r="AR328" s="27" t="n">
        <f aca="false">ROUND(MAX(0,AR327*(1+K$8)-BN328),2)</f>
        <v>0</v>
      </c>
      <c r="AS328" s="27" t="n">
        <f aca="false">SUM(AI328:AR328)</f>
        <v>0</v>
      </c>
      <c r="AT328" s="27" t="n">
        <f aca="false">SUMPRODUCT(AI327:AR327,$B$8:$K$8)</f>
        <v>0</v>
      </c>
      <c r="AU328" s="27" t="n">
        <f aca="false">MIN(AI327*(1+B$8),B$9)</f>
        <v>0</v>
      </c>
      <c r="AV328" s="27" t="n">
        <f aca="false">MIN(AJ327*(1+C$8),C$9)</f>
        <v>0</v>
      </c>
      <c r="AW328" s="27" t="n">
        <f aca="false">MIN(AK327*(1+D$8),D$9)</f>
        <v>0</v>
      </c>
      <c r="AX328" s="27" t="n">
        <f aca="false">MIN(AL327*(1+E$8),E$9)</f>
        <v>0</v>
      </c>
      <c r="AY328" s="27" t="n">
        <f aca="false">MIN(AM327*(1+F$8),F$9)</f>
        <v>0</v>
      </c>
      <c r="AZ328" s="27" t="n">
        <f aca="false">MIN(AN327*(1+G$8),G$9)</f>
        <v>0</v>
      </c>
      <c r="BA328" s="27" t="n">
        <f aca="false">MIN(AO327*(1+H$8),H$9)</f>
        <v>0</v>
      </c>
      <c r="BB328" s="27" t="n">
        <f aca="false">MIN(AP327*(1+I$8),I$9)</f>
        <v>0</v>
      </c>
      <c r="BC328" s="27" t="n">
        <f aca="false">MIN(AQ327*(1+J$8),J$9)</f>
        <v>0</v>
      </c>
      <c r="BD328" s="27" t="n">
        <f aca="false">MIN(AR327*(1+K$8),K$9)</f>
        <v>0</v>
      </c>
      <c r="BE328" s="27" t="n">
        <f aca="false">MIN(AI327*(1+B$8),MAX(AU328,$B$12-SUM(AV328:BD328)))</f>
        <v>0</v>
      </c>
      <c r="BF328" s="27" t="n">
        <f aca="false">MIN(AJ327*(1+C$8),MAX(AV328,$B$12-SUM(BE328:BE328)-SUM(AW328:BD328)))</f>
        <v>0</v>
      </c>
      <c r="BG328" s="27" t="n">
        <f aca="false">MIN(AK327*(1+D$8),MAX(AW328,$B$12-SUM(BE328:BF328)-SUM(AX328:BD328)))</f>
        <v>0</v>
      </c>
      <c r="BH328" s="27" t="n">
        <f aca="false">MIN(AL327*(1+E$8),MAX(AX328,$B$12-SUM(BE328:BG328)-SUM(AY328:BD328)))</f>
        <v>0</v>
      </c>
      <c r="BI328" s="27" t="n">
        <f aca="false">MIN(AM327*(1+F$8),MAX(AY328,$B$12-SUM(BE328:BH328)-SUM(AZ328:BD328)))</f>
        <v>0</v>
      </c>
      <c r="BJ328" s="27" t="n">
        <f aca="false">MIN(AN327*(1+G$8),MAX(AZ328,$B$12-SUM(BE328:BI328)-SUM(BA328:BD328)))</f>
        <v>0</v>
      </c>
      <c r="BK328" s="27" t="n">
        <f aca="false">MIN(AO327*(1+H$8),MAX(BA328,$B$12-SUM(BE328:BJ328)-SUM(BB328:BD328)))</f>
        <v>0</v>
      </c>
      <c r="BL328" s="27" t="n">
        <f aca="false">MIN(AP327*(1+I$8),MAX(BB328,$B$12-SUM(BE328:BK328)-SUM(BC328:BD328)))</f>
        <v>0</v>
      </c>
      <c r="BM328" s="27" t="n">
        <f aca="false">MIN(AQ327*(1+J$8),MAX(BC328,$B$12-SUM(BE328:BL328)-SUM(BD328:BD328)))</f>
        <v>0</v>
      </c>
      <c r="BN328" s="27" t="n">
        <f aca="false">MIN(AR327*(1+K$8),MAX(BD328,$B$12-SUM(BE328:BM328)))</f>
        <v>0</v>
      </c>
    </row>
    <row r="329" customFormat="false" ht="15" hidden="false" customHeight="false" outlineLevel="0" collapsed="false">
      <c r="A329" s="0" t="n">
        <v>315</v>
      </c>
      <c r="B329" s="27" t="n">
        <f aca="false">ROUND(MAX(0,B328*(1+B$8)-X329),2)</f>
        <v>0</v>
      </c>
      <c r="C329" s="27" t="n">
        <f aca="false">ROUND(MAX(0,C328*(1+C$8)-Y329),2)</f>
        <v>0</v>
      </c>
      <c r="D329" s="27" t="n">
        <f aca="false">ROUND(MAX(0,D328*(1+D$8)-Z329),2)</f>
        <v>0</v>
      </c>
      <c r="E329" s="27" t="n">
        <f aca="false">ROUND(MAX(0,E328*(1+E$8)-AA329),2)</f>
        <v>0</v>
      </c>
      <c r="F329" s="27" t="n">
        <f aca="false">ROUND(MAX(0,F328*(1+F$8)-AB329),2)</f>
        <v>0</v>
      </c>
      <c r="G329" s="27" t="n">
        <f aca="false">ROUND(MAX(0,G328*(1+G$8)-AC329),2)</f>
        <v>0</v>
      </c>
      <c r="H329" s="27" t="n">
        <f aca="false">ROUND(MAX(0,H328*(1+H$8)-AD329),2)</f>
        <v>0</v>
      </c>
      <c r="I329" s="27" t="n">
        <f aca="false">ROUND(MAX(0,I328*(1+I$8)-AE329),2)</f>
        <v>0</v>
      </c>
      <c r="J329" s="27" t="n">
        <f aca="false">ROUND(MAX(0,J328*(1+J$8)-AF329),2)</f>
        <v>0</v>
      </c>
      <c r="K329" s="27" t="n">
        <f aca="false">ROUND(MAX(0,K328*(1+K$8)-AG329),2)</f>
        <v>0</v>
      </c>
      <c r="L329" s="30" t="n">
        <f aca="false">SUM(B329:K329)</f>
        <v>0</v>
      </c>
      <c r="M329" s="27" t="n">
        <f aca="false">SUMPRODUCT(B328:K328,$B$8:$K$8)</f>
        <v>0</v>
      </c>
      <c r="N329" s="27" t="n">
        <f aca="false">MIN(B328*(1+B$8),B$9)</f>
        <v>0</v>
      </c>
      <c r="O329" s="27" t="n">
        <f aca="false">MIN(C328*(1+C$8),C$9)</f>
        <v>0</v>
      </c>
      <c r="P329" s="27" t="n">
        <f aca="false">MIN(D328*(1+D$8),D$9)</f>
        <v>0</v>
      </c>
      <c r="Q329" s="27" t="n">
        <f aca="false">MIN(E328*(1+E$8),E$9)</f>
        <v>0</v>
      </c>
      <c r="R329" s="27" t="n">
        <f aca="false">MIN(F328*(1+F$8),F$9)</f>
        <v>0</v>
      </c>
      <c r="S329" s="27" t="n">
        <f aca="false">MIN(G328*(1+G$8),G$9)</f>
        <v>0</v>
      </c>
      <c r="T329" s="27" t="n">
        <f aca="false">MIN(H328*(1+H$8),H$9)</f>
        <v>0</v>
      </c>
      <c r="U329" s="27" t="n">
        <f aca="false">MIN(I328*(1+I$8),I$9)</f>
        <v>0</v>
      </c>
      <c r="V329" s="27" t="n">
        <f aca="false">MIN(J328*(1+J$8),J$9)</f>
        <v>0</v>
      </c>
      <c r="W329" s="27" t="n">
        <f aca="false">MIN(K328*(1+K$8),K$9)</f>
        <v>0</v>
      </c>
      <c r="X329" s="27" t="n">
        <f aca="false">MIN(B328*(1+B$8),MAX(N329,$B$11-SUM(O329:W329)))</f>
        <v>0</v>
      </c>
      <c r="Y329" s="27" t="n">
        <f aca="false">MIN(C328*(1+C$8),MAX(O329,$B$11-SUM(X329:X329)-SUM(P329:W329)))</f>
        <v>0</v>
      </c>
      <c r="Z329" s="27" t="n">
        <f aca="false">MIN(D328*(1+D$8),MAX(P329,$B$11-SUM(X329:Y329)-SUM(Q329:W329)))</f>
        <v>0</v>
      </c>
      <c r="AA329" s="27" t="n">
        <f aca="false">MIN(E328*(1+E$8),MAX(Q329,$B$11-SUM(X329:Z329)-SUM(R329:W329)))</f>
        <v>0</v>
      </c>
      <c r="AB329" s="27" t="n">
        <f aca="false">MIN(F328*(1+F$8),MAX(R329,$B$11-SUM(X329:AA329)-SUM(S329:W329)))</f>
        <v>0</v>
      </c>
      <c r="AC329" s="27" t="n">
        <f aca="false">MIN(G328*(1+G$8),MAX(S329,$B$11-SUM(X329:AB329)-SUM(T329:W329)))</f>
        <v>0</v>
      </c>
      <c r="AD329" s="27" t="n">
        <f aca="false">MIN(H328*(1+H$8),MAX(T329,$B$11-SUM(X329:AC329)-SUM(U329:W329)))</f>
        <v>0</v>
      </c>
      <c r="AE329" s="27" t="n">
        <f aca="false">MIN(I328*(1+I$8),MAX(U329,$B$11-SUM(X329:AD329)-SUM(V329:W329)))</f>
        <v>0</v>
      </c>
      <c r="AF329" s="27" t="n">
        <f aca="false">MIN(J328*(1+J$8),MAX(V329,$B$11-SUM(X329:AE329)-SUM(W329:W329)))</f>
        <v>0</v>
      </c>
      <c r="AG329" s="27" t="n">
        <f aca="false">MIN(K328*(1+K$8),MAX(W329,$B$11-SUM(X329:AF329)))</f>
        <v>0</v>
      </c>
      <c r="AI329" s="27" t="n">
        <f aca="false">ROUND(MAX(0,AI328*(1+B$8)-BE329),2)</f>
        <v>0</v>
      </c>
      <c r="AJ329" s="27" t="n">
        <f aca="false">ROUND(MAX(0,AJ328*(1+C$8)-BF329),2)</f>
        <v>0</v>
      </c>
      <c r="AK329" s="27" t="n">
        <f aca="false">ROUND(MAX(0,AK328*(1+D$8)-BG329),2)</f>
        <v>0</v>
      </c>
      <c r="AL329" s="27" t="n">
        <f aca="false">ROUND(MAX(0,AL328*(1+E$8)-BH329),2)</f>
        <v>0</v>
      </c>
      <c r="AM329" s="27" t="n">
        <f aca="false">ROUND(MAX(0,AM328*(1+F$8)-BI329),2)</f>
        <v>0</v>
      </c>
      <c r="AN329" s="27" t="n">
        <f aca="false">ROUND(MAX(0,AN328*(1+G$8)-BJ329),2)</f>
        <v>0</v>
      </c>
      <c r="AO329" s="27" t="n">
        <f aca="false">ROUND(MAX(0,AO328*(1+H$8)-BK329),2)</f>
        <v>0</v>
      </c>
      <c r="AP329" s="27" t="n">
        <f aca="false">ROUND(MAX(0,AP328*(1+I$8)-BL329),2)</f>
        <v>0</v>
      </c>
      <c r="AQ329" s="27" t="n">
        <f aca="false">ROUND(MAX(0,AQ328*(1+J$8)-BM329),2)</f>
        <v>0</v>
      </c>
      <c r="AR329" s="27" t="n">
        <f aca="false">ROUND(MAX(0,AR328*(1+K$8)-BN329),2)</f>
        <v>0</v>
      </c>
      <c r="AS329" s="27" t="n">
        <f aca="false">SUM(AI329:AR329)</f>
        <v>0</v>
      </c>
      <c r="AT329" s="27" t="n">
        <f aca="false">SUMPRODUCT(AI328:AR328,$B$8:$K$8)</f>
        <v>0</v>
      </c>
      <c r="AU329" s="27" t="n">
        <f aca="false">MIN(AI328*(1+B$8),B$9)</f>
        <v>0</v>
      </c>
      <c r="AV329" s="27" t="n">
        <f aca="false">MIN(AJ328*(1+C$8),C$9)</f>
        <v>0</v>
      </c>
      <c r="AW329" s="27" t="n">
        <f aca="false">MIN(AK328*(1+D$8),D$9)</f>
        <v>0</v>
      </c>
      <c r="AX329" s="27" t="n">
        <f aca="false">MIN(AL328*(1+E$8),E$9)</f>
        <v>0</v>
      </c>
      <c r="AY329" s="27" t="n">
        <f aca="false">MIN(AM328*(1+F$8),F$9)</f>
        <v>0</v>
      </c>
      <c r="AZ329" s="27" t="n">
        <f aca="false">MIN(AN328*(1+G$8),G$9)</f>
        <v>0</v>
      </c>
      <c r="BA329" s="27" t="n">
        <f aca="false">MIN(AO328*(1+H$8),H$9)</f>
        <v>0</v>
      </c>
      <c r="BB329" s="27" t="n">
        <f aca="false">MIN(AP328*(1+I$8),I$9)</f>
        <v>0</v>
      </c>
      <c r="BC329" s="27" t="n">
        <f aca="false">MIN(AQ328*(1+J$8),J$9)</f>
        <v>0</v>
      </c>
      <c r="BD329" s="27" t="n">
        <f aca="false">MIN(AR328*(1+K$8),K$9)</f>
        <v>0</v>
      </c>
      <c r="BE329" s="27" t="n">
        <f aca="false">MIN(AI328*(1+B$8),MAX(AU329,$B$12-SUM(AV329:BD329)))</f>
        <v>0</v>
      </c>
      <c r="BF329" s="27" t="n">
        <f aca="false">MIN(AJ328*(1+C$8),MAX(AV329,$B$12-SUM(BE329:BE329)-SUM(AW329:BD329)))</f>
        <v>0</v>
      </c>
      <c r="BG329" s="27" t="n">
        <f aca="false">MIN(AK328*(1+D$8),MAX(AW329,$B$12-SUM(BE329:BF329)-SUM(AX329:BD329)))</f>
        <v>0</v>
      </c>
      <c r="BH329" s="27" t="n">
        <f aca="false">MIN(AL328*(1+E$8),MAX(AX329,$B$12-SUM(BE329:BG329)-SUM(AY329:BD329)))</f>
        <v>0</v>
      </c>
      <c r="BI329" s="27" t="n">
        <f aca="false">MIN(AM328*(1+F$8),MAX(AY329,$B$12-SUM(BE329:BH329)-SUM(AZ329:BD329)))</f>
        <v>0</v>
      </c>
      <c r="BJ329" s="27" t="n">
        <f aca="false">MIN(AN328*(1+G$8),MAX(AZ329,$B$12-SUM(BE329:BI329)-SUM(BA329:BD329)))</f>
        <v>0</v>
      </c>
      <c r="BK329" s="27" t="n">
        <f aca="false">MIN(AO328*(1+H$8),MAX(BA329,$B$12-SUM(BE329:BJ329)-SUM(BB329:BD329)))</f>
        <v>0</v>
      </c>
      <c r="BL329" s="27" t="n">
        <f aca="false">MIN(AP328*(1+I$8),MAX(BB329,$B$12-SUM(BE329:BK329)-SUM(BC329:BD329)))</f>
        <v>0</v>
      </c>
      <c r="BM329" s="27" t="n">
        <f aca="false">MIN(AQ328*(1+J$8),MAX(BC329,$B$12-SUM(BE329:BL329)-SUM(BD329:BD329)))</f>
        <v>0</v>
      </c>
      <c r="BN329" s="27" t="n">
        <f aca="false">MIN(AR328*(1+K$8),MAX(BD329,$B$12-SUM(BE329:BM329)))</f>
        <v>0</v>
      </c>
    </row>
    <row r="330" customFormat="false" ht="15" hidden="false" customHeight="false" outlineLevel="0" collapsed="false">
      <c r="A330" s="0" t="n">
        <v>316</v>
      </c>
      <c r="B330" s="27" t="n">
        <f aca="false">ROUND(MAX(0,B329*(1+B$8)-X330),2)</f>
        <v>0</v>
      </c>
      <c r="C330" s="27" t="n">
        <f aca="false">ROUND(MAX(0,C329*(1+C$8)-Y330),2)</f>
        <v>0</v>
      </c>
      <c r="D330" s="27" t="n">
        <f aca="false">ROUND(MAX(0,D329*(1+D$8)-Z330),2)</f>
        <v>0</v>
      </c>
      <c r="E330" s="27" t="n">
        <f aca="false">ROUND(MAX(0,E329*(1+E$8)-AA330),2)</f>
        <v>0</v>
      </c>
      <c r="F330" s="27" t="n">
        <f aca="false">ROUND(MAX(0,F329*(1+F$8)-AB330),2)</f>
        <v>0</v>
      </c>
      <c r="G330" s="27" t="n">
        <f aca="false">ROUND(MAX(0,G329*(1+G$8)-AC330),2)</f>
        <v>0</v>
      </c>
      <c r="H330" s="27" t="n">
        <f aca="false">ROUND(MAX(0,H329*(1+H$8)-AD330),2)</f>
        <v>0</v>
      </c>
      <c r="I330" s="27" t="n">
        <f aca="false">ROUND(MAX(0,I329*(1+I$8)-AE330),2)</f>
        <v>0</v>
      </c>
      <c r="J330" s="27" t="n">
        <f aca="false">ROUND(MAX(0,J329*(1+J$8)-AF330),2)</f>
        <v>0</v>
      </c>
      <c r="K330" s="27" t="n">
        <f aca="false">ROUND(MAX(0,K329*(1+K$8)-AG330),2)</f>
        <v>0</v>
      </c>
      <c r="L330" s="30" t="n">
        <f aca="false">SUM(B330:K330)</f>
        <v>0</v>
      </c>
      <c r="M330" s="27" t="n">
        <f aca="false">SUMPRODUCT(B329:K329,$B$8:$K$8)</f>
        <v>0</v>
      </c>
      <c r="N330" s="27" t="n">
        <f aca="false">MIN(B329*(1+B$8),B$9)</f>
        <v>0</v>
      </c>
      <c r="O330" s="27" t="n">
        <f aca="false">MIN(C329*(1+C$8),C$9)</f>
        <v>0</v>
      </c>
      <c r="P330" s="27" t="n">
        <f aca="false">MIN(D329*(1+D$8),D$9)</f>
        <v>0</v>
      </c>
      <c r="Q330" s="27" t="n">
        <f aca="false">MIN(E329*(1+E$8),E$9)</f>
        <v>0</v>
      </c>
      <c r="R330" s="27" t="n">
        <f aca="false">MIN(F329*(1+F$8),F$9)</f>
        <v>0</v>
      </c>
      <c r="S330" s="27" t="n">
        <f aca="false">MIN(G329*(1+G$8),G$9)</f>
        <v>0</v>
      </c>
      <c r="T330" s="27" t="n">
        <f aca="false">MIN(H329*(1+H$8),H$9)</f>
        <v>0</v>
      </c>
      <c r="U330" s="27" t="n">
        <f aca="false">MIN(I329*(1+I$8),I$9)</f>
        <v>0</v>
      </c>
      <c r="V330" s="27" t="n">
        <f aca="false">MIN(J329*(1+J$8),J$9)</f>
        <v>0</v>
      </c>
      <c r="W330" s="27" t="n">
        <f aca="false">MIN(K329*(1+K$8),K$9)</f>
        <v>0</v>
      </c>
      <c r="X330" s="27" t="n">
        <f aca="false">MIN(B329*(1+B$8),MAX(N330,$B$11-SUM(O330:W330)))</f>
        <v>0</v>
      </c>
      <c r="Y330" s="27" t="n">
        <f aca="false">MIN(C329*(1+C$8),MAX(O330,$B$11-SUM(X330:X330)-SUM(P330:W330)))</f>
        <v>0</v>
      </c>
      <c r="Z330" s="27" t="n">
        <f aca="false">MIN(D329*(1+D$8),MAX(P330,$B$11-SUM(X330:Y330)-SUM(Q330:W330)))</f>
        <v>0</v>
      </c>
      <c r="AA330" s="27" t="n">
        <f aca="false">MIN(E329*(1+E$8),MAX(Q330,$B$11-SUM(X330:Z330)-SUM(R330:W330)))</f>
        <v>0</v>
      </c>
      <c r="AB330" s="27" t="n">
        <f aca="false">MIN(F329*(1+F$8),MAX(R330,$B$11-SUM(X330:AA330)-SUM(S330:W330)))</f>
        <v>0</v>
      </c>
      <c r="AC330" s="27" t="n">
        <f aca="false">MIN(G329*(1+G$8),MAX(S330,$B$11-SUM(X330:AB330)-SUM(T330:W330)))</f>
        <v>0</v>
      </c>
      <c r="AD330" s="27" t="n">
        <f aca="false">MIN(H329*(1+H$8),MAX(T330,$B$11-SUM(X330:AC330)-SUM(U330:W330)))</f>
        <v>0</v>
      </c>
      <c r="AE330" s="27" t="n">
        <f aca="false">MIN(I329*(1+I$8),MAX(U330,$B$11-SUM(X330:AD330)-SUM(V330:W330)))</f>
        <v>0</v>
      </c>
      <c r="AF330" s="27" t="n">
        <f aca="false">MIN(J329*(1+J$8),MAX(V330,$B$11-SUM(X330:AE330)-SUM(W330:W330)))</f>
        <v>0</v>
      </c>
      <c r="AG330" s="27" t="n">
        <f aca="false">MIN(K329*(1+K$8),MAX(W330,$B$11-SUM(X330:AF330)))</f>
        <v>0</v>
      </c>
      <c r="AI330" s="27" t="n">
        <f aca="false">ROUND(MAX(0,AI329*(1+B$8)-BE330),2)</f>
        <v>0</v>
      </c>
      <c r="AJ330" s="27" t="n">
        <f aca="false">ROUND(MAX(0,AJ329*(1+C$8)-BF330),2)</f>
        <v>0</v>
      </c>
      <c r="AK330" s="27" t="n">
        <f aca="false">ROUND(MAX(0,AK329*(1+D$8)-BG330),2)</f>
        <v>0</v>
      </c>
      <c r="AL330" s="27" t="n">
        <f aca="false">ROUND(MAX(0,AL329*(1+E$8)-BH330),2)</f>
        <v>0</v>
      </c>
      <c r="AM330" s="27" t="n">
        <f aca="false">ROUND(MAX(0,AM329*(1+F$8)-BI330),2)</f>
        <v>0</v>
      </c>
      <c r="AN330" s="27" t="n">
        <f aca="false">ROUND(MAX(0,AN329*(1+G$8)-BJ330),2)</f>
        <v>0</v>
      </c>
      <c r="AO330" s="27" t="n">
        <f aca="false">ROUND(MAX(0,AO329*(1+H$8)-BK330),2)</f>
        <v>0</v>
      </c>
      <c r="AP330" s="27" t="n">
        <f aca="false">ROUND(MAX(0,AP329*(1+I$8)-BL330),2)</f>
        <v>0</v>
      </c>
      <c r="AQ330" s="27" t="n">
        <f aca="false">ROUND(MAX(0,AQ329*(1+J$8)-BM330),2)</f>
        <v>0</v>
      </c>
      <c r="AR330" s="27" t="n">
        <f aca="false">ROUND(MAX(0,AR329*(1+K$8)-BN330),2)</f>
        <v>0</v>
      </c>
      <c r="AS330" s="27" t="n">
        <f aca="false">SUM(AI330:AR330)</f>
        <v>0</v>
      </c>
      <c r="AT330" s="27" t="n">
        <f aca="false">SUMPRODUCT(AI329:AR329,$B$8:$K$8)</f>
        <v>0</v>
      </c>
      <c r="AU330" s="27" t="n">
        <f aca="false">MIN(AI329*(1+B$8),B$9)</f>
        <v>0</v>
      </c>
      <c r="AV330" s="27" t="n">
        <f aca="false">MIN(AJ329*(1+C$8),C$9)</f>
        <v>0</v>
      </c>
      <c r="AW330" s="27" t="n">
        <f aca="false">MIN(AK329*(1+D$8),D$9)</f>
        <v>0</v>
      </c>
      <c r="AX330" s="27" t="n">
        <f aca="false">MIN(AL329*(1+E$8),E$9)</f>
        <v>0</v>
      </c>
      <c r="AY330" s="27" t="n">
        <f aca="false">MIN(AM329*(1+F$8),F$9)</f>
        <v>0</v>
      </c>
      <c r="AZ330" s="27" t="n">
        <f aca="false">MIN(AN329*(1+G$8),G$9)</f>
        <v>0</v>
      </c>
      <c r="BA330" s="27" t="n">
        <f aca="false">MIN(AO329*(1+H$8),H$9)</f>
        <v>0</v>
      </c>
      <c r="BB330" s="27" t="n">
        <f aca="false">MIN(AP329*(1+I$8),I$9)</f>
        <v>0</v>
      </c>
      <c r="BC330" s="27" t="n">
        <f aca="false">MIN(AQ329*(1+J$8),J$9)</f>
        <v>0</v>
      </c>
      <c r="BD330" s="27" t="n">
        <f aca="false">MIN(AR329*(1+K$8),K$9)</f>
        <v>0</v>
      </c>
      <c r="BE330" s="27" t="n">
        <f aca="false">MIN(AI329*(1+B$8),MAX(AU330,$B$12-SUM(AV330:BD330)))</f>
        <v>0</v>
      </c>
      <c r="BF330" s="27" t="n">
        <f aca="false">MIN(AJ329*(1+C$8),MAX(AV330,$B$12-SUM(BE330:BE330)-SUM(AW330:BD330)))</f>
        <v>0</v>
      </c>
      <c r="BG330" s="27" t="n">
        <f aca="false">MIN(AK329*(1+D$8),MAX(AW330,$B$12-SUM(BE330:BF330)-SUM(AX330:BD330)))</f>
        <v>0</v>
      </c>
      <c r="BH330" s="27" t="n">
        <f aca="false">MIN(AL329*(1+E$8),MAX(AX330,$B$12-SUM(BE330:BG330)-SUM(AY330:BD330)))</f>
        <v>0</v>
      </c>
      <c r="BI330" s="27" t="n">
        <f aca="false">MIN(AM329*(1+F$8),MAX(AY330,$B$12-SUM(BE330:BH330)-SUM(AZ330:BD330)))</f>
        <v>0</v>
      </c>
      <c r="BJ330" s="27" t="n">
        <f aca="false">MIN(AN329*(1+G$8),MAX(AZ330,$B$12-SUM(BE330:BI330)-SUM(BA330:BD330)))</f>
        <v>0</v>
      </c>
      <c r="BK330" s="27" t="n">
        <f aca="false">MIN(AO329*(1+H$8),MAX(BA330,$B$12-SUM(BE330:BJ330)-SUM(BB330:BD330)))</f>
        <v>0</v>
      </c>
      <c r="BL330" s="27" t="n">
        <f aca="false">MIN(AP329*(1+I$8),MAX(BB330,$B$12-SUM(BE330:BK330)-SUM(BC330:BD330)))</f>
        <v>0</v>
      </c>
      <c r="BM330" s="27" t="n">
        <f aca="false">MIN(AQ329*(1+J$8),MAX(BC330,$B$12-SUM(BE330:BL330)-SUM(BD330:BD330)))</f>
        <v>0</v>
      </c>
      <c r="BN330" s="27" t="n">
        <f aca="false">MIN(AR329*(1+K$8),MAX(BD330,$B$12-SUM(BE330:BM330)))</f>
        <v>0</v>
      </c>
    </row>
    <row r="331" customFormat="false" ht="15" hidden="false" customHeight="false" outlineLevel="0" collapsed="false">
      <c r="A331" s="0" t="n">
        <v>317</v>
      </c>
      <c r="B331" s="27" t="n">
        <f aca="false">ROUND(MAX(0,B330*(1+B$8)-X331),2)</f>
        <v>0</v>
      </c>
      <c r="C331" s="27" t="n">
        <f aca="false">ROUND(MAX(0,C330*(1+C$8)-Y331),2)</f>
        <v>0</v>
      </c>
      <c r="D331" s="27" t="n">
        <f aca="false">ROUND(MAX(0,D330*(1+D$8)-Z331),2)</f>
        <v>0</v>
      </c>
      <c r="E331" s="27" t="n">
        <f aca="false">ROUND(MAX(0,E330*(1+E$8)-AA331),2)</f>
        <v>0</v>
      </c>
      <c r="F331" s="27" t="n">
        <f aca="false">ROUND(MAX(0,F330*(1+F$8)-AB331),2)</f>
        <v>0</v>
      </c>
      <c r="G331" s="27" t="n">
        <f aca="false">ROUND(MAX(0,G330*(1+G$8)-AC331),2)</f>
        <v>0</v>
      </c>
      <c r="H331" s="27" t="n">
        <f aca="false">ROUND(MAX(0,H330*(1+H$8)-AD331),2)</f>
        <v>0</v>
      </c>
      <c r="I331" s="27" t="n">
        <f aca="false">ROUND(MAX(0,I330*(1+I$8)-AE331),2)</f>
        <v>0</v>
      </c>
      <c r="J331" s="27" t="n">
        <f aca="false">ROUND(MAX(0,J330*(1+J$8)-AF331),2)</f>
        <v>0</v>
      </c>
      <c r="K331" s="27" t="n">
        <f aca="false">ROUND(MAX(0,K330*(1+K$8)-AG331),2)</f>
        <v>0</v>
      </c>
      <c r="L331" s="30" t="n">
        <f aca="false">SUM(B331:K331)</f>
        <v>0</v>
      </c>
      <c r="M331" s="27" t="n">
        <f aca="false">SUMPRODUCT(B330:K330,$B$8:$K$8)</f>
        <v>0</v>
      </c>
      <c r="N331" s="27" t="n">
        <f aca="false">MIN(B330*(1+B$8),B$9)</f>
        <v>0</v>
      </c>
      <c r="O331" s="27" t="n">
        <f aca="false">MIN(C330*(1+C$8),C$9)</f>
        <v>0</v>
      </c>
      <c r="P331" s="27" t="n">
        <f aca="false">MIN(D330*(1+D$8),D$9)</f>
        <v>0</v>
      </c>
      <c r="Q331" s="27" t="n">
        <f aca="false">MIN(E330*(1+E$8),E$9)</f>
        <v>0</v>
      </c>
      <c r="R331" s="27" t="n">
        <f aca="false">MIN(F330*(1+F$8),F$9)</f>
        <v>0</v>
      </c>
      <c r="S331" s="27" t="n">
        <f aca="false">MIN(G330*(1+G$8),G$9)</f>
        <v>0</v>
      </c>
      <c r="T331" s="27" t="n">
        <f aca="false">MIN(H330*(1+H$8),H$9)</f>
        <v>0</v>
      </c>
      <c r="U331" s="27" t="n">
        <f aca="false">MIN(I330*(1+I$8),I$9)</f>
        <v>0</v>
      </c>
      <c r="V331" s="27" t="n">
        <f aca="false">MIN(J330*(1+J$8),J$9)</f>
        <v>0</v>
      </c>
      <c r="W331" s="27" t="n">
        <f aca="false">MIN(K330*(1+K$8),K$9)</f>
        <v>0</v>
      </c>
      <c r="X331" s="27" t="n">
        <f aca="false">MIN(B330*(1+B$8),MAX(N331,$B$11-SUM(O331:W331)))</f>
        <v>0</v>
      </c>
      <c r="Y331" s="27" t="n">
        <f aca="false">MIN(C330*(1+C$8),MAX(O331,$B$11-SUM(X331:X331)-SUM(P331:W331)))</f>
        <v>0</v>
      </c>
      <c r="Z331" s="27" t="n">
        <f aca="false">MIN(D330*(1+D$8),MAX(P331,$B$11-SUM(X331:Y331)-SUM(Q331:W331)))</f>
        <v>0</v>
      </c>
      <c r="AA331" s="27" t="n">
        <f aca="false">MIN(E330*(1+E$8),MAX(Q331,$B$11-SUM(X331:Z331)-SUM(R331:W331)))</f>
        <v>0</v>
      </c>
      <c r="AB331" s="27" t="n">
        <f aca="false">MIN(F330*(1+F$8),MAX(R331,$B$11-SUM(X331:AA331)-SUM(S331:W331)))</f>
        <v>0</v>
      </c>
      <c r="AC331" s="27" t="n">
        <f aca="false">MIN(G330*(1+G$8),MAX(S331,$B$11-SUM(X331:AB331)-SUM(T331:W331)))</f>
        <v>0</v>
      </c>
      <c r="AD331" s="27" t="n">
        <f aca="false">MIN(H330*(1+H$8),MAX(T331,$B$11-SUM(X331:AC331)-SUM(U331:W331)))</f>
        <v>0</v>
      </c>
      <c r="AE331" s="27" t="n">
        <f aca="false">MIN(I330*(1+I$8),MAX(U331,$B$11-SUM(X331:AD331)-SUM(V331:W331)))</f>
        <v>0</v>
      </c>
      <c r="AF331" s="27" t="n">
        <f aca="false">MIN(J330*(1+J$8),MAX(V331,$B$11-SUM(X331:AE331)-SUM(W331:W331)))</f>
        <v>0</v>
      </c>
      <c r="AG331" s="27" t="n">
        <f aca="false">MIN(K330*(1+K$8),MAX(W331,$B$11-SUM(X331:AF331)))</f>
        <v>0</v>
      </c>
      <c r="AI331" s="27" t="n">
        <f aca="false">ROUND(MAX(0,AI330*(1+B$8)-BE331),2)</f>
        <v>0</v>
      </c>
      <c r="AJ331" s="27" t="n">
        <f aca="false">ROUND(MAX(0,AJ330*(1+C$8)-BF331),2)</f>
        <v>0</v>
      </c>
      <c r="AK331" s="27" t="n">
        <f aca="false">ROUND(MAX(0,AK330*(1+D$8)-BG331),2)</f>
        <v>0</v>
      </c>
      <c r="AL331" s="27" t="n">
        <f aca="false">ROUND(MAX(0,AL330*(1+E$8)-BH331),2)</f>
        <v>0</v>
      </c>
      <c r="AM331" s="27" t="n">
        <f aca="false">ROUND(MAX(0,AM330*(1+F$8)-BI331),2)</f>
        <v>0</v>
      </c>
      <c r="AN331" s="27" t="n">
        <f aca="false">ROUND(MAX(0,AN330*(1+G$8)-BJ331),2)</f>
        <v>0</v>
      </c>
      <c r="AO331" s="27" t="n">
        <f aca="false">ROUND(MAX(0,AO330*(1+H$8)-BK331),2)</f>
        <v>0</v>
      </c>
      <c r="AP331" s="27" t="n">
        <f aca="false">ROUND(MAX(0,AP330*(1+I$8)-BL331),2)</f>
        <v>0</v>
      </c>
      <c r="AQ331" s="27" t="n">
        <f aca="false">ROUND(MAX(0,AQ330*(1+J$8)-BM331),2)</f>
        <v>0</v>
      </c>
      <c r="AR331" s="27" t="n">
        <f aca="false">ROUND(MAX(0,AR330*(1+K$8)-BN331),2)</f>
        <v>0</v>
      </c>
      <c r="AS331" s="27" t="n">
        <f aca="false">SUM(AI331:AR331)</f>
        <v>0</v>
      </c>
      <c r="AT331" s="27" t="n">
        <f aca="false">SUMPRODUCT(AI330:AR330,$B$8:$K$8)</f>
        <v>0</v>
      </c>
      <c r="AU331" s="27" t="n">
        <f aca="false">MIN(AI330*(1+B$8),B$9)</f>
        <v>0</v>
      </c>
      <c r="AV331" s="27" t="n">
        <f aca="false">MIN(AJ330*(1+C$8),C$9)</f>
        <v>0</v>
      </c>
      <c r="AW331" s="27" t="n">
        <f aca="false">MIN(AK330*(1+D$8),D$9)</f>
        <v>0</v>
      </c>
      <c r="AX331" s="27" t="n">
        <f aca="false">MIN(AL330*(1+E$8),E$9)</f>
        <v>0</v>
      </c>
      <c r="AY331" s="27" t="n">
        <f aca="false">MIN(AM330*(1+F$8),F$9)</f>
        <v>0</v>
      </c>
      <c r="AZ331" s="27" t="n">
        <f aca="false">MIN(AN330*(1+G$8),G$9)</f>
        <v>0</v>
      </c>
      <c r="BA331" s="27" t="n">
        <f aca="false">MIN(AO330*(1+H$8),H$9)</f>
        <v>0</v>
      </c>
      <c r="BB331" s="27" t="n">
        <f aca="false">MIN(AP330*(1+I$8),I$9)</f>
        <v>0</v>
      </c>
      <c r="BC331" s="27" t="n">
        <f aca="false">MIN(AQ330*(1+J$8),J$9)</f>
        <v>0</v>
      </c>
      <c r="BD331" s="27" t="n">
        <f aca="false">MIN(AR330*(1+K$8),K$9)</f>
        <v>0</v>
      </c>
      <c r="BE331" s="27" t="n">
        <f aca="false">MIN(AI330*(1+B$8),MAX(AU331,$B$12-SUM(AV331:BD331)))</f>
        <v>0</v>
      </c>
      <c r="BF331" s="27" t="n">
        <f aca="false">MIN(AJ330*(1+C$8),MAX(AV331,$B$12-SUM(BE331:BE331)-SUM(AW331:BD331)))</f>
        <v>0</v>
      </c>
      <c r="BG331" s="27" t="n">
        <f aca="false">MIN(AK330*(1+D$8),MAX(AW331,$B$12-SUM(BE331:BF331)-SUM(AX331:BD331)))</f>
        <v>0</v>
      </c>
      <c r="BH331" s="27" t="n">
        <f aca="false">MIN(AL330*(1+E$8),MAX(AX331,$B$12-SUM(BE331:BG331)-SUM(AY331:BD331)))</f>
        <v>0</v>
      </c>
      <c r="BI331" s="27" t="n">
        <f aca="false">MIN(AM330*(1+F$8),MAX(AY331,$B$12-SUM(BE331:BH331)-SUM(AZ331:BD331)))</f>
        <v>0</v>
      </c>
      <c r="BJ331" s="27" t="n">
        <f aca="false">MIN(AN330*(1+G$8),MAX(AZ331,$B$12-SUM(BE331:BI331)-SUM(BA331:BD331)))</f>
        <v>0</v>
      </c>
      <c r="BK331" s="27" t="n">
        <f aca="false">MIN(AO330*(1+H$8),MAX(BA331,$B$12-SUM(BE331:BJ331)-SUM(BB331:BD331)))</f>
        <v>0</v>
      </c>
      <c r="BL331" s="27" t="n">
        <f aca="false">MIN(AP330*(1+I$8),MAX(BB331,$B$12-SUM(BE331:BK331)-SUM(BC331:BD331)))</f>
        <v>0</v>
      </c>
      <c r="BM331" s="27" t="n">
        <f aca="false">MIN(AQ330*(1+J$8),MAX(BC331,$B$12-SUM(BE331:BL331)-SUM(BD331:BD331)))</f>
        <v>0</v>
      </c>
      <c r="BN331" s="27" t="n">
        <f aca="false">MIN(AR330*(1+K$8),MAX(BD331,$B$12-SUM(BE331:BM331)))</f>
        <v>0</v>
      </c>
    </row>
    <row r="332" customFormat="false" ht="15" hidden="false" customHeight="false" outlineLevel="0" collapsed="false">
      <c r="A332" s="0" t="n">
        <v>318</v>
      </c>
      <c r="B332" s="27" t="n">
        <f aca="false">ROUND(MAX(0,B331*(1+B$8)-X332),2)</f>
        <v>0</v>
      </c>
      <c r="C332" s="27" t="n">
        <f aca="false">ROUND(MAX(0,C331*(1+C$8)-Y332),2)</f>
        <v>0</v>
      </c>
      <c r="D332" s="27" t="n">
        <f aca="false">ROUND(MAX(0,D331*(1+D$8)-Z332),2)</f>
        <v>0</v>
      </c>
      <c r="E332" s="27" t="n">
        <f aca="false">ROUND(MAX(0,E331*(1+E$8)-AA332),2)</f>
        <v>0</v>
      </c>
      <c r="F332" s="27" t="n">
        <f aca="false">ROUND(MAX(0,F331*(1+F$8)-AB332),2)</f>
        <v>0</v>
      </c>
      <c r="G332" s="27" t="n">
        <f aca="false">ROUND(MAX(0,G331*(1+G$8)-AC332),2)</f>
        <v>0</v>
      </c>
      <c r="H332" s="27" t="n">
        <f aca="false">ROUND(MAX(0,H331*(1+H$8)-AD332),2)</f>
        <v>0</v>
      </c>
      <c r="I332" s="27" t="n">
        <f aca="false">ROUND(MAX(0,I331*(1+I$8)-AE332),2)</f>
        <v>0</v>
      </c>
      <c r="J332" s="27" t="n">
        <f aca="false">ROUND(MAX(0,J331*(1+J$8)-AF332),2)</f>
        <v>0</v>
      </c>
      <c r="K332" s="27" t="n">
        <f aca="false">ROUND(MAX(0,K331*(1+K$8)-AG332),2)</f>
        <v>0</v>
      </c>
      <c r="L332" s="30" t="n">
        <f aca="false">SUM(B332:K332)</f>
        <v>0</v>
      </c>
      <c r="M332" s="27" t="n">
        <f aca="false">SUMPRODUCT(B331:K331,$B$8:$K$8)</f>
        <v>0</v>
      </c>
      <c r="N332" s="27" t="n">
        <f aca="false">MIN(B331*(1+B$8),B$9)</f>
        <v>0</v>
      </c>
      <c r="O332" s="27" t="n">
        <f aca="false">MIN(C331*(1+C$8),C$9)</f>
        <v>0</v>
      </c>
      <c r="P332" s="27" t="n">
        <f aca="false">MIN(D331*(1+D$8),D$9)</f>
        <v>0</v>
      </c>
      <c r="Q332" s="27" t="n">
        <f aca="false">MIN(E331*(1+E$8),E$9)</f>
        <v>0</v>
      </c>
      <c r="R332" s="27" t="n">
        <f aca="false">MIN(F331*(1+F$8),F$9)</f>
        <v>0</v>
      </c>
      <c r="S332" s="27" t="n">
        <f aca="false">MIN(G331*(1+G$8),G$9)</f>
        <v>0</v>
      </c>
      <c r="T332" s="27" t="n">
        <f aca="false">MIN(H331*(1+H$8),H$9)</f>
        <v>0</v>
      </c>
      <c r="U332" s="27" t="n">
        <f aca="false">MIN(I331*(1+I$8),I$9)</f>
        <v>0</v>
      </c>
      <c r="V332" s="27" t="n">
        <f aca="false">MIN(J331*(1+J$8),J$9)</f>
        <v>0</v>
      </c>
      <c r="W332" s="27" t="n">
        <f aca="false">MIN(K331*(1+K$8),K$9)</f>
        <v>0</v>
      </c>
      <c r="X332" s="27" t="n">
        <f aca="false">MIN(B331*(1+B$8),MAX(N332,$B$11-SUM(O332:W332)))</f>
        <v>0</v>
      </c>
      <c r="Y332" s="27" t="n">
        <f aca="false">MIN(C331*(1+C$8),MAX(O332,$B$11-SUM(X332:X332)-SUM(P332:W332)))</f>
        <v>0</v>
      </c>
      <c r="Z332" s="27" t="n">
        <f aca="false">MIN(D331*(1+D$8),MAX(P332,$B$11-SUM(X332:Y332)-SUM(Q332:W332)))</f>
        <v>0</v>
      </c>
      <c r="AA332" s="27" t="n">
        <f aca="false">MIN(E331*(1+E$8),MAX(Q332,$B$11-SUM(X332:Z332)-SUM(R332:W332)))</f>
        <v>0</v>
      </c>
      <c r="AB332" s="27" t="n">
        <f aca="false">MIN(F331*(1+F$8),MAX(R332,$B$11-SUM(X332:AA332)-SUM(S332:W332)))</f>
        <v>0</v>
      </c>
      <c r="AC332" s="27" t="n">
        <f aca="false">MIN(G331*(1+G$8),MAX(S332,$B$11-SUM(X332:AB332)-SUM(T332:W332)))</f>
        <v>0</v>
      </c>
      <c r="AD332" s="27" t="n">
        <f aca="false">MIN(H331*(1+H$8),MAX(T332,$B$11-SUM(X332:AC332)-SUM(U332:W332)))</f>
        <v>0</v>
      </c>
      <c r="AE332" s="27" t="n">
        <f aca="false">MIN(I331*(1+I$8),MAX(U332,$B$11-SUM(X332:AD332)-SUM(V332:W332)))</f>
        <v>0</v>
      </c>
      <c r="AF332" s="27" t="n">
        <f aca="false">MIN(J331*(1+J$8),MAX(V332,$B$11-SUM(X332:AE332)-SUM(W332:W332)))</f>
        <v>0</v>
      </c>
      <c r="AG332" s="27" t="n">
        <f aca="false">MIN(K331*(1+K$8),MAX(W332,$B$11-SUM(X332:AF332)))</f>
        <v>0</v>
      </c>
      <c r="AI332" s="27" t="n">
        <f aca="false">ROUND(MAX(0,AI331*(1+B$8)-BE332),2)</f>
        <v>0</v>
      </c>
      <c r="AJ332" s="27" t="n">
        <f aca="false">ROUND(MAX(0,AJ331*(1+C$8)-BF332),2)</f>
        <v>0</v>
      </c>
      <c r="AK332" s="27" t="n">
        <f aca="false">ROUND(MAX(0,AK331*(1+D$8)-BG332),2)</f>
        <v>0</v>
      </c>
      <c r="AL332" s="27" t="n">
        <f aca="false">ROUND(MAX(0,AL331*(1+E$8)-BH332),2)</f>
        <v>0</v>
      </c>
      <c r="AM332" s="27" t="n">
        <f aca="false">ROUND(MAX(0,AM331*(1+F$8)-BI332),2)</f>
        <v>0</v>
      </c>
      <c r="AN332" s="27" t="n">
        <f aca="false">ROUND(MAX(0,AN331*(1+G$8)-BJ332),2)</f>
        <v>0</v>
      </c>
      <c r="AO332" s="27" t="n">
        <f aca="false">ROUND(MAX(0,AO331*(1+H$8)-BK332),2)</f>
        <v>0</v>
      </c>
      <c r="AP332" s="27" t="n">
        <f aca="false">ROUND(MAX(0,AP331*(1+I$8)-BL332),2)</f>
        <v>0</v>
      </c>
      <c r="AQ332" s="27" t="n">
        <f aca="false">ROUND(MAX(0,AQ331*(1+J$8)-BM332),2)</f>
        <v>0</v>
      </c>
      <c r="AR332" s="27" t="n">
        <f aca="false">ROUND(MAX(0,AR331*(1+K$8)-BN332),2)</f>
        <v>0</v>
      </c>
      <c r="AS332" s="27" t="n">
        <f aca="false">SUM(AI332:AR332)</f>
        <v>0</v>
      </c>
      <c r="AT332" s="27" t="n">
        <f aca="false">SUMPRODUCT(AI331:AR331,$B$8:$K$8)</f>
        <v>0</v>
      </c>
      <c r="AU332" s="27" t="n">
        <f aca="false">MIN(AI331*(1+B$8),B$9)</f>
        <v>0</v>
      </c>
      <c r="AV332" s="27" t="n">
        <f aca="false">MIN(AJ331*(1+C$8),C$9)</f>
        <v>0</v>
      </c>
      <c r="AW332" s="27" t="n">
        <f aca="false">MIN(AK331*(1+D$8),D$9)</f>
        <v>0</v>
      </c>
      <c r="AX332" s="27" t="n">
        <f aca="false">MIN(AL331*(1+E$8),E$9)</f>
        <v>0</v>
      </c>
      <c r="AY332" s="27" t="n">
        <f aca="false">MIN(AM331*(1+F$8),F$9)</f>
        <v>0</v>
      </c>
      <c r="AZ332" s="27" t="n">
        <f aca="false">MIN(AN331*(1+G$8),G$9)</f>
        <v>0</v>
      </c>
      <c r="BA332" s="27" t="n">
        <f aca="false">MIN(AO331*(1+H$8),H$9)</f>
        <v>0</v>
      </c>
      <c r="BB332" s="27" t="n">
        <f aca="false">MIN(AP331*(1+I$8),I$9)</f>
        <v>0</v>
      </c>
      <c r="BC332" s="27" t="n">
        <f aca="false">MIN(AQ331*(1+J$8),J$9)</f>
        <v>0</v>
      </c>
      <c r="BD332" s="27" t="n">
        <f aca="false">MIN(AR331*(1+K$8),K$9)</f>
        <v>0</v>
      </c>
      <c r="BE332" s="27" t="n">
        <f aca="false">MIN(AI331*(1+B$8),MAX(AU332,$B$12-SUM(AV332:BD332)))</f>
        <v>0</v>
      </c>
      <c r="BF332" s="27" t="n">
        <f aca="false">MIN(AJ331*(1+C$8),MAX(AV332,$B$12-SUM(BE332:BE332)-SUM(AW332:BD332)))</f>
        <v>0</v>
      </c>
      <c r="BG332" s="27" t="n">
        <f aca="false">MIN(AK331*(1+D$8),MAX(AW332,$B$12-SUM(BE332:BF332)-SUM(AX332:BD332)))</f>
        <v>0</v>
      </c>
      <c r="BH332" s="27" t="n">
        <f aca="false">MIN(AL331*(1+E$8),MAX(AX332,$B$12-SUM(BE332:BG332)-SUM(AY332:BD332)))</f>
        <v>0</v>
      </c>
      <c r="BI332" s="27" t="n">
        <f aca="false">MIN(AM331*(1+F$8),MAX(AY332,$B$12-SUM(BE332:BH332)-SUM(AZ332:BD332)))</f>
        <v>0</v>
      </c>
      <c r="BJ332" s="27" t="n">
        <f aca="false">MIN(AN331*(1+G$8),MAX(AZ332,$B$12-SUM(BE332:BI332)-SUM(BA332:BD332)))</f>
        <v>0</v>
      </c>
      <c r="BK332" s="27" t="n">
        <f aca="false">MIN(AO331*(1+H$8),MAX(BA332,$B$12-SUM(BE332:BJ332)-SUM(BB332:BD332)))</f>
        <v>0</v>
      </c>
      <c r="BL332" s="27" t="n">
        <f aca="false">MIN(AP331*(1+I$8),MAX(BB332,$B$12-SUM(BE332:BK332)-SUM(BC332:BD332)))</f>
        <v>0</v>
      </c>
      <c r="BM332" s="27" t="n">
        <f aca="false">MIN(AQ331*(1+J$8),MAX(BC332,$B$12-SUM(BE332:BL332)-SUM(BD332:BD332)))</f>
        <v>0</v>
      </c>
      <c r="BN332" s="27" t="n">
        <f aca="false">MIN(AR331*(1+K$8),MAX(BD332,$B$12-SUM(BE332:BM332)))</f>
        <v>0</v>
      </c>
    </row>
    <row r="333" customFormat="false" ht="15" hidden="false" customHeight="false" outlineLevel="0" collapsed="false">
      <c r="A333" s="0" t="n">
        <v>319</v>
      </c>
      <c r="B333" s="27" t="n">
        <f aca="false">ROUND(MAX(0,B332*(1+B$8)-X333),2)</f>
        <v>0</v>
      </c>
      <c r="C333" s="27" t="n">
        <f aca="false">ROUND(MAX(0,C332*(1+C$8)-Y333),2)</f>
        <v>0</v>
      </c>
      <c r="D333" s="27" t="n">
        <f aca="false">ROUND(MAX(0,D332*(1+D$8)-Z333),2)</f>
        <v>0</v>
      </c>
      <c r="E333" s="27" t="n">
        <f aca="false">ROUND(MAX(0,E332*(1+E$8)-AA333),2)</f>
        <v>0</v>
      </c>
      <c r="F333" s="27" t="n">
        <f aca="false">ROUND(MAX(0,F332*(1+F$8)-AB333),2)</f>
        <v>0</v>
      </c>
      <c r="G333" s="27" t="n">
        <f aca="false">ROUND(MAX(0,G332*(1+G$8)-AC333),2)</f>
        <v>0</v>
      </c>
      <c r="H333" s="27" t="n">
        <f aca="false">ROUND(MAX(0,H332*(1+H$8)-AD333),2)</f>
        <v>0</v>
      </c>
      <c r="I333" s="27" t="n">
        <f aca="false">ROUND(MAX(0,I332*(1+I$8)-AE333),2)</f>
        <v>0</v>
      </c>
      <c r="J333" s="27" t="n">
        <f aca="false">ROUND(MAX(0,J332*(1+J$8)-AF333),2)</f>
        <v>0</v>
      </c>
      <c r="K333" s="27" t="n">
        <f aca="false">ROUND(MAX(0,K332*(1+K$8)-AG333),2)</f>
        <v>0</v>
      </c>
      <c r="L333" s="30" t="n">
        <f aca="false">SUM(B333:K333)</f>
        <v>0</v>
      </c>
      <c r="M333" s="27" t="n">
        <f aca="false">SUMPRODUCT(B332:K332,$B$8:$K$8)</f>
        <v>0</v>
      </c>
      <c r="N333" s="27" t="n">
        <f aca="false">MIN(B332*(1+B$8),B$9)</f>
        <v>0</v>
      </c>
      <c r="O333" s="27" t="n">
        <f aca="false">MIN(C332*(1+C$8),C$9)</f>
        <v>0</v>
      </c>
      <c r="P333" s="27" t="n">
        <f aca="false">MIN(D332*(1+D$8),D$9)</f>
        <v>0</v>
      </c>
      <c r="Q333" s="27" t="n">
        <f aca="false">MIN(E332*(1+E$8),E$9)</f>
        <v>0</v>
      </c>
      <c r="R333" s="27" t="n">
        <f aca="false">MIN(F332*(1+F$8),F$9)</f>
        <v>0</v>
      </c>
      <c r="S333" s="27" t="n">
        <f aca="false">MIN(G332*(1+G$8),G$9)</f>
        <v>0</v>
      </c>
      <c r="T333" s="27" t="n">
        <f aca="false">MIN(H332*(1+H$8),H$9)</f>
        <v>0</v>
      </c>
      <c r="U333" s="27" t="n">
        <f aca="false">MIN(I332*(1+I$8),I$9)</f>
        <v>0</v>
      </c>
      <c r="V333" s="27" t="n">
        <f aca="false">MIN(J332*(1+J$8),J$9)</f>
        <v>0</v>
      </c>
      <c r="W333" s="27" t="n">
        <f aca="false">MIN(K332*(1+K$8),K$9)</f>
        <v>0</v>
      </c>
      <c r="X333" s="27" t="n">
        <f aca="false">MIN(B332*(1+B$8),MAX(N333,$B$11-SUM(O333:W333)))</f>
        <v>0</v>
      </c>
      <c r="Y333" s="27" t="n">
        <f aca="false">MIN(C332*(1+C$8),MAX(O333,$B$11-SUM(X333:X333)-SUM(P333:W333)))</f>
        <v>0</v>
      </c>
      <c r="Z333" s="27" t="n">
        <f aca="false">MIN(D332*(1+D$8),MAX(P333,$B$11-SUM(X333:Y333)-SUM(Q333:W333)))</f>
        <v>0</v>
      </c>
      <c r="AA333" s="27" t="n">
        <f aca="false">MIN(E332*(1+E$8),MAX(Q333,$B$11-SUM(X333:Z333)-SUM(R333:W333)))</f>
        <v>0</v>
      </c>
      <c r="AB333" s="27" t="n">
        <f aca="false">MIN(F332*(1+F$8),MAX(R333,$B$11-SUM(X333:AA333)-SUM(S333:W333)))</f>
        <v>0</v>
      </c>
      <c r="AC333" s="27" t="n">
        <f aca="false">MIN(G332*(1+G$8),MAX(S333,$B$11-SUM(X333:AB333)-SUM(T333:W333)))</f>
        <v>0</v>
      </c>
      <c r="AD333" s="27" t="n">
        <f aca="false">MIN(H332*(1+H$8),MAX(T333,$B$11-SUM(X333:AC333)-SUM(U333:W333)))</f>
        <v>0</v>
      </c>
      <c r="AE333" s="27" t="n">
        <f aca="false">MIN(I332*(1+I$8),MAX(U333,$B$11-SUM(X333:AD333)-SUM(V333:W333)))</f>
        <v>0</v>
      </c>
      <c r="AF333" s="27" t="n">
        <f aca="false">MIN(J332*(1+J$8),MAX(V333,$B$11-SUM(X333:AE333)-SUM(W333:W333)))</f>
        <v>0</v>
      </c>
      <c r="AG333" s="27" t="n">
        <f aca="false">MIN(K332*(1+K$8),MAX(W333,$B$11-SUM(X333:AF333)))</f>
        <v>0</v>
      </c>
      <c r="AI333" s="27" t="n">
        <f aca="false">ROUND(MAX(0,AI332*(1+B$8)-BE333),2)</f>
        <v>0</v>
      </c>
      <c r="AJ333" s="27" t="n">
        <f aca="false">ROUND(MAX(0,AJ332*(1+C$8)-BF333),2)</f>
        <v>0</v>
      </c>
      <c r="AK333" s="27" t="n">
        <f aca="false">ROUND(MAX(0,AK332*(1+D$8)-BG333),2)</f>
        <v>0</v>
      </c>
      <c r="AL333" s="27" t="n">
        <f aca="false">ROUND(MAX(0,AL332*(1+E$8)-BH333),2)</f>
        <v>0</v>
      </c>
      <c r="AM333" s="27" t="n">
        <f aca="false">ROUND(MAX(0,AM332*(1+F$8)-BI333),2)</f>
        <v>0</v>
      </c>
      <c r="AN333" s="27" t="n">
        <f aca="false">ROUND(MAX(0,AN332*(1+G$8)-BJ333),2)</f>
        <v>0</v>
      </c>
      <c r="AO333" s="27" t="n">
        <f aca="false">ROUND(MAX(0,AO332*(1+H$8)-BK333),2)</f>
        <v>0</v>
      </c>
      <c r="AP333" s="27" t="n">
        <f aca="false">ROUND(MAX(0,AP332*(1+I$8)-BL333),2)</f>
        <v>0</v>
      </c>
      <c r="AQ333" s="27" t="n">
        <f aca="false">ROUND(MAX(0,AQ332*(1+J$8)-BM333),2)</f>
        <v>0</v>
      </c>
      <c r="AR333" s="27" t="n">
        <f aca="false">ROUND(MAX(0,AR332*(1+K$8)-BN333),2)</f>
        <v>0</v>
      </c>
      <c r="AS333" s="27" t="n">
        <f aca="false">SUM(AI333:AR333)</f>
        <v>0</v>
      </c>
      <c r="AT333" s="27" t="n">
        <f aca="false">SUMPRODUCT(AI332:AR332,$B$8:$K$8)</f>
        <v>0</v>
      </c>
      <c r="AU333" s="27" t="n">
        <f aca="false">MIN(AI332*(1+B$8),B$9)</f>
        <v>0</v>
      </c>
      <c r="AV333" s="27" t="n">
        <f aca="false">MIN(AJ332*(1+C$8),C$9)</f>
        <v>0</v>
      </c>
      <c r="AW333" s="27" t="n">
        <f aca="false">MIN(AK332*(1+D$8),D$9)</f>
        <v>0</v>
      </c>
      <c r="AX333" s="27" t="n">
        <f aca="false">MIN(AL332*(1+E$8),E$9)</f>
        <v>0</v>
      </c>
      <c r="AY333" s="27" t="n">
        <f aca="false">MIN(AM332*(1+F$8),F$9)</f>
        <v>0</v>
      </c>
      <c r="AZ333" s="27" t="n">
        <f aca="false">MIN(AN332*(1+G$8),G$9)</f>
        <v>0</v>
      </c>
      <c r="BA333" s="27" t="n">
        <f aca="false">MIN(AO332*(1+H$8),H$9)</f>
        <v>0</v>
      </c>
      <c r="BB333" s="27" t="n">
        <f aca="false">MIN(AP332*(1+I$8),I$9)</f>
        <v>0</v>
      </c>
      <c r="BC333" s="27" t="n">
        <f aca="false">MIN(AQ332*(1+J$8),J$9)</f>
        <v>0</v>
      </c>
      <c r="BD333" s="27" t="n">
        <f aca="false">MIN(AR332*(1+K$8),K$9)</f>
        <v>0</v>
      </c>
      <c r="BE333" s="27" t="n">
        <f aca="false">MIN(AI332*(1+B$8),MAX(AU333,$B$12-SUM(AV333:BD333)))</f>
        <v>0</v>
      </c>
      <c r="BF333" s="27" t="n">
        <f aca="false">MIN(AJ332*(1+C$8),MAX(AV333,$B$12-SUM(BE333:BE333)-SUM(AW333:BD333)))</f>
        <v>0</v>
      </c>
      <c r="BG333" s="27" t="n">
        <f aca="false">MIN(AK332*(1+D$8),MAX(AW333,$B$12-SUM(BE333:BF333)-SUM(AX333:BD333)))</f>
        <v>0</v>
      </c>
      <c r="BH333" s="27" t="n">
        <f aca="false">MIN(AL332*(1+E$8),MAX(AX333,$B$12-SUM(BE333:BG333)-SUM(AY333:BD333)))</f>
        <v>0</v>
      </c>
      <c r="BI333" s="27" t="n">
        <f aca="false">MIN(AM332*(1+F$8),MAX(AY333,$B$12-SUM(BE333:BH333)-SUM(AZ333:BD333)))</f>
        <v>0</v>
      </c>
      <c r="BJ333" s="27" t="n">
        <f aca="false">MIN(AN332*(1+G$8),MAX(AZ333,$B$12-SUM(BE333:BI333)-SUM(BA333:BD333)))</f>
        <v>0</v>
      </c>
      <c r="BK333" s="27" t="n">
        <f aca="false">MIN(AO332*(1+H$8),MAX(BA333,$B$12-SUM(BE333:BJ333)-SUM(BB333:BD333)))</f>
        <v>0</v>
      </c>
      <c r="BL333" s="27" t="n">
        <f aca="false">MIN(AP332*(1+I$8),MAX(BB333,$B$12-SUM(BE333:BK333)-SUM(BC333:BD333)))</f>
        <v>0</v>
      </c>
      <c r="BM333" s="27" t="n">
        <f aca="false">MIN(AQ332*(1+J$8),MAX(BC333,$B$12-SUM(BE333:BL333)-SUM(BD333:BD333)))</f>
        <v>0</v>
      </c>
      <c r="BN333" s="27" t="n">
        <f aca="false">MIN(AR332*(1+K$8),MAX(BD333,$B$12-SUM(BE333:BM333)))</f>
        <v>0</v>
      </c>
    </row>
    <row r="334" customFormat="false" ht="15" hidden="false" customHeight="false" outlineLevel="0" collapsed="false">
      <c r="A334" s="0" t="n">
        <v>320</v>
      </c>
      <c r="B334" s="27" t="n">
        <f aca="false">ROUND(MAX(0,B333*(1+B$8)-X334),2)</f>
        <v>0</v>
      </c>
      <c r="C334" s="27" t="n">
        <f aca="false">ROUND(MAX(0,C333*(1+C$8)-Y334),2)</f>
        <v>0</v>
      </c>
      <c r="D334" s="27" t="n">
        <f aca="false">ROUND(MAX(0,D333*(1+D$8)-Z334),2)</f>
        <v>0</v>
      </c>
      <c r="E334" s="27" t="n">
        <f aca="false">ROUND(MAX(0,E333*(1+E$8)-AA334),2)</f>
        <v>0</v>
      </c>
      <c r="F334" s="27" t="n">
        <f aca="false">ROUND(MAX(0,F333*(1+F$8)-AB334),2)</f>
        <v>0</v>
      </c>
      <c r="G334" s="27" t="n">
        <f aca="false">ROUND(MAX(0,G333*(1+G$8)-AC334),2)</f>
        <v>0</v>
      </c>
      <c r="H334" s="27" t="n">
        <f aca="false">ROUND(MAX(0,H333*(1+H$8)-AD334),2)</f>
        <v>0</v>
      </c>
      <c r="I334" s="27" t="n">
        <f aca="false">ROUND(MAX(0,I333*(1+I$8)-AE334),2)</f>
        <v>0</v>
      </c>
      <c r="J334" s="27" t="n">
        <f aca="false">ROUND(MAX(0,J333*(1+J$8)-AF334),2)</f>
        <v>0</v>
      </c>
      <c r="K334" s="27" t="n">
        <f aca="false">ROUND(MAX(0,K333*(1+K$8)-AG334),2)</f>
        <v>0</v>
      </c>
      <c r="L334" s="30" t="n">
        <f aca="false">SUM(B334:K334)</f>
        <v>0</v>
      </c>
      <c r="M334" s="27" t="n">
        <f aca="false">SUMPRODUCT(B333:K333,$B$8:$K$8)</f>
        <v>0</v>
      </c>
      <c r="N334" s="27" t="n">
        <f aca="false">MIN(B333*(1+B$8),B$9)</f>
        <v>0</v>
      </c>
      <c r="O334" s="27" t="n">
        <f aca="false">MIN(C333*(1+C$8),C$9)</f>
        <v>0</v>
      </c>
      <c r="P334" s="27" t="n">
        <f aca="false">MIN(D333*(1+D$8),D$9)</f>
        <v>0</v>
      </c>
      <c r="Q334" s="27" t="n">
        <f aca="false">MIN(E333*(1+E$8),E$9)</f>
        <v>0</v>
      </c>
      <c r="R334" s="27" t="n">
        <f aca="false">MIN(F333*(1+F$8),F$9)</f>
        <v>0</v>
      </c>
      <c r="S334" s="27" t="n">
        <f aca="false">MIN(G333*(1+G$8),G$9)</f>
        <v>0</v>
      </c>
      <c r="T334" s="27" t="n">
        <f aca="false">MIN(H333*(1+H$8),H$9)</f>
        <v>0</v>
      </c>
      <c r="U334" s="27" t="n">
        <f aca="false">MIN(I333*(1+I$8),I$9)</f>
        <v>0</v>
      </c>
      <c r="V334" s="27" t="n">
        <f aca="false">MIN(J333*(1+J$8),J$9)</f>
        <v>0</v>
      </c>
      <c r="W334" s="27" t="n">
        <f aca="false">MIN(K333*(1+K$8),K$9)</f>
        <v>0</v>
      </c>
      <c r="X334" s="27" t="n">
        <f aca="false">MIN(B333*(1+B$8),MAX(N334,$B$11-SUM(O334:W334)))</f>
        <v>0</v>
      </c>
      <c r="Y334" s="27" t="n">
        <f aca="false">MIN(C333*(1+C$8),MAX(O334,$B$11-SUM(X334:X334)-SUM(P334:W334)))</f>
        <v>0</v>
      </c>
      <c r="Z334" s="27" t="n">
        <f aca="false">MIN(D333*(1+D$8),MAX(P334,$B$11-SUM(X334:Y334)-SUM(Q334:W334)))</f>
        <v>0</v>
      </c>
      <c r="AA334" s="27" t="n">
        <f aca="false">MIN(E333*(1+E$8),MAX(Q334,$B$11-SUM(X334:Z334)-SUM(R334:W334)))</f>
        <v>0</v>
      </c>
      <c r="AB334" s="27" t="n">
        <f aca="false">MIN(F333*(1+F$8),MAX(R334,$B$11-SUM(X334:AA334)-SUM(S334:W334)))</f>
        <v>0</v>
      </c>
      <c r="AC334" s="27" t="n">
        <f aca="false">MIN(G333*(1+G$8),MAX(S334,$B$11-SUM(X334:AB334)-SUM(T334:W334)))</f>
        <v>0</v>
      </c>
      <c r="AD334" s="27" t="n">
        <f aca="false">MIN(H333*(1+H$8),MAX(T334,$B$11-SUM(X334:AC334)-SUM(U334:W334)))</f>
        <v>0</v>
      </c>
      <c r="AE334" s="27" t="n">
        <f aca="false">MIN(I333*(1+I$8),MAX(U334,$B$11-SUM(X334:AD334)-SUM(V334:W334)))</f>
        <v>0</v>
      </c>
      <c r="AF334" s="27" t="n">
        <f aca="false">MIN(J333*(1+J$8),MAX(V334,$B$11-SUM(X334:AE334)-SUM(W334:W334)))</f>
        <v>0</v>
      </c>
      <c r="AG334" s="27" t="n">
        <f aca="false">MIN(K333*(1+K$8),MAX(W334,$B$11-SUM(X334:AF334)))</f>
        <v>0</v>
      </c>
      <c r="AI334" s="27" t="n">
        <f aca="false">ROUND(MAX(0,AI333*(1+B$8)-BE334),2)</f>
        <v>0</v>
      </c>
      <c r="AJ334" s="27" t="n">
        <f aca="false">ROUND(MAX(0,AJ333*(1+C$8)-BF334),2)</f>
        <v>0</v>
      </c>
      <c r="AK334" s="27" t="n">
        <f aca="false">ROUND(MAX(0,AK333*(1+D$8)-BG334),2)</f>
        <v>0</v>
      </c>
      <c r="AL334" s="27" t="n">
        <f aca="false">ROUND(MAX(0,AL333*(1+E$8)-BH334),2)</f>
        <v>0</v>
      </c>
      <c r="AM334" s="27" t="n">
        <f aca="false">ROUND(MAX(0,AM333*(1+F$8)-BI334),2)</f>
        <v>0</v>
      </c>
      <c r="AN334" s="27" t="n">
        <f aca="false">ROUND(MAX(0,AN333*(1+G$8)-BJ334),2)</f>
        <v>0</v>
      </c>
      <c r="AO334" s="27" t="n">
        <f aca="false">ROUND(MAX(0,AO333*(1+H$8)-BK334),2)</f>
        <v>0</v>
      </c>
      <c r="AP334" s="27" t="n">
        <f aca="false">ROUND(MAX(0,AP333*(1+I$8)-BL334),2)</f>
        <v>0</v>
      </c>
      <c r="AQ334" s="27" t="n">
        <f aca="false">ROUND(MAX(0,AQ333*(1+J$8)-BM334),2)</f>
        <v>0</v>
      </c>
      <c r="AR334" s="27" t="n">
        <f aca="false">ROUND(MAX(0,AR333*(1+K$8)-BN334),2)</f>
        <v>0</v>
      </c>
      <c r="AS334" s="27" t="n">
        <f aca="false">SUM(AI334:AR334)</f>
        <v>0</v>
      </c>
      <c r="AT334" s="27" t="n">
        <f aca="false">SUMPRODUCT(AI333:AR333,$B$8:$K$8)</f>
        <v>0</v>
      </c>
      <c r="AU334" s="27" t="n">
        <f aca="false">MIN(AI333*(1+B$8),B$9)</f>
        <v>0</v>
      </c>
      <c r="AV334" s="27" t="n">
        <f aca="false">MIN(AJ333*(1+C$8),C$9)</f>
        <v>0</v>
      </c>
      <c r="AW334" s="27" t="n">
        <f aca="false">MIN(AK333*(1+D$8),D$9)</f>
        <v>0</v>
      </c>
      <c r="AX334" s="27" t="n">
        <f aca="false">MIN(AL333*(1+E$8),E$9)</f>
        <v>0</v>
      </c>
      <c r="AY334" s="27" t="n">
        <f aca="false">MIN(AM333*(1+F$8),F$9)</f>
        <v>0</v>
      </c>
      <c r="AZ334" s="27" t="n">
        <f aca="false">MIN(AN333*(1+G$8),G$9)</f>
        <v>0</v>
      </c>
      <c r="BA334" s="27" t="n">
        <f aca="false">MIN(AO333*(1+H$8),H$9)</f>
        <v>0</v>
      </c>
      <c r="BB334" s="27" t="n">
        <f aca="false">MIN(AP333*(1+I$8),I$9)</f>
        <v>0</v>
      </c>
      <c r="BC334" s="27" t="n">
        <f aca="false">MIN(AQ333*(1+J$8),J$9)</f>
        <v>0</v>
      </c>
      <c r="BD334" s="27" t="n">
        <f aca="false">MIN(AR333*(1+K$8),K$9)</f>
        <v>0</v>
      </c>
      <c r="BE334" s="27" t="n">
        <f aca="false">MIN(AI333*(1+B$8),MAX(AU334,$B$12-SUM(AV334:BD334)))</f>
        <v>0</v>
      </c>
      <c r="BF334" s="27" t="n">
        <f aca="false">MIN(AJ333*(1+C$8),MAX(AV334,$B$12-SUM(BE334:BE334)-SUM(AW334:BD334)))</f>
        <v>0</v>
      </c>
      <c r="BG334" s="27" t="n">
        <f aca="false">MIN(AK333*(1+D$8),MAX(AW334,$B$12-SUM(BE334:BF334)-SUM(AX334:BD334)))</f>
        <v>0</v>
      </c>
      <c r="BH334" s="27" t="n">
        <f aca="false">MIN(AL333*(1+E$8),MAX(AX334,$B$12-SUM(BE334:BG334)-SUM(AY334:BD334)))</f>
        <v>0</v>
      </c>
      <c r="BI334" s="27" t="n">
        <f aca="false">MIN(AM333*(1+F$8),MAX(AY334,$B$12-SUM(BE334:BH334)-SUM(AZ334:BD334)))</f>
        <v>0</v>
      </c>
      <c r="BJ334" s="27" t="n">
        <f aca="false">MIN(AN333*(1+G$8),MAX(AZ334,$B$12-SUM(BE334:BI334)-SUM(BA334:BD334)))</f>
        <v>0</v>
      </c>
      <c r="BK334" s="27" t="n">
        <f aca="false">MIN(AO333*(1+H$8),MAX(BA334,$B$12-SUM(BE334:BJ334)-SUM(BB334:BD334)))</f>
        <v>0</v>
      </c>
      <c r="BL334" s="27" t="n">
        <f aca="false">MIN(AP333*(1+I$8),MAX(BB334,$B$12-SUM(BE334:BK334)-SUM(BC334:BD334)))</f>
        <v>0</v>
      </c>
      <c r="BM334" s="27" t="n">
        <f aca="false">MIN(AQ333*(1+J$8),MAX(BC334,$B$12-SUM(BE334:BL334)-SUM(BD334:BD334)))</f>
        <v>0</v>
      </c>
      <c r="BN334" s="27" t="n">
        <f aca="false">MIN(AR333*(1+K$8),MAX(BD334,$B$12-SUM(BE334:BM334)))</f>
        <v>0</v>
      </c>
    </row>
    <row r="335" customFormat="false" ht="15" hidden="false" customHeight="false" outlineLevel="0" collapsed="false">
      <c r="A335" s="0" t="n">
        <v>321</v>
      </c>
      <c r="B335" s="27" t="n">
        <f aca="false">ROUND(MAX(0,B334*(1+B$8)-X335),2)</f>
        <v>0</v>
      </c>
      <c r="C335" s="27" t="n">
        <f aca="false">ROUND(MAX(0,C334*(1+C$8)-Y335),2)</f>
        <v>0</v>
      </c>
      <c r="D335" s="27" t="n">
        <f aca="false">ROUND(MAX(0,D334*(1+D$8)-Z335),2)</f>
        <v>0</v>
      </c>
      <c r="E335" s="27" t="n">
        <f aca="false">ROUND(MAX(0,E334*(1+E$8)-AA335),2)</f>
        <v>0</v>
      </c>
      <c r="F335" s="27" t="n">
        <f aca="false">ROUND(MAX(0,F334*(1+F$8)-AB335),2)</f>
        <v>0</v>
      </c>
      <c r="G335" s="27" t="n">
        <f aca="false">ROUND(MAX(0,G334*(1+G$8)-AC335),2)</f>
        <v>0</v>
      </c>
      <c r="H335" s="27" t="n">
        <f aca="false">ROUND(MAX(0,H334*(1+H$8)-AD335),2)</f>
        <v>0</v>
      </c>
      <c r="I335" s="27" t="n">
        <f aca="false">ROUND(MAX(0,I334*(1+I$8)-AE335),2)</f>
        <v>0</v>
      </c>
      <c r="J335" s="27" t="n">
        <f aca="false">ROUND(MAX(0,J334*(1+J$8)-AF335),2)</f>
        <v>0</v>
      </c>
      <c r="K335" s="27" t="n">
        <f aca="false">ROUND(MAX(0,K334*(1+K$8)-AG335),2)</f>
        <v>0</v>
      </c>
      <c r="L335" s="30" t="n">
        <f aca="false">SUM(B335:K335)</f>
        <v>0</v>
      </c>
      <c r="M335" s="27" t="n">
        <f aca="false">SUMPRODUCT(B334:K334,$B$8:$K$8)</f>
        <v>0</v>
      </c>
      <c r="N335" s="27" t="n">
        <f aca="false">MIN(B334*(1+B$8),B$9)</f>
        <v>0</v>
      </c>
      <c r="O335" s="27" t="n">
        <f aca="false">MIN(C334*(1+C$8),C$9)</f>
        <v>0</v>
      </c>
      <c r="P335" s="27" t="n">
        <f aca="false">MIN(D334*(1+D$8),D$9)</f>
        <v>0</v>
      </c>
      <c r="Q335" s="27" t="n">
        <f aca="false">MIN(E334*(1+E$8),E$9)</f>
        <v>0</v>
      </c>
      <c r="R335" s="27" t="n">
        <f aca="false">MIN(F334*(1+F$8),F$9)</f>
        <v>0</v>
      </c>
      <c r="S335" s="27" t="n">
        <f aca="false">MIN(G334*(1+G$8),G$9)</f>
        <v>0</v>
      </c>
      <c r="T335" s="27" t="n">
        <f aca="false">MIN(H334*(1+H$8),H$9)</f>
        <v>0</v>
      </c>
      <c r="U335" s="27" t="n">
        <f aca="false">MIN(I334*(1+I$8),I$9)</f>
        <v>0</v>
      </c>
      <c r="V335" s="27" t="n">
        <f aca="false">MIN(J334*(1+J$8),J$9)</f>
        <v>0</v>
      </c>
      <c r="W335" s="27" t="n">
        <f aca="false">MIN(K334*(1+K$8),K$9)</f>
        <v>0</v>
      </c>
      <c r="X335" s="27" t="n">
        <f aca="false">MIN(B334*(1+B$8),MAX(N335,$B$11-SUM(O335:W335)))</f>
        <v>0</v>
      </c>
      <c r="Y335" s="27" t="n">
        <f aca="false">MIN(C334*(1+C$8),MAX(O335,$B$11-SUM(X335:X335)-SUM(P335:W335)))</f>
        <v>0</v>
      </c>
      <c r="Z335" s="27" t="n">
        <f aca="false">MIN(D334*(1+D$8),MAX(P335,$B$11-SUM(X335:Y335)-SUM(Q335:W335)))</f>
        <v>0</v>
      </c>
      <c r="AA335" s="27" t="n">
        <f aca="false">MIN(E334*(1+E$8),MAX(Q335,$B$11-SUM(X335:Z335)-SUM(R335:W335)))</f>
        <v>0</v>
      </c>
      <c r="AB335" s="27" t="n">
        <f aca="false">MIN(F334*(1+F$8),MAX(R335,$B$11-SUM(X335:AA335)-SUM(S335:W335)))</f>
        <v>0</v>
      </c>
      <c r="AC335" s="27" t="n">
        <f aca="false">MIN(G334*(1+G$8),MAX(S335,$B$11-SUM(X335:AB335)-SUM(T335:W335)))</f>
        <v>0</v>
      </c>
      <c r="AD335" s="27" t="n">
        <f aca="false">MIN(H334*(1+H$8),MAX(T335,$B$11-SUM(X335:AC335)-SUM(U335:W335)))</f>
        <v>0</v>
      </c>
      <c r="AE335" s="27" t="n">
        <f aca="false">MIN(I334*(1+I$8),MAX(U335,$B$11-SUM(X335:AD335)-SUM(V335:W335)))</f>
        <v>0</v>
      </c>
      <c r="AF335" s="27" t="n">
        <f aca="false">MIN(J334*(1+J$8),MAX(V335,$B$11-SUM(X335:AE335)-SUM(W335:W335)))</f>
        <v>0</v>
      </c>
      <c r="AG335" s="27" t="n">
        <f aca="false">MIN(K334*(1+K$8),MAX(W335,$B$11-SUM(X335:AF335)))</f>
        <v>0</v>
      </c>
      <c r="AI335" s="27" t="n">
        <f aca="false">ROUND(MAX(0,AI334*(1+B$8)-BE335),2)</f>
        <v>0</v>
      </c>
      <c r="AJ335" s="27" t="n">
        <f aca="false">ROUND(MAX(0,AJ334*(1+C$8)-BF335),2)</f>
        <v>0</v>
      </c>
      <c r="AK335" s="27" t="n">
        <f aca="false">ROUND(MAX(0,AK334*(1+D$8)-BG335),2)</f>
        <v>0</v>
      </c>
      <c r="AL335" s="27" t="n">
        <f aca="false">ROUND(MAX(0,AL334*(1+E$8)-BH335),2)</f>
        <v>0</v>
      </c>
      <c r="AM335" s="27" t="n">
        <f aca="false">ROUND(MAX(0,AM334*(1+F$8)-BI335),2)</f>
        <v>0</v>
      </c>
      <c r="AN335" s="27" t="n">
        <f aca="false">ROUND(MAX(0,AN334*(1+G$8)-BJ335),2)</f>
        <v>0</v>
      </c>
      <c r="AO335" s="27" t="n">
        <f aca="false">ROUND(MAX(0,AO334*(1+H$8)-BK335),2)</f>
        <v>0</v>
      </c>
      <c r="AP335" s="27" t="n">
        <f aca="false">ROUND(MAX(0,AP334*(1+I$8)-BL335),2)</f>
        <v>0</v>
      </c>
      <c r="AQ335" s="27" t="n">
        <f aca="false">ROUND(MAX(0,AQ334*(1+J$8)-BM335),2)</f>
        <v>0</v>
      </c>
      <c r="AR335" s="27" t="n">
        <f aca="false">ROUND(MAX(0,AR334*(1+K$8)-BN335),2)</f>
        <v>0</v>
      </c>
      <c r="AS335" s="27" t="n">
        <f aca="false">SUM(AI335:AR335)</f>
        <v>0</v>
      </c>
      <c r="AT335" s="27" t="n">
        <f aca="false">SUMPRODUCT(AI334:AR334,$B$8:$K$8)</f>
        <v>0</v>
      </c>
      <c r="AU335" s="27" t="n">
        <f aca="false">MIN(AI334*(1+B$8),B$9)</f>
        <v>0</v>
      </c>
      <c r="AV335" s="27" t="n">
        <f aca="false">MIN(AJ334*(1+C$8),C$9)</f>
        <v>0</v>
      </c>
      <c r="AW335" s="27" t="n">
        <f aca="false">MIN(AK334*(1+D$8),D$9)</f>
        <v>0</v>
      </c>
      <c r="AX335" s="27" t="n">
        <f aca="false">MIN(AL334*(1+E$8),E$9)</f>
        <v>0</v>
      </c>
      <c r="AY335" s="27" t="n">
        <f aca="false">MIN(AM334*(1+F$8),F$9)</f>
        <v>0</v>
      </c>
      <c r="AZ335" s="27" t="n">
        <f aca="false">MIN(AN334*(1+G$8),G$9)</f>
        <v>0</v>
      </c>
      <c r="BA335" s="27" t="n">
        <f aca="false">MIN(AO334*(1+H$8),H$9)</f>
        <v>0</v>
      </c>
      <c r="BB335" s="27" t="n">
        <f aca="false">MIN(AP334*(1+I$8),I$9)</f>
        <v>0</v>
      </c>
      <c r="BC335" s="27" t="n">
        <f aca="false">MIN(AQ334*(1+J$8),J$9)</f>
        <v>0</v>
      </c>
      <c r="BD335" s="27" t="n">
        <f aca="false">MIN(AR334*(1+K$8),K$9)</f>
        <v>0</v>
      </c>
      <c r="BE335" s="27" t="n">
        <f aca="false">MIN(AI334*(1+B$8),MAX(AU335,$B$12-SUM(AV335:BD335)))</f>
        <v>0</v>
      </c>
      <c r="BF335" s="27" t="n">
        <f aca="false">MIN(AJ334*(1+C$8),MAX(AV335,$B$12-SUM(BE335:BE335)-SUM(AW335:BD335)))</f>
        <v>0</v>
      </c>
      <c r="BG335" s="27" t="n">
        <f aca="false">MIN(AK334*(1+D$8),MAX(AW335,$B$12-SUM(BE335:BF335)-SUM(AX335:BD335)))</f>
        <v>0</v>
      </c>
      <c r="BH335" s="27" t="n">
        <f aca="false">MIN(AL334*(1+E$8),MAX(AX335,$B$12-SUM(BE335:BG335)-SUM(AY335:BD335)))</f>
        <v>0</v>
      </c>
      <c r="BI335" s="27" t="n">
        <f aca="false">MIN(AM334*(1+F$8),MAX(AY335,$B$12-SUM(BE335:BH335)-SUM(AZ335:BD335)))</f>
        <v>0</v>
      </c>
      <c r="BJ335" s="27" t="n">
        <f aca="false">MIN(AN334*(1+G$8),MAX(AZ335,$B$12-SUM(BE335:BI335)-SUM(BA335:BD335)))</f>
        <v>0</v>
      </c>
      <c r="BK335" s="27" t="n">
        <f aca="false">MIN(AO334*(1+H$8),MAX(BA335,$B$12-SUM(BE335:BJ335)-SUM(BB335:BD335)))</f>
        <v>0</v>
      </c>
      <c r="BL335" s="27" t="n">
        <f aca="false">MIN(AP334*(1+I$8),MAX(BB335,$B$12-SUM(BE335:BK335)-SUM(BC335:BD335)))</f>
        <v>0</v>
      </c>
      <c r="BM335" s="27" t="n">
        <f aca="false">MIN(AQ334*(1+J$8),MAX(BC335,$B$12-SUM(BE335:BL335)-SUM(BD335:BD335)))</f>
        <v>0</v>
      </c>
      <c r="BN335" s="27" t="n">
        <f aca="false">MIN(AR334*(1+K$8),MAX(BD335,$B$12-SUM(BE335:BM335)))</f>
        <v>0</v>
      </c>
    </row>
    <row r="336" customFormat="false" ht="15" hidden="false" customHeight="false" outlineLevel="0" collapsed="false">
      <c r="A336" s="0" t="n">
        <v>322</v>
      </c>
      <c r="B336" s="27" t="n">
        <f aca="false">ROUND(MAX(0,B335*(1+B$8)-X336),2)</f>
        <v>0</v>
      </c>
      <c r="C336" s="27" t="n">
        <f aca="false">ROUND(MAX(0,C335*(1+C$8)-Y336),2)</f>
        <v>0</v>
      </c>
      <c r="D336" s="27" t="n">
        <f aca="false">ROUND(MAX(0,D335*(1+D$8)-Z336),2)</f>
        <v>0</v>
      </c>
      <c r="E336" s="27" t="n">
        <f aca="false">ROUND(MAX(0,E335*(1+E$8)-AA336),2)</f>
        <v>0</v>
      </c>
      <c r="F336" s="27" t="n">
        <f aca="false">ROUND(MAX(0,F335*(1+F$8)-AB336),2)</f>
        <v>0</v>
      </c>
      <c r="G336" s="27" t="n">
        <f aca="false">ROUND(MAX(0,G335*(1+G$8)-AC336),2)</f>
        <v>0</v>
      </c>
      <c r="H336" s="27" t="n">
        <f aca="false">ROUND(MAX(0,H335*(1+H$8)-AD336),2)</f>
        <v>0</v>
      </c>
      <c r="I336" s="27" t="n">
        <f aca="false">ROUND(MAX(0,I335*(1+I$8)-AE336),2)</f>
        <v>0</v>
      </c>
      <c r="J336" s="27" t="n">
        <f aca="false">ROUND(MAX(0,J335*(1+J$8)-AF336),2)</f>
        <v>0</v>
      </c>
      <c r="K336" s="27" t="n">
        <f aca="false">ROUND(MAX(0,K335*(1+K$8)-AG336),2)</f>
        <v>0</v>
      </c>
      <c r="L336" s="30" t="n">
        <f aca="false">SUM(B336:K336)</f>
        <v>0</v>
      </c>
      <c r="M336" s="27" t="n">
        <f aca="false">SUMPRODUCT(B335:K335,$B$8:$K$8)</f>
        <v>0</v>
      </c>
      <c r="N336" s="27" t="n">
        <f aca="false">MIN(B335*(1+B$8),B$9)</f>
        <v>0</v>
      </c>
      <c r="O336" s="27" t="n">
        <f aca="false">MIN(C335*(1+C$8),C$9)</f>
        <v>0</v>
      </c>
      <c r="P336" s="27" t="n">
        <f aca="false">MIN(D335*(1+D$8),D$9)</f>
        <v>0</v>
      </c>
      <c r="Q336" s="27" t="n">
        <f aca="false">MIN(E335*(1+E$8),E$9)</f>
        <v>0</v>
      </c>
      <c r="R336" s="27" t="n">
        <f aca="false">MIN(F335*(1+F$8),F$9)</f>
        <v>0</v>
      </c>
      <c r="S336" s="27" t="n">
        <f aca="false">MIN(G335*(1+G$8),G$9)</f>
        <v>0</v>
      </c>
      <c r="T336" s="27" t="n">
        <f aca="false">MIN(H335*(1+H$8),H$9)</f>
        <v>0</v>
      </c>
      <c r="U336" s="27" t="n">
        <f aca="false">MIN(I335*(1+I$8),I$9)</f>
        <v>0</v>
      </c>
      <c r="V336" s="27" t="n">
        <f aca="false">MIN(J335*(1+J$8),J$9)</f>
        <v>0</v>
      </c>
      <c r="W336" s="27" t="n">
        <f aca="false">MIN(K335*(1+K$8),K$9)</f>
        <v>0</v>
      </c>
      <c r="X336" s="27" t="n">
        <f aca="false">MIN(B335*(1+B$8),MAX(N336,$B$11-SUM(O336:W336)))</f>
        <v>0</v>
      </c>
      <c r="Y336" s="27" t="n">
        <f aca="false">MIN(C335*(1+C$8),MAX(O336,$B$11-SUM(X336:X336)-SUM(P336:W336)))</f>
        <v>0</v>
      </c>
      <c r="Z336" s="27" t="n">
        <f aca="false">MIN(D335*(1+D$8),MAX(P336,$B$11-SUM(X336:Y336)-SUM(Q336:W336)))</f>
        <v>0</v>
      </c>
      <c r="AA336" s="27" t="n">
        <f aca="false">MIN(E335*(1+E$8),MAX(Q336,$B$11-SUM(X336:Z336)-SUM(R336:W336)))</f>
        <v>0</v>
      </c>
      <c r="AB336" s="27" t="n">
        <f aca="false">MIN(F335*(1+F$8),MAX(R336,$B$11-SUM(X336:AA336)-SUM(S336:W336)))</f>
        <v>0</v>
      </c>
      <c r="AC336" s="27" t="n">
        <f aca="false">MIN(G335*(1+G$8),MAX(S336,$B$11-SUM(X336:AB336)-SUM(T336:W336)))</f>
        <v>0</v>
      </c>
      <c r="AD336" s="27" t="n">
        <f aca="false">MIN(H335*(1+H$8),MAX(T336,$B$11-SUM(X336:AC336)-SUM(U336:W336)))</f>
        <v>0</v>
      </c>
      <c r="AE336" s="27" t="n">
        <f aca="false">MIN(I335*(1+I$8),MAX(U336,$B$11-SUM(X336:AD336)-SUM(V336:W336)))</f>
        <v>0</v>
      </c>
      <c r="AF336" s="27" t="n">
        <f aca="false">MIN(J335*(1+J$8),MAX(V336,$B$11-SUM(X336:AE336)-SUM(W336:W336)))</f>
        <v>0</v>
      </c>
      <c r="AG336" s="27" t="n">
        <f aca="false">MIN(K335*(1+K$8),MAX(W336,$B$11-SUM(X336:AF336)))</f>
        <v>0</v>
      </c>
      <c r="AI336" s="27" t="n">
        <f aca="false">ROUND(MAX(0,AI335*(1+B$8)-BE336),2)</f>
        <v>0</v>
      </c>
      <c r="AJ336" s="27" t="n">
        <f aca="false">ROUND(MAX(0,AJ335*(1+C$8)-BF336),2)</f>
        <v>0</v>
      </c>
      <c r="AK336" s="27" t="n">
        <f aca="false">ROUND(MAX(0,AK335*(1+D$8)-BG336),2)</f>
        <v>0</v>
      </c>
      <c r="AL336" s="27" t="n">
        <f aca="false">ROUND(MAX(0,AL335*(1+E$8)-BH336),2)</f>
        <v>0</v>
      </c>
      <c r="AM336" s="27" t="n">
        <f aca="false">ROUND(MAX(0,AM335*(1+F$8)-BI336),2)</f>
        <v>0</v>
      </c>
      <c r="AN336" s="27" t="n">
        <f aca="false">ROUND(MAX(0,AN335*(1+G$8)-BJ336),2)</f>
        <v>0</v>
      </c>
      <c r="AO336" s="27" t="n">
        <f aca="false">ROUND(MAX(0,AO335*(1+H$8)-BK336),2)</f>
        <v>0</v>
      </c>
      <c r="AP336" s="27" t="n">
        <f aca="false">ROUND(MAX(0,AP335*(1+I$8)-BL336),2)</f>
        <v>0</v>
      </c>
      <c r="AQ336" s="27" t="n">
        <f aca="false">ROUND(MAX(0,AQ335*(1+J$8)-BM336),2)</f>
        <v>0</v>
      </c>
      <c r="AR336" s="27" t="n">
        <f aca="false">ROUND(MAX(0,AR335*(1+K$8)-BN336),2)</f>
        <v>0</v>
      </c>
      <c r="AS336" s="27" t="n">
        <f aca="false">SUM(AI336:AR336)</f>
        <v>0</v>
      </c>
      <c r="AT336" s="27" t="n">
        <f aca="false">SUMPRODUCT(AI335:AR335,$B$8:$K$8)</f>
        <v>0</v>
      </c>
      <c r="AU336" s="27" t="n">
        <f aca="false">MIN(AI335*(1+B$8),B$9)</f>
        <v>0</v>
      </c>
      <c r="AV336" s="27" t="n">
        <f aca="false">MIN(AJ335*(1+C$8),C$9)</f>
        <v>0</v>
      </c>
      <c r="AW336" s="27" t="n">
        <f aca="false">MIN(AK335*(1+D$8),D$9)</f>
        <v>0</v>
      </c>
      <c r="AX336" s="27" t="n">
        <f aca="false">MIN(AL335*(1+E$8),E$9)</f>
        <v>0</v>
      </c>
      <c r="AY336" s="27" t="n">
        <f aca="false">MIN(AM335*(1+F$8),F$9)</f>
        <v>0</v>
      </c>
      <c r="AZ336" s="27" t="n">
        <f aca="false">MIN(AN335*(1+G$8),G$9)</f>
        <v>0</v>
      </c>
      <c r="BA336" s="27" t="n">
        <f aca="false">MIN(AO335*(1+H$8),H$9)</f>
        <v>0</v>
      </c>
      <c r="BB336" s="27" t="n">
        <f aca="false">MIN(AP335*(1+I$8),I$9)</f>
        <v>0</v>
      </c>
      <c r="BC336" s="27" t="n">
        <f aca="false">MIN(AQ335*(1+J$8),J$9)</f>
        <v>0</v>
      </c>
      <c r="BD336" s="27" t="n">
        <f aca="false">MIN(AR335*(1+K$8),K$9)</f>
        <v>0</v>
      </c>
      <c r="BE336" s="27" t="n">
        <f aca="false">MIN(AI335*(1+B$8),MAX(AU336,$B$12-SUM(AV336:BD336)))</f>
        <v>0</v>
      </c>
      <c r="BF336" s="27" t="n">
        <f aca="false">MIN(AJ335*(1+C$8),MAX(AV336,$B$12-SUM(BE336:BE336)-SUM(AW336:BD336)))</f>
        <v>0</v>
      </c>
      <c r="BG336" s="27" t="n">
        <f aca="false">MIN(AK335*(1+D$8),MAX(AW336,$B$12-SUM(BE336:BF336)-SUM(AX336:BD336)))</f>
        <v>0</v>
      </c>
      <c r="BH336" s="27" t="n">
        <f aca="false">MIN(AL335*(1+E$8),MAX(AX336,$B$12-SUM(BE336:BG336)-SUM(AY336:BD336)))</f>
        <v>0</v>
      </c>
      <c r="BI336" s="27" t="n">
        <f aca="false">MIN(AM335*(1+F$8),MAX(AY336,$B$12-SUM(BE336:BH336)-SUM(AZ336:BD336)))</f>
        <v>0</v>
      </c>
      <c r="BJ336" s="27" t="n">
        <f aca="false">MIN(AN335*(1+G$8),MAX(AZ336,$B$12-SUM(BE336:BI336)-SUM(BA336:BD336)))</f>
        <v>0</v>
      </c>
      <c r="BK336" s="27" t="n">
        <f aca="false">MIN(AO335*(1+H$8),MAX(BA336,$B$12-SUM(BE336:BJ336)-SUM(BB336:BD336)))</f>
        <v>0</v>
      </c>
      <c r="BL336" s="27" t="n">
        <f aca="false">MIN(AP335*(1+I$8),MAX(BB336,$B$12-SUM(BE336:BK336)-SUM(BC336:BD336)))</f>
        <v>0</v>
      </c>
      <c r="BM336" s="27" t="n">
        <f aca="false">MIN(AQ335*(1+J$8),MAX(BC336,$B$12-SUM(BE336:BL336)-SUM(BD336:BD336)))</f>
        <v>0</v>
      </c>
      <c r="BN336" s="27" t="n">
        <f aca="false">MIN(AR335*(1+K$8),MAX(BD336,$B$12-SUM(BE336:BM336)))</f>
        <v>0</v>
      </c>
    </row>
    <row r="337" customFormat="false" ht="15" hidden="false" customHeight="false" outlineLevel="0" collapsed="false">
      <c r="A337" s="0" t="n">
        <v>323</v>
      </c>
      <c r="B337" s="27" t="n">
        <f aca="false">ROUND(MAX(0,B336*(1+B$8)-X337),2)</f>
        <v>0</v>
      </c>
      <c r="C337" s="27" t="n">
        <f aca="false">ROUND(MAX(0,C336*(1+C$8)-Y337),2)</f>
        <v>0</v>
      </c>
      <c r="D337" s="27" t="n">
        <f aca="false">ROUND(MAX(0,D336*(1+D$8)-Z337),2)</f>
        <v>0</v>
      </c>
      <c r="E337" s="27" t="n">
        <f aca="false">ROUND(MAX(0,E336*(1+E$8)-AA337),2)</f>
        <v>0</v>
      </c>
      <c r="F337" s="27" t="n">
        <f aca="false">ROUND(MAX(0,F336*(1+F$8)-AB337),2)</f>
        <v>0</v>
      </c>
      <c r="G337" s="27" t="n">
        <f aca="false">ROUND(MAX(0,G336*(1+G$8)-AC337),2)</f>
        <v>0</v>
      </c>
      <c r="H337" s="27" t="n">
        <f aca="false">ROUND(MAX(0,H336*(1+H$8)-AD337),2)</f>
        <v>0</v>
      </c>
      <c r="I337" s="27" t="n">
        <f aca="false">ROUND(MAX(0,I336*(1+I$8)-AE337),2)</f>
        <v>0</v>
      </c>
      <c r="J337" s="27" t="n">
        <f aca="false">ROUND(MAX(0,J336*(1+J$8)-AF337),2)</f>
        <v>0</v>
      </c>
      <c r="K337" s="27" t="n">
        <f aca="false">ROUND(MAX(0,K336*(1+K$8)-AG337),2)</f>
        <v>0</v>
      </c>
      <c r="L337" s="30" t="n">
        <f aca="false">SUM(B337:K337)</f>
        <v>0</v>
      </c>
      <c r="M337" s="27" t="n">
        <f aca="false">SUMPRODUCT(B336:K336,$B$8:$K$8)</f>
        <v>0</v>
      </c>
      <c r="N337" s="27" t="n">
        <f aca="false">MIN(B336*(1+B$8),B$9)</f>
        <v>0</v>
      </c>
      <c r="O337" s="27" t="n">
        <f aca="false">MIN(C336*(1+C$8),C$9)</f>
        <v>0</v>
      </c>
      <c r="P337" s="27" t="n">
        <f aca="false">MIN(D336*(1+D$8),D$9)</f>
        <v>0</v>
      </c>
      <c r="Q337" s="27" t="n">
        <f aca="false">MIN(E336*(1+E$8),E$9)</f>
        <v>0</v>
      </c>
      <c r="R337" s="27" t="n">
        <f aca="false">MIN(F336*(1+F$8),F$9)</f>
        <v>0</v>
      </c>
      <c r="S337" s="27" t="n">
        <f aca="false">MIN(G336*(1+G$8),G$9)</f>
        <v>0</v>
      </c>
      <c r="T337" s="27" t="n">
        <f aca="false">MIN(H336*(1+H$8),H$9)</f>
        <v>0</v>
      </c>
      <c r="U337" s="27" t="n">
        <f aca="false">MIN(I336*(1+I$8),I$9)</f>
        <v>0</v>
      </c>
      <c r="V337" s="27" t="n">
        <f aca="false">MIN(J336*(1+J$8),J$9)</f>
        <v>0</v>
      </c>
      <c r="W337" s="27" t="n">
        <f aca="false">MIN(K336*(1+K$8),K$9)</f>
        <v>0</v>
      </c>
      <c r="X337" s="27" t="n">
        <f aca="false">MIN(B336*(1+B$8),MAX(N337,$B$11-SUM(O337:W337)))</f>
        <v>0</v>
      </c>
      <c r="Y337" s="27" t="n">
        <f aca="false">MIN(C336*(1+C$8),MAX(O337,$B$11-SUM(X337:X337)-SUM(P337:W337)))</f>
        <v>0</v>
      </c>
      <c r="Z337" s="27" t="n">
        <f aca="false">MIN(D336*(1+D$8),MAX(P337,$B$11-SUM(X337:Y337)-SUM(Q337:W337)))</f>
        <v>0</v>
      </c>
      <c r="AA337" s="27" t="n">
        <f aca="false">MIN(E336*(1+E$8),MAX(Q337,$B$11-SUM(X337:Z337)-SUM(R337:W337)))</f>
        <v>0</v>
      </c>
      <c r="AB337" s="27" t="n">
        <f aca="false">MIN(F336*(1+F$8),MAX(R337,$B$11-SUM(X337:AA337)-SUM(S337:W337)))</f>
        <v>0</v>
      </c>
      <c r="AC337" s="27" t="n">
        <f aca="false">MIN(G336*(1+G$8),MAX(S337,$B$11-SUM(X337:AB337)-SUM(T337:W337)))</f>
        <v>0</v>
      </c>
      <c r="AD337" s="27" t="n">
        <f aca="false">MIN(H336*(1+H$8),MAX(T337,$B$11-SUM(X337:AC337)-SUM(U337:W337)))</f>
        <v>0</v>
      </c>
      <c r="AE337" s="27" t="n">
        <f aca="false">MIN(I336*(1+I$8),MAX(U337,$B$11-SUM(X337:AD337)-SUM(V337:W337)))</f>
        <v>0</v>
      </c>
      <c r="AF337" s="27" t="n">
        <f aca="false">MIN(J336*(1+J$8),MAX(V337,$B$11-SUM(X337:AE337)-SUM(W337:W337)))</f>
        <v>0</v>
      </c>
      <c r="AG337" s="27" t="n">
        <f aca="false">MIN(K336*(1+K$8),MAX(W337,$B$11-SUM(X337:AF337)))</f>
        <v>0</v>
      </c>
      <c r="AI337" s="27" t="n">
        <f aca="false">ROUND(MAX(0,AI336*(1+B$8)-BE337),2)</f>
        <v>0</v>
      </c>
      <c r="AJ337" s="27" t="n">
        <f aca="false">ROUND(MAX(0,AJ336*(1+C$8)-BF337),2)</f>
        <v>0</v>
      </c>
      <c r="AK337" s="27" t="n">
        <f aca="false">ROUND(MAX(0,AK336*(1+D$8)-BG337),2)</f>
        <v>0</v>
      </c>
      <c r="AL337" s="27" t="n">
        <f aca="false">ROUND(MAX(0,AL336*(1+E$8)-BH337),2)</f>
        <v>0</v>
      </c>
      <c r="AM337" s="27" t="n">
        <f aca="false">ROUND(MAX(0,AM336*(1+F$8)-BI337),2)</f>
        <v>0</v>
      </c>
      <c r="AN337" s="27" t="n">
        <f aca="false">ROUND(MAX(0,AN336*(1+G$8)-BJ337),2)</f>
        <v>0</v>
      </c>
      <c r="AO337" s="27" t="n">
        <f aca="false">ROUND(MAX(0,AO336*(1+H$8)-BK337),2)</f>
        <v>0</v>
      </c>
      <c r="AP337" s="27" t="n">
        <f aca="false">ROUND(MAX(0,AP336*(1+I$8)-BL337),2)</f>
        <v>0</v>
      </c>
      <c r="AQ337" s="27" t="n">
        <f aca="false">ROUND(MAX(0,AQ336*(1+J$8)-BM337),2)</f>
        <v>0</v>
      </c>
      <c r="AR337" s="27" t="n">
        <f aca="false">ROUND(MAX(0,AR336*(1+K$8)-BN337),2)</f>
        <v>0</v>
      </c>
      <c r="AS337" s="27" t="n">
        <f aca="false">SUM(AI337:AR337)</f>
        <v>0</v>
      </c>
      <c r="AT337" s="27" t="n">
        <f aca="false">SUMPRODUCT(AI336:AR336,$B$8:$K$8)</f>
        <v>0</v>
      </c>
      <c r="AU337" s="27" t="n">
        <f aca="false">MIN(AI336*(1+B$8),B$9)</f>
        <v>0</v>
      </c>
      <c r="AV337" s="27" t="n">
        <f aca="false">MIN(AJ336*(1+C$8),C$9)</f>
        <v>0</v>
      </c>
      <c r="AW337" s="27" t="n">
        <f aca="false">MIN(AK336*(1+D$8),D$9)</f>
        <v>0</v>
      </c>
      <c r="AX337" s="27" t="n">
        <f aca="false">MIN(AL336*(1+E$8),E$9)</f>
        <v>0</v>
      </c>
      <c r="AY337" s="27" t="n">
        <f aca="false">MIN(AM336*(1+F$8),F$9)</f>
        <v>0</v>
      </c>
      <c r="AZ337" s="27" t="n">
        <f aca="false">MIN(AN336*(1+G$8),G$9)</f>
        <v>0</v>
      </c>
      <c r="BA337" s="27" t="n">
        <f aca="false">MIN(AO336*(1+H$8),H$9)</f>
        <v>0</v>
      </c>
      <c r="BB337" s="27" t="n">
        <f aca="false">MIN(AP336*(1+I$8),I$9)</f>
        <v>0</v>
      </c>
      <c r="BC337" s="27" t="n">
        <f aca="false">MIN(AQ336*(1+J$8),J$9)</f>
        <v>0</v>
      </c>
      <c r="BD337" s="27" t="n">
        <f aca="false">MIN(AR336*(1+K$8),K$9)</f>
        <v>0</v>
      </c>
      <c r="BE337" s="27" t="n">
        <f aca="false">MIN(AI336*(1+B$8),MAX(AU337,$B$12-SUM(AV337:BD337)))</f>
        <v>0</v>
      </c>
      <c r="BF337" s="27" t="n">
        <f aca="false">MIN(AJ336*(1+C$8),MAX(AV337,$B$12-SUM(BE337:BE337)-SUM(AW337:BD337)))</f>
        <v>0</v>
      </c>
      <c r="BG337" s="27" t="n">
        <f aca="false">MIN(AK336*(1+D$8),MAX(AW337,$B$12-SUM(BE337:BF337)-SUM(AX337:BD337)))</f>
        <v>0</v>
      </c>
      <c r="BH337" s="27" t="n">
        <f aca="false">MIN(AL336*(1+E$8),MAX(AX337,$B$12-SUM(BE337:BG337)-SUM(AY337:BD337)))</f>
        <v>0</v>
      </c>
      <c r="BI337" s="27" t="n">
        <f aca="false">MIN(AM336*(1+F$8),MAX(AY337,$B$12-SUM(BE337:BH337)-SUM(AZ337:BD337)))</f>
        <v>0</v>
      </c>
      <c r="BJ337" s="27" t="n">
        <f aca="false">MIN(AN336*(1+G$8),MAX(AZ337,$B$12-SUM(BE337:BI337)-SUM(BA337:BD337)))</f>
        <v>0</v>
      </c>
      <c r="BK337" s="27" t="n">
        <f aca="false">MIN(AO336*(1+H$8),MAX(BA337,$B$12-SUM(BE337:BJ337)-SUM(BB337:BD337)))</f>
        <v>0</v>
      </c>
      <c r="BL337" s="27" t="n">
        <f aca="false">MIN(AP336*(1+I$8),MAX(BB337,$B$12-SUM(BE337:BK337)-SUM(BC337:BD337)))</f>
        <v>0</v>
      </c>
      <c r="BM337" s="27" t="n">
        <f aca="false">MIN(AQ336*(1+J$8),MAX(BC337,$B$12-SUM(BE337:BL337)-SUM(BD337:BD337)))</f>
        <v>0</v>
      </c>
      <c r="BN337" s="27" t="n">
        <f aca="false">MIN(AR336*(1+K$8),MAX(BD337,$B$12-SUM(BE337:BM337)))</f>
        <v>0</v>
      </c>
    </row>
    <row r="338" customFormat="false" ht="15" hidden="false" customHeight="false" outlineLevel="0" collapsed="false">
      <c r="A338" s="0" t="n">
        <v>324</v>
      </c>
      <c r="B338" s="27" t="n">
        <f aca="false">ROUND(MAX(0,B337*(1+B$8)-X338),2)</f>
        <v>0</v>
      </c>
      <c r="C338" s="27" t="n">
        <f aca="false">ROUND(MAX(0,C337*(1+C$8)-Y338),2)</f>
        <v>0</v>
      </c>
      <c r="D338" s="27" t="n">
        <f aca="false">ROUND(MAX(0,D337*(1+D$8)-Z338),2)</f>
        <v>0</v>
      </c>
      <c r="E338" s="27" t="n">
        <f aca="false">ROUND(MAX(0,E337*(1+E$8)-AA338),2)</f>
        <v>0</v>
      </c>
      <c r="F338" s="27" t="n">
        <f aca="false">ROUND(MAX(0,F337*(1+F$8)-AB338),2)</f>
        <v>0</v>
      </c>
      <c r="G338" s="27" t="n">
        <f aca="false">ROUND(MAX(0,G337*(1+G$8)-AC338),2)</f>
        <v>0</v>
      </c>
      <c r="H338" s="27" t="n">
        <f aca="false">ROUND(MAX(0,H337*(1+H$8)-AD338),2)</f>
        <v>0</v>
      </c>
      <c r="I338" s="27" t="n">
        <f aca="false">ROUND(MAX(0,I337*(1+I$8)-AE338),2)</f>
        <v>0</v>
      </c>
      <c r="J338" s="27" t="n">
        <f aca="false">ROUND(MAX(0,J337*(1+J$8)-AF338),2)</f>
        <v>0</v>
      </c>
      <c r="K338" s="27" t="n">
        <f aca="false">ROUND(MAX(0,K337*(1+K$8)-AG338),2)</f>
        <v>0</v>
      </c>
      <c r="L338" s="30" t="n">
        <f aca="false">SUM(B338:K338)</f>
        <v>0</v>
      </c>
      <c r="M338" s="27" t="n">
        <f aca="false">SUMPRODUCT(B337:K337,$B$8:$K$8)</f>
        <v>0</v>
      </c>
      <c r="N338" s="27" t="n">
        <f aca="false">MIN(B337*(1+B$8),B$9)</f>
        <v>0</v>
      </c>
      <c r="O338" s="27" t="n">
        <f aca="false">MIN(C337*(1+C$8),C$9)</f>
        <v>0</v>
      </c>
      <c r="P338" s="27" t="n">
        <f aca="false">MIN(D337*(1+D$8),D$9)</f>
        <v>0</v>
      </c>
      <c r="Q338" s="27" t="n">
        <f aca="false">MIN(E337*(1+E$8),E$9)</f>
        <v>0</v>
      </c>
      <c r="R338" s="27" t="n">
        <f aca="false">MIN(F337*(1+F$8),F$9)</f>
        <v>0</v>
      </c>
      <c r="S338" s="27" t="n">
        <f aca="false">MIN(G337*(1+G$8),G$9)</f>
        <v>0</v>
      </c>
      <c r="T338" s="27" t="n">
        <f aca="false">MIN(H337*(1+H$8),H$9)</f>
        <v>0</v>
      </c>
      <c r="U338" s="27" t="n">
        <f aca="false">MIN(I337*(1+I$8),I$9)</f>
        <v>0</v>
      </c>
      <c r="V338" s="27" t="n">
        <f aca="false">MIN(J337*(1+J$8),J$9)</f>
        <v>0</v>
      </c>
      <c r="W338" s="27" t="n">
        <f aca="false">MIN(K337*(1+K$8),K$9)</f>
        <v>0</v>
      </c>
      <c r="X338" s="27" t="n">
        <f aca="false">MIN(B337*(1+B$8),MAX(N338,$B$11-SUM(O338:W338)))</f>
        <v>0</v>
      </c>
      <c r="Y338" s="27" t="n">
        <f aca="false">MIN(C337*(1+C$8),MAX(O338,$B$11-SUM(X338:X338)-SUM(P338:W338)))</f>
        <v>0</v>
      </c>
      <c r="Z338" s="27" t="n">
        <f aca="false">MIN(D337*(1+D$8),MAX(P338,$B$11-SUM(X338:Y338)-SUM(Q338:W338)))</f>
        <v>0</v>
      </c>
      <c r="AA338" s="27" t="n">
        <f aca="false">MIN(E337*(1+E$8),MAX(Q338,$B$11-SUM(X338:Z338)-SUM(R338:W338)))</f>
        <v>0</v>
      </c>
      <c r="AB338" s="27" t="n">
        <f aca="false">MIN(F337*(1+F$8),MAX(R338,$B$11-SUM(X338:AA338)-SUM(S338:W338)))</f>
        <v>0</v>
      </c>
      <c r="AC338" s="27" t="n">
        <f aca="false">MIN(G337*(1+G$8),MAX(S338,$B$11-SUM(X338:AB338)-SUM(T338:W338)))</f>
        <v>0</v>
      </c>
      <c r="AD338" s="27" t="n">
        <f aca="false">MIN(H337*(1+H$8),MAX(T338,$B$11-SUM(X338:AC338)-SUM(U338:W338)))</f>
        <v>0</v>
      </c>
      <c r="AE338" s="27" t="n">
        <f aca="false">MIN(I337*(1+I$8),MAX(U338,$B$11-SUM(X338:AD338)-SUM(V338:W338)))</f>
        <v>0</v>
      </c>
      <c r="AF338" s="27" t="n">
        <f aca="false">MIN(J337*(1+J$8),MAX(V338,$B$11-SUM(X338:AE338)-SUM(W338:W338)))</f>
        <v>0</v>
      </c>
      <c r="AG338" s="27" t="n">
        <f aca="false">MIN(K337*(1+K$8),MAX(W338,$B$11-SUM(X338:AF338)))</f>
        <v>0</v>
      </c>
      <c r="AI338" s="27" t="n">
        <f aca="false">ROUND(MAX(0,AI337*(1+B$8)-BE338),2)</f>
        <v>0</v>
      </c>
      <c r="AJ338" s="27" t="n">
        <f aca="false">ROUND(MAX(0,AJ337*(1+C$8)-BF338),2)</f>
        <v>0</v>
      </c>
      <c r="AK338" s="27" t="n">
        <f aca="false">ROUND(MAX(0,AK337*(1+D$8)-BG338),2)</f>
        <v>0</v>
      </c>
      <c r="AL338" s="27" t="n">
        <f aca="false">ROUND(MAX(0,AL337*(1+E$8)-BH338),2)</f>
        <v>0</v>
      </c>
      <c r="AM338" s="27" t="n">
        <f aca="false">ROUND(MAX(0,AM337*(1+F$8)-BI338),2)</f>
        <v>0</v>
      </c>
      <c r="AN338" s="27" t="n">
        <f aca="false">ROUND(MAX(0,AN337*(1+G$8)-BJ338),2)</f>
        <v>0</v>
      </c>
      <c r="AO338" s="27" t="n">
        <f aca="false">ROUND(MAX(0,AO337*(1+H$8)-BK338),2)</f>
        <v>0</v>
      </c>
      <c r="AP338" s="27" t="n">
        <f aca="false">ROUND(MAX(0,AP337*(1+I$8)-BL338),2)</f>
        <v>0</v>
      </c>
      <c r="AQ338" s="27" t="n">
        <f aca="false">ROUND(MAX(0,AQ337*(1+J$8)-BM338),2)</f>
        <v>0</v>
      </c>
      <c r="AR338" s="27" t="n">
        <f aca="false">ROUND(MAX(0,AR337*(1+K$8)-BN338),2)</f>
        <v>0</v>
      </c>
      <c r="AS338" s="27" t="n">
        <f aca="false">SUM(AI338:AR338)</f>
        <v>0</v>
      </c>
      <c r="AT338" s="27" t="n">
        <f aca="false">SUMPRODUCT(AI337:AR337,$B$8:$K$8)</f>
        <v>0</v>
      </c>
      <c r="AU338" s="27" t="n">
        <f aca="false">MIN(AI337*(1+B$8),B$9)</f>
        <v>0</v>
      </c>
      <c r="AV338" s="27" t="n">
        <f aca="false">MIN(AJ337*(1+C$8),C$9)</f>
        <v>0</v>
      </c>
      <c r="AW338" s="27" t="n">
        <f aca="false">MIN(AK337*(1+D$8),D$9)</f>
        <v>0</v>
      </c>
      <c r="AX338" s="27" t="n">
        <f aca="false">MIN(AL337*(1+E$8),E$9)</f>
        <v>0</v>
      </c>
      <c r="AY338" s="27" t="n">
        <f aca="false">MIN(AM337*(1+F$8),F$9)</f>
        <v>0</v>
      </c>
      <c r="AZ338" s="27" t="n">
        <f aca="false">MIN(AN337*(1+G$8),G$9)</f>
        <v>0</v>
      </c>
      <c r="BA338" s="27" t="n">
        <f aca="false">MIN(AO337*(1+H$8),H$9)</f>
        <v>0</v>
      </c>
      <c r="BB338" s="27" t="n">
        <f aca="false">MIN(AP337*(1+I$8),I$9)</f>
        <v>0</v>
      </c>
      <c r="BC338" s="27" t="n">
        <f aca="false">MIN(AQ337*(1+J$8),J$9)</f>
        <v>0</v>
      </c>
      <c r="BD338" s="27" t="n">
        <f aca="false">MIN(AR337*(1+K$8),K$9)</f>
        <v>0</v>
      </c>
      <c r="BE338" s="27" t="n">
        <f aca="false">MIN(AI337*(1+B$8),MAX(AU338,$B$12-SUM(AV338:BD338)))</f>
        <v>0</v>
      </c>
      <c r="BF338" s="27" t="n">
        <f aca="false">MIN(AJ337*(1+C$8),MAX(AV338,$B$12-SUM(BE338:BE338)-SUM(AW338:BD338)))</f>
        <v>0</v>
      </c>
      <c r="BG338" s="27" t="n">
        <f aca="false">MIN(AK337*(1+D$8),MAX(AW338,$B$12-SUM(BE338:BF338)-SUM(AX338:BD338)))</f>
        <v>0</v>
      </c>
      <c r="BH338" s="27" t="n">
        <f aca="false">MIN(AL337*(1+E$8),MAX(AX338,$B$12-SUM(BE338:BG338)-SUM(AY338:BD338)))</f>
        <v>0</v>
      </c>
      <c r="BI338" s="27" t="n">
        <f aca="false">MIN(AM337*(1+F$8),MAX(AY338,$B$12-SUM(BE338:BH338)-SUM(AZ338:BD338)))</f>
        <v>0</v>
      </c>
      <c r="BJ338" s="27" t="n">
        <f aca="false">MIN(AN337*(1+G$8),MAX(AZ338,$B$12-SUM(BE338:BI338)-SUM(BA338:BD338)))</f>
        <v>0</v>
      </c>
      <c r="BK338" s="27" t="n">
        <f aca="false">MIN(AO337*(1+H$8),MAX(BA338,$B$12-SUM(BE338:BJ338)-SUM(BB338:BD338)))</f>
        <v>0</v>
      </c>
      <c r="BL338" s="27" t="n">
        <f aca="false">MIN(AP337*(1+I$8),MAX(BB338,$B$12-SUM(BE338:BK338)-SUM(BC338:BD338)))</f>
        <v>0</v>
      </c>
      <c r="BM338" s="27" t="n">
        <f aca="false">MIN(AQ337*(1+J$8),MAX(BC338,$B$12-SUM(BE338:BL338)-SUM(BD338:BD338)))</f>
        <v>0</v>
      </c>
      <c r="BN338" s="27" t="n">
        <f aca="false">MIN(AR337*(1+K$8),MAX(BD338,$B$12-SUM(BE338:BM338)))</f>
        <v>0</v>
      </c>
    </row>
    <row r="339" customFormat="false" ht="15" hidden="false" customHeight="false" outlineLevel="0" collapsed="false">
      <c r="A339" s="0" t="n">
        <v>325</v>
      </c>
      <c r="B339" s="27" t="n">
        <f aca="false">ROUND(MAX(0,B338*(1+B$8)-X339),2)</f>
        <v>0</v>
      </c>
      <c r="C339" s="27" t="n">
        <f aca="false">ROUND(MAX(0,C338*(1+C$8)-Y339),2)</f>
        <v>0</v>
      </c>
      <c r="D339" s="27" t="n">
        <f aca="false">ROUND(MAX(0,D338*(1+D$8)-Z339),2)</f>
        <v>0</v>
      </c>
      <c r="E339" s="27" t="n">
        <f aca="false">ROUND(MAX(0,E338*(1+E$8)-AA339),2)</f>
        <v>0</v>
      </c>
      <c r="F339" s="27" t="n">
        <f aca="false">ROUND(MAX(0,F338*(1+F$8)-AB339),2)</f>
        <v>0</v>
      </c>
      <c r="G339" s="27" t="n">
        <f aca="false">ROUND(MAX(0,G338*(1+G$8)-AC339),2)</f>
        <v>0</v>
      </c>
      <c r="H339" s="27" t="n">
        <f aca="false">ROUND(MAX(0,H338*(1+H$8)-AD339),2)</f>
        <v>0</v>
      </c>
      <c r="I339" s="27" t="n">
        <f aca="false">ROUND(MAX(0,I338*(1+I$8)-AE339),2)</f>
        <v>0</v>
      </c>
      <c r="J339" s="27" t="n">
        <f aca="false">ROUND(MAX(0,J338*(1+J$8)-AF339),2)</f>
        <v>0</v>
      </c>
      <c r="K339" s="27" t="n">
        <f aca="false">ROUND(MAX(0,K338*(1+K$8)-AG339),2)</f>
        <v>0</v>
      </c>
      <c r="L339" s="30" t="n">
        <f aca="false">SUM(B339:K339)</f>
        <v>0</v>
      </c>
      <c r="M339" s="27" t="n">
        <f aca="false">SUMPRODUCT(B338:K338,$B$8:$K$8)</f>
        <v>0</v>
      </c>
      <c r="N339" s="27" t="n">
        <f aca="false">MIN(B338*(1+B$8),B$9)</f>
        <v>0</v>
      </c>
      <c r="O339" s="27" t="n">
        <f aca="false">MIN(C338*(1+C$8),C$9)</f>
        <v>0</v>
      </c>
      <c r="P339" s="27" t="n">
        <f aca="false">MIN(D338*(1+D$8),D$9)</f>
        <v>0</v>
      </c>
      <c r="Q339" s="27" t="n">
        <f aca="false">MIN(E338*(1+E$8),E$9)</f>
        <v>0</v>
      </c>
      <c r="R339" s="27" t="n">
        <f aca="false">MIN(F338*(1+F$8),F$9)</f>
        <v>0</v>
      </c>
      <c r="S339" s="27" t="n">
        <f aca="false">MIN(G338*(1+G$8),G$9)</f>
        <v>0</v>
      </c>
      <c r="T339" s="27" t="n">
        <f aca="false">MIN(H338*(1+H$8),H$9)</f>
        <v>0</v>
      </c>
      <c r="U339" s="27" t="n">
        <f aca="false">MIN(I338*(1+I$8),I$9)</f>
        <v>0</v>
      </c>
      <c r="V339" s="27" t="n">
        <f aca="false">MIN(J338*(1+J$8),J$9)</f>
        <v>0</v>
      </c>
      <c r="W339" s="27" t="n">
        <f aca="false">MIN(K338*(1+K$8),K$9)</f>
        <v>0</v>
      </c>
      <c r="X339" s="27" t="n">
        <f aca="false">MIN(B338*(1+B$8),MAX(N339,$B$11-SUM(O339:W339)))</f>
        <v>0</v>
      </c>
      <c r="Y339" s="27" t="n">
        <f aca="false">MIN(C338*(1+C$8),MAX(O339,$B$11-SUM(X339:X339)-SUM(P339:W339)))</f>
        <v>0</v>
      </c>
      <c r="Z339" s="27" t="n">
        <f aca="false">MIN(D338*(1+D$8),MAX(P339,$B$11-SUM(X339:Y339)-SUM(Q339:W339)))</f>
        <v>0</v>
      </c>
      <c r="AA339" s="27" t="n">
        <f aca="false">MIN(E338*(1+E$8),MAX(Q339,$B$11-SUM(X339:Z339)-SUM(R339:W339)))</f>
        <v>0</v>
      </c>
      <c r="AB339" s="27" t="n">
        <f aca="false">MIN(F338*(1+F$8),MAX(R339,$B$11-SUM(X339:AA339)-SUM(S339:W339)))</f>
        <v>0</v>
      </c>
      <c r="AC339" s="27" t="n">
        <f aca="false">MIN(G338*(1+G$8),MAX(S339,$B$11-SUM(X339:AB339)-SUM(T339:W339)))</f>
        <v>0</v>
      </c>
      <c r="AD339" s="27" t="n">
        <f aca="false">MIN(H338*(1+H$8),MAX(T339,$B$11-SUM(X339:AC339)-SUM(U339:W339)))</f>
        <v>0</v>
      </c>
      <c r="AE339" s="27" t="n">
        <f aca="false">MIN(I338*(1+I$8),MAX(U339,$B$11-SUM(X339:AD339)-SUM(V339:W339)))</f>
        <v>0</v>
      </c>
      <c r="AF339" s="27" t="n">
        <f aca="false">MIN(J338*(1+J$8),MAX(V339,$B$11-SUM(X339:AE339)-SUM(W339:W339)))</f>
        <v>0</v>
      </c>
      <c r="AG339" s="27" t="n">
        <f aca="false">MIN(K338*(1+K$8),MAX(W339,$B$11-SUM(X339:AF339)))</f>
        <v>0</v>
      </c>
      <c r="AI339" s="27" t="n">
        <f aca="false">ROUND(MAX(0,AI338*(1+B$8)-BE339),2)</f>
        <v>0</v>
      </c>
      <c r="AJ339" s="27" t="n">
        <f aca="false">ROUND(MAX(0,AJ338*(1+C$8)-BF339),2)</f>
        <v>0</v>
      </c>
      <c r="AK339" s="27" t="n">
        <f aca="false">ROUND(MAX(0,AK338*(1+D$8)-BG339),2)</f>
        <v>0</v>
      </c>
      <c r="AL339" s="27" t="n">
        <f aca="false">ROUND(MAX(0,AL338*(1+E$8)-BH339),2)</f>
        <v>0</v>
      </c>
      <c r="AM339" s="27" t="n">
        <f aca="false">ROUND(MAX(0,AM338*(1+F$8)-BI339),2)</f>
        <v>0</v>
      </c>
      <c r="AN339" s="27" t="n">
        <f aca="false">ROUND(MAX(0,AN338*(1+G$8)-BJ339),2)</f>
        <v>0</v>
      </c>
      <c r="AO339" s="27" t="n">
        <f aca="false">ROUND(MAX(0,AO338*(1+H$8)-BK339),2)</f>
        <v>0</v>
      </c>
      <c r="AP339" s="27" t="n">
        <f aca="false">ROUND(MAX(0,AP338*(1+I$8)-BL339),2)</f>
        <v>0</v>
      </c>
      <c r="AQ339" s="27" t="n">
        <f aca="false">ROUND(MAX(0,AQ338*(1+J$8)-BM339),2)</f>
        <v>0</v>
      </c>
      <c r="AR339" s="27" t="n">
        <f aca="false">ROUND(MAX(0,AR338*(1+K$8)-BN339),2)</f>
        <v>0</v>
      </c>
      <c r="AS339" s="27" t="n">
        <f aca="false">SUM(AI339:AR339)</f>
        <v>0</v>
      </c>
      <c r="AT339" s="27" t="n">
        <f aca="false">SUMPRODUCT(AI338:AR338,$B$8:$K$8)</f>
        <v>0</v>
      </c>
      <c r="AU339" s="27" t="n">
        <f aca="false">MIN(AI338*(1+B$8),B$9)</f>
        <v>0</v>
      </c>
      <c r="AV339" s="27" t="n">
        <f aca="false">MIN(AJ338*(1+C$8),C$9)</f>
        <v>0</v>
      </c>
      <c r="AW339" s="27" t="n">
        <f aca="false">MIN(AK338*(1+D$8),D$9)</f>
        <v>0</v>
      </c>
      <c r="AX339" s="27" t="n">
        <f aca="false">MIN(AL338*(1+E$8),E$9)</f>
        <v>0</v>
      </c>
      <c r="AY339" s="27" t="n">
        <f aca="false">MIN(AM338*(1+F$8),F$9)</f>
        <v>0</v>
      </c>
      <c r="AZ339" s="27" t="n">
        <f aca="false">MIN(AN338*(1+G$8),G$9)</f>
        <v>0</v>
      </c>
      <c r="BA339" s="27" t="n">
        <f aca="false">MIN(AO338*(1+H$8),H$9)</f>
        <v>0</v>
      </c>
      <c r="BB339" s="27" t="n">
        <f aca="false">MIN(AP338*(1+I$8),I$9)</f>
        <v>0</v>
      </c>
      <c r="BC339" s="27" t="n">
        <f aca="false">MIN(AQ338*(1+J$8),J$9)</f>
        <v>0</v>
      </c>
      <c r="BD339" s="27" t="n">
        <f aca="false">MIN(AR338*(1+K$8),K$9)</f>
        <v>0</v>
      </c>
      <c r="BE339" s="27" t="n">
        <f aca="false">MIN(AI338*(1+B$8),MAX(AU339,$B$12-SUM(AV339:BD339)))</f>
        <v>0</v>
      </c>
      <c r="BF339" s="27" t="n">
        <f aca="false">MIN(AJ338*(1+C$8),MAX(AV339,$B$12-SUM(BE339:BE339)-SUM(AW339:BD339)))</f>
        <v>0</v>
      </c>
      <c r="BG339" s="27" t="n">
        <f aca="false">MIN(AK338*(1+D$8),MAX(AW339,$B$12-SUM(BE339:BF339)-SUM(AX339:BD339)))</f>
        <v>0</v>
      </c>
      <c r="BH339" s="27" t="n">
        <f aca="false">MIN(AL338*(1+E$8),MAX(AX339,$B$12-SUM(BE339:BG339)-SUM(AY339:BD339)))</f>
        <v>0</v>
      </c>
      <c r="BI339" s="27" t="n">
        <f aca="false">MIN(AM338*(1+F$8),MAX(AY339,$B$12-SUM(BE339:BH339)-SUM(AZ339:BD339)))</f>
        <v>0</v>
      </c>
      <c r="BJ339" s="27" t="n">
        <f aca="false">MIN(AN338*(1+G$8),MAX(AZ339,$B$12-SUM(BE339:BI339)-SUM(BA339:BD339)))</f>
        <v>0</v>
      </c>
      <c r="BK339" s="27" t="n">
        <f aca="false">MIN(AO338*(1+H$8),MAX(BA339,$B$12-SUM(BE339:BJ339)-SUM(BB339:BD339)))</f>
        <v>0</v>
      </c>
      <c r="BL339" s="27" t="n">
        <f aca="false">MIN(AP338*(1+I$8),MAX(BB339,$B$12-SUM(BE339:BK339)-SUM(BC339:BD339)))</f>
        <v>0</v>
      </c>
      <c r="BM339" s="27" t="n">
        <f aca="false">MIN(AQ338*(1+J$8),MAX(BC339,$B$12-SUM(BE339:BL339)-SUM(BD339:BD339)))</f>
        <v>0</v>
      </c>
      <c r="BN339" s="27" t="n">
        <f aca="false">MIN(AR338*(1+K$8),MAX(BD339,$B$12-SUM(BE339:BM339)))</f>
        <v>0</v>
      </c>
    </row>
    <row r="340" customFormat="false" ht="15" hidden="false" customHeight="false" outlineLevel="0" collapsed="false">
      <c r="A340" s="0" t="n">
        <v>326</v>
      </c>
      <c r="B340" s="27" t="n">
        <f aca="false">ROUND(MAX(0,B339*(1+B$8)-X340),2)</f>
        <v>0</v>
      </c>
      <c r="C340" s="27" t="n">
        <f aca="false">ROUND(MAX(0,C339*(1+C$8)-Y340),2)</f>
        <v>0</v>
      </c>
      <c r="D340" s="27" t="n">
        <f aca="false">ROUND(MAX(0,D339*(1+D$8)-Z340),2)</f>
        <v>0</v>
      </c>
      <c r="E340" s="27" t="n">
        <f aca="false">ROUND(MAX(0,E339*(1+E$8)-AA340),2)</f>
        <v>0</v>
      </c>
      <c r="F340" s="27" t="n">
        <f aca="false">ROUND(MAX(0,F339*(1+F$8)-AB340),2)</f>
        <v>0</v>
      </c>
      <c r="G340" s="27" t="n">
        <f aca="false">ROUND(MAX(0,G339*(1+G$8)-AC340),2)</f>
        <v>0</v>
      </c>
      <c r="H340" s="27" t="n">
        <f aca="false">ROUND(MAX(0,H339*(1+H$8)-AD340),2)</f>
        <v>0</v>
      </c>
      <c r="I340" s="27" t="n">
        <f aca="false">ROUND(MAX(0,I339*(1+I$8)-AE340),2)</f>
        <v>0</v>
      </c>
      <c r="J340" s="27" t="n">
        <f aca="false">ROUND(MAX(0,J339*(1+J$8)-AF340),2)</f>
        <v>0</v>
      </c>
      <c r="K340" s="27" t="n">
        <f aca="false">ROUND(MAX(0,K339*(1+K$8)-AG340),2)</f>
        <v>0</v>
      </c>
      <c r="L340" s="30" t="n">
        <f aca="false">SUM(B340:K340)</f>
        <v>0</v>
      </c>
      <c r="M340" s="27" t="n">
        <f aca="false">SUMPRODUCT(B339:K339,$B$8:$K$8)</f>
        <v>0</v>
      </c>
      <c r="N340" s="27" t="n">
        <f aca="false">MIN(B339*(1+B$8),B$9)</f>
        <v>0</v>
      </c>
      <c r="O340" s="27" t="n">
        <f aca="false">MIN(C339*(1+C$8),C$9)</f>
        <v>0</v>
      </c>
      <c r="P340" s="27" t="n">
        <f aca="false">MIN(D339*(1+D$8),D$9)</f>
        <v>0</v>
      </c>
      <c r="Q340" s="27" t="n">
        <f aca="false">MIN(E339*(1+E$8),E$9)</f>
        <v>0</v>
      </c>
      <c r="R340" s="27" t="n">
        <f aca="false">MIN(F339*(1+F$8),F$9)</f>
        <v>0</v>
      </c>
      <c r="S340" s="27" t="n">
        <f aca="false">MIN(G339*(1+G$8),G$9)</f>
        <v>0</v>
      </c>
      <c r="T340" s="27" t="n">
        <f aca="false">MIN(H339*(1+H$8),H$9)</f>
        <v>0</v>
      </c>
      <c r="U340" s="27" t="n">
        <f aca="false">MIN(I339*(1+I$8),I$9)</f>
        <v>0</v>
      </c>
      <c r="V340" s="27" t="n">
        <f aca="false">MIN(J339*(1+J$8),J$9)</f>
        <v>0</v>
      </c>
      <c r="W340" s="27" t="n">
        <f aca="false">MIN(K339*(1+K$8),K$9)</f>
        <v>0</v>
      </c>
      <c r="X340" s="27" t="n">
        <f aca="false">MIN(B339*(1+B$8),MAX(N340,$B$11-SUM(O340:W340)))</f>
        <v>0</v>
      </c>
      <c r="Y340" s="27" t="n">
        <f aca="false">MIN(C339*(1+C$8),MAX(O340,$B$11-SUM(X340:X340)-SUM(P340:W340)))</f>
        <v>0</v>
      </c>
      <c r="Z340" s="27" t="n">
        <f aca="false">MIN(D339*(1+D$8),MAX(P340,$B$11-SUM(X340:Y340)-SUM(Q340:W340)))</f>
        <v>0</v>
      </c>
      <c r="AA340" s="27" t="n">
        <f aca="false">MIN(E339*(1+E$8),MAX(Q340,$B$11-SUM(X340:Z340)-SUM(R340:W340)))</f>
        <v>0</v>
      </c>
      <c r="AB340" s="27" t="n">
        <f aca="false">MIN(F339*(1+F$8),MAX(R340,$B$11-SUM(X340:AA340)-SUM(S340:W340)))</f>
        <v>0</v>
      </c>
      <c r="AC340" s="27" t="n">
        <f aca="false">MIN(G339*(1+G$8),MAX(S340,$B$11-SUM(X340:AB340)-SUM(T340:W340)))</f>
        <v>0</v>
      </c>
      <c r="AD340" s="27" t="n">
        <f aca="false">MIN(H339*(1+H$8),MAX(T340,$B$11-SUM(X340:AC340)-SUM(U340:W340)))</f>
        <v>0</v>
      </c>
      <c r="AE340" s="27" t="n">
        <f aca="false">MIN(I339*(1+I$8),MAX(U340,$B$11-SUM(X340:AD340)-SUM(V340:W340)))</f>
        <v>0</v>
      </c>
      <c r="AF340" s="27" t="n">
        <f aca="false">MIN(J339*(1+J$8),MAX(V340,$B$11-SUM(X340:AE340)-SUM(W340:W340)))</f>
        <v>0</v>
      </c>
      <c r="AG340" s="27" t="n">
        <f aca="false">MIN(K339*(1+K$8),MAX(W340,$B$11-SUM(X340:AF340)))</f>
        <v>0</v>
      </c>
      <c r="AI340" s="27" t="n">
        <f aca="false">ROUND(MAX(0,AI339*(1+B$8)-BE340),2)</f>
        <v>0</v>
      </c>
      <c r="AJ340" s="27" t="n">
        <f aca="false">ROUND(MAX(0,AJ339*(1+C$8)-BF340),2)</f>
        <v>0</v>
      </c>
      <c r="AK340" s="27" t="n">
        <f aca="false">ROUND(MAX(0,AK339*(1+D$8)-BG340),2)</f>
        <v>0</v>
      </c>
      <c r="AL340" s="27" t="n">
        <f aca="false">ROUND(MAX(0,AL339*(1+E$8)-BH340),2)</f>
        <v>0</v>
      </c>
      <c r="AM340" s="27" t="n">
        <f aca="false">ROUND(MAX(0,AM339*(1+F$8)-BI340),2)</f>
        <v>0</v>
      </c>
      <c r="AN340" s="27" t="n">
        <f aca="false">ROUND(MAX(0,AN339*(1+G$8)-BJ340),2)</f>
        <v>0</v>
      </c>
      <c r="AO340" s="27" t="n">
        <f aca="false">ROUND(MAX(0,AO339*(1+H$8)-BK340),2)</f>
        <v>0</v>
      </c>
      <c r="AP340" s="27" t="n">
        <f aca="false">ROUND(MAX(0,AP339*(1+I$8)-BL340),2)</f>
        <v>0</v>
      </c>
      <c r="AQ340" s="27" t="n">
        <f aca="false">ROUND(MAX(0,AQ339*(1+J$8)-BM340),2)</f>
        <v>0</v>
      </c>
      <c r="AR340" s="27" t="n">
        <f aca="false">ROUND(MAX(0,AR339*(1+K$8)-BN340),2)</f>
        <v>0</v>
      </c>
      <c r="AS340" s="27" t="n">
        <f aca="false">SUM(AI340:AR340)</f>
        <v>0</v>
      </c>
      <c r="AT340" s="27" t="n">
        <f aca="false">SUMPRODUCT(AI339:AR339,$B$8:$K$8)</f>
        <v>0</v>
      </c>
      <c r="AU340" s="27" t="n">
        <f aca="false">MIN(AI339*(1+B$8),B$9)</f>
        <v>0</v>
      </c>
      <c r="AV340" s="27" t="n">
        <f aca="false">MIN(AJ339*(1+C$8),C$9)</f>
        <v>0</v>
      </c>
      <c r="AW340" s="27" t="n">
        <f aca="false">MIN(AK339*(1+D$8),D$9)</f>
        <v>0</v>
      </c>
      <c r="AX340" s="27" t="n">
        <f aca="false">MIN(AL339*(1+E$8),E$9)</f>
        <v>0</v>
      </c>
      <c r="AY340" s="27" t="n">
        <f aca="false">MIN(AM339*(1+F$8),F$9)</f>
        <v>0</v>
      </c>
      <c r="AZ340" s="27" t="n">
        <f aca="false">MIN(AN339*(1+G$8),G$9)</f>
        <v>0</v>
      </c>
      <c r="BA340" s="27" t="n">
        <f aca="false">MIN(AO339*(1+H$8),H$9)</f>
        <v>0</v>
      </c>
      <c r="BB340" s="27" t="n">
        <f aca="false">MIN(AP339*(1+I$8),I$9)</f>
        <v>0</v>
      </c>
      <c r="BC340" s="27" t="n">
        <f aca="false">MIN(AQ339*(1+J$8),J$9)</f>
        <v>0</v>
      </c>
      <c r="BD340" s="27" t="n">
        <f aca="false">MIN(AR339*(1+K$8),K$9)</f>
        <v>0</v>
      </c>
      <c r="BE340" s="27" t="n">
        <f aca="false">MIN(AI339*(1+B$8),MAX(AU340,$B$12-SUM(AV340:BD340)))</f>
        <v>0</v>
      </c>
      <c r="BF340" s="27" t="n">
        <f aca="false">MIN(AJ339*(1+C$8),MAX(AV340,$B$12-SUM(BE340:BE340)-SUM(AW340:BD340)))</f>
        <v>0</v>
      </c>
      <c r="BG340" s="27" t="n">
        <f aca="false">MIN(AK339*(1+D$8),MAX(AW340,$B$12-SUM(BE340:BF340)-SUM(AX340:BD340)))</f>
        <v>0</v>
      </c>
      <c r="BH340" s="27" t="n">
        <f aca="false">MIN(AL339*(1+E$8),MAX(AX340,$B$12-SUM(BE340:BG340)-SUM(AY340:BD340)))</f>
        <v>0</v>
      </c>
      <c r="BI340" s="27" t="n">
        <f aca="false">MIN(AM339*(1+F$8),MAX(AY340,$B$12-SUM(BE340:BH340)-SUM(AZ340:BD340)))</f>
        <v>0</v>
      </c>
      <c r="BJ340" s="27" t="n">
        <f aca="false">MIN(AN339*(1+G$8),MAX(AZ340,$B$12-SUM(BE340:BI340)-SUM(BA340:BD340)))</f>
        <v>0</v>
      </c>
      <c r="BK340" s="27" t="n">
        <f aca="false">MIN(AO339*(1+H$8),MAX(BA340,$B$12-SUM(BE340:BJ340)-SUM(BB340:BD340)))</f>
        <v>0</v>
      </c>
      <c r="BL340" s="27" t="n">
        <f aca="false">MIN(AP339*(1+I$8),MAX(BB340,$B$12-SUM(BE340:BK340)-SUM(BC340:BD340)))</f>
        <v>0</v>
      </c>
      <c r="BM340" s="27" t="n">
        <f aca="false">MIN(AQ339*(1+J$8),MAX(BC340,$B$12-SUM(BE340:BL340)-SUM(BD340:BD340)))</f>
        <v>0</v>
      </c>
      <c r="BN340" s="27" t="n">
        <f aca="false">MIN(AR339*(1+K$8),MAX(BD340,$B$12-SUM(BE340:BM340)))</f>
        <v>0</v>
      </c>
    </row>
    <row r="341" customFormat="false" ht="15" hidden="false" customHeight="false" outlineLevel="0" collapsed="false">
      <c r="A341" s="0" t="n">
        <v>327</v>
      </c>
      <c r="B341" s="27" t="n">
        <f aca="false">ROUND(MAX(0,B340*(1+B$8)-X341),2)</f>
        <v>0</v>
      </c>
      <c r="C341" s="27" t="n">
        <f aca="false">ROUND(MAX(0,C340*(1+C$8)-Y341),2)</f>
        <v>0</v>
      </c>
      <c r="D341" s="27" t="n">
        <f aca="false">ROUND(MAX(0,D340*(1+D$8)-Z341),2)</f>
        <v>0</v>
      </c>
      <c r="E341" s="27" t="n">
        <f aca="false">ROUND(MAX(0,E340*(1+E$8)-AA341),2)</f>
        <v>0</v>
      </c>
      <c r="F341" s="27" t="n">
        <f aca="false">ROUND(MAX(0,F340*(1+F$8)-AB341),2)</f>
        <v>0</v>
      </c>
      <c r="G341" s="27" t="n">
        <f aca="false">ROUND(MAX(0,G340*(1+G$8)-AC341),2)</f>
        <v>0</v>
      </c>
      <c r="H341" s="27" t="n">
        <f aca="false">ROUND(MAX(0,H340*(1+H$8)-AD341),2)</f>
        <v>0</v>
      </c>
      <c r="I341" s="27" t="n">
        <f aca="false">ROUND(MAX(0,I340*(1+I$8)-AE341),2)</f>
        <v>0</v>
      </c>
      <c r="J341" s="27" t="n">
        <f aca="false">ROUND(MAX(0,J340*(1+J$8)-AF341),2)</f>
        <v>0</v>
      </c>
      <c r="K341" s="27" t="n">
        <f aca="false">ROUND(MAX(0,K340*(1+K$8)-AG341),2)</f>
        <v>0</v>
      </c>
      <c r="L341" s="30" t="n">
        <f aca="false">SUM(B341:K341)</f>
        <v>0</v>
      </c>
      <c r="M341" s="27" t="n">
        <f aca="false">SUMPRODUCT(B340:K340,$B$8:$K$8)</f>
        <v>0</v>
      </c>
      <c r="N341" s="27" t="n">
        <f aca="false">MIN(B340*(1+B$8),B$9)</f>
        <v>0</v>
      </c>
      <c r="O341" s="27" t="n">
        <f aca="false">MIN(C340*(1+C$8),C$9)</f>
        <v>0</v>
      </c>
      <c r="P341" s="27" t="n">
        <f aca="false">MIN(D340*(1+D$8),D$9)</f>
        <v>0</v>
      </c>
      <c r="Q341" s="27" t="n">
        <f aca="false">MIN(E340*(1+E$8),E$9)</f>
        <v>0</v>
      </c>
      <c r="R341" s="27" t="n">
        <f aca="false">MIN(F340*(1+F$8),F$9)</f>
        <v>0</v>
      </c>
      <c r="S341" s="27" t="n">
        <f aca="false">MIN(G340*(1+G$8),G$9)</f>
        <v>0</v>
      </c>
      <c r="T341" s="27" t="n">
        <f aca="false">MIN(H340*(1+H$8),H$9)</f>
        <v>0</v>
      </c>
      <c r="U341" s="27" t="n">
        <f aca="false">MIN(I340*(1+I$8),I$9)</f>
        <v>0</v>
      </c>
      <c r="V341" s="27" t="n">
        <f aca="false">MIN(J340*(1+J$8),J$9)</f>
        <v>0</v>
      </c>
      <c r="W341" s="27" t="n">
        <f aca="false">MIN(K340*(1+K$8),K$9)</f>
        <v>0</v>
      </c>
      <c r="X341" s="27" t="n">
        <f aca="false">MIN(B340*(1+B$8),MAX(N341,$B$11-SUM(O341:W341)))</f>
        <v>0</v>
      </c>
      <c r="Y341" s="27" t="n">
        <f aca="false">MIN(C340*(1+C$8),MAX(O341,$B$11-SUM(X341:X341)-SUM(P341:W341)))</f>
        <v>0</v>
      </c>
      <c r="Z341" s="27" t="n">
        <f aca="false">MIN(D340*(1+D$8),MAX(P341,$B$11-SUM(X341:Y341)-SUM(Q341:W341)))</f>
        <v>0</v>
      </c>
      <c r="AA341" s="27" t="n">
        <f aca="false">MIN(E340*(1+E$8),MAX(Q341,$B$11-SUM(X341:Z341)-SUM(R341:W341)))</f>
        <v>0</v>
      </c>
      <c r="AB341" s="27" t="n">
        <f aca="false">MIN(F340*(1+F$8),MAX(R341,$B$11-SUM(X341:AA341)-SUM(S341:W341)))</f>
        <v>0</v>
      </c>
      <c r="AC341" s="27" t="n">
        <f aca="false">MIN(G340*(1+G$8),MAX(S341,$B$11-SUM(X341:AB341)-SUM(T341:W341)))</f>
        <v>0</v>
      </c>
      <c r="AD341" s="27" t="n">
        <f aca="false">MIN(H340*(1+H$8),MAX(T341,$B$11-SUM(X341:AC341)-SUM(U341:W341)))</f>
        <v>0</v>
      </c>
      <c r="AE341" s="27" t="n">
        <f aca="false">MIN(I340*(1+I$8),MAX(U341,$B$11-SUM(X341:AD341)-SUM(V341:W341)))</f>
        <v>0</v>
      </c>
      <c r="AF341" s="27" t="n">
        <f aca="false">MIN(J340*(1+J$8),MAX(V341,$B$11-SUM(X341:AE341)-SUM(W341:W341)))</f>
        <v>0</v>
      </c>
      <c r="AG341" s="27" t="n">
        <f aca="false">MIN(K340*(1+K$8),MAX(W341,$B$11-SUM(X341:AF341)))</f>
        <v>0</v>
      </c>
      <c r="AI341" s="27" t="n">
        <f aca="false">ROUND(MAX(0,AI340*(1+B$8)-BE341),2)</f>
        <v>0</v>
      </c>
      <c r="AJ341" s="27" t="n">
        <f aca="false">ROUND(MAX(0,AJ340*(1+C$8)-BF341),2)</f>
        <v>0</v>
      </c>
      <c r="AK341" s="27" t="n">
        <f aca="false">ROUND(MAX(0,AK340*(1+D$8)-BG341),2)</f>
        <v>0</v>
      </c>
      <c r="AL341" s="27" t="n">
        <f aca="false">ROUND(MAX(0,AL340*(1+E$8)-BH341),2)</f>
        <v>0</v>
      </c>
      <c r="AM341" s="27" t="n">
        <f aca="false">ROUND(MAX(0,AM340*(1+F$8)-BI341),2)</f>
        <v>0</v>
      </c>
      <c r="AN341" s="27" t="n">
        <f aca="false">ROUND(MAX(0,AN340*(1+G$8)-BJ341),2)</f>
        <v>0</v>
      </c>
      <c r="AO341" s="27" t="n">
        <f aca="false">ROUND(MAX(0,AO340*(1+H$8)-BK341),2)</f>
        <v>0</v>
      </c>
      <c r="AP341" s="27" t="n">
        <f aca="false">ROUND(MAX(0,AP340*(1+I$8)-BL341),2)</f>
        <v>0</v>
      </c>
      <c r="AQ341" s="27" t="n">
        <f aca="false">ROUND(MAX(0,AQ340*(1+J$8)-BM341),2)</f>
        <v>0</v>
      </c>
      <c r="AR341" s="27" t="n">
        <f aca="false">ROUND(MAX(0,AR340*(1+K$8)-BN341),2)</f>
        <v>0</v>
      </c>
      <c r="AS341" s="27" t="n">
        <f aca="false">SUM(AI341:AR341)</f>
        <v>0</v>
      </c>
      <c r="AT341" s="27" t="n">
        <f aca="false">SUMPRODUCT(AI340:AR340,$B$8:$K$8)</f>
        <v>0</v>
      </c>
      <c r="AU341" s="27" t="n">
        <f aca="false">MIN(AI340*(1+B$8),B$9)</f>
        <v>0</v>
      </c>
      <c r="AV341" s="27" t="n">
        <f aca="false">MIN(AJ340*(1+C$8),C$9)</f>
        <v>0</v>
      </c>
      <c r="AW341" s="27" t="n">
        <f aca="false">MIN(AK340*(1+D$8),D$9)</f>
        <v>0</v>
      </c>
      <c r="AX341" s="27" t="n">
        <f aca="false">MIN(AL340*(1+E$8),E$9)</f>
        <v>0</v>
      </c>
      <c r="AY341" s="27" t="n">
        <f aca="false">MIN(AM340*(1+F$8),F$9)</f>
        <v>0</v>
      </c>
      <c r="AZ341" s="27" t="n">
        <f aca="false">MIN(AN340*(1+G$8),G$9)</f>
        <v>0</v>
      </c>
      <c r="BA341" s="27" t="n">
        <f aca="false">MIN(AO340*(1+H$8),H$9)</f>
        <v>0</v>
      </c>
      <c r="BB341" s="27" t="n">
        <f aca="false">MIN(AP340*(1+I$8),I$9)</f>
        <v>0</v>
      </c>
      <c r="BC341" s="27" t="n">
        <f aca="false">MIN(AQ340*(1+J$8),J$9)</f>
        <v>0</v>
      </c>
      <c r="BD341" s="27" t="n">
        <f aca="false">MIN(AR340*(1+K$8),K$9)</f>
        <v>0</v>
      </c>
      <c r="BE341" s="27" t="n">
        <f aca="false">MIN(AI340*(1+B$8),MAX(AU341,$B$12-SUM(AV341:BD341)))</f>
        <v>0</v>
      </c>
      <c r="BF341" s="27" t="n">
        <f aca="false">MIN(AJ340*(1+C$8),MAX(AV341,$B$12-SUM(BE341:BE341)-SUM(AW341:BD341)))</f>
        <v>0</v>
      </c>
      <c r="BG341" s="27" t="n">
        <f aca="false">MIN(AK340*(1+D$8),MAX(AW341,$B$12-SUM(BE341:BF341)-SUM(AX341:BD341)))</f>
        <v>0</v>
      </c>
      <c r="BH341" s="27" t="n">
        <f aca="false">MIN(AL340*(1+E$8),MAX(AX341,$B$12-SUM(BE341:BG341)-SUM(AY341:BD341)))</f>
        <v>0</v>
      </c>
      <c r="BI341" s="27" t="n">
        <f aca="false">MIN(AM340*(1+F$8),MAX(AY341,$B$12-SUM(BE341:BH341)-SUM(AZ341:BD341)))</f>
        <v>0</v>
      </c>
      <c r="BJ341" s="27" t="n">
        <f aca="false">MIN(AN340*(1+G$8),MAX(AZ341,$B$12-SUM(BE341:BI341)-SUM(BA341:BD341)))</f>
        <v>0</v>
      </c>
      <c r="BK341" s="27" t="n">
        <f aca="false">MIN(AO340*(1+H$8),MAX(BA341,$B$12-SUM(BE341:BJ341)-SUM(BB341:BD341)))</f>
        <v>0</v>
      </c>
      <c r="BL341" s="27" t="n">
        <f aca="false">MIN(AP340*(1+I$8),MAX(BB341,$B$12-SUM(BE341:BK341)-SUM(BC341:BD341)))</f>
        <v>0</v>
      </c>
      <c r="BM341" s="27" t="n">
        <f aca="false">MIN(AQ340*(1+J$8),MAX(BC341,$B$12-SUM(BE341:BL341)-SUM(BD341:BD341)))</f>
        <v>0</v>
      </c>
      <c r="BN341" s="27" t="n">
        <f aca="false">MIN(AR340*(1+K$8),MAX(BD341,$B$12-SUM(BE341:BM341)))</f>
        <v>0</v>
      </c>
    </row>
    <row r="342" customFormat="false" ht="15" hidden="false" customHeight="false" outlineLevel="0" collapsed="false">
      <c r="A342" s="0" t="n">
        <v>328</v>
      </c>
      <c r="B342" s="27" t="n">
        <f aca="false">ROUND(MAX(0,B341*(1+B$8)-X342),2)</f>
        <v>0</v>
      </c>
      <c r="C342" s="27" t="n">
        <f aca="false">ROUND(MAX(0,C341*(1+C$8)-Y342),2)</f>
        <v>0</v>
      </c>
      <c r="D342" s="27" t="n">
        <f aca="false">ROUND(MAX(0,D341*(1+D$8)-Z342),2)</f>
        <v>0</v>
      </c>
      <c r="E342" s="27" t="n">
        <f aca="false">ROUND(MAX(0,E341*(1+E$8)-AA342),2)</f>
        <v>0</v>
      </c>
      <c r="F342" s="27" t="n">
        <f aca="false">ROUND(MAX(0,F341*(1+F$8)-AB342),2)</f>
        <v>0</v>
      </c>
      <c r="G342" s="27" t="n">
        <f aca="false">ROUND(MAX(0,G341*(1+G$8)-AC342),2)</f>
        <v>0</v>
      </c>
      <c r="H342" s="27" t="n">
        <f aca="false">ROUND(MAX(0,H341*(1+H$8)-AD342),2)</f>
        <v>0</v>
      </c>
      <c r="I342" s="27" t="n">
        <f aca="false">ROUND(MAX(0,I341*(1+I$8)-AE342),2)</f>
        <v>0</v>
      </c>
      <c r="J342" s="27" t="n">
        <f aca="false">ROUND(MAX(0,J341*(1+J$8)-AF342),2)</f>
        <v>0</v>
      </c>
      <c r="K342" s="27" t="n">
        <f aca="false">ROUND(MAX(0,K341*(1+K$8)-AG342),2)</f>
        <v>0</v>
      </c>
      <c r="L342" s="30" t="n">
        <f aca="false">SUM(B342:K342)</f>
        <v>0</v>
      </c>
      <c r="M342" s="27" t="n">
        <f aca="false">SUMPRODUCT(B341:K341,$B$8:$K$8)</f>
        <v>0</v>
      </c>
      <c r="N342" s="27" t="n">
        <f aca="false">MIN(B341*(1+B$8),B$9)</f>
        <v>0</v>
      </c>
      <c r="O342" s="27" t="n">
        <f aca="false">MIN(C341*(1+C$8),C$9)</f>
        <v>0</v>
      </c>
      <c r="P342" s="27" t="n">
        <f aca="false">MIN(D341*(1+D$8),D$9)</f>
        <v>0</v>
      </c>
      <c r="Q342" s="27" t="n">
        <f aca="false">MIN(E341*(1+E$8),E$9)</f>
        <v>0</v>
      </c>
      <c r="R342" s="27" t="n">
        <f aca="false">MIN(F341*(1+F$8),F$9)</f>
        <v>0</v>
      </c>
      <c r="S342" s="27" t="n">
        <f aca="false">MIN(G341*(1+G$8),G$9)</f>
        <v>0</v>
      </c>
      <c r="T342" s="27" t="n">
        <f aca="false">MIN(H341*(1+H$8),H$9)</f>
        <v>0</v>
      </c>
      <c r="U342" s="27" t="n">
        <f aca="false">MIN(I341*(1+I$8),I$9)</f>
        <v>0</v>
      </c>
      <c r="V342" s="27" t="n">
        <f aca="false">MIN(J341*(1+J$8),J$9)</f>
        <v>0</v>
      </c>
      <c r="W342" s="27" t="n">
        <f aca="false">MIN(K341*(1+K$8),K$9)</f>
        <v>0</v>
      </c>
      <c r="X342" s="27" t="n">
        <f aca="false">MIN(B341*(1+B$8),MAX(N342,$B$11-SUM(O342:W342)))</f>
        <v>0</v>
      </c>
      <c r="Y342" s="27" t="n">
        <f aca="false">MIN(C341*(1+C$8),MAX(O342,$B$11-SUM(X342:X342)-SUM(P342:W342)))</f>
        <v>0</v>
      </c>
      <c r="Z342" s="27" t="n">
        <f aca="false">MIN(D341*(1+D$8),MAX(P342,$B$11-SUM(X342:Y342)-SUM(Q342:W342)))</f>
        <v>0</v>
      </c>
      <c r="AA342" s="27" t="n">
        <f aca="false">MIN(E341*(1+E$8),MAX(Q342,$B$11-SUM(X342:Z342)-SUM(R342:W342)))</f>
        <v>0</v>
      </c>
      <c r="AB342" s="27" t="n">
        <f aca="false">MIN(F341*(1+F$8),MAX(R342,$B$11-SUM(X342:AA342)-SUM(S342:W342)))</f>
        <v>0</v>
      </c>
      <c r="AC342" s="27" t="n">
        <f aca="false">MIN(G341*(1+G$8),MAX(S342,$B$11-SUM(X342:AB342)-SUM(T342:W342)))</f>
        <v>0</v>
      </c>
      <c r="AD342" s="27" t="n">
        <f aca="false">MIN(H341*(1+H$8),MAX(T342,$B$11-SUM(X342:AC342)-SUM(U342:W342)))</f>
        <v>0</v>
      </c>
      <c r="AE342" s="27" t="n">
        <f aca="false">MIN(I341*(1+I$8),MAX(U342,$B$11-SUM(X342:AD342)-SUM(V342:W342)))</f>
        <v>0</v>
      </c>
      <c r="AF342" s="27" t="n">
        <f aca="false">MIN(J341*(1+J$8),MAX(V342,$B$11-SUM(X342:AE342)-SUM(W342:W342)))</f>
        <v>0</v>
      </c>
      <c r="AG342" s="27" t="n">
        <f aca="false">MIN(K341*(1+K$8),MAX(W342,$B$11-SUM(X342:AF342)))</f>
        <v>0</v>
      </c>
      <c r="AI342" s="27" t="n">
        <f aca="false">ROUND(MAX(0,AI341*(1+B$8)-BE342),2)</f>
        <v>0</v>
      </c>
      <c r="AJ342" s="27" t="n">
        <f aca="false">ROUND(MAX(0,AJ341*(1+C$8)-BF342),2)</f>
        <v>0</v>
      </c>
      <c r="AK342" s="27" t="n">
        <f aca="false">ROUND(MAX(0,AK341*(1+D$8)-BG342),2)</f>
        <v>0</v>
      </c>
      <c r="AL342" s="27" t="n">
        <f aca="false">ROUND(MAX(0,AL341*(1+E$8)-BH342),2)</f>
        <v>0</v>
      </c>
      <c r="AM342" s="27" t="n">
        <f aca="false">ROUND(MAX(0,AM341*(1+F$8)-BI342),2)</f>
        <v>0</v>
      </c>
      <c r="AN342" s="27" t="n">
        <f aca="false">ROUND(MAX(0,AN341*(1+G$8)-BJ342),2)</f>
        <v>0</v>
      </c>
      <c r="AO342" s="27" t="n">
        <f aca="false">ROUND(MAX(0,AO341*(1+H$8)-BK342),2)</f>
        <v>0</v>
      </c>
      <c r="AP342" s="27" t="n">
        <f aca="false">ROUND(MAX(0,AP341*(1+I$8)-BL342),2)</f>
        <v>0</v>
      </c>
      <c r="AQ342" s="27" t="n">
        <f aca="false">ROUND(MAX(0,AQ341*(1+J$8)-BM342),2)</f>
        <v>0</v>
      </c>
      <c r="AR342" s="27" t="n">
        <f aca="false">ROUND(MAX(0,AR341*(1+K$8)-BN342),2)</f>
        <v>0</v>
      </c>
      <c r="AS342" s="27" t="n">
        <f aca="false">SUM(AI342:AR342)</f>
        <v>0</v>
      </c>
      <c r="AT342" s="27" t="n">
        <f aca="false">SUMPRODUCT(AI341:AR341,$B$8:$K$8)</f>
        <v>0</v>
      </c>
      <c r="AU342" s="27" t="n">
        <f aca="false">MIN(AI341*(1+B$8),B$9)</f>
        <v>0</v>
      </c>
      <c r="AV342" s="27" t="n">
        <f aca="false">MIN(AJ341*(1+C$8),C$9)</f>
        <v>0</v>
      </c>
      <c r="AW342" s="27" t="n">
        <f aca="false">MIN(AK341*(1+D$8),D$9)</f>
        <v>0</v>
      </c>
      <c r="AX342" s="27" t="n">
        <f aca="false">MIN(AL341*(1+E$8),E$9)</f>
        <v>0</v>
      </c>
      <c r="AY342" s="27" t="n">
        <f aca="false">MIN(AM341*(1+F$8),F$9)</f>
        <v>0</v>
      </c>
      <c r="AZ342" s="27" t="n">
        <f aca="false">MIN(AN341*(1+G$8),G$9)</f>
        <v>0</v>
      </c>
      <c r="BA342" s="27" t="n">
        <f aca="false">MIN(AO341*(1+H$8),H$9)</f>
        <v>0</v>
      </c>
      <c r="BB342" s="27" t="n">
        <f aca="false">MIN(AP341*(1+I$8),I$9)</f>
        <v>0</v>
      </c>
      <c r="BC342" s="27" t="n">
        <f aca="false">MIN(AQ341*(1+J$8),J$9)</f>
        <v>0</v>
      </c>
      <c r="BD342" s="27" t="n">
        <f aca="false">MIN(AR341*(1+K$8),K$9)</f>
        <v>0</v>
      </c>
      <c r="BE342" s="27" t="n">
        <f aca="false">MIN(AI341*(1+B$8),MAX(AU342,$B$12-SUM(AV342:BD342)))</f>
        <v>0</v>
      </c>
      <c r="BF342" s="27" t="n">
        <f aca="false">MIN(AJ341*(1+C$8),MAX(AV342,$B$12-SUM(BE342:BE342)-SUM(AW342:BD342)))</f>
        <v>0</v>
      </c>
      <c r="BG342" s="27" t="n">
        <f aca="false">MIN(AK341*(1+D$8),MAX(AW342,$B$12-SUM(BE342:BF342)-SUM(AX342:BD342)))</f>
        <v>0</v>
      </c>
      <c r="BH342" s="27" t="n">
        <f aca="false">MIN(AL341*(1+E$8),MAX(AX342,$B$12-SUM(BE342:BG342)-SUM(AY342:BD342)))</f>
        <v>0</v>
      </c>
      <c r="BI342" s="27" t="n">
        <f aca="false">MIN(AM341*(1+F$8),MAX(AY342,$B$12-SUM(BE342:BH342)-SUM(AZ342:BD342)))</f>
        <v>0</v>
      </c>
      <c r="BJ342" s="27" t="n">
        <f aca="false">MIN(AN341*(1+G$8),MAX(AZ342,$B$12-SUM(BE342:BI342)-SUM(BA342:BD342)))</f>
        <v>0</v>
      </c>
      <c r="BK342" s="27" t="n">
        <f aca="false">MIN(AO341*(1+H$8),MAX(BA342,$B$12-SUM(BE342:BJ342)-SUM(BB342:BD342)))</f>
        <v>0</v>
      </c>
      <c r="BL342" s="27" t="n">
        <f aca="false">MIN(AP341*(1+I$8),MAX(BB342,$B$12-SUM(BE342:BK342)-SUM(BC342:BD342)))</f>
        <v>0</v>
      </c>
      <c r="BM342" s="27" t="n">
        <f aca="false">MIN(AQ341*(1+J$8),MAX(BC342,$B$12-SUM(BE342:BL342)-SUM(BD342:BD342)))</f>
        <v>0</v>
      </c>
      <c r="BN342" s="27" t="n">
        <f aca="false">MIN(AR341*(1+K$8),MAX(BD342,$B$12-SUM(BE342:BM342)))</f>
        <v>0</v>
      </c>
    </row>
    <row r="343" customFormat="false" ht="15" hidden="false" customHeight="false" outlineLevel="0" collapsed="false">
      <c r="A343" s="0" t="n">
        <v>329</v>
      </c>
      <c r="B343" s="27" t="n">
        <f aca="false">ROUND(MAX(0,B342*(1+B$8)-X343),2)</f>
        <v>0</v>
      </c>
      <c r="C343" s="27" t="n">
        <f aca="false">ROUND(MAX(0,C342*(1+C$8)-Y343),2)</f>
        <v>0</v>
      </c>
      <c r="D343" s="27" t="n">
        <f aca="false">ROUND(MAX(0,D342*(1+D$8)-Z343),2)</f>
        <v>0</v>
      </c>
      <c r="E343" s="27" t="n">
        <f aca="false">ROUND(MAX(0,E342*(1+E$8)-AA343),2)</f>
        <v>0</v>
      </c>
      <c r="F343" s="27" t="n">
        <f aca="false">ROUND(MAX(0,F342*(1+F$8)-AB343),2)</f>
        <v>0</v>
      </c>
      <c r="G343" s="27" t="n">
        <f aca="false">ROUND(MAX(0,G342*(1+G$8)-AC343),2)</f>
        <v>0</v>
      </c>
      <c r="H343" s="27" t="n">
        <f aca="false">ROUND(MAX(0,H342*(1+H$8)-AD343),2)</f>
        <v>0</v>
      </c>
      <c r="I343" s="27" t="n">
        <f aca="false">ROUND(MAX(0,I342*(1+I$8)-AE343),2)</f>
        <v>0</v>
      </c>
      <c r="J343" s="27" t="n">
        <f aca="false">ROUND(MAX(0,J342*(1+J$8)-AF343),2)</f>
        <v>0</v>
      </c>
      <c r="K343" s="27" t="n">
        <f aca="false">ROUND(MAX(0,K342*(1+K$8)-AG343),2)</f>
        <v>0</v>
      </c>
      <c r="L343" s="30" t="n">
        <f aca="false">SUM(B343:K343)</f>
        <v>0</v>
      </c>
      <c r="M343" s="27" t="n">
        <f aca="false">SUMPRODUCT(B342:K342,$B$8:$K$8)</f>
        <v>0</v>
      </c>
      <c r="N343" s="27" t="n">
        <f aca="false">MIN(B342*(1+B$8),B$9)</f>
        <v>0</v>
      </c>
      <c r="O343" s="27" t="n">
        <f aca="false">MIN(C342*(1+C$8),C$9)</f>
        <v>0</v>
      </c>
      <c r="P343" s="27" t="n">
        <f aca="false">MIN(D342*(1+D$8),D$9)</f>
        <v>0</v>
      </c>
      <c r="Q343" s="27" t="n">
        <f aca="false">MIN(E342*(1+E$8),E$9)</f>
        <v>0</v>
      </c>
      <c r="R343" s="27" t="n">
        <f aca="false">MIN(F342*(1+F$8),F$9)</f>
        <v>0</v>
      </c>
      <c r="S343" s="27" t="n">
        <f aca="false">MIN(G342*(1+G$8),G$9)</f>
        <v>0</v>
      </c>
      <c r="T343" s="27" t="n">
        <f aca="false">MIN(H342*(1+H$8),H$9)</f>
        <v>0</v>
      </c>
      <c r="U343" s="27" t="n">
        <f aca="false">MIN(I342*(1+I$8),I$9)</f>
        <v>0</v>
      </c>
      <c r="V343" s="27" t="n">
        <f aca="false">MIN(J342*(1+J$8),J$9)</f>
        <v>0</v>
      </c>
      <c r="W343" s="27" t="n">
        <f aca="false">MIN(K342*(1+K$8),K$9)</f>
        <v>0</v>
      </c>
      <c r="X343" s="27" t="n">
        <f aca="false">MIN(B342*(1+B$8),MAX(N343,$B$11-SUM(O343:W343)))</f>
        <v>0</v>
      </c>
      <c r="Y343" s="27" t="n">
        <f aca="false">MIN(C342*(1+C$8),MAX(O343,$B$11-SUM(X343:X343)-SUM(P343:W343)))</f>
        <v>0</v>
      </c>
      <c r="Z343" s="27" t="n">
        <f aca="false">MIN(D342*(1+D$8),MAX(P343,$B$11-SUM(X343:Y343)-SUM(Q343:W343)))</f>
        <v>0</v>
      </c>
      <c r="AA343" s="27" t="n">
        <f aca="false">MIN(E342*(1+E$8),MAX(Q343,$B$11-SUM(X343:Z343)-SUM(R343:W343)))</f>
        <v>0</v>
      </c>
      <c r="AB343" s="27" t="n">
        <f aca="false">MIN(F342*(1+F$8),MAX(R343,$B$11-SUM(X343:AA343)-SUM(S343:W343)))</f>
        <v>0</v>
      </c>
      <c r="AC343" s="27" t="n">
        <f aca="false">MIN(G342*(1+G$8),MAX(S343,$B$11-SUM(X343:AB343)-SUM(T343:W343)))</f>
        <v>0</v>
      </c>
      <c r="AD343" s="27" t="n">
        <f aca="false">MIN(H342*(1+H$8),MAX(T343,$B$11-SUM(X343:AC343)-SUM(U343:W343)))</f>
        <v>0</v>
      </c>
      <c r="AE343" s="27" t="n">
        <f aca="false">MIN(I342*(1+I$8),MAX(U343,$B$11-SUM(X343:AD343)-SUM(V343:W343)))</f>
        <v>0</v>
      </c>
      <c r="AF343" s="27" t="n">
        <f aca="false">MIN(J342*(1+J$8),MAX(V343,$B$11-SUM(X343:AE343)-SUM(W343:W343)))</f>
        <v>0</v>
      </c>
      <c r="AG343" s="27" t="n">
        <f aca="false">MIN(K342*(1+K$8),MAX(W343,$B$11-SUM(X343:AF343)))</f>
        <v>0</v>
      </c>
      <c r="AI343" s="27" t="n">
        <f aca="false">ROUND(MAX(0,AI342*(1+B$8)-BE343),2)</f>
        <v>0</v>
      </c>
      <c r="AJ343" s="27" t="n">
        <f aca="false">ROUND(MAX(0,AJ342*(1+C$8)-BF343),2)</f>
        <v>0</v>
      </c>
      <c r="AK343" s="27" t="n">
        <f aca="false">ROUND(MAX(0,AK342*(1+D$8)-BG343),2)</f>
        <v>0</v>
      </c>
      <c r="AL343" s="27" t="n">
        <f aca="false">ROUND(MAX(0,AL342*(1+E$8)-BH343),2)</f>
        <v>0</v>
      </c>
      <c r="AM343" s="27" t="n">
        <f aca="false">ROUND(MAX(0,AM342*(1+F$8)-BI343),2)</f>
        <v>0</v>
      </c>
      <c r="AN343" s="27" t="n">
        <f aca="false">ROUND(MAX(0,AN342*(1+G$8)-BJ343),2)</f>
        <v>0</v>
      </c>
      <c r="AO343" s="27" t="n">
        <f aca="false">ROUND(MAX(0,AO342*(1+H$8)-BK343),2)</f>
        <v>0</v>
      </c>
      <c r="AP343" s="27" t="n">
        <f aca="false">ROUND(MAX(0,AP342*(1+I$8)-BL343),2)</f>
        <v>0</v>
      </c>
      <c r="AQ343" s="27" t="n">
        <f aca="false">ROUND(MAX(0,AQ342*(1+J$8)-BM343),2)</f>
        <v>0</v>
      </c>
      <c r="AR343" s="27" t="n">
        <f aca="false">ROUND(MAX(0,AR342*(1+K$8)-BN343),2)</f>
        <v>0</v>
      </c>
      <c r="AS343" s="27" t="n">
        <f aca="false">SUM(AI343:AR343)</f>
        <v>0</v>
      </c>
      <c r="AT343" s="27" t="n">
        <f aca="false">SUMPRODUCT(AI342:AR342,$B$8:$K$8)</f>
        <v>0</v>
      </c>
      <c r="AU343" s="27" t="n">
        <f aca="false">MIN(AI342*(1+B$8),B$9)</f>
        <v>0</v>
      </c>
      <c r="AV343" s="27" t="n">
        <f aca="false">MIN(AJ342*(1+C$8),C$9)</f>
        <v>0</v>
      </c>
      <c r="AW343" s="27" t="n">
        <f aca="false">MIN(AK342*(1+D$8),D$9)</f>
        <v>0</v>
      </c>
      <c r="AX343" s="27" t="n">
        <f aca="false">MIN(AL342*(1+E$8),E$9)</f>
        <v>0</v>
      </c>
      <c r="AY343" s="27" t="n">
        <f aca="false">MIN(AM342*(1+F$8),F$9)</f>
        <v>0</v>
      </c>
      <c r="AZ343" s="27" t="n">
        <f aca="false">MIN(AN342*(1+G$8),G$9)</f>
        <v>0</v>
      </c>
      <c r="BA343" s="27" t="n">
        <f aca="false">MIN(AO342*(1+H$8),H$9)</f>
        <v>0</v>
      </c>
      <c r="BB343" s="27" t="n">
        <f aca="false">MIN(AP342*(1+I$8),I$9)</f>
        <v>0</v>
      </c>
      <c r="BC343" s="27" t="n">
        <f aca="false">MIN(AQ342*(1+J$8),J$9)</f>
        <v>0</v>
      </c>
      <c r="BD343" s="27" t="n">
        <f aca="false">MIN(AR342*(1+K$8),K$9)</f>
        <v>0</v>
      </c>
      <c r="BE343" s="27" t="n">
        <f aca="false">MIN(AI342*(1+B$8),MAX(AU343,$B$12-SUM(AV343:BD343)))</f>
        <v>0</v>
      </c>
      <c r="BF343" s="27" t="n">
        <f aca="false">MIN(AJ342*(1+C$8),MAX(AV343,$B$12-SUM(BE343:BE343)-SUM(AW343:BD343)))</f>
        <v>0</v>
      </c>
      <c r="BG343" s="27" t="n">
        <f aca="false">MIN(AK342*(1+D$8),MAX(AW343,$B$12-SUM(BE343:BF343)-SUM(AX343:BD343)))</f>
        <v>0</v>
      </c>
      <c r="BH343" s="27" t="n">
        <f aca="false">MIN(AL342*(1+E$8),MAX(AX343,$B$12-SUM(BE343:BG343)-SUM(AY343:BD343)))</f>
        <v>0</v>
      </c>
      <c r="BI343" s="27" t="n">
        <f aca="false">MIN(AM342*(1+F$8),MAX(AY343,$B$12-SUM(BE343:BH343)-SUM(AZ343:BD343)))</f>
        <v>0</v>
      </c>
      <c r="BJ343" s="27" t="n">
        <f aca="false">MIN(AN342*(1+G$8),MAX(AZ343,$B$12-SUM(BE343:BI343)-SUM(BA343:BD343)))</f>
        <v>0</v>
      </c>
      <c r="BK343" s="27" t="n">
        <f aca="false">MIN(AO342*(1+H$8),MAX(BA343,$B$12-SUM(BE343:BJ343)-SUM(BB343:BD343)))</f>
        <v>0</v>
      </c>
      <c r="BL343" s="27" t="n">
        <f aca="false">MIN(AP342*(1+I$8),MAX(BB343,$B$12-SUM(BE343:BK343)-SUM(BC343:BD343)))</f>
        <v>0</v>
      </c>
      <c r="BM343" s="27" t="n">
        <f aca="false">MIN(AQ342*(1+J$8),MAX(BC343,$B$12-SUM(BE343:BL343)-SUM(BD343:BD343)))</f>
        <v>0</v>
      </c>
      <c r="BN343" s="27" t="n">
        <f aca="false">MIN(AR342*(1+K$8),MAX(BD343,$B$12-SUM(BE343:BM343)))</f>
        <v>0</v>
      </c>
    </row>
    <row r="344" customFormat="false" ht="15" hidden="false" customHeight="false" outlineLevel="0" collapsed="false">
      <c r="A344" s="0" t="n">
        <v>330</v>
      </c>
      <c r="B344" s="27" t="n">
        <f aca="false">ROUND(MAX(0,B343*(1+B$8)-X344),2)</f>
        <v>0</v>
      </c>
      <c r="C344" s="27" t="n">
        <f aca="false">ROUND(MAX(0,C343*(1+C$8)-Y344),2)</f>
        <v>0</v>
      </c>
      <c r="D344" s="27" t="n">
        <f aca="false">ROUND(MAX(0,D343*(1+D$8)-Z344),2)</f>
        <v>0</v>
      </c>
      <c r="E344" s="27" t="n">
        <f aca="false">ROUND(MAX(0,E343*(1+E$8)-AA344),2)</f>
        <v>0</v>
      </c>
      <c r="F344" s="27" t="n">
        <f aca="false">ROUND(MAX(0,F343*(1+F$8)-AB344),2)</f>
        <v>0</v>
      </c>
      <c r="G344" s="27" t="n">
        <f aca="false">ROUND(MAX(0,G343*(1+G$8)-AC344),2)</f>
        <v>0</v>
      </c>
      <c r="H344" s="27" t="n">
        <f aca="false">ROUND(MAX(0,H343*(1+H$8)-AD344),2)</f>
        <v>0</v>
      </c>
      <c r="I344" s="27" t="n">
        <f aca="false">ROUND(MAX(0,I343*(1+I$8)-AE344),2)</f>
        <v>0</v>
      </c>
      <c r="J344" s="27" t="n">
        <f aca="false">ROUND(MAX(0,J343*(1+J$8)-AF344),2)</f>
        <v>0</v>
      </c>
      <c r="K344" s="27" t="n">
        <f aca="false">ROUND(MAX(0,K343*(1+K$8)-AG344),2)</f>
        <v>0</v>
      </c>
      <c r="L344" s="30" t="n">
        <f aca="false">SUM(B344:K344)</f>
        <v>0</v>
      </c>
      <c r="M344" s="27" t="n">
        <f aca="false">SUMPRODUCT(B343:K343,$B$8:$K$8)</f>
        <v>0</v>
      </c>
      <c r="N344" s="27" t="n">
        <f aca="false">MIN(B343*(1+B$8),B$9)</f>
        <v>0</v>
      </c>
      <c r="O344" s="27" t="n">
        <f aca="false">MIN(C343*(1+C$8),C$9)</f>
        <v>0</v>
      </c>
      <c r="P344" s="27" t="n">
        <f aca="false">MIN(D343*(1+D$8),D$9)</f>
        <v>0</v>
      </c>
      <c r="Q344" s="27" t="n">
        <f aca="false">MIN(E343*(1+E$8),E$9)</f>
        <v>0</v>
      </c>
      <c r="R344" s="27" t="n">
        <f aca="false">MIN(F343*(1+F$8),F$9)</f>
        <v>0</v>
      </c>
      <c r="S344" s="27" t="n">
        <f aca="false">MIN(G343*(1+G$8),G$9)</f>
        <v>0</v>
      </c>
      <c r="T344" s="27" t="n">
        <f aca="false">MIN(H343*(1+H$8),H$9)</f>
        <v>0</v>
      </c>
      <c r="U344" s="27" t="n">
        <f aca="false">MIN(I343*(1+I$8),I$9)</f>
        <v>0</v>
      </c>
      <c r="V344" s="27" t="n">
        <f aca="false">MIN(J343*(1+J$8),J$9)</f>
        <v>0</v>
      </c>
      <c r="W344" s="27" t="n">
        <f aca="false">MIN(K343*(1+K$8),K$9)</f>
        <v>0</v>
      </c>
      <c r="X344" s="27" t="n">
        <f aca="false">MIN(B343*(1+B$8),MAX(N344,$B$11-SUM(O344:W344)))</f>
        <v>0</v>
      </c>
      <c r="Y344" s="27" t="n">
        <f aca="false">MIN(C343*(1+C$8),MAX(O344,$B$11-SUM(X344:X344)-SUM(P344:W344)))</f>
        <v>0</v>
      </c>
      <c r="Z344" s="27" t="n">
        <f aca="false">MIN(D343*(1+D$8),MAX(P344,$B$11-SUM(X344:Y344)-SUM(Q344:W344)))</f>
        <v>0</v>
      </c>
      <c r="AA344" s="27" t="n">
        <f aca="false">MIN(E343*(1+E$8),MAX(Q344,$B$11-SUM(X344:Z344)-SUM(R344:W344)))</f>
        <v>0</v>
      </c>
      <c r="AB344" s="27" t="n">
        <f aca="false">MIN(F343*(1+F$8),MAX(R344,$B$11-SUM(X344:AA344)-SUM(S344:W344)))</f>
        <v>0</v>
      </c>
      <c r="AC344" s="27" t="n">
        <f aca="false">MIN(G343*(1+G$8),MAX(S344,$B$11-SUM(X344:AB344)-SUM(T344:W344)))</f>
        <v>0</v>
      </c>
      <c r="AD344" s="27" t="n">
        <f aca="false">MIN(H343*(1+H$8),MAX(T344,$B$11-SUM(X344:AC344)-SUM(U344:W344)))</f>
        <v>0</v>
      </c>
      <c r="AE344" s="27" t="n">
        <f aca="false">MIN(I343*(1+I$8),MAX(U344,$B$11-SUM(X344:AD344)-SUM(V344:W344)))</f>
        <v>0</v>
      </c>
      <c r="AF344" s="27" t="n">
        <f aca="false">MIN(J343*(1+J$8),MAX(V344,$B$11-SUM(X344:AE344)-SUM(W344:W344)))</f>
        <v>0</v>
      </c>
      <c r="AG344" s="27" t="n">
        <f aca="false">MIN(K343*(1+K$8),MAX(W344,$B$11-SUM(X344:AF344)))</f>
        <v>0</v>
      </c>
      <c r="AI344" s="27" t="n">
        <f aca="false">ROUND(MAX(0,AI343*(1+B$8)-BE344),2)</f>
        <v>0</v>
      </c>
      <c r="AJ344" s="27" t="n">
        <f aca="false">ROUND(MAX(0,AJ343*(1+C$8)-BF344),2)</f>
        <v>0</v>
      </c>
      <c r="AK344" s="27" t="n">
        <f aca="false">ROUND(MAX(0,AK343*(1+D$8)-BG344),2)</f>
        <v>0</v>
      </c>
      <c r="AL344" s="27" t="n">
        <f aca="false">ROUND(MAX(0,AL343*(1+E$8)-BH344),2)</f>
        <v>0</v>
      </c>
      <c r="AM344" s="27" t="n">
        <f aca="false">ROUND(MAX(0,AM343*(1+F$8)-BI344),2)</f>
        <v>0</v>
      </c>
      <c r="AN344" s="27" t="n">
        <f aca="false">ROUND(MAX(0,AN343*(1+G$8)-BJ344),2)</f>
        <v>0</v>
      </c>
      <c r="AO344" s="27" t="n">
        <f aca="false">ROUND(MAX(0,AO343*(1+H$8)-BK344),2)</f>
        <v>0</v>
      </c>
      <c r="AP344" s="27" t="n">
        <f aca="false">ROUND(MAX(0,AP343*(1+I$8)-BL344),2)</f>
        <v>0</v>
      </c>
      <c r="AQ344" s="27" t="n">
        <f aca="false">ROUND(MAX(0,AQ343*(1+J$8)-BM344),2)</f>
        <v>0</v>
      </c>
      <c r="AR344" s="27" t="n">
        <f aca="false">ROUND(MAX(0,AR343*(1+K$8)-BN344),2)</f>
        <v>0</v>
      </c>
      <c r="AS344" s="27" t="n">
        <f aca="false">SUM(AI344:AR344)</f>
        <v>0</v>
      </c>
      <c r="AT344" s="27" t="n">
        <f aca="false">SUMPRODUCT(AI343:AR343,$B$8:$K$8)</f>
        <v>0</v>
      </c>
      <c r="AU344" s="27" t="n">
        <f aca="false">MIN(AI343*(1+B$8),B$9)</f>
        <v>0</v>
      </c>
      <c r="AV344" s="27" t="n">
        <f aca="false">MIN(AJ343*(1+C$8),C$9)</f>
        <v>0</v>
      </c>
      <c r="AW344" s="27" t="n">
        <f aca="false">MIN(AK343*(1+D$8),D$9)</f>
        <v>0</v>
      </c>
      <c r="AX344" s="27" t="n">
        <f aca="false">MIN(AL343*(1+E$8),E$9)</f>
        <v>0</v>
      </c>
      <c r="AY344" s="27" t="n">
        <f aca="false">MIN(AM343*(1+F$8),F$9)</f>
        <v>0</v>
      </c>
      <c r="AZ344" s="27" t="n">
        <f aca="false">MIN(AN343*(1+G$8),G$9)</f>
        <v>0</v>
      </c>
      <c r="BA344" s="27" t="n">
        <f aca="false">MIN(AO343*(1+H$8),H$9)</f>
        <v>0</v>
      </c>
      <c r="BB344" s="27" t="n">
        <f aca="false">MIN(AP343*(1+I$8),I$9)</f>
        <v>0</v>
      </c>
      <c r="BC344" s="27" t="n">
        <f aca="false">MIN(AQ343*(1+J$8),J$9)</f>
        <v>0</v>
      </c>
      <c r="BD344" s="27" t="n">
        <f aca="false">MIN(AR343*(1+K$8),K$9)</f>
        <v>0</v>
      </c>
      <c r="BE344" s="27" t="n">
        <f aca="false">MIN(AI343*(1+B$8),MAX(AU344,$B$12-SUM(AV344:BD344)))</f>
        <v>0</v>
      </c>
      <c r="BF344" s="27" t="n">
        <f aca="false">MIN(AJ343*(1+C$8),MAX(AV344,$B$12-SUM(BE344:BE344)-SUM(AW344:BD344)))</f>
        <v>0</v>
      </c>
      <c r="BG344" s="27" t="n">
        <f aca="false">MIN(AK343*(1+D$8),MAX(AW344,$B$12-SUM(BE344:BF344)-SUM(AX344:BD344)))</f>
        <v>0</v>
      </c>
      <c r="BH344" s="27" t="n">
        <f aca="false">MIN(AL343*(1+E$8),MAX(AX344,$B$12-SUM(BE344:BG344)-SUM(AY344:BD344)))</f>
        <v>0</v>
      </c>
      <c r="BI344" s="27" t="n">
        <f aca="false">MIN(AM343*(1+F$8),MAX(AY344,$B$12-SUM(BE344:BH344)-SUM(AZ344:BD344)))</f>
        <v>0</v>
      </c>
      <c r="BJ344" s="27" t="n">
        <f aca="false">MIN(AN343*(1+G$8),MAX(AZ344,$B$12-SUM(BE344:BI344)-SUM(BA344:BD344)))</f>
        <v>0</v>
      </c>
      <c r="BK344" s="27" t="n">
        <f aca="false">MIN(AO343*(1+H$8),MAX(BA344,$B$12-SUM(BE344:BJ344)-SUM(BB344:BD344)))</f>
        <v>0</v>
      </c>
      <c r="BL344" s="27" t="n">
        <f aca="false">MIN(AP343*(1+I$8),MAX(BB344,$B$12-SUM(BE344:BK344)-SUM(BC344:BD344)))</f>
        <v>0</v>
      </c>
      <c r="BM344" s="27" t="n">
        <f aca="false">MIN(AQ343*(1+J$8),MAX(BC344,$B$12-SUM(BE344:BL344)-SUM(BD344:BD344)))</f>
        <v>0</v>
      </c>
      <c r="BN344" s="27" t="n">
        <f aca="false">MIN(AR343*(1+K$8),MAX(BD344,$B$12-SUM(BE344:BM344)))</f>
        <v>0</v>
      </c>
    </row>
    <row r="345" customFormat="false" ht="15" hidden="false" customHeight="false" outlineLevel="0" collapsed="false">
      <c r="A345" s="0" t="n">
        <v>331</v>
      </c>
      <c r="B345" s="27" t="n">
        <f aca="false">ROUND(MAX(0,B344*(1+B$8)-X345),2)</f>
        <v>0</v>
      </c>
      <c r="C345" s="27" t="n">
        <f aca="false">ROUND(MAX(0,C344*(1+C$8)-Y345),2)</f>
        <v>0</v>
      </c>
      <c r="D345" s="27" t="n">
        <f aca="false">ROUND(MAX(0,D344*(1+D$8)-Z345),2)</f>
        <v>0</v>
      </c>
      <c r="E345" s="27" t="n">
        <f aca="false">ROUND(MAX(0,E344*(1+E$8)-AA345),2)</f>
        <v>0</v>
      </c>
      <c r="F345" s="27" t="n">
        <f aca="false">ROUND(MAX(0,F344*(1+F$8)-AB345),2)</f>
        <v>0</v>
      </c>
      <c r="G345" s="27" t="n">
        <f aca="false">ROUND(MAX(0,G344*(1+G$8)-AC345),2)</f>
        <v>0</v>
      </c>
      <c r="H345" s="27" t="n">
        <f aca="false">ROUND(MAX(0,H344*(1+H$8)-AD345),2)</f>
        <v>0</v>
      </c>
      <c r="I345" s="27" t="n">
        <f aca="false">ROUND(MAX(0,I344*(1+I$8)-AE345),2)</f>
        <v>0</v>
      </c>
      <c r="J345" s="27" t="n">
        <f aca="false">ROUND(MAX(0,J344*(1+J$8)-AF345),2)</f>
        <v>0</v>
      </c>
      <c r="K345" s="27" t="n">
        <f aca="false">ROUND(MAX(0,K344*(1+K$8)-AG345),2)</f>
        <v>0</v>
      </c>
      <c r="L345" s="30" t="n">
        <f aca="false">SUM(B345:K345)</f>
        <v>0</v>
      </c>
      <c r="M345" s="27" t="n">
        <f aca="false">SUMPRODUCT(B344:K344,$B$8:$K$8)</f>
        <v>0</v>
      </c>
      <c r="N345" s="27" t="n">
        <f aca="false">MIN(B344*(1+B$8),B$9)</f>
        <v>0</v>
      </c>
      <c r="O345" s="27" t="n">
        <f aca="false">MIN(C344*(1+C$8),C$9)</f>
        <v>0</v>
      </c>
      <c r="P345" s="27" t="n">
        <f aca="false">MIN(D344*(1+D$8),D$9)</f>
        <v>0</v>
      </c>
      <c r="Q345" s="27" t="n">
        <f aca="false">MIN(E344*(1+E$8),E$9)</f>
        <v>0</v>
      </c>
      <c r="R345" s="27" t="n">
        <f aca="false">MIN(F344*(1+F$8),F$9)</f>
        <v>0</v>
      </c>
      <c r="S345" s="27" t="n">
        <f aca="false">MIN(G344*(1+G$8),G$9)</f>
        <v>0</v>
      </c>
      <c r="T345" s="27" t="n">
        <f aca="false">MIN(H344*(1+H$8),H$9)</f>
        <v>0</v>
      </c>
      <c r="U345" s="27" t="n">
        <f aca="false">MIN(I344*(1+I$8),I$9)</f>
        <v>0</v>
      </c>
      <c r="V345" s="27" t="n">
        <f aca="false">MIN(J344*(1+J$8),J$9)</f>
        <v>0</v>
      </c>
      <c r="W345" s="27" t="n">
        <f aca="false">MIN(K344*(1+K$8),K$9)</f>
        <v>0</v>
      </c>
      <c r="X345" s="27" t="n">
        <f aca="false">MIN(B344*(1+B$8),MAX(N345,$B$11-SUM(O345:W345)))</f>
        <v>0</v>
      </c>
      <c r="Y345" s="27" t="n">
        <f aca="false">MIN(C344*(1+C$8),MAX(O345,$B$11-SUM(X345:X345)-SUM(P345:W345)))</f>
        <v>0</v>
      </c>
      <c r="Z345" s="27" t="n">
        <f aca="false">MIN(D344*(1+D$8),MAX(P345,$B$11-SUM(X345:Y345)-SUM(Q345:W345)))</f>
        <v>0</v>
      </c>
      <c r="AA345" s="27" t="n">
        <f aca="false">MIN(E344*(1+E$8),MAX(Q345,$B$11-SUM(X345:Z345)-SUM(R345:W345)))</f>
        <v>0</v>
      </c>
      <c r="AB345" s="27" t="n">
        <f aca="false">MIN(F344*(1+F$8),MAX(R345,$B$11-SUM(X345:AA345)-SUM(S345:W345)))</f>
        <v>0</v>
      </c>
      <c r="AC345" s="27" t="n">
        <f aca="false">MIN(G344*(1+G$8),MAX(S345,$B$11-SUM(X345:AB345)-SUM(T345:W345)))</f>
        <v>0</v>
      </c>
      <c r="AD345" s="27" t="n">
        <f aca="false">MIN(H344*(1+H$8),MAX(T345,$B$11-SUM(X345:AC345)-SUM(U345:W345)))</f>
        <v>0</v>
      </c>
      <c r="AE345" s="27" t="n">
        <f aca="false">MIN(I344*(1+I$8),MAX(U345,$B$11-SUM(X345:AD345)-SUM(V345:W345)))</f>
        <v>0</v>
      </c>
      <c r="AF345" s="27" t="n">
        <f aca="false">MIN(J344*(1+J$8),MAX(V345,$B$11-SUM(X345:AE345)-SUM(W345:W345)))</f>
        <v>0</v>
      </c>
      <c r="AG345" s="27" t="n">
        <f aca="false">MIN(K344*(1+K$8),MAX(W345,$B$11-SUM(X345:AF345)))</f>
        <v>0</v>
      </c>
      <c r="AI345" s="27" t="n">
        <f aca="false">ROUND(MAX(0,AI344*(1+B$8)-BE345),2)</f>
        <v>0</v>
      </c>
      <c r="AJ345" s="27" t="n">
        <f aca="false">ROUND(MAX(0,AJ344*(1+C$8)-BF345),2)</f>
        <v>0</v>
      </c>
      <c r="AK345" s="27" t="n">
        <f aca="false">ROUND(MAX(0,AK344*(1+D$8)-BG345),2)</f>
        <v>0</v>
      </c>
      <c r="AL345" s="27" t="n">
        <f aca="false">ROUND(MAX(0,AL344*(1+E$8)-BH345),2)</f>
        <v>0</v>
      </c>
      <c r="AM345" s="27" t="n">
        <f aca="false">ROUND(MAX(0,AM344*(1+F$8)-BI345),2)</f>
        <v>0</v>
      </c>
      <c r="AN345" s="27" t="n">
        <f aca="false">ROUND(MAX(0,AN344*(1+G$8)-BJ345),2)</f>
        <v>0</v>
      </c>
      <c r="AO345" s="27" t="n">
        <f aca="false">ROUND(MAX(0,AO344*(1+H$8)-BK345),2)</f>
        <v>0</v>
      </c>
      <c r="AP345" s="27" t="n">
        <f aca="false">ROUND(MAX(0,AP344*(1+I$8)-BL345),2)</f>
        <v>0</v>
      </c>
      <c r="AQ345" s="27" t="n">
        <f aca="false">ROUND(MAX(0,AQ344*(1+J$8)-BM345),2)</f>
        <v>0</v>
      </c>
      <c r="AR345" s="27" t="n">
        <f aca="false">ROUND(MAX(0,AR344*(1+K$8)-BN345),2)</f>
        <v>0</v>
      </c>
      <c r="AS345" s="27" t="n">
        <f aca="false">SUM(AI345:AR345)</f>
        <v>0</v>
      </c>
      <c r="AT345" s="27" t="n">
        <f aca="false">SUMPRODUCT(AI344:AR344,$B$8:$K$8)</f>
        <v>0</v>
      </c>
      <c r="AU345" s="27" t="n">
        <f aca="false">MIN(AI344*(1+B$8),B$9)</f>
        <v>0</v>
      </c>
      <c r="AV345" s="27" t="n">
        <f aca="false">MIN(AJ344*(1+C$8),C$9)</f>
        <v>0</v>
      </c>
      <c r="AW345" s="27" t="n">
        <f aca="false">MIN(AK344*(1+D$8),D$9)</f>
        <v>0</v>
      </c>
      <c r="AX345" s="27" t="n">
        <f aca="false">MIN(AL344*(1+E$8),E$9)</f>
        <v>0</v>
      </c>
      <c r="AY345" s="27" t="n">
        <f aca="false">MIN(AM344*(1+F$8),F$9)</f>
        <v>0</v>
      </c>
      <c r="AZ345" s="27" t="n">
        <f aca="false">MIN(AN344*(1+G$8),G$9)</f>
        <v>0</v>
      </c>
      <c r="BA345" s="27" t="n">
        <f aca="false">MIN(AO344*(1+H$8),H$9)</f>
        <v>0</v>
      </c>
      <c r="BB345" s="27" t="n">
        <f aca="false">MIN(AP344*(1+I$8),I$9)</f>
        <v>0</v>
      </c>
      <c r="BC345" s="27" t="n">
        <f aca="false">MIN(AQ344*(1+J$8),J$9)</f>
        <v>0</v>
      </c>
      <c r="BD345" s="27" t="n">
        <f aca="false">MIN(AR344*(1+K$8),K$9)</f>
        <v>0</v>
      </c>
      <c r="BE345" s="27" t="n">
        <f aca="false">MIN(AI344*(1+B$8),MAX(AU345,$B$12-SUM(AV345:BD345)))</f>
        <v>0</v>
      </c>
      <c r="BF345" s="27" t="n">
        <f aca="false">MIN(AJ344*(1+C$8),MAX(AV345,$B$12-SUM(BE345:BE345)-SUM(AW345:BD345)))</f>
        <v>0</v>
      </c>
      <c r="BG345" s="27" t="n">
        <f aca="false">MIN(AK344*(1+D$8),MAX(AW345,$B$12-SUM(BE345:BF345)-SUM(AX345:BD345)))</f>
        <v>0</v>
      </c>
      <c r="BH345" s="27" t="n">
        <f aca="false">MIN(AL344*(1+E$8),MAX(AX345,$B$12-SUM(BE345:BG345)-SUM(AY345:BD345)))</f>
        <v>0</v>
      </c>
      <c r="BI345" s="27" t="n">
        <f aca="false">MIN(AM344*(1+F$8),MAX(AY345,$B$12-SUM(BE345:BH345)-SUM(AZ345:BD345)))</f>
        <v>0</v>
      </c>
      <c r="BJ345" s="27" t="n">
        <f aca="false">MIN(AN344*(1+G$8),MAX(AZ345,$B$12-SUM(BE345:BI345)-SUM(BA345:BD345)))</f>
        <v>0</v>
      </c>
      <c r="BK345" s="27" t="n">
        <f aca="false">MIN(AO344*(1+H$8),MAX(BA345,$B$12-SUM(BE345:BJ345)-SUM(BB345:BD345)))</f>
        <v>0</v>
      </c>
      <c r="BL345" s="27" t="n">
        <f aca="false">MIN(AP344*(1+I$8),MAX(BB345,$B$12-SUM(BE345:BK345)-SUM(BC345:BD345)))</f>
        <v>0</v>
      </c>
      <c r="BM345" s="27" t="n">
        <f aca="false">MIN(AQ344*(1+J$8),MAX(BC345,$B$12-SUM(BE345:BL345)-SUM(BD345:BD345)))</f>
        <v>0</v>
      </c>
      <c r="BN345" s="27" t="n">
        <f aca="false">MIN(AR344*(1+K$8),MAX(BD345,$B$12-SUM(BE345:BM345)))</f>
        <v>0</v>
      </c>
    </row>
    <row r="346" customFormat="false" ht="15" hidden="false" customHeight="false" outlineLevel="0" collapsed="false">
      <c r="A346" s="0" t="n">
        <v>332</v>
      </c>
      <c r="B346" s="27" t="n">
        <f aca="false">ROUND(MAX(0,B345*(1+B$8)-X346),2)</f>
        <v>0</v>
      </c>
      <c r="C346" s="27" t="n">
        <f aca="false">ROUND(MAX(0,C345*(1+C$8)-Y346),2)</f>
        <v>0</v>
      </c>
      <c r="D346" s="27" t="n">
        <f aca="false">ROUND(MAX(0,D345*(1+D$8)-Z346),2)</f>
        <v>0</v>
      </c>
      <c r="E346" s="27" t="n">
        <f aca="false">ROUND(MAX(0,E345*(1+E$8)-AA346),2)</f>
        <v>0</v>
      </c>
      <c r="F346" s="27" t="n">
        <f aca="false">ROUND(MAX(0,F345*(1+F$8)-AB346),2)</f>
        <v>0</v>
      </c>
      <c r="G346" s="27" t="n">
        <f aca="false">ROUND(MAX(0,G345*(1+G$8)-AC346),2)</f>
        <v>0</v>
      </c>
      <c r="H346" s="27" t="n">
        <f aca="false">ROUND(MAX(0,H345*(1+H$8)-AD346),2)</f>
        <v>0</v>
      </c>
      <c r="I346" s="27" t="n">
        <f aca="false">ROUND(MAX(0,I345*(1+I$8)-AE346),2)</f>
        <v>0</v>
      </c>
      <c r="J346" s="27" t="n">
        <f aca="false">ROUND(MAX(0,J345*(1+J$8)-AF346),2)</f>
        <v>0</v>
      </c>
      <c r="K346" s="27" t="n">
        <f aca="false">ROUND(MAX(0,K345*(1+K$8)-AG346),2)</f>
        <v>0</v>
      </c>
      <c r="L346" s="30" t="n">
        <f aca="false">SUM(B346:K346)</f>
        <v>0</v>
      </c>
      <c r="M346" s="27" t="n">
        <f aca="false">SUMPRODUCT(B345:K345,$B$8:$K$8)</f>
        <v>0</v>
      </c>
      <c r="N346" s="27" t="n">
        <f aca="false">MIN(B345*(1+B$8),B$9)</f>
        <v>0</v>
      </c>
      <c r="O346" s="27" t="n">
        <f aca="false">MIN(C345*(1+C$8),C$9)</f>
        <v>0</v>
      </c>
      <c r="P346" s="27" t="n">
        <f aca="false">MIN(D345*(1+D$8),D$9)</f>
        <v>0</v>
      </c>
      <c r="Q346" s="27" t="n">
        <f aca="false">MIN(E345*(1+E$8),E$9)</f>
        <v>0</v>
      </c>
      <c r="R346" s="27" t="n">
        <f aca="false">MIN(F345*(1+F$8),F$9)</f>
        <v>0</v>
      </c>
      <c r="S346" s="27" t="n">
        <f aca="false">MIN(G345*(1+G$8),G$9)</f>
        <v>0</v>
      </c>
      <c r="T346" s="27" t="n">
        <f aca="false">MIN(H345*(1+H$8),H$9)</f>
        <v>0</v>
      </c>
      <c r="U346" s="27" t="n">
        <f aca="false">MIN(I345*(1+I$8),I$9)</f>
        <v>0</v>
      </c>
      <c r="V346" s="27" t="n">
        <f aca="false">MIN(J345*(1+J$8),J$9)</f>
        <v>0</v>
      </c>
      <c r="W346" s="27" t="n">
        <f aca="false">MIN(K345*(1+K$8),K$9)</f>
        <v>0</v>
      </c>
      <c r="X346" s="27" t="n">
        <f aca="false">MIN(B345*(1+B$8),MAX(N346,$B$11-SUM(O346:W346)))</f>
        <v>0</v>
      </c>
      <c r="Y346" s="27" t="n">
        <f aca="false">MIN(C345*(1+C$8),MAX(O346,$B$11-SUM(X346:X346)-SUM(P346:W346)))</f>
        <v>0</v>
      </c>
      <c r="Z346" s="27" t="n">
        <f aca="false">MIN(D345*(1+D$8),MAX(P346,$B$11-SUM(X346:Y346)-SUM(Q346:W346)))</f>
        <v>0</v>
      </c>
      <c r="AA346" s="27" t="n">
        <f aca="false">MIN(E345*(1+E$8),MAX(Q346,$B$11-SUM(X346:Z346)-SUM(R346:W346)))</f>
        <v>0</v>
      </c>
      <c r="AB346" s="27" t="n">
        <f aca="false">MIN(F345*(1+F$8),MAX(R346,$B$11-SUM(X346:AA346)-SUM(S346:W346)))</f>
        <v>0</v>
      </c>
      <c r="AC346" s="27" t="n">
        <f aca="false">MIN(G345*(1+G$8),MAX(S346,$B$11-SUM(X346:AB346)-SUM(T346:W346)))</f>
        <v>0</v>
      </c>
      <c r="AD346" s="27" t="n">
        <f aca="false">MIN(H345*(1+H$8),MAX(T346,$B$11-SUM(X346:AC346)-SUM(U346:W346)))</f>
        <v>0</v>
      </c>
      <c r="AE346" s="27" t="n">
        <f aca="false">MIN(I345*(1+I$8),MAX(U346,$B$11-SUM(X346:AD346)-SUM(V346:W346)))</f>
        <v>0</v>
      </c>
      <c r="AF346" s="27" t="n">
        <f aca="false">MIN(J345*(1+J$8),MAX(V346,$B$11-SUM(X346:AE346)-SUM(W346:W346)))</f>
        <v>0</v>
      </c>
      <c r="AG346" s="27" t="n">
        <f aca="false">MIN(K345*(1+K$8),MAX(W346,$B$11-SUM(X346:AF346)))</f>
        <v>0</v>
      </c>
      <c r="AI346" s="27" t="n">
        <f aca="false">ROUND(MAX(0,AI345*(1+B$8)-BE346),2)</f>
        <v>0</v>
      </c>
      <c r="AJ346" s="27" t="n">
        <f aca="false">ROUND(MAX(0,AJ345*(1+C$8)-BF346),2)</f>
        <v>0</v>
      </c>
      <c r="AK346" s="27" t="n">
        <f aca="false">ROUND(MAX(0,AK345*(1+D$8)-BG346),2)</f>
        <v>0</v>
      </c>
      <c r="AL346" s="27" t="n">
        <f aca="false">ROUND(MAX(0,AL345*(1+E$8)-BH346),2)</f>
        <v>0</v>
      </c>
      <c r="AM346" s="27" t="n">
        <f aca="false">ROUND(MAX(0,AM345*(1+F$8)-BI346),2)</f>
        <v>0</v>
      </c>
      <c r="AN346" s="27" t="n">
        <f aca="false">ROUND(MAX(0,AN345*(1+G$8)-BJ346),2)</f>
        <v>0</v>
      </c>
      <c r="AO346" s="27" t="n">
        <f aca="false">ROUND(MAX(0,AO345*(1+H$8)-BK346),2)</f>
        <v>0</v>
      </c>
      <c r="AP346" s="27" t="n">
        <f aca="false">ROUND(MAX(0,AP345*(1+I$8)-BL346),2)</f>
        <v>0</v>
      </c>
      <c r="AQ346" s="27" t="n">
        <f aca="false">ROUND(MAX(0,AQ345*(1+J$8)-BM346),2)</f>
        <v>0</v>
      </c>
      <c r="AR346" s="27" t="n">
        <f aca="false">ROUND(MAX(0,AR345*(1+K$8)-BN346),2)</f>
        <v>0</v>
      </c>
      <c r="AS346" s="27" t="n">
        <f aca="false">SUM(AI346:AR346)</f>
        <v>0</v>
      </c>
      <c r="AT346" s="27" t="n">
        <f aca="false">SUMPRODUCT(AI345:AR345,$B$8:$K$8)</f>
        <v>0</v>
      </c>
      <c r="AU346" s="27" t="n">
        <f aca="false">MIN(AI345*(1+B$8),B$9)</f>
        <v>0</v>
      </c>
      <c r="AV346" s="27" t="n">
        <f aca="false">MIN(AJ345*(1+C$8),C$9)</f>
        <v>0</v>
      </c>
      <c r="AW346" s="27" t="n">
        <f aca="false">MIN(AK345*(1+D$8),D$9)</f>
        <v>0</v>
      </c>
      <c r="AX346" s="27" t="n">
        <f aca="false">MIN(AL345*(1+E$8),E$9)</f>
        <v>0</v>
      </c>
      <c r="AY346" s="27" t="n">
        <f aca="false">MIN(AM345*(1+F$8),F$9)</f>
        <v>0</v>
      </c>
      <c r="AZ346" s="27" t="n">
        <f aca="false">MIN(AN345*(1+G$8),G$9)</f>
        <v>0</v>
      </c>
      <c r="BA346" s="27" t="n">
        <f aca="false">MIN(AO345*(1+H$8),H$9)</f>
        <v>0</v>
      </c>
      <c r="BB346" s="27" t="n">
        <f aca="false">MIN(AP345*(1+I$8),I$9)</f>
        <v>0</v>
      </c>
      <c r="BC346" s="27" t="n">
        <f aca="false">MIN(AQ345*(1+J$8),J$9)</f>
        <v>0</v>
      </c>
      <c r="BD346" s="27" t="n">
        <f aca="false">MIN(AR345*(1+K$8),K$9)</f>
        <v>0</v>
      </c>
      <c r="BE346" s="27" t="n">
        <f aca="false">MIN(AI345*(1+B$8),MAX(AU346,$B$12-SUM(AV346:BD346)))</f>
        <v>0</v>
      </c>
      <c r="BF346" s="27" t="n">
        <f aca="false">MIN(AJ345*(1+C$8),MAX(AV346,$B$12-SUM(BE346:BE346)-SUM(AW346:BD346)))</f>
        <v>0</v>
      </c>
      <c r="BG346" s="27" t="n">
        <f aca="false">MIN(AK345*(1+D$8),MAX(AW346,$B$12-SUM(BE346:BF346)-SUM(AX346:BD346)))</f>
        <v>0</v>
      </c>
      <c r="BH346" s="27" t="n">
        <f aca="false">MIN(AL345*(1+E$8),MAX(AX346,$B$12-SUM(BE346:BG346)-SUM(AY346:BD346)))</f>
        <v>0</v>
      </c>
      <c r="BI346" s="27" t="n">
        <f aca="false">MIN(AM345*(1+F$8),MAX(AY346,$B$12-SUM(BE346:BH346)-SUM(AZ346:BD346)))</f>
        <v>0</v>
      </c>
      <c r="BJ346" s="27" t="n">
        <f aca="false">MIN(AN345*(1+G$8),MAX(AZ346,$B$12-SUM(BE346:BI346)-SUM(BA346:BD346)))</f>
        <v>0</v>
      </c>
      <c r="BK346" s="27" t="n">
        <f aca="false">MIN(AO345*(1+H$8),MAX(BA346,$B$12-SUM(BE346:BJ346)-SUM(BB346:BD346)))</f>
        <v>0</v>
      </c>
      <c r="BL346" s="27" t="n">
        <f aca="false">MIN(AP345*(1+I$8),MAX(BB346,$B$12-SUM(BE346:BK346)-SUM(BC346:BD346)))</f>
        <v>0</v>
      </c>
      <c r="BM346" s="27" t="n">
        <f aca="false">MIN(AQ345*(1+J$8),MAX(BC346,$B$12-SUM(BE346:BL346)-SUM(BD346:BD346)))</f>
        <v>0</v>
      </c>
      <c r="BN346" s="27" t="n">
        <f aca="false">MIN(AR345*(1+K$8),MAX(BD346,$B$12-SUM(BE346:BM346)))</f>
        <v>0</v>
      </c>
    </row>
    <row r="347" customFormat="false" ht="15" hidden="false" customHeight="false" outlineLevel="0" collapsed="false">
      <c r="A347" s="0" t="n">
        <v>333</v>
      </c>
      <c r="B347" s="27" t="n">
        <f aca="false">ROUND(MAX(0,B346*(1+B$8)-X347),2)</f>
        <v>0</v>
      </c>
      <c r="C347" s="27" t="n">
        <f aca="false">ROUND(MAX(0,C346*(1+C$8)-Y347),2)</f>
        <v>0</v>
      </c>
      <c r="D347" s="27" t="n">
        <f aca="false">ROUND(MAX(0,D346*(1+D$8)-Z347),2)</f>
        <v>0</v>
      </c>
      <c r="E347" s="27" t="n">
        <f aca="false">ROUND(MAX(0,E346*(1+E$8)-AA347),2)</f>
        <v>0</v>
      </c>
      <c r="F347" s="27" t="n">
        <f aca="false">ROUND(MAX(0,F346*(1+F$8)-AB347),2)</f>
        <v>0</v>
      </c>
      <c r="G347" s="27" t="n">
        <f aca="false">ROUND(MAX(0,G346*(1+G$8)-AC347),2)</f>
        <v>0</v>
      </c>
      <c r="H347" s="27" t="n">
        <f aca="false">ROUND(MAX(0,H346*(1+H$8)-AD347),2)</f>
        <v>0</v>
      </c>
      <c r="I347" s="27" t="n">
        <f aca="false">ROUND(MAX(0,I346*(1+I$8)-AE347),2)</f>
        <v>0</v>
      </c>
      <c r="J347" s="27" t="n">
        <f aca="false">ROUND(MAX(0,J346*(1+J$8)-AF347),2)</f>
        <v>0</v>
      </c>
      <c r="K347" s="27" t="n">
        <f aca="false">ROUND(MAX(0,K346*(1+K$8)-AG347),2)</f>
        <v>0</v>
      </c>
      <c r="L347" s="30" t="n">
        <f aca="false">SUM(B347:K347)</f>
        <v>0</v>
      </c>
      <c r="M347" s="27" t="n">
        <f aca="false">SUMPRODUCT(B346:K346,$B$8:$K$8)</f>
        <v>0</v>
      </c>
      <c r="N347" s="27" t="n">
        <f aca="false">MIN(B346*(1+B$8),B$9)</f>
        <v>0</v>
      </c>
      <c r="O347" s="27" t="n">
        <f aca="false">MIN(C346*(1+C$8),C$9)</f>
        <v>0</v>
      </c>
      <c r="P347" s="27" t="n">
        <f aca="false">MIN(D346*(1+D$8),D$9)</f>
        <v>0</v>
      </c>
      <c r="Q347" s="27" t="n">
        <f aca="false">MIN(E346*(1+E$8),E$9)</f>
        <v>0</v>
      </c>
      <c r="R347" s="27" t="n">
        <f aca="false">MIN(F346*(1+F$8),F$9)</f>
        <v>0</v>
      </c>
      <c r="S347" s="27" t="n">
        <f aca="false">MIN(G346*(1+G$8),G$9)</f>
        <v>0</v>
      </c>
      <c r="T347" s="27" t="n">
        <f aca="false">MIN(H346*(1+H$8),H$9)</f>
        <v>0</v>
      </c>
      <c r="U347" s="27" t="n">
        <f aca="false">MIN(I346*(1+I$8),I$9)</f>
        <v>0</v>
      </c>
      <c r="V347" s="27" t="n">
        <f aca="false">MIN(J346*(1+J$8),J$9)</f>
        <v>0</v>
      </c>
      <c r="W347" s="27" t="n">
        <f aca="false">MIN(K346*(1+K$8),K$9)</f>
        <v>0</v>
      </c>
      <c r="X347" s="27" t="n">
        <f aca="false">MIN(B346*(1+B$8),MAX(N347,$B$11-SUM(O347:W347)))</f>
        <v>0</v>
      </c>
      <c r="Y347" s="27" t="n">
        <f aca="false">MIN(C346*(1+C$8),MAX(O347,$B$11-SUM(X347:X347)-SUM(P347:W347)))</f>
        <v>0</v>
      </c>
      <c r="Z347" s="27" t="n">
        <f aca="false">MIN(D346*(1+D$8),MAX(P347,$B$11-SUM(X347:Y347)-SUM(Q347:W347)))</f>
        <v>0</v>
      </c>
      <c r="AA347" s="27" t="n">
        <f aca="false">MIN(E346*(1+E$8),MAX(Q347,$B$11-SUM(X347:Z347)-SUM(R347:W347)))</f>
        <v>0</v>
      </c>
      <c r="AB347" s="27" t="n">
        <f aca="false">MIN(F346*(1+F$8),MAX(R347,$B$11-SUM(X347:AA347)-SUM(S347:W347)))</f>
        <v>0</v>
      </c>
      <c r="AC347" s="27" t="n">
        <f aca="false">MIN(G346*(1+G$8),MAX(S347,$B$11-SUM(X347:AB347)-SUM(T347:W347)))</f>
        <v>0</v>
      </c>
      <c r="AD347" s="27" t="n">
        <f aca="false">MIN(H346*(1+H$8),MAX(T347,$B$11-SUM(X347:AC347)-SUM(U347:W347)))</f>
        <v>0</v>
      </c>
      <c r="AE347" s="27" t="n">
        <f aca="false">MIN(I346*(1+I$8),MAX(U347,$B$11-SUM(X347:AD347)-SUM(V347:W347)))</f>
        <v>0</v>
      </c>
      <c r="AF347" s="27" t="n">
        <f aca="false">MIN(J346*(1+J$8),MAX(V347,$B$11-SUM(X347:AE347)-SUM(W347:W347)))</f>
        <v>0</v>
      </c>
      <c r="AG347" s="27" t="n">
        <f aca="false">MIN(K346*(1+K$8),MAX(W347,$B$11-SUM(X347:AF347)))</f>
        <v>0</v>
      </c>
      <c r="AI347" s="27" t="n">
        <f aca="false">ROUND(MAX(0,AI346*(1+B$8)-BE347),2)</f>
        <v>0</v>
      </c>
      <c r="AJ347" s="27" t="n">
        <f aca="false">ROUND(MAX(0,AJ346*(1+C$8)-BF347),2)</f>
        <v>0</v>
      </c>
      <c r="AK347" s="27" t="n">
        <f aca="false">ROUND(MAX(0,AK346*(1+D$8)-BG347),2)</f>
        <v>0</v>
      </c>
      <c r="AL347" s="27" t="n">
        <f aca="false">ROUND(MAX(0,AL346*(1+E$8)-BH347),2)</f>
        <v>0</v>
      </c>
      <c r="AM347" s="27" t="n">
        <f aca="false">ROUND(MAX(0,AM346*(1+F$8)-BI347),2)</f>
        <v>0</v>
      </c>
      <c r="AN347" s="27" t="n">
        <f aca="false">ROUND(MAX(0,AN346*(1+G$8)-BJ347),2)</f>
        <v>0</v>
      </c>
      <c r="AO347" s="27" t="n">
        <f aca="false">ROUND(MAX(0,AO346*(1+H$8)-BK347),2)</f>
        <v>0</v>
      </c>
      <c r="AP347" s="27" t="n">
        <f aca="false">ROUND(MAX(0,AP346*(1+I$8)-BL347),2)</f>
        <v>0</v>
      </c>
      <c r="AQ347" s="27" t="n">
        <f aca="false">ROUND(MAX(0,AQ346*(1+J$8)-BM347),2)</f>
        <v>0</v>
      </c>
      <c r="AR347" s="27" t="n">
        <f aca="false">ROUND(MAX(0,AR346*(1+K$8)-BN347),2)</f>
        <v>0</v>
      </c>
      <c r="AS347" s="27" t="n">
        <f aca="false">SUM(AI347:AR347)</f>
        <v>0</v>
      </c>
      <c r="AT347" s="27" t="n">
        <f aca="false">SUMPRODUCT(AI346:AR346,$B$8:$K$8)</f>
        <v>0</v>
      </c>
      <c r="AU347" s="27" t="n">
        <f aca="false">MIN(AI346*(1+B$8),B$9)</f>
        <v>0</v>
      </c>
      <c r="AV347" s="27" t="n">
        <f aca="false">MIN(AJ346*(1+C$8),C$9)</f>
        <v>0</v>
      </c>
      <c r="AW347" s="27" t="n">
        <f aca="false">MIN(AK346*(1+D$8),D$9)</f>
        <v>0</v>
      </c>
      <c r="AX347" s="27" t="n">
        <f aca="false">MIN(AL346*(1+E$8),E$9)</f>
        <v>0</v>
      </c>
      <c r="AY347" s="27" t="n">
        <f aca="false">MIN(AM346*(1+F$8),F$9)</f>
        <v>0</v>
      </c>
      <c r="AZ347" s="27" t="n">
        <f aca="false">MIN(AN346*(1+G$8),G$9)</f>
        <v>0</v>
      </c>
      <c r="BA347" s="27" t="n">
        <f aca="false">MIN(AO346*(1+H$8),H$9)</f>
        <v>0</v>
      </c>
      <c r="BB347" s="27" t="n">
        <f aca="false">MIN(AP346*(1+I$8),I$9)</f>
        <v>0</v>
      </c>
      <c r="BC347" s="27" t="n">
        <f aca="false">MIN(AQ346*(1+J$8),J$9)</f>
        <v>0</v>
      </c>
      <c r="BD347" s="27" t="n">
        <f aca="false">MIN(AR346*(1+K$8),K$9)</f>
        <v>0</v>
      </c>
      <c r="BE347" s="27" t="n">
        <f aca="false">MIN(AI346*(1+B$8),MAX(AU347,$B$12-SUM(AV347:BD347)))</f>
        <v>0</v>
      </c>
      <c r="BF347" s="27" t="n">
        <f aca="false">MIN(AJ346*(1+C$8),MAX(AV347,$B$12-SUM(BE347:BE347)-SUM(AW347:BD347)))</f>
        <v>0</v>
      </c>
      <c r="BG347" s="27" t="n">
        <f aca="false">MIN(AK346*(1+D$8),MAX(AW347,$B$12-SUM(BE347:BF347)-SUM(AX347:BD347)))</f>
        <v>0</v>
      </c>
      <c r="BH347" s="27" t="n">
        <f aca="false">MIN(AL346*(1+E$8),MAX(AX347,$B$12-SUM(BE347:BG347)-SUM(AY347:BD347)))</f>
        <v>0</v>
      </c>
      <c r="BI347" s="27" t="n">
        <f aca="false">MIN(AM346*(1+F$8),MAX(AY347,$B$12-SUM(BE347:BH347)-SUM(AZ347:BD347)))</f>
        <v>0</v>
      </c>
      <c r="BJ347" s="27" t="n">
        <f aca="false">MIN(AN346*(1+G$8),MAX(AZ347,$B$12-SUM(BE347:BI347)-SUM(BA347:BD347)))</f>
        <v>0</v>
      </c>
      <c r="BK347" s="27" t="n">
        <f aca="false">MIN(AO346*(1+H$8),MAX(BA347,$B$12-SUM(BE347:BJ347)-SUM(BB347:BD347)))</f>
        <v>0</v>
      </c>
      <c r="BL347" s="27" t="n">
        <f aca="false">MIN(AP346*(1+I$8),MAX(BB347,$B$12-SUM(BE347:BK347)-SUM(BC347:BD347)))</f>
        <v>0</v>
      </c>
      <c r="BM347" s="27" t="n">
        <f aca="false">MIN(AQ346*(1+J$8),MAX(BC347,$B$12-SUM(BE347:BL347)-SUM(BD347:BD347)))</f>
        <v>0</v>
      </c>
      <c r="BN347" s="27" t="n">
        <f aca="false">MIN(AR346*(1+K$8),MAX(BD347,$B$12-SUM(BE347:BM347)))</f>
        <v>0</v>
      </c>
    </row>
    <row r="348" customFormat="false" ht="15" hidden="false" customHeight="false" outlineLevel="0" collapsed="false">
      <c r="A348" s="0" t="n">
        <v>334</v>
      </c>
      <c r="B348" s="27" t="n">
        <f aca="false">ROUND(MAX(0,B347*(1+B$8)-X348),2)</f>
        <v>0</v>
      </c>
      <c r="C348" s="27" t="n">
        <f aca="false">ROUND(MAX(0,C347*(1+C$8)-Y348),2)</f>
        <v>0</v>
      </c>
      <c r="D348" s="27" t="n">
        <f aca="false">ROUND(MAX(0,D347*(1+D$8)-Z348),2)</f>
        <v>0</v>
      </c>
      <c r="E348" s="27" t="n">
        <f aca="false">ROUND(MAX(0,E347*(1+E$8)-AA348),2)</f>
        <v>0</v>
      </c>
      <c r="F348" s="27" t="n">
        <f aca="false">ROUND(MAX(0,F347*(1+F$8)-AB348),2)</f>
        <v>0</v>
      </c>
      <c r="G348" s="27" t="n">
        <f aca="false">ROUND(MAX(0,G347*(1+G$8)-AC348),2)</f>
        <v>0</v>
      </c>
      <c r="H348" s="27" t="n">
        <f aca="false">ROUND(MAX(0,H347*(1+H$8)-AD348),2)</f>
        <v>0</v>
      </c>
      <c r="I348" s="27" t="n">
        <f aca="false">ROUND(MAX(0,I347*(1+I$8)-AE348),2)</f>
        <v>0</v>
      </c>
      <c r="J348" s="27" t="n">
        <f aca="false">ROUND(MAX(0,J347*(1+J$8)-AF348),2)</f>
        <v>0</v>
      </c>
      <c r="K348" s="27" t="n">
        <f aca="false">ROUND(MAX(0,K347*(1+K$8)-AG348),2)</f>
        <v>0</v>
      </c>
      <c r="L348" s="30" t="n">
        <f aca="false">SUM(B348:K348)</f>
        <v>0</v>
      </c>
      <c r="M348" s="27" t="n">
        <f aca="false">SUMPRODUCT(B347:K347,$B$8:$K$8)</f>
        <v>0</v>
      </c>
      <c r="N348" s="27" t="n">
        <f aca="false">MIN(B347*(1+B$8),B$9)</f>
        <v>0</v>
      </c>
      <c r="O348" s="27" t="n">
        <f aca="false">MIN(C347*(1+C$8),C$9)</f>
        <v>0</v>
      </c>
      <c r="P348" s="27" t="n">
        <f aca="false">MIN(D347*(1+D$8),D$9)</f>
        <v>0</v>
      </c>
      <c r="Q348" s="27" t="n">
        <f aca="false">MIN(E347*(1+E$8),E$9)</f>
        <v>0</v>
      </c>
      <c r="R348" s="27" t="n">
        <f aca="false">MIN(F347*(1+F$8),F$9)</f>
        <v>0</v>
      </c>
      <c r="S348" s="27" t="n">
        <f aca="false">MIN(G347*(1+G$8),G$9)</f>
        <v>0</v>
      </c>
      <c r="T348" s="27" t="n">
        <f aca="false">MIN(H347*(1+H$8),H$9)</f>
        <v>0</v>
      </c>
      <c r="U348" s="27" t="n">
        <f aca="false">MIN(I347*(1+I$8),I$9)</f>
        <v>0</v>
      </c>
      <c r="V348" s="27" t="n">
        <f aca="false">MIN(J347*(1+J$8),J$9)</f>
        <v>0</v>
      </c>
      <c r="W348" s="27" t="n">
        <f aca="false">MIN(K347*(1+K$8),K$9)</f>
        <v>0</v>
      </c>
      <c r="X348" s="27" t="n">
        <f aca="false">MIN(B347*(1+B$8),MAX(N348,$B$11-SUM(O348:W348)))</f>
        <v>0</v>
      </c>
      <c r="Y348" s="27" t="n">
        <f aca="false">MIN(C347*(1+C$8),MAX(O348,$B$11-SUM(X348:X348)-SUM(P348:W348)))</f>
        <v>0</v>
      </c>
      <c r="Z348" s="27" t="n">
        <f aca="false">MIN(D347*(1+D$8),MAX(P348,$B$11-SUM(X348:Y348)-SUM(Q348:W348)))</f>
        <v>0</v>
      </c>
      <c r="AA348" s="27" t="n">
        <f aca="false">MIN(E347*(1+E$8),MAX(Q348,$B$11-SUM(X348:Z348)-SUM(R348:W348)))</f>
        <v>0</v>
      </c>
      <c r="AB348" s="27" t="n">
        <f aca="false">MIN(F347*(1+F$8),MAX(R348,$B$11-SUM(X348:AA348)-SUM(S348:W348)))</f>
        <v>0</v>
      </c>
      <c r="AC348" s="27" t="n">
        <f aca="false">MIN(G347*(1+G$8),MAX(S348,$B$11-SUM(X348:AB348)-SUM(T348:W348)))</f>
        <v>0</v>
      </c>
      <c r="AD348" s="27" t="n">
        <f aca="false">MIN(H347*(1+H$8),MAX(T348,$B$11-SUM(X348:AC348)-SUM(U348:W348)))</f>
        <v>0</v>
      </c>
      <c r="AE348" s="27" t="n">
        <f aca="false">MIN(I347*(1+I$8),MAX(U348,$B$11-SUM(X348:AD348)-SUM(V348:W348)))</f>
        <v>0</v>
      </c>
      <c r="AF348" s="27" t="n">
        <f aca="false">MIN(J347*(1+J$8),MAX(V348,$B$11-SUM(X348:AE348)-SUM(W348:W348)))</f>
        <v>0</v>
      </c>
      <c r="AG348" s="27" t="n">
        <f aca="false">MIN(K347*(1+K$8),MAX(W348,$B$11-SUM(X348:AF348)))</f>
        <v>0</v>
      </c>
      <c r="AI348" s="27" t="n">
        <f aca="false">ROUND(MAX(0,AI347*(1+B$8)-BE348),2)</f>
        <v>0</v>
      </c>
      <c r="AJ348" s="27" t="n">
        <f aca="false">ROUND(MAX(0,AJ347*(1+C$8)-BF348),2)</f>
        <v>0</v>
      </c>
      <c r="AK348" s="27" t="n">
        <f aca="false">ROUND(MAX(0,AK347*(1+D$8)-BG348),2)</f>
        <v>0</v>
      </c>
      <c r="AL348" s="27" t="n">
        <f aca="false">ROUND(MAX(0,AL347*(1+E$8)-BH348),2)</f>
        <v>0</v>
      </c>
      <c r="AM348" s="27" t="n">
        <f aca="false">ROUND(MAX(0,AM347*(1+F$8)-BI348),2)</f>
        <v>0</v>
      </c>
      <c r="AN348" s="27" t="n">
        <f aca="false">ROUND(MAX(0,AN347*(1+G$8)-BJ348),2)</f>
        <v>0</v>
      </c>
      <c r="AO348" s="27" t="n">
        <f aca="false">ROUND(MAX(0,AO347*(1+H$8)-BK348),2)</f>
        <v>0</v>
      </c>
      <c r="AP348" s="27" t="n">
        <f aca="false">ROUND(MAX(0,AP347*(1+I$8)-BL348),2)</f>
        <v>0</v>
      </c>
      <c r="AQ348" s="27" t="n">
        <f aca="false">ROUND(MAX(0,AQ347*(1+J$8)-BM348),2)</f>
        <v>0</v>
      </c>
      <c r="AR348" s="27" t="n">
        <f aca="false">ROUND(MAX(0,AR347*(1+K$8)-BN348),2)</f>
        <v>0</v>
      </c>
      <c r="AS348" s="27" t="n">
        <f aca="false">SUM(AI348:AR348)</f>
        <v>0</v>
      </c>
      <c r="AT348" s="27" t="n">
        <f aca="false">SUMPRODUCT(AI347:AR347,$B$8:$K$8)</f>
        <v>0</v>
      </c>
      <c r="AU348" s="27" t="n">
        <f aca="false">MIN(AI347*(1+B$8),B$9)</f>
        <v>0</v>
      </c>
      <c r="AV348" s="27" t="n">
        <f aca="false">MIN(AJ347*(1+C$8),C$9)</f>
        <v>0</v>
      </c>
      <c r="AW348" s="27" t="n">
        <f aca="false">MIN(AK347*(1+D$8),D$9)</f>
        <v>0</v>
      </c>
      <c r="AX348" s="27" t="n">
        <f aca="false">MIN(AL347*(1+E$8),E$9)</f>
        <v>0</v>
      </c>
      <c r="AY348" s="27" t="n">
        <f aca="false">MIN(AM347*(1+F$8),F$9)</f>
        <v>0</v>
      </c>
      <c r="AZ348" s="27" t="n">
        <f aca="false">MIN(AN347*(1+G$8),G$9)</f>
        <v>0</v>
      </c>
      <c r="BA348" s="27" t="n">
        <f aca="false">MIN(AO347*(1+H$8),H$9)</f>
        <v>0</v>
      </c>
      <c r="BB348" s="27" t="n">
        <f aca="false">MIN(AP347*(1+I$8),I$9)</f>
        <v>0</v>
      </c>
      <c r="BC348" s="27" t="n">
        <f aca="false">MIN(AQ347*(1+J$8),J$9)</f>
        <v>0</v>
      </c>
      <c r="BD348" s="27" t="n">
        <f aca="false">MIN(AR347*(1+K$8),K$9)</f>
        <v>0</v>
      </c>
      <c r="BE348" s="27" t="n">
        <f aca="false">MIN(AI347*(1+B$8),MAX(AU348,$B$12-SUM(AV348:BD348)))</f>
        <v>0</v>
      </c>
      <c r="BF348" s="27" t="n">
        <f aca="false">MIN(AJ347*(1+C$8),MAX(AV348,$B$12-SUM(BE348:BE348)-SUM(AW348:BD348)))</f>
        <v>0</v>
      </c>
      <c r="BG348" s="27" t="n">
        <f aca="false">MIN(AK347*(1+D$8),MAX(AW348,$B$12-SUM(BE348:BF348)-SUM(AX348:BD348)))</f>
        <v>0</v>
      </c>
      <c r="BH348" s="27" t="n">
        <f aca="false">MIN(AL347*(1+E$8),MAX(AX348,$B$12-SUM(BE348:BG348)-SUM(AY348:BD348)))</f>
        <v>0</v>
      </c>
      <c r="BI348" s="27" t="n">
        <f aca="false">MIN(AM347*(1+F$8),MAX(AY348,$B$12-SUM(BE348:BH348)-SUM(AZ348:BD348)))</f>
        <v>0</v>
      </c>
      <c r="BJ348" s="27" t="n">
        <f aca="false">MIN(AN347*(1+G$8),MAX(AZ348,$B$12-SUM(BE348:BI348)-SUM(BA348:BD348)))</f>
        <v>0</v>
      </c>
      <c r="BK348" s="27" t="n">
        <f aca="false">MIN(AO347*(1+H$8),MAX(BA348,$B$12-SUM(BE348:BJ348)-SUM(BB348:BD348)))</f>
        <v>0</v>
      </c>
      <c r="BL348" s="27" t="n">
        <f aca="false">MIN(AP347*(1+I$8),MAX(BB348,$B$12-SUM(BE348:BK348)-SUM(BC348:BD348)))</f>
        <v>0</v>
      </c>
      <c r="BM348" s="27" t="n">
        <f aca="false">MIN(AQ347*(1+J$8),MAX(BC348,$B$12-SUM(BE348:BL348)-SUM(BD348:BD348)))</f>
        <v>0</v>
      </c>
      <c r="BN348" s="27" t="n">
        <f aca="false">MIN(AR347*(1+K$8),MAX(BD348,$B$12-SUM(BE348:BM348)))</f>
        <v>0</v>
      </c>
    </row>
    <row r="349" customFormat="false" ht="15" hidden="false" customHeight="false" outlineLevel="0" collapsed="false">
      <c r="A349" s="0" t="n">
        <v>335</v>
      </c>
      <c r="B349" s="27" t="n">
        <f aca="false">ROUND(MAX(0,B348*(1+B$8)-X349),2)</f>
        <v>0</v>
      </c>
      <c r="C349" s="27" t="n">
        <f aca="false">ROUND(MAX(0,C348*(1+C$8)-Y349),2)</f>
        <v>0</v>
      </c>
      <c r="D349" s="27" t="n">
        <f aca="false">ROUND(MAX(0,D348*(1+D$8)-Z349),2)</f>
        <v>0</v>
      </c>
      <c r="E349" s="27" t="n">
        <f aca="false">ROUND(MAX(0,E348*(1+E$8)-AA349),2)</f>
        <v>0</v>
      </c>
      <c r="F349" s="27" t="n">
        <f aca="false">ROUND(MAX(0,F348*(1+F$8)-AB349),2)</f>
        <v>0</v>
      </c>
      <c r="G349" s="27" t="n">
        <f aca="false">ROUND(MAX(0,G348*(1+G$8)-AC349),2)</f>
        <v>0</v>
      </c>
      <c r="H349" s="27" t="n">
        <f aca="false">ROUND(MAX(0,H348*(1+H$8)-AD349),2)</f>
        <v>0</v>
      </c>
      <c r="I349" s="27" t="n">
        <f aca="false">ROUND(MAX(0,I348*(1+I$8)-AE349),2)</f>
        <v>0</v>
      </c>
      <c r="J349" s="27" t="n">
        <f aca="false">ROUND(MAX(0,J348*(1+J$8)-AF349),2)</f>
        <v>0</v>
      </c>
      <c r="K349" s="27" t="n">
        <f aca="false">ROUND(MAX(0,K348*(1+K$8)-AG349),2)</f>
        <v>0</v>
      </c>
      <c r="L349" s="30" t="n">
        <f aca="false">SUM(B349:K349)</f>
        <v>0</v>
      </c>
      <c r="M349" s="27" t="n">
        <f aca="false">SUMPRODUCT(B348:K348,$B$8:$K$8)</f>
        <v>0</v>
      </c>
      <c r="N349" s="27" t="n">
        <f aca="false">MIN(B348*(1+B$8),B$9)</f>
        <v>0</v>
      </c>
      <c r="O349" s="27" t="n">
        <f aca="false">MIN(C348*(1+C$8),C$9)</f>
        <v>0</v>
      </c>
      <c r="P349" s="27" t="n">
        <f aca="false">MIN(D348*(1+D$8),D$9)</f>
        <v>0</v>
      </c>
      <c r="Q349" s="27" t="n">
        <f aca="false">MIN(E348*(1+E$8),E$9)</f>
        <v>0</v>
      </c>
      <c r="R349" s="27" t="n">
        <f aca="false">MIN(F348*(1+F$8),F$9)</f>
        <v>0</v>
      </c>
      <c r="S349" s="27" t="n">
        <f aca="false">MIN(G348*(1+G$8),G$9)</f>
        <v>0</v>
      </c>
      <c r="T349" s="27" t="n">
        <f aca="false">MIN(H348*(1+H$8),H$9)</f>
        <v>0</v>
      </c>
      <c r="U349" s="27" t="n">
        <f aca="false">MIN(I348*(1+I$8),I$9)</f>
        <v>0</v>
      </c>
      <c r="V349" s="27" t="n">
        <f aca="false">MIN(J348*(1+J$8),J$9)</f>
        <v>0</v>
      </c>
      <c r="W349" s="27" t="n">
        <f aca="false">MIN(K348*(1+K$8),K$9)</f>
        <v>0</v>
      </c>
      <c r="X349" s="27" t="n">
        <f aca="false">MIN(B348*(1+B$8),MAX(N349,$B$11-SUM(O349:W349)))</f>
        <v>0</v>
      </c>
      <c r="Y349" s="27" t="n">
        <f aca="false">MIN(C348*(1+C$8),MAX(O349,$B$11-SUM(X349:X349)-SUM(P349:W349)))</f>
        <v>0</v>
      </c>
      <c r="Z349" s="27" t="n">
        <f aca="false">MIN(D348*(1+D$8),MAX(P349,$B$11-SUM(X349:Y349)-SUM(Q349:W349)))</f>
        <v>0</v>
      </c>
      <c r="AA349" s="27" t="n">
        <f aca="false">MIN(E348*(1+E$8),MAX(Q349,$B$11-SUM(X349:Z349)-SUM(R349:W349)))</f>
        <v>0</v>
      </c>
      <c r="AB349" s="27" t="n">
        <f aca="false">MIN(F348*(1+F$8),MAX(R349,$B$11-SUM(X349:AA349)-SUM(S349:W349)))</f>
        <v>0</v>
      </c>
      <c r="AC349" s="27" t="n">
        <f aca="false">MIN(G348*(1+G$8),MAX(S349,$B$11-SUM(X349:AB349)-SUM(T349:W349)))</f>
        <v>0</v>
      </c>
      <c r="AD349" s="27" t="n">
        <f aca="false">MIN(H348*(1+H$8),MAX(T349,$B$11-SUM(X349:AC349)-SUM(U349:W349)))</f>
        <v>0</v>
      </c>
      <c r="AE349" s="27" t="n">
        <f aca="false">MIN(I348*(1+I$8),MAX(U349,$B$11-SUM(X349:AD349)-SUM(V349:W349)))</f>
        <v>0</v>
      </c>
      <c r="AF349" s="27" t="n">
        <f aca="false">MIN(J348*(1+J$8),MAX(V349,$B$11-SUM(X349:AE349)-SUM(W349:W349)))</f>
        <v>0</v>
      </c>
      <c r="AG349" s="27" t="n">
        <f aca="false">MIN(K348*(1+K$8),MAX(W349,$B$11-SUM(X349:AF349)))</f>
        <v>0</v>
      </c>
      <c r="AI349" s="27" t="n">
        <f aca="false">ROUND(MAX(0,AI348*(1+B$8)-BE349),2)</f>
        <v>0</v>
      </c>
      <c r="AJ349" s="27" t="n">
        <f aca="false">ROUND(MAX(0,AJ348*(1+C$8)-BF349),2)</f>
        <v>0</v>
      </c>
      <c r="AK349" s="27" t="n">
        <f aca="false">ROUND(MAX(0,AK348*(1+D$8)-BG349),2)</f>
        <v>0</v>
      </c>
      <c r="AL349" s="27" t="n">
        <f aca="false">ROUND(MAX(0,AL348*(1+E$8)-BH349),2)</f>
        <v>0</v>
      </c>
      <c r="AM349" s="27" t="n">
        <f aca="false">ROUND(MAX(0,AM348*(1+F$8)-BI349),2)</f>
        <v>0</v>
      </c>
      <c r="AN349" s="27" t="n">
        <f aca="false">ROUND(MAX(0,AN348*(1+G$8)-BJ349),2)</f>
        <v>0</v>
      </c>
      <c r="AO349" s="27" t="n">
        <f aca="false">ROUND(MAX(0,AO348*(1+H$8)-BK349),2)</f>
        <v>0</v>
      </c>
      <c r="AP349" s="27" t="n">
        <f aca="false">ROUND(MAX(0,AP348*(1+I$8)-BL349),2)</f>
        <v>0</v>
      </c>
      <c r="AQ349" s="27" t="n">
        <f aca="false">ROUND(MAX(0,AQ348*(1+J$8)-BM349),2)</f>
        <v>0</v>
      </c>
      <c r="AR349" s="27" t="n">
        <f aca="false">ROUND(MAX(0,AR348*(1+K$8)-BN349),2)</f>
        <v>0</v>
      </c>
      <c r="AS349" s="27" t="n">
        <f aca="false">SUM(AI349:AR349)</f>
        <v>0</v>
      </c>
      <c r="AT349" s="27" t="n">
        <f aca="false">SUMPRODUCT(AI348:AR348,$B$8:$K$8)</f>
        <v>0</v>
      </c>
      <c r="AU349" s="27" t="n">
        <f aca="false">MIN(AI348*(1+B$8),B$9)</f>
        <v>0</v>
      </c>
      <c r="AV349" s="27" t="n">
        <f aca="false">MIN(AJ348*(1+C$8),C$9)</f>
        <v>0</v>
      </c>
      <c r="AW349" s="27" t="n">
        <f aca="false">MIN(AK348*(1+D$8),D$9)</f>
        <v>0</v>
      </c>
      <c r="AX349" s="27" t="n">
        <f aca="false">MIN(AL348*(1+E$8),E$9)</f>
        <v>0</v>
      </c>
      <c r="AY349" s="27" t="n">
        <f aca="false">MIN(AM348*(1+F$8),F$9)</f>
        <v>0</v>
      </c>
      <c r="AZ349" s="27" t="n">
        <f aca="false">MIN(AN348*(1+G$8),G$9)</f>
        <v>0</v>
      </c>
      <c r="BA349" s="27" t="n">
        <f aca="false">MIN(AO348*(1+H$8),H$9)</f>
        <v>0</v>
      </c>
      <c r="BB349" s="27" t="n">
        <f aca="false">MIN(AP348*(1+I$8),I$9)</f>
        <v>0</v>
      </c>
      <c r="BC349" s="27" t="n">
        <f aca="false">MIN(AQ348*(1+J$8),J$9)</f>
        <v>0</v>
      </c>
      <c r="BD349" s="27" t="n">
        <f aca="false">MIN(AR348*(1+K$8),K$9)</f>
        <v>0</v>
      </c>
      <c r="BE349" s="27" t="n">
        <f aca="false">MIN(AI348*(1+B$8),MAX(AU349,$B$12-SUM(AV349:BD349)))</f>
        <v>0</v>
      </c>
      <c r="BF349" s="27" t="n">
        <f aca="false">MIN(AJ348*(1+C$8),MAX(AV349,$B$12-SUM(BE349:BE349)-SUM(AW349:BD349)))</f>
        <v>0</v>
      </c>
      <c r="BG349" s="27" t="n">
        <f aca="false">MIN(AK348*(1+D$8),MAX(AW349,$B$12-SUM(BE349:BF349)-SUM(AX349:BD349)))</f>
        <v>0</v>
      </c>
      <c r="BH349" s="27" t="n">
        <f aca="false">MIN(AL348*(1+E$8),MAX(AX349,$B$12-SUM(BE349:BG349)-SUM(AY349:BD349)))</f>
        <v>0</v>
      </c>
      <c r="BI349" s="27" t="n">
        <f aca="false">MIN(AM348*(1+F$8),MAX(AY349,$B$12-SUM(BE349:BH349)-SUM(AZ349:BD349)))</f>
        <v>0</v>
      </c>
      <c r="BJ349" s="27" t="n">
        <f aca="false">MIN(AN348*(1+G$8),MAX(AZ349,$B$12-SUM(BE349:BI349)-SUM(BA349:BD349)))</f>
        <v>0</v>
      </c>
      <c r="BK349" s="27" t="n">
        <f aca="false">MIN(AO348*(1+H$8),MAX(BA349,$B$12-SUM(BE349:BJ349)-SUM(BB349:BD349)))</f>
        <v>0</v>
      </c>
      <c r="BL349" s="27" t="n">
        <f aca="false">MIN(AP348*(1+I$8),MAX(BB349,$B$12-SUM(BE349:BK349)-SUM(BC349:BD349)))</f>
        <v>0</v>
      </c>
      <c r="BM349" s="27" t="n">
        <f aca="false">MIN(AQ348*(1+J$8),MAX(BC349,$B$12-SUM(BE349:BL349)-SUM(BD349:BD349)))</f>
        <v>0</v>
      </c>
      <c r="BN349" s="27" t="n">
        <f aca="false">MIN(AR348*(1+K$8),MAX(BD349,$B$12-SUM(BE349:BM349)))</f>
        <v>0</v>
      </c>
    </row>
    <row r="350" customFormat="false" ht="15" hidden="false" customHeight="false" outlineLevel="0" collapsed="false">
      <c r="A350" s="0" t="n">
        <v>336</v>
      </c>
      <c r="B350" s="27" t="n">
        <f aca="false">ROUND(MAX(0,B349*(1+B$8)-X350),2)</f>
        <v>0</v>
      </c>
      <c r="C350" s="27" t="n">
        <f aca="false">ROUND(MAX(0,C349*(1+C$8)-Y350),2)</f>
        <v>0</v>
      </c>
      <c r="D350" s="27" t="n">
        <f aca="false">ROUND(MAX(0,D349*(1+D$8)-Z350),2)</f>
        <v>0</v>
      </c>
      <c r="E350" s="27" t="n">
        <f aca="false">ROUND(MAX(0,E349*(1+E$8)-AA350),2)</f>
        <v>0</v>
      </c>
      <c r="F350" s="27" t="n">
        <f aca="false">ROUND(MAX(0,F349*(1+F$8)-AB350),2)</f>
        <v>0</v>
      </c>
      <c r="G350" s="27" t="n">
        <f aca="false">ROUND(MAX(0,G349*(1+G$8)-AC350),2)</f>
        <v>0</v>
      </c>
      <c r="H350" s="27" t="n">
        <f aca="false">ROUND(MAX(0,H349*(1+H$8)-AD350),2)</f>
        <v>0</v>
      </c>
      <c r="I350" s="27" t="n">
        <f aca="false">ROUND(MAX(0,I349*(1+I$8)-AE350),2)</f>
        <v>0</v>
      </c>
      <c r="J350" s="27" t="n">
        <f aca="false">ROUND(MAX(0,J349*(1+J$8)-AF350),2)</f>
        <v>0</v>
      </c>
      <c r="K350" s="27" t="n">
        <f aca="false">ROUND(MAX(0,K349*(1+K$8)-AG350),2)</f>
        <v>0</v>
      </c>
      <c r="L350" s="30" t="n">
        <f aca="false">SUM(B350:K350)</f>
        <v>0</v>
      </c>
      <c r="M350" s="27" t="n">
        <f aca="false">SUMPRODUCT(B349:K349,$B$8:$K$8)</f>
        <v>0</v>
      </c>
      <c r="N350" s="27" t="n">
        <f aca="false">MIN(B349*(1+B$8),B$9)</f>
        <v>0</v>
      </c>
      <c r="O350" s="27" t="n">
        <f aca="false">MIN(C349*(1+C$8),C$9)</f>
        <v>0</v>
      </c>
      <c r="P350" s="27" t="n">
        <f aca="false">MIN(D349*(1+D$8),D$9)</f>
        <v>0</v>
      </c>
      <c r="Q350" s="27" t="n">
        <f aca="false">MIN(E349*(1+E$8),E$9)</f>
        <v>0</v>
      </c>
      <c r="R350" s="27" t="n">
        <f aca="false">MIN(F349*(1+F$8),F$9)</f>
        <v>0</v>
      </c>
      <c r="S350" s="27" t="n">
        <f aca="false">MIN(G349*(1+G$8),G$9)</f>
        <v>0</v>
      </c>
      <c r="T350" s="27" t="n">
        <f aca="false">MIN(H349*(1+H$8),H$9)</f>
        <v>0</v>
      </c>
      <c r="U350" s="27" t="n">
        <f aca="false">MIN(I349*(1+I$8),I$9)</f>
        <v>0</v>
      </c>
      <c r="V350" s="27" t="n">
        <f aca="false">MIN(J349*(1+J$8),J$9)</f>
        <v>0</v>
      </c>
      <c r="W350" s="27" t="n">
        <f aca="false">MIN(K349*(1+K$8),K$9)</f>
        <v>0</v>
      </c>
      <c r="X350" s="27" t="n">
        <f aca="false">MIN(B349*(1+B$8),MAX(N350,$B$11-SUM(O350:W350)))</f>
        <v>0</v>
      </c>
      <c r="Y350" s="27" t="n">
        <f aca="false">MIN(C349*(1+C$8),MAX(O350,$B$11-SUM(X350:X350)-SUM(P350:W350)))</f>
        <v>0</v>
      </c>
      <c r="Z350" s="27" t="n">
        <f aca="false">MIN(D349*(1+D$8),MAX(P350,$B$11-SUM(X350:Y350)-SUM(Q350:W350)))</f>
        <v>0</v>
      </c>
      <c r="AA350" s="27" t="n">
        <f aca="false">MIN(E349*(1+E$8),MAX(Q350,$B$11-SUM(X350:Z350)-SUM(R350:W350)))</f>
        <v>0</v>
      </c>
      <c r="AB350" s="27" t="n">
        <f aca="false">MIN(F349*(1+F$8),MAX(R350,$B$11-SUM(X350:AA350)-SUM(S350:W350)))</f>
        <v>0</v>
      </c>
      <c r="AC350" s="27" t="n">
        <f aca="false">MIN(G349*(1+G$8),MAX(S350,$B$11-SUM(X350:AB350)-SUM(T350:W350)))</f>
        <v>0</v>
      </c>
      <c r="AD350" s="27" t="n">
        <f aca="false">MIN(H349*(1+H$8),MAX(T350,$B$11-SUM(X350:AC350)-SUM(U350:W350)))</f>
        <v>0</v>
      </c>
      <c r="AE350" s="27" t="n">
        <f aca="false">MIN(I349*(1+I$8),MAX(U350,$B$11-SUM(X350:AD350)-SUM(V350:W350)))</f>
        <v>0</v>
      </c>
      <c r="AF350" s="27" t="n">
        <f aca="false">MIN(J349*(1+J$8),MAX(V350,$B$11-SUM(X350:AE350)-SUM(W350:W350)))</f>
        <v>0</v>
      </c>
      <c r="AG350" s="27" t="n">
        <f aca="false">MIN(K349*(1+K$8),MAX(W350,$B$11-SUM(X350:AF350)))</f>
        <v>0</v>
      </c>
      <c r="AI350" s="27" t="n">
        <f aca="false">ROUND(MAX(0,AI349*(1+B$8)-BE350),2)</f>
        <v>0</v>
      </c>
      <c r="AJ350" s="27" t="n">
        <f aca="false">ROUND(MAX(0,AJ349*(1+C$8)-BF350),2)</f>
        <v>0</v>
      </c>
      <c r="AK350" s="27" t="n">
        <f aca="false">ROUND(MAX(0,AK349*(1+D$8)-BG350),2)</f>
        <v>0</v>
      </c>
      <c r="AL350" s="27" t="n">
        <f aca="false">ROUND(MAX(0,AL349*(1+E$8)-BH350),2)</f>
        <v>0</v>
      </c>
      <c r="AM350" s="27" t="n">
        <f aca="false">ROUND(MAX(0,AM349*(1+F$8)-BI350),2)</f>
        <v>0</v>
      </c>
      <c r="AN350" s="27" t="n">
        <f aca="false">ROUND(MAX(0,AN349*(1+G$8)-BJ350),2)</f>
        <v>0</v>
      </c>
      <c r="AO350" s="27" t="n">
        <f aca="false">ROUND(MAX(0,AO349*(1+H$8)-BK350),2)</f>
        <v>0</v>
      </c>
      <c r="AP350" s="27" t="n">
        <f aca="false">ROUND(MAX(0,AP349*(1+I$8)-BL350),2)</f>
        <v>0</v>
      </c>
      <c r="AQ350" s="27" t="n">
        <f aca="false">ROUND(MAX(0,AQ349*(1+J$8)-BM350),2)</f>
        <v>0</v>
      </c>
      <c r="AR350" s="27" t="n">
        <f aca="false">ROUND(MAX(0,AR349*(1+K$8)-BN350),2)</f>
        <v>0</v>
      </c>
      <c r="AS350" s="27" t="n">
        <f aca="false">SUM(AI350:AR350)</f>
        <v>0</v>
      </c>
      <c r="AT350" s="27" t="n">
        <f aca="false">SUMPRODUCT(AI349:AR349,$B$8:$K$8)</f>
        <v>0</v>
      </c>
      <c r="AU350" s="27" t="n">
        <f aca="false">MIN(AI349*(1+B$8),B$9)</f>
        <v>0</v>
      </c>
      <c r="AV350" s="27" t="n">
        <f aca="false">MIN(AJ349*(1+C$8),C$9)</f>
        <v>0</v>
      </c>
      <c r="AW350" s="27" t="n">
        <f aca="false">MIN(AK349*(1+D$8),D$9)</f>
        <v>0</v>
      </c>
      <c r="AX350" s="27" t="n">
        <f aca="false">MIN(AL349*(1+E$8),E$9)</f>
        <v>0</v>
      </c>
      <c r="AY350" s="27" t="n">
        <f aca="false">MIN(AM349*(1+F$8),F$9)</f>
        <v>0</v>
      </c>
      <c r="AZ350" s="27" t="n">
        <f aca="false">MIN(AN349*(1+G$8),G$9)</f>
        <v>0</v>
      </c>
      <c r="BA350" s="27" t="n">
        <f aca="false">MIN(AO349*(1+H$8),H$9)</f>
        <v>0</v>
      </c>
      <c r="BB350" s="27" t="n">
        <f aca="false">MIN(AP349*(1+I$8),I$9)</f>
        <v>0</v>
      </c>
      <c r="BC350" s="27" t="n">
        <f aca="false">MIN(AQ349*(1+J$8),J$9)</f>
        <v>0</v>
      </c>
      <c r="BD350" s="27" t="n">
        <f aca="false">MIN(AR349*(1+K$8),K$9)</f>
        <v>0</v>
      </c>
      <c r="BE350" s="27" t="n">
        <f aca="false">MIN(AI349*(1+B$8),MAX(AU350,$B$12-SUM(AV350:BD350)))</f>
        <v>0</v>
      </c>
      <c r="BF350" s="27" t="n">
        <f aca="false">MIN(AJ349*(1+C$8),MAX(AV350,$B$12-SUM(BE350:BE350)-SUM(AW350:BD350)))</f>
        <v>0</v>
      </c>
      <c r="BG350" s="27" t="n">
        <f aca="false">MIN(AK349*(1+D$8),MAX(AW350,$B$12-SUM(BE350:BF350)-SUM(AX350:BD350)))</f>
        <v>0</v>
      </c>
      <c r="BH350" s="27" t="n">
        <f aca="false">MIN(AL349*(1+E$8),MAX(AX350,$B$12-SUM(BE350:BG350)-SUM(AY350:BD350)))</f>
        <v>0</v>
      </c>
      <c r="BI350" s="27" t="n">
        <f aca="false">MIN(AM349*(1+F$8),MAX(AY350,$B$12-SUM(BE350:BH350)-SUM(AZ350:BD350)))</f>
        <v>0</v>
      </c>
      <c r="BJ350" s="27" t="n">
        <f aca="false">MIN(AN349*(1+G$8),MAX(AZ350,$B$12-SUM(BE350:BI350)-SUM(BA350:BD350)))</f>
        <v>0</v>
      </c>
      <c r="BK350" s="27" t="n">
        <f aca="false">MIN(AO349*(1+H$8),MAX(BA350,$B$12-SUM(BE350:BJ350)-SUM(BB350:BD350)))</f>
        <v>0</v>
      </c>
      <c r="BL350" s="27" t="n">
        <f aca="false">MIN(AP349*(1+I$8),MAX(BB350,$B$12-SUM(BE350:BK350)-SUM(BC350:BD350)))</f>
        <v>0</v>
      </c>
      <c r="BM350" s="27" t="n">
        <f aca="false">MIN(AQ349*(1+J$8),MAX(BC350,$B$12-SUM(BE350:BL350)-SUM(BD350:BD350)))</f>
        <v>0</v>
      </c>
      <c r="BN350" s="27" t="n">
        <f aca="false">MIN(AR349*(1+K$8),MAX(BD350,$B$12-SUM(BE350:BM350)))</f>
        <v>0</v>
      </c>
    </row>
    <row r="351" customFormat="false" ht="15" hidden="false" customHeight="false" outlineLevel="0" collapsed="false">
      <c r="A351" s="0" t="n">
        <v>337</v>
      </c>
      <c r="B351" s="27" t="n">
        <f aca="false">ROUND(MAX(0,B350*(1+B$8)-X351),2)</f>
        <v>0</v>
      </c>
      <c r="C351" s="27" t="n">
        <f aca="false">ROUND(MAX(0,C350*(1+C$8)-Y351),2)</f>
        <v>0</v>
      </c>
      <c r="D351" s="27" t="n">
        <f aca="false">ROUND(MAX(0,D350*(1+D$8)-Z351),2)</f>
        <v>0</v>
      </c>
      <c r="E351" s="27" t="n">
        <f aca="false">ROUND(MAX(0,E350*(1+E$8)-AA351),2)</f>
        <v>0</v>
      </c>
      <c r="F351" s="27" t="n">
        <f aca="false">ROUND(MAX(0,F350*(1+F$8)-AB351),2)</f>
        <v>0</v>
      </c>
      <c r="G351" s="27" t="n">
        <f aca="false">ROUND(MAX(0,G350*(1+G$8)-AC351),2)</f>
        <v>0</v>
      </c>
      <c r="H351" s="27" t="n">
        <f aca="false">ROUND(MAX(0,H350*(1+H$8)-AD351),2)</f>
        <v>0</v>
      </c>
      <c r="I351" s="27" t="n">
        <f aca="false">ROUND(MAX(0,I350*(1+I$8)-AE351),2)</f>
        <v>0</v>
      </c>
      <c r="J351" s="27" t="n">
        <f aca="false">ROUND(MAX(0,J350*(1+J$8)-AF351),2)</f>
        <v>0</v>
      </c>
      <c r="K351" s="27" t="n">
        <f aca="false">ROUND(MAX(0,K350*(1+K$8)-AG351),2)</f>
        <v>0</v>
      </c>
      <c r="L351" s="30" t="n">
        <f aca="false">SUM(B351:K351)</f>
        <v>0</v>
      </c>
      <c r="M351" s="27" t="n">
        <f aca="false">SUMPRODUCT(B350:K350,$B$8:$K$8)</f>
        <v>0</v>
      </c>
      <c r="N351" s="27" t="n">
        <f aca="false">MIN(B350*(1+B$8),B$9)</f>
        <v>0</v>
      </c>
      <c r="O351" s="27" t="n">
        <f aca="false">MIN(C350*(1+C$8),C$9)</f>
        <v>0</v>
      </c>
      <c r="P351" s="27" t="n">
        <f aca="false">MIN(D350*(1+D$8),D$9)</f>
        <v>0</v>
      </c>
      <c r="Q351" s="27" t="n">
        <f aca="false">MIN(E350*(1+E$8),E$9)</f>
        <v>0</v>
      </c>
      <c r="R351" s="27" t="n">
        <f aca="false">MIN(F350*(1+F$8),F$9)</f>
        <v>0</v>
      </c>
      <c r="S351" s="27" t="n">
        <f aca="false">MIN(G350*(1+G$8),G$9)</f>
        <v>0</v>
      </c>
      <c r="T351" s="27" t="n">
        <f aca="false">MIN(H350*(1+H$8),H$9)</f>
        <v>0</v>
      </c>
      <c r="U351" s="27" t="n">
        <f aca="false">MIN(I350*(1+I$8),I$9)</f>
        <v>0</v>
      </c>
      <c r="V351" s="27" t="n">
        <f aca="false">MIN(J350*(1+J$8),J$9)</f>
        <v>0</v>
      </c>
      <c r="W351" s="27" t="n">
        <f aca="false">MIN(K350*(1+K$8),K$9)</f>
        <v>0</v>
      </c>
      <c r="X351" s="27" t="n">
        <f aca="false">MIN(B350*(1+B$8),MAX(N351,$B$11-SUM(O351:W351)))</f>
        <v>0</v>
      </c>
      <c r="Y351" s="27" t="n">
        <f aca="false">MIN(C350*(1+C$8),MAX(O351,$B$11-SUM(X351:X351)-SUM(P351:W351)))</f>
        <v>0</v>
      </c>
      <c r="Z351" s="27" t="n">
        <f aca="false">MIN(D350*(1+D$8),MAX(P351,$B$11-SUM(X351:Y351)-SUM(Q351:W351)))</f>
        <v>0</v>
      </c>
      <c r="AA351" s="27" t="n">
        <f aca="false">MIN(E350*(1+E$8),MAX(Q351,$B$11-SUM(X351:Z351)-SUM(R351:W351)))</f>
        <v>0</v>
      </c>
      <c r="AB351" s="27" t="n">
        <f aca="false">MIN(F350*(1+F$8),MAX(R351,$B$11-SUM(X351:AA351)-SUM(S351:W351)))</f>
        <v>0</v>
      </c>
      <c r="AC351" s="27" t="n">
        <f aca="false">MIN(G350*(1+G$8),MAX(S351,$B$11-SUM(X351:AB351)-SUM(T351:W351)))</f>
        <v>0</v>
      </c>
      <c r="AD351" s="27" t="n">
        <f aca="false">MIN(H350*(1+H$8),MAX(T351,$B$11-SUM(X351:AC351)-SUM(U351:W351)))</f>
        <v>0</v>
      </c>
      <c r="AE351" s="27" t="n">
        <f aca="false">MIN(I350*(1+I$8),MAX(U351,$B$11-SUM(X351:AD351)-SUM(V351:W351)))</f>
        <v>0</v>
      </c>
      <c r="AF351" s="27" t="n">
        <f aca="false">MIN(J350*(1+J$8),MAX(V351,$B$11-SUM(X351:AE351)-SUM(W351:W351)))</f>
        <v>0</v>
      </c>
      <c r="AG351" s="27" t="n">
        <f aca="false">MIN(K350*(1+K$8),MAX(W351,$B$11-SUM(X351:AF351)))</f>
        <v>0</v>
      </c>
      <c r="AI351" s="27" t="n">
        <f aca="false">ROUND(MAX(0,AI350*(1+B$8)-BE351),2)</f>
        <v>0</v>
      </c>
      <c r="AJ351" s="27" t="n">
        <f aca="false">ROUND(MAX(0,AJ350*(1+C$8)-BF351),2)</f>
        <v>0</v>
      </c>
      <c r="AK351" s="27" t="n">
        <f aca="false">ROUND(MAX(0,AK350*(1+D$8)-BG351),2)</f>
        <v>0</v>
      </c>
      <c r="AL351" s="27" t="n">
        <f aca="false">ROUND(MAX(0,AL350*(1+E$8)-BH351),2)</f>
        <v>0</v>
      </c>
      <c r="AM351" s="27" t="n">
        <f aca="false">ROUND(MAX(0,AM350*(1+F$8)-BI351),2)</f>
        <v>0</v>
      </c>
      <c r="AN351" s="27" t="n">
        <f aca="false">ROUND(MAX(0,AN350*(1+G$8)-BJ351),2)</f>
        <v>0</v>
      </c>
      <c r="AO351" s="27" t="n">
        <f aca="false">ROUND(MAX(0,AO350*(1+H$8)-BK351),2)</f>
        <v>0</v>
      </c>
      <c r="AP351" s="27" t="n">
        <f aca="false">ROUND(MAX(0,AP350*(1+I$8)-BL351),2)</f>
        <v>0</v>
      </c>
      <c r="AQ351" s="27" t="n">
        <f aca="false">ROUND(MAX(0,AQ350*(1+J$8)-BM351),2)</f>
        <v>0</v>
      </c>
      <c r="AR351" s="27" t="n">
        <f aca="false">ROUND(MAX(0,AR350*(1+K$8)-BN351),2)</f>
        <v>0</v>
      </c>
      <c r="AS351" s="27" t="n">
        <f aca="false">SUM(AI351:AR351)</f>
        <v>0</v>
      </c>
      <c r="AT351" s="27" t="n">
        <f aca="false">SUMPRODUCT(AI350:AR350,$B$8:$K$8)</f>
        <v>0</v>
      </c>
      <c r="AU351" s="27" t="n">
        <f aca="false">MIN(AI350*(1+B$8),B$9)</f>
        <v>0</v>
      </c>
      <c r="AV351" s="27" t="n">
        <f aca="false">MIN(AJ350*(1+C$8),C$9)</f>
        <v>0</v>
      </c>
      <c r="AW351" s="27" t="n">
        <f aca="false">MIN(AK350*(1+D$8),D$9)</f>
        <v>0</v>
      </c>
      <c r="AX351" s="27" t="n">
        <f aca="false">MIN(AL350*(1+E$8),E$9)</f>
        <v>0</v>
      </c>
      <c r="AY351" s="27" t="n">
        <f aca="false">MIN(AM350*(1+F$8),F$9)</f>
        <v>0</v>
      </c>
      <c r="AZ351" s="27" t="n">
        <f aca="false">MIN(AN350*(1+G$8),G$9)</f>
        <v>0</v>
      </c>
      <c r="BA351" s="27" t="n">
        <f aca="false">MIN(AO350*(1+H$8),H$9)</f>
        <v>0</v>
      </c>
      <c r="BB351" s="27" t="n">
        <f aca="false">MIN(AP350*(1+I$8),I$9)</f>
        <v>0</v>
      </c>
      <c r="BC351" s="27" t="n">
        <f aca="false">MIN(AQ350*(1+J$8),J$9)</f>
        <v>0</v>
      </c>
      <c r="BD351" s="27" t="n">
        <f aca="false">MIN(AR350*(1+K$8),K$9)</f>
        <v>0</v>
      </c>
      <c r="BE351" s="27" t="n">
        <f aca="false">MIN(AI350*(1+B$8),MAX(AU351,$B$12-SUM(AV351:BD351)))</f>
        <v>0</v>
      </c>
      <c r="BF351" s="27" t="n">
        <f aca="false">MIN(AJ350*(1+C$8),MAX(AV351,$B$12-SUM(BE351:BE351)-SUM(AW351:BD351)))</f>
        <v>0</v>
      </c>
      <c r="BG351" s="27" t="n">
        <f aca="false">MIN(AK350*(1+D$8),MAX(AW351,$B$12-SUM(BE351:BF351)-SUM(AX351:BD351)))</f>
        <v>0</v>
      </c>
      <c r="BH351" s="27" t="n">
        <f aca="false">MIN(AL350*(1+E$8),MAX(AX351,$B$12-SUM(BE351:BG351)-SUM(AY351:BD351)))</f>
        <v>0</v>
      </c>
      <c r="BI351" s="27" t="n">
        <f aca="false">MIN(AM350*(1+F$8),MAX(AY351,$B$12-SUM(BE351:BH351)-SUM(AZ351:BD351)))</f>
        <v>0</v>
      </c>
      <c r="BJ351" s="27" t="n">
        <f aca="false">MIN(AN350*(1+G$8),MAX(AZ351,$B$12-SUM(BE351:BI351)-SUM(BA351:BD351)))</f>
        <v>0</v>
      </c>
      <c r="BK351" s="27" t="n">
        <f aca="false">MIN(AO350*(1+H$8),MAX(BA351,$B$12-SUM(BE351:BJ351)-SUM(BB351:BD351)))</f>
        <v>0</v>
      </c>
      <c r="BL351" s="27" t="n">
        <f aca="false">MIN(AP350*(1+I$8),MAX(BB351,$B$12-SUM(BE351:BK351)-SUM(BC351:BD351)))</f>
        <v>0</v>
      </c>
      <c r="BM351" s="27" t="n">
        <f aca="false">MIN(AQ350*(1+J$8),MAX(BC351,$B$12-SUM(BE351:BL351)-SUM(BD351:BD351)))</f>
        <v>0</v>
      </c>
      <c r="BN351" s="27" t="n">
        <f aca="false">MIN(AR350*(1+K$8),MAX(BD351,$B$12-SUM(BE351:BM351)))</f>
        <v>0</v>
      </c>
    </row>
    <row r="352" customFormat="false" ht="15" hidden="false" customHeight="false" outlineLevel="0" collapsed="false">
      <c r="A352" s="0" t="n">
        <v>338</v>
      </c>
      <c r="B352" s="27" t="n">
        <f aca="false">ROUND(MAX(0,B351*(1+B$8)-X352),2)</f>
        <v>0</v>
      </c>
      <c r="C352" s="27" t="n">
        <f aca="false">ROUND(MAX(0,C351*(1+C$8)-Y352),2)</f>
        <v>0</v>
      </c>
      <c r="D352" s="27" t="n">
        <f aca="false">ROUND(MAX(0,D351*(1+D$8)-Z352),2)</f>
        <v>0</v>
      </c>
      <c r="E352" s="27" t="n">
        <f aca="false">ROUND(MAX(0,E351*(1+E$8)-AA352),2)</f>
        <v>0</v>
      </c>
      <c r="F352" s="27" t="n">
        <f aca="false">ROUND(MAX(0,F351*(1+F$8)-AB352),2)</f>
        <v>0</v>
      </c>
      <c r="G352" s="27" t="n">
        <f aca="false">ROUND(MAX(0,G351*(1+G$8)-AC352),2)</f>
        <v>0</v>
      </c>
      <c r="H352" s="27" t="n">
        <f aca="false">ROUND(MAX(0,H351*(1+H$8)-AD352),2)</f>
        <v>0</v>
      </c>
      <c r="I352" s="27" t="n">
        <f aca="false">ROUND(MAX(0,I351*(1+I$8)-AE352),2)</f>
        <v>0</v>
      </c>
      <c r="J352" s="27" t="n">
        <f aca="false">ROUND(MAX(0,J351*(1+J$8)-AF352),2)</f>
        <v>0</v>
      </c>
      <c r="K352" s="27" t="n">
        <f aca="false">ROUND(MAX(0,K351*(1+K$8)-AG352),2)</f>
        <v>0</v>
      </c>
      <c r="L352" s="30" t="n">
        <f aca="false">SUM(B352:K352)</f>
        <v>0</v>
      </c>
      <c r="M352" s="27" t="n">
        <f aca="false">SUMPRODUCT(B351:K351,$B$8:$K$8)</f>
        <v>0</v>
      </c>
      <c r="N352" s="27" t="n">
        <f aca="false">MIN(B351*(1+B$8),B$9)</f>
        <v>0</v>
      </c>
      <c r="O352" s="27" t="n">
        <f aca="false">MIN(C351*(1+C$8),C$9)</f>
        <v>0</v>
      </c>
      <c r="P352" s="27" t="n">
        <f aca="false">MIN(D351*(1+D$8),D$9)</f>
        <v>0</v>
      </c>
      <c r="Q352" s="27" t="n">
        <f aca="false">MIN(E351*(1+E$8),E$9)</f>
        <v>0</v>
      </c>
      <c r="R352" s="27" t="n">
        <f aca="false">MIN(F351*(1+F$8),F$9)</f>
        <v>0</v>
      </c>
      <c r="S352" s="27" t="n">
        <f aca="false">MIN(G351*(1+G$8),G$9)</f>
        <v>0</v>
      </c>
      <c r="T352" s="27" t="n">
        <f aca="false">MIN(H351*(1+H$8),H$9)</f>
        <v>0</v>
      </c>
      <c r="U352" s="27" t="n">
        <f aca="false">MIN(I351*(1+I$8),I$9)</f>
        <v>0</v>
      </c>
      <c r="V352" s="27" t="n">
        <f aca="false">MIN(J351*(1+J$8),J$9)</f>
        <v>0</v>
      </c>
      <c r="W352" s="27" t="n">
        <f aca="false">MIN(K351*(1+K$8),K$9)</f>
        <v>0</v>
      </c>
      <c r="X352" s="27" t="n">
        <f aca="false">MIN(B351*(1+B$8),MAX(N352,$B$11-SUM(O352:W352)))</f>
        <v>0</v>
      </c>
      <c r="Y352" s="27" t="n">
        <f aca="false">MIN(C351*(1+C$8),MAX(O352,$B$11-SUM(X352:X352)-SUM(P352:W352)))</f>
        <v>0</v>
      </c>
      <c r="Z352" s="27" t="n">
        <f aca="false">MIN(D351*(1+D$8),MAX(P352,$B$11-SUM(X352:Y352)-SUM(Q352:W352)))</f>
        <v>0</v>
      </c>
      <c r="AA352" s="27" t="n">
        <f aca="false">MIN(E351*(1+E$8),MAX(Q352,$B$11-SUM(X352:Z352)-SUM(R352:W352)))</f>
        <v>0</v>
      </c>
      <c r="AB352" s="27" t="n">
        <f aca="false">MIN(F351*(1+F$8),MAX(R352,$B$11-SUM(X352:AA352)-SUM(S352:W352)))</f>
        <v>0</v>
      </c>
      <c r="AC352" s="27" t="n">
        <f aca="false">MIN(G351*(1+G$8),MAX(S352,$B$11-SUM(X352:AB352)-SUM(T352:W352)))</f>
        <v>0</v>
      </c>
      <c r="AD352" s="27" t="n">
        <f aca="false">MIN(H351*(1+H$8),MAX(T352,$B$11-SUM(X352:AC352)-SUM(U352:W352)))</f>
        <v>0</v>
      </c>
      <c r="AE352" s="27" t="n">
        <f aca="false">MIN(I351*(1+I$8),MAX(U352,$B$11-SUM(X352:AD352)-SUM(V352:W352)))</f>
        <v>0</v>
      </c>
      <c r="AF352" s="27" t="n">
        <f aca="false">MIN(J351*(1+J$8),MAX(V352,$B$11-SUM(X352:AE352)-SUM(W352:W352)))</f>
        <v>0</v>
      </c>
      <c r="AG352" s="27" t="n">
        <f aca="false">MIN(K351*(1+K$8),MAX(W352,$B$11-SUM(X352:AF352)))</f>
        <v>0</v>
      </c>
      <c r="AI352" s="27" t="n">
        <f aca="false">ROUND(MAX(0,AI351*(1+B$8)-BE352),2)</f>
        <v>0</v>
      </c>
      <c r="AJ352" s="27" t="n">
        <f aca="false">ROUND(MAX(0,AJ351*(1+C$8)-BF352),2)</f>
        <v>0</v>
      </c>
      <c r="AK352" s="27" t="n">
        <f aca="false">ROUND(MAX(0,AK351*(1+D$8)-BG352),2)</f>
        <v>0</v>
      </c>
      <c r="AL352" s="27" t="n">
        <f aca="false">ROUND(MAX(0,AL351*(1+E$8)-BH352),2)</f>
        <v>0</v>
      </c>
      <c r="AM352" s="27" t="n">
        <f aca="false">ROUND(MAX(0,AM351*(1+F$8)-BI352),2)</f>
        <v>0</v>
      </c>
      <c r="AN352" s="27" t="n">
        <f aca="false">ROUND(MAX(0,AN351*(1+G$8)-BJ352),2)</f>
        <v>0</v>
      </c>
      <c r="AO352" s="27" t="n">
        <f aca="false">ROUND(MAX(0,AO351*(1+H$8)-BK352),2)</f>
        <v>0</v>
      </c>
      <c r="AP352" s="27" t="n">
        <f aca="false">ROUND(MAX(0,AP351*(1+I$8)-BL352),2)</f>
        <v>0</v>
      </c>
      <c r="AQ352" s="27" t="n">
        <f aca="false">ROUND(MAX(0,AQ351*(1+J$8)-BM352),2)</f>
        <v>0</v>
      </c>
      <c r="AR352" s="27" t="n">
        <f aca="false">ROUND(MAX(0,AR351*(1+K$8)-BN352),2)</f>
        <v>0</v>
      </c>
      <c r="AS352" s="27" t="n">
        <f aca="false">SUM(AI352:AR352)</f>
        <v>0</v>
      </c>
      <c r="AT352" s="27" t="n">
        <f aca="false">SUMPRODUCT(AI351:AR351,$B$8:$K$8)</f>
        <v>0</v>
      </c>
      <c r="AU352" s="27" t="n">
        <f aca="false">MIN(AI351*(1+B$8),B$9)</f>
        <v>0</v>
      </c>
      <c r="AV352" s="27" t="n">
        <f aca="false">MIN(AJ351*(1+C$8),C$9)</f>
        <v>0</v>
      </c>
      <c r="AW352" s="27" t="n">
        <f aca="false">MIN(AK351*(1+D$8),D$9)</f>
        <v>0</v>
      </c>
      <c r="AX352" s="27" t="n">
        <f aca="false">MIN(AL351*(1+E$8),E$9)</f>
        <v>0</v>
      </c>
      <c r="AY352" s="27" t="n">
        <f aca="false">MIN(AM351*(1+F$8),F$9)</f>
        <v>0</v>
      </c>
      <c r="AZ352" s="27" t="n">
        <f aca="false">MIN(AN351*(1+G$8),G$9)</f>
        <v>0</v>
      </c>
      <c r="BA352" s="27" t="n">
        <f aca="false">MIN(AO351*(1+H$8),H$9)</f>
        <v>0</v>
      </c>
      <c r="BB352" s="27" t="n">
        <f aca="false">MIN(AP351*(1+I$8),I$9)</f>
        <v>0</v>
      </c>
      <c r="BC352" s="27" t="n">
        <f aca="false">MIN(AQ351*(1+J$8),J$9)</f>
        <v>0</v>
      </c>
      <c r="BD352" s="27" t="n">
        <f aca="false">MIN(AR351*(1+K$8),K$9)</f>
        <v>0</v>
      </c>
      <c r="BE352" s="27" t="n">
        <f aca="false">MIN(AI351*(1+B$8),MAX(AU352,$B$12-SUM(AV352:BD352)))</f>
        <v>0</v>
      </c>
      <c r="BF352" s="27" t="n">
        <f aca="false">MIN(AJ351*(1+C$8),MAX(AV352,$B$12-SUM(BE352:BE352)-SUM(AW352:BD352)))</f>
        <v>0</v>
      </c>
      <c r="BG352" s="27" t="n">
        <f aca="false">MIN(AK351*(1+D$8),MAX(AW352,$B$12-SUM(BE352:BF352)-SUM(AX352:BD352)))</f>
        <v>0</v>
      </c>
      <c r="BH352" s="27" t="n">
        <f aca="false">MIN(AL351*(1+E$8),MAX(AX352,$B$12-SUM(BE352:BG352)-SUM(AY352:BD352)))</f>
        <v>0</v>
      </c>
      <c r="BI352" s="27" t="n">
        <f aca="false">MIN(AM351*(1+F$8),MAX(AY352,$B$12-SUM(BE352:BH352)-SUM(AZ352:BD352)))</f>
        <v>0</v>
      </c>
      <c r="BJ352" s="27" t="n">
        <f aca="false">MIN(AN351*(1+G$8),MAX(AZ352,$B$12-SUM(BE352:BI352)-SUM(BA352:BD352)))</f>
        <v>0</v>
      </c>
      <c r="BK352" s="27" t="n">
        <f aca="false">MIN(AO351*(1+H$8),MAX(BA352,$B$12-SUM(BE352:BJ352)-SUM(BB352:BD352)))</f>
        <v>0</v>
      </c>
      <c r="BL352" s="27" t="n">
        <f aca="false">MIN(AP351*(1+I$8),MAX(BB352,$B$12-SUM(BE352:BK352)-SUM(BC352:BD352)))</f>
        <v>0</v>
      </c>
      <c r="BM352" s="27" t="n">
        <f aca="false">MIN(AQ351*(1+J$8),MAX(BC352,$B$12-SUM(BE352:BL352)-SUM(BD352:BD352)))</f>
        <v>0</v>
      </c>
      <c r="BN352" s="27" t="n">
        <f aca="false">MIN(AR351*(1+K$8),MAX(BD352,$B$12-SUM(BE352:BM352)))</f>
        <v>0</v>
      </c>
    </row>
    <row r="353" customFormat="false" ht="15" hidden="false" customHeight="false" outlineLevel="0" collapsed="false">
      <c r="A353" s="0" t="n">
        <v>339</v>
      </c>
      <c r="B353" s="27" t="n">
        <f aca="false">ROUND(MAX(0,B352*(1+B$8)-X353),2)</f>
        <v>0</v>
      </c>
      <c r="C353" s="27" t="n">
        <f aca="false">ROUND(MAX(0,C352*(1+C$8)-Y353),2)</f>
        <v>0</v>
      </c>
      <c r="D353" s="27" t="n">
        <f aca="false">ROUND(MAX(0,D352*(1+D$8)-Z353),2)</f>
        <v>0</v>
      </c>
      <c r="E353" s="27" t="n">
        <f aca="false">ROUND(MAX(0,E352*(1+E$8)-AA353),2)</f>
        <v>0</v>
      </c>
      <c r="F353" s="27" t="n">
        <f aca="false">ROUND(MAX(0,F352*(1+F$8)-AB353),2)</f>
        <v>0</v>
      </c>
      <c r="G353" s="27" t="n">
        <f aca="false">ROUND(MAX(0,G352*(1+G$8)-AC353),2)</f>
        <v>0</v>
      </c>
      <c r="H353" s="27" t="n">
        <f aca="false">ROUND(MAX(0,H352*(1+H$8)-AD353),2)</f>
        <v>0</v>
      </c>
      <c r="I353" s="27" t="n">
        <f aca="false">ROUND(MAX(0,I352*(1+I$8)-AE353),2)</f>
        <v>0</v>
      </c>
      <c r="J353" s="27" t="n">
        <f aca="false">ROUND(MAX(0,J352*(1+J$8)-AF353),2)</f>
        <v>0</v>
      </c>
      <c r="K353" s="27" t="n">
        <f aca="false">ROUND(MAX(0,K352*(1+K$8)-AG353),2)</f>
        <v>0</v>
      </c>
      <c r="L353" s="30" t="n">
        <f aca="false">SUM(B353:K353)</f>
        <v>0</v>
      </c>
      <c r="M353" s="27" t="n">
        <f aca="false">SUMPRODUCT(B352:K352,$B$8:$K$8)</f>
        <v>0</v>
      </c>
      <c r="N353" s="27" t="n">
        <f aca="false">MIN(B352*(1+B$8),B$9)</f>
        <v>0</v>
      </c>
      <c r="O353" s="27" t="n">
        <f aca="false">MIN(C352*(1+C$8),C$9)</f>
        <v>0</v>
      </c>
      <c r="P353" s="27" t="n">
        <f aca="false">MIN(D352*(1+D$8),D$9)</f>
        <v>0</v>
      </c>
      <c r="Q353" s="27" t="n">
        <f aca="false">MIN(E352*(1+E$8),E$9)</f>
        <v>0</v>
      </c>
      <c r="R353" s="27" t="n">
        <f aca="false">MIN(F352*(1+F$8),F$9)</f>
        <v>0</v>
      </c>
      <c r="S353" s="27" t="n">
        <f aca="false">MIN(G352*(1+G$8),G$9)</f>
        <v>0</v>
      </c>
      <c r="T353" s="27" t="n">
        <f aca="false">MIN(H352*(1+H$8),H$9)</f>
        <v>0</v>
      </c>
      <c r="U353" s="27" t="n">
        <f aca="false">MIN(I352*(1+I$8),I$9)</f>
        <v>0</v>
      </c>
      <c r="V353" s="27" t="n">
        <f aca="false">MIN(J352*(1+J$8),J$9)</f>
        <v>0</v>
      </c>
      <c r="W353" s="27" t="n">
        <f aca="false">MIN(K352*(1+K$8),K$9)</f>
        <v>0</v>
      </c>
      <c r="X353" s="27" t="n">
        <f aca="false">MIN(B352*(1+B$8),MAX(N353,$B$11-SUM(O353:W353)))</f>
        <v>0</v>
      </c>
      <c r="Y353" s="27" t="n">
        <f aca="false">MIN(C352*(1+C$8),MAX(O353,$B$11-SUM(X353:X353)-SUM(P353:W353)))</f>
        <v>0</v>
      </c>
      <c r="Z353" s="27" t="n">
        <f aca="false">MIN(D352*(1+D$8),MAX(P353,$B$11-SUM(X353:Y353)-SUM(Q353:W353)))</f>
        <v>0</v>
      </c>
      <c r="AA353" s="27" t="n">
        <f aca="false">MIN(E352*(1+E$8),MAX(Q353,$B$11-SUM(X353:Z353)-SUM(R353:W353)))</f>
        <v>0</v>
      </c>
      <c r="AB353" s="27" t="n">
        <f aca="false">MIN(F352*(1+F$8),MAX(R353,$B$11-SUM(X353:AA353)-SUM(S353:W353)))</f>
        <v>0</v>
      </c>
      <c r="AC353" s="27" t="n">
        <f aca="false">MIN(G352*(1+G$8),MAX(S353,$B$11-SUM(X353:AB353)-SUM(T353:W353)))</f>
        <v>0</v>
      </c>
      <c r="AD353" s="27" t="n">
        <f aca="false">MIN(H352*(1+H$8),MAX(T353,$B$11-SUM(X353:AC353)-SUM(U353:W353)))</f>
        <v>0</v>
      </c>
      <c r="AE353" s="27" t="n">
        <f aca="false">MIN(I352*(1+I$8),MAX(U353,$B$11-SUM(X353:AD353)-SUM(V353:W353)))</f>
        <v>0</v>
      </c>
      <c r="AF353" s="27" t="n">
        <f aca="false">MIN(J352*(1+J$8),MAX(V353,$B$11-SUM(X353:AE353)-SUM(W353:W353)))</f>
        <v>0</v>
      </c>
      <c r="AG353" s="27" t="n">
        <f aca="false">MIN(K352*(1+K$8),MAX(W353,$B$11-SUM(X353:AF353)))</f>
        <v>0</v>
      </c>
      <c r="AI353" s="27" t="n">
        <f aca="false">ROUND(MAX(0,AI352*(1+B$8)-BE353),2)</f>
        <v>0</v>
      </c>
      <c r="AJ353" s="27" t="n">
        <f aca="false">ROUND(MAX(0,AJ352*(1+C$8)-BF353),2)</f>
        <v>0</v>
      </c>
      <c r="AK353" s="27" t="n">
        <f aca="false">ROUND(MAX(0,AK352*(1+D$8)-BG353),2)</f>
        <v>0</v>
      </c>
      <c r="AL353" s="27" t="n">
        <f aca="false">ROUND(MAX(0,AL352*(1+E$8)-BH353),2)</f>
        <v>0</v>
      </c>
      <c r="AM353" s="27" t="n">
        <f aca="false">ROUND(MAX(0,AM352*(1+F$8)-BI353),2)</f>
        <v>0</v>
      </c>
      <c r="AN353" s="27" t="n">
        <f aca="false">ROUND(MAX(0,AN352*(1+G$8)-BJ353),2)</f>
        <v>0</v>
      </c>
      <c r="AO353" s="27" t="n">
        <f aca="false">ROUND(MAX(0,AO352*(1+H$8)-BK353),2)</f>
        <v>0</v>
      </c>
      <c r="AP353" s="27" t="n">
        <f aca="false">ROUND(MAX(0,AP352*(1+I$8)-BL353),2)</f>
        <v>0</v>
      </c>
      <c r="AQ353" s="27" t="n">
        <f aca="false">ROUND(MAX(0,AQ352*(1+J$8)-BM353),2)</f>
        <v>0</v>
      </c>
      <c r="AR353" s="27" t="n">
        <f aca="false">ROUND(MAX(0,AR352*(1+K$8)-BN353),2)</f>
        <v>0</v>
      </c>
      <c r="AS353" s="27" t="n">
        <f aca="false">SUM(AI353:AR353)</f>
        <v>0</v>
      </c>
      <c r="AT353" s="27" t="n">
        <f aca="false">SUMPRODUCT(AI352:AR352,$B$8:$K$8)</f>
        <v>0</v>
      </c>
      <c r="AU353" s="27" t="n">
        <f aca="false">MIN(AI352*(1+B$8),B$9)</f>
        <v>0</v>
      </c>
      <c r="AV353" s="27" t="n">
        <f aca="false">MIN(AJ352*(1+C$8),C$9)</f>
        <v>0</v>
      </c>
      <c r="AW353" s="27" t="n">
        <f aca="false">MIN(AK352*(1+D$8),D$9)</f>
        <v>0</v>
      </c>
      <c r="AX353" s="27" t="n">
        <f aca="false">MIN(AL352*(1+E$8),E$9)</f>
        <v>0</v>
      </c>
      <c r="AY353" s="27" t="n">
        <f aca="false">MIN(AM352*(1+F$8),F$9)</f>
        <v>0</v>
      </c>
      <c r="AZ353" s="27" t="n">
        <f aca="false">MIN(AN352*(1+G$8),G$9)</f>
        <v>0</v>
      </c>
      <c r="BA353" s="27" t="n">
        <f aca="false">MIN(AO352*(1+H$8),H$9)</f>
        <v>0</v>
      </c>
      <c r="BB353" s="27" t="n">
        <f aca="false">MIN(AP352*(1+I$8),I$9)</f>
        <v>0</v>
      </c>
      <c r="BC353" s="27" t="n">
        <f aca="false">MIN(AQ352*(1+J$8),J$9)</f>
        <v>0</v>
      </c>
      <c r="BD353" s="27" t="n">
        <f aca="false">MIN(AR352*(1+K$8),K$9)</f>
        <v>0</v>
      </c>
      <c r="BE353" s="27" t="n">
        <f aca="false">MIN(AI352*(1+B$8),MAX(AU353,$B$12-SUM(AV353:BD353)))</f>
        <v>0</v>
      </c>
      <c r="BF353" s="27" t="n">
        <f aca="false">MIN(AJ352*(1+C$8),MAX(AV353,$B$12-SUM(BE353:BE353)-SUM(AW353:BD353)))</f>
        <v>0</v>
      </c>
      <c r="BG353" s="27" t="n">
        <f aca="false">MIN(AK352*(1+D$8),MAX(AW353,$B$12-SUM(BE353:BF353)-SUM(AX353:BD353)))</f>
        <v>0</v>
      </c>
      <c r="BH353" s="27" t="n">
        <f aca="false">MIN(AL352*(1+E$8),MAX(AX353,$B$12-SUM(BE353:BG353)-SUM(AY353:BD353)))</f>
        <v>0</v>
      </c>
      <c r="BI353" s="27" t="n">
        <f aca="false">MIN(AM352*(1+F$8),MAX(AY353,$B$12-SUM(BE353:BH353)-SUM(AZ353:BD353)))</f>
        <v>0</v>
      </c>
      <c r="BJ353" s="27" t="n">
        <f aca="false">MIN(AN352*(1+G$8),MAX(AZ353,$B$12-SUM(BE353:BI353)-SUM(BA353:BD353)))</f>
        <v>0</v>
      </c>
      <c r="BK353" s="27" t="n">
        <f aca="false">MIN(AO352*(1+H$8),MAX(BA353,$B$12-SUM(BE353:BJ353)-SUM(BB353:BD353)))</f>
        <v>0</v>
      </c>
      <c r="BL353" s="27" t="n">
        <f aca="false">MIN(AP352*(1+I$8),MAX(BB353,$B$12-SUM(BE353:BK353)-SUM(BC353:BD353)))</f>
        <v>0</v>
      </c>
      <c r="BM353" s="27" t="n">
        <f aca="false">MIN(AQ352*(1+J$8),MAX(BC353,$B$12-SUM(BE353:BL353)-SUM(BD353:BD353)))</f>
        <v>0</v>
      </c>
      <c r="BN353" s="27" t="n">
        <f aca="false">MIN(AR352*(1+K$8),MAX(BD353,$B$12-SUM(BE353:BM353)))</f>
        <v>0</v>
      </c>
    </row>
    <row r="354" customFormat="false" ht="15" hidden="false" customHeight="false" outlineLevel="0" collapsed="false">
      <c r="A354" s="0" t="n">
        <v>340</v>
      </c>
      <c r="B354" s="27" t="n">
        <f aca="false">ROUND(MAX(0,B353*(1+B$8)-X354),2)</f>
        <v>0</v>
      </c>
      <c r="C354" s="27" t="n">
        <f aca="false">ROUND(MAX(0,C353*(1+C$8)-Y354),2)</f>
        <v>0</v>
      </c>
      <c r="D354" s="27" t="n">
        <f aca="false">ROUND(MAX(0,D353*(1+D$8)-Z354),2)</f>
        <v>0</v>
      </c>
      <c r="E354" s="27" t="n">
        <f aca="false">ROUND(MAX(0,E353*(1+E$8)-AA354),2)</f>
        <v>0</v>
      </c>
      <c r="F354" s="27" t="n">
        <f aca="false">ROUND(MAX(0,F353*(1+F$8)-AB354),2)</f>
        <v>0</v>
      </c>
      <c r="G354" s="27" t="n">
        <f aca="false">ROUND(MAX(0,G353*(1+G$8)-AC354),2)</f>
        <v>0</v>
      </c>
      <c r="H354" s="27" t="n">
        <f aca="false">ROUND(MAX(0,H353*(1+H$8)-AD354),2)</f>
        <v>0</v>
      </c>
      <c r="I354" s="27" t="n">
        <f aca="false">ROUND(MAX(0,I353*(1+I$8)-AE354),2)</f>
        <v>0</v>
      </c>
      <c r="J354" s="27" t="n">
        <f aca="false">ROUND(MAX(0,J353*(1+J$8)-AF354),2)</f>
        <v>0</v>
      </c>
      <c r="K354" s="27" t="n">
        <f aca="false">ROUND(MAX(0,K353*(1+K$8)-AG354),2)</f>
        <v>0</v>
      </c>
      <c r="L354" s="30" t="n">
        <f aca="false">SUM(B354:K354)</f>
        <v>0</v>
      </c>
      <c r="M354" s="27" t="n">
        <f aca="false">SUMPRODUCT(B353:K353,$B$8:$K$8)</f>
        <v>0</v>
      </c>
      <c r="N354" s="27" t="n">
        <f aca="false">MIN(B353*(1+B$8),B$9)</f>
        <v>0</v>
      </c>
      <c r="O354" s="27" t="n">
        <f aca="false">MIN(C353*(1+C$8),C$9)</f>
        <v>0</v>
      </c>
      <c r="P354" s="27" t="n">
        <f aca="false">MIN(D353*(1+D$8),D$9)</f>
        <v>0</v>
      </c>
      <c r="Q354" s="27" t="n">
        <f aca="false">MIN(E353*(1+E$8),E$9)</f>
        <v>0</v>
      </c>
      <c r="R354" s="27" t="n">
        <f aca="false">MIN(F353*(1+F$8),F$9)</f>
        <v>0</v>
      </c>
      <c r="S354" s="27" t="n">
        <f aca="false">MIN(G353*(1+G$8),G$9)</f>
        <v>0</v>
      </c>
      <c r="T354" s="27" t="n">
        <f aca="false">MIN(H353*(1+H$8),H$9)</f>
        <v>0</v>
      </c>
      <c r="U354" s="27" t="n">
        <f aca="false">MIN(I353*(1+I$8),I$9)</f>
        <v>0</v>
      </c>
      <c r="V354" s="27" t="n">
        <f aca="false">MIN(J353*(1+J$8),J$9)</f>
        <v>0</v>
      </c>
      <c r="W354" s="27" t="n">
        <f aca="false">MIN(K353*(1+K$8),K$9)</f>
        <v>0</v>
      </c>
      <c r="X354" s="27" t="n">
        <f aca="false">MIN(B353*(1+B$8),MAX(N354,$B$11-SUM(O354:W354)))</f>
        <v>0</v>
      </c>
      <c r="Y354" s="27" t="n">
        <f aca="false">MIN(C353*(1+C$8),MAX(O354,$B$11-SUM(X354:X354)-SUM(P354:W354)))</f>
        <v>0</v>
      </c>
      <c r="Z354" s="27" t="n">
        <f aca="false">MIN(D353*(1+D$8),MAX(P354,$B$11-SUM(X354:Y354)-SUM(Q354:W354)))</f>
        <v>0</v>
      </c>
      <c r="AA354" s="27" t="n">
        <f aca="false">MIN(E353*(1+E$8),MAX(Q354,$B$11-SUM(X354:Z354)-SUM(R354:W354)))</f>
        <v>0</v>
      </c>
      <c r="AB354" s="27" t="n">
        <f aca="false">MIN(F353*(1+F$8),MAX(R354,$B$11-SUM(X354:AA354)-SUM(S354:W354)))</f>
        <v>0</v>
      </c>
      <c r="AC354" s="27" t="n">
        <f aca="false">MIN(G353*(1+G$8),MAX(S354,$B$11-SUM(X354:AB354)-SUM(T354:W354)))</f>
        <v>0</v>
      </c>
      <c r="AD354" s="27" t="n">
        <f aca="false">MIN(H353*(1+H$8),MAX(T354,$B$11-SUM(X354:AC354)-SUM(U354:W354)))</f>
        <v>0</v>
      </c>
      <c r="AE354" s="27" t="n">
        <f aca="false">MIN(I353*(1+I$8),MAX(U354,$B$11-SUM(X354:AD354)-SUM(V354:W354)))</f>
        <v>0</v>
      </c>
      <c r="AF354" s="27" t="n">
        <f aca="false">MIN(J353*(1+J$8),MAX(V354,$B$11-SUM(X354:AE354)-SUM(W354:W354)))</f>
        <v>0</v>
      </c>
      <c r="AG354" s="27" t="n">
        <f aca="false">MIN(K353*(1+K$8),MAX(W354,$B$11-SUM(X354:AF354)))</f>
        <v>0</v>
      </c>
      <c r="AI354" s="27" t="n">
        <f aca="false">ROUND(MAX(0,AI353*(1+B$8)-BE354),2)</f>
        <v>0</v>
      </c>
      <c r="AJ354" s="27" t="n">
        <f aca="false">ROUND(MAX(0,AJ353*(1+C$8)-BF354),2)</f>
        <v>0</v>
      </c>
      <c r="AK354" s="27" t="n">
        <f aca="false">ROUND(MAX(0,AK353*(1+D$8)-BG354),2)</f>
        <v>0</v>
      </c>
      <c r="AL354" s="27" t="n">
        <f aca="false">ROUND(MAX(0,AL353*(1+E$8)-BH354),2)</f>
        <v>0</v>
      </c>
      <c r="AM354" s="27" t="n">
        <f aca="false">ROUND(MAX(0,AM353*(1+F$8)-BI354),2)</f>
        <v>0</v>
      </c>
      <c r="AN354" s="27" t="n">
        <f aca="false">ROUND(MAX(0,AN353*(1+G$8)-BJ354),2)</f>
        <v>0</v>
      </c>
      <c r="AO354" s="27" t="n">
        <f aca="false">ROUND(MAX(0,AO353*(1+H$8)-BK354),2)</f>
        <v>0</v>
      </c>
      <c r="AP354" s="27" t="n">
        <f aca="false">ROUND(MAX(0,AP353*(1+I$8)-BL354),2)</f>
        <v>0</v>
      </c>
      <c r="AQ354" s="27" t="n">
        <f aca="false">ROUND(MAX(0,AQ353*(1+J$8)-BM354),2)</f>
        <v>0</v>
      </c>
      <c r="AR354" s="27" t="n">
        <f aca="false">ROUND(MAX(0,AR353*(1+K$8)-BN354),2)</f>
        <v>0</v>
      </c>
      <c r="AS354" s="27" t="n">
        <f aca="false">SUM(AI354:AR354)</f>
        <v>0</v>
      </c>
      <c r="AT354" s="27" t="n">
        <f aca="false">SUMPRODUCT(AI353:AR353,$B$8:$K$8)</f>
        <v>0</v>
      </c>
      <c r="AU354" s="27" t="n">
        <f aca="false">MIN(AI353*(1+B$8),B$9)</f>
        <v>0</v>
      </c>
      <c r="AV354" s="27" t="n">
        <f aca="false">MIN(AJ353*(1+C$8),C$9)</f>
        <v>0</v>
      </c>
      <c r="AW354" s="27" t="n">
        <f aca="false">MIN(AK353*(1+D$8),D$9)</f>
        <v>0</v>
      </c>
      <c r="AX354" s="27" t="n">
        <f aca="false">MIN(AL353*(1+E$8),E$9)</f>
        <v>0</v>
      </c>
      <c r="AY354" s="27" t="n">
        <f aca="false">MIN(AM353*(1+F$8),F$9)</f>
        <v>0</v>
      </c>
      <c r="AZ354" s="27" t="n">
        <f aca="false">MIN(AN353*(1+G$8),G$9)</f>
        <v>0</v>
      </c>
      <c r="BA354" s="27" t="n">
        <f aca="false">MIN(AO353*(1+H$8),H$9)</f>
        <v>0</v>
      </c>
      <c r="BB354" s="27" t="n">
        <f aca="false">MIN(AP353*(1+I$8),I$9)</f>
        <v>0</v>
      </c>
      <c r="BC354" s="27" t="n">
        <f aca="false">MIN(AQ353*(1+J$8),J$9)</f>
        <v>0</v>
      </c>
      <c r="BD354" s="27" t="n">
        <f aca="false">MIN(AR353*(1+K$8),K$9)</f>
        <v>0</v>
      </c>
      <c r="BE354" s="27" t="n">
        <f aca="false">MIN(AI353*(1+B$8),MAX(AU354,$B$12-SUM(AV354:BD354)))</f>
        <v>0</v>
      </c>
      <c r="BF354" s="27" t="n">
        <f aca="false">MIN(AJ353*(1+C$8),MAX(AV354,$B$12-SUM(BE354:BE354)-SUM(AW354:BD354)))</f>
        <v>0</v>
      </c>
      <c r="BG354" s="27" t="n">
        <f aca="false">MIN(AK353*(1+D$8),MAX(AW354,$B$12-SUM(BE354:BF354)-SUM(AX354:BD354)))</f>
        <v>0</v>
      </c>
      <c r="BH354" s="27" t="n">
        <f aca="false">MIN(AL353*(1+E$8),MAX(AX354,$B$12-SUM(BE354:BG354)-SUM(AY354:BD354)))</f>
        <v>0</v>
      </c>
      <c r="BI354" s="27" t="n">
        <f aca="false">MIN(AM353*(1+F$8),MAX(AY354,$B$12-SUM(BE354:BH354)-SUM(AZ354:BD354)))</f>
        <v>0</v>
      </c>
      <c r="BJ354" s="27" t="n">
        <f aca="false">MIN(AN353*(1+G$8),MAX(AZ354,$B$12-SUM(BE354:BI354)-SUM(BA354:BD354)))</f>
        <v>0</v>
      </c>
      <c r="BK354" s="27" t="n">
        <f aca="false">MIN(AO353*(1+H$8),MAX(BA354,$B$12-SUM(BE354:BJ354)-SUM(BB354:BD354)))</f>
        <v>0</v>
      </c>
      <c r="BL354" s="27" t="n">
        <f aca="false">MIN(AP353*(1+I$8),MAX(BB354,$B$12-SUM(BE354:BK354)-SUM(BC354:BD354)))</f>
        <v>0</v>
      </c>
      <c r="BM354" s="27" t="n">
        <f aca="false">MIN(AQ353*(1+J$8),MAX(BC354,$B$12-SUM(BE354:BL354)-SUM(BD354:BD354)))</f>
        <v>0</v>
      </c>
      <c r="BN354" s="27" t="n">
        <f aca="false">MIN(AR353*(1+K$8),MAX(BD354,$B$12-SUM(BE354:BM354)))</f>
        <v>0</v>
      </c>
    </row>
    <row r="355" customFormat="false" ht="15" hidden="false" customHeight="false" outlineLevel="0" collapsed="false">
      <c r="A355" s="0" t="n">
        <v>341</v>
      </c>
      <c r="B355" s="27" t="n">
        <f aca="false">ROUND(MAX(0,B354*(1+B$8)-X355),2)</f>
        <v>0</v>
      </c>
      <c r="C355" s="27" t="n">
        <f aca="false">ROUND(MAX(0,C354*(1+C$8)-Y355),2)</f>
        <v>0</v>
      </c>
      <c r="D355" s="27" t="n">
        <f aca="false">ROUND(MAX(0,D354*(1+D$8)-Z355),2)</f>
        <v>0</v>
      </c>
      <c r="E355" s="27" t="n">
        <f aca="false">ROUND(MAX(0,E354*(1+E$8)-AA355),2)</f>
        <v>0</v>
      </c>
      <c r="F355" s="27" t="n">
        <f aca="false">ROUND(MAX(0,F354*(1+F$8)-AB355),2)</f>
        <v>0</v>
      </c>
      <c r="G355" s="27" t="n">
        <f aca="false">ROUND(MAX(0,G354*(1+G$8)-AC355),2)</f>
        <v>0</v>
      </c>
      <c r="H355" s="27" t="n">
        <f aca="false">ROUND(MAX(0,H354*(1+H$8)-AD355),2)</f>
        <v>0</v>
      </c>
      <c r="I355" s="27" t="n">
        <f aca="false">ROUND(MAX(0,I354*(1+I$8)-AE355),2)</f>
        <v>0</v>
      </c>
      <c r="J355" s="27" t="n">
        <f aca="false">ROUND(MAX(0,J354*(1+J$8)-AF355),2)</f>
        <v>0</v>
      </c>
      <c r="K355" s="27" t="n">
        <f aca="false">ROUND(MAX(0,K354*(1+K$8)-AG355),2)</f>
        <v>0</v>
      </c>
      <c r="L355" s="30" t="n">
        <f aca="false">SUM(B355:K355)</f>
        <v>0</v>
      </c>
      <c r="M355" s="27" t="n">
        <f aca="false">SUMPRODUCT(B354:K354,$B$8:$K$8)</f>
        <v>0</v>
      </c>
      <c r="N355" s="27" t="n">
        <f aca="false">MIN(B354*(1+B$8),B$9)</f>
        <v>0</v>
      </c>
      <c r="O355" s="27" t="n">
        <f aca="false">MIN(C354*(1+C$8),C$9)</f>
        <v>0</v>
      </c>
      <c r="P355" s="27" t="n">
        <f aca="false">MIN(D354*(1+D$8),D$9)</f>
        <v>0</v>
      </c>
      <c r="Q355" s="27" t="n">
        <f aca="false">MIN(E354*(1+E$8),E$9)</f>
        <v>0</v>
      </c>
      <c r="R355" s="27" t="n">
        <f aca="false">MIN(F354*(1+F$8),F$9)</f>
        <v>0</v>
      </c>
      <c r="S355" s="27" t="n">
        <f aca="false">MIN(G354*(1+G$8),G$9)</f>
        <v>0</v>
      </c>
      <c r="T355" s="27" t="n">
        <f aca="false">MIN(H354*(1+H$8),H$9)</f>
        <v>0</v>
      </c>
      <c r="U355" s="27" t="n">
        <f aca="false">MIN(I354*(1+I$8),I$9)</f>
        <v>0</v>
      </c>
      <c r="V355" s="27" t="n">
        <f aca="false">MIN(J354*(1+J$8),J$9)</f>
        <v>0</v>
      </c>
      <c r="W355" s="27" t="n">
        <f aca="false">MIN(K354*(1+K$8),K$9)</f>
        <v>0</v>
      </c>
      <c r="X355" s="27" t="n">
        <f aca="false">MIN(B354*(1+B$8),MAX(N355,$B$11-SUM(O355:W355)))</f>
        <v>0</v>
      </c>
      <c r="Y355" s="27" t="n">
        <f aca="false">MIN(C354*(1+C$8),MAX(O355,$B$11-SUM(X355:X355)-SUM(P355:W355)))</f>
        <v>0</v>
      </c>
      <c r="Z355" s="27" t="n">
        <f aca="false">MIN(D354*(1+D$8),MAX(P355,$B$11-SUM(X355:Y355)-SUM(Q355:W355)))</f>
        <v>0</v>
      </c>
      <c r="AA355" s="27" t="n">
        <f aca="false">MIN(E354*(1+E$8),MAX(Q355,$B$11-SUM(X355:Z355)-SUM(R355:W355)))</f>
        <v>0</v>
      </c>
      <c r="AB355" s="27" t="n">
        <f aca="false">MIN(F354*(1+F$8),MAX(R355,$B$11-SUM(X355:AA355)-SUM(S355:W355)))</f>
        <v>0</v>
      </c>
      <c r="AC355" s="27" t="n">
        <f aca="false">MIN(G354*(1+G$8),MAX(S355,$B$11-SUM(X355:AB355)-SUM(T355:W355)))</f>
        <v>0</v>
      </c>
      <c r="AD355" s="27" t="n">
        <f aca="false">MIN(H354*(1+H$8),MAX(T355,$B$11-SUM(X355:AC355)-SUM(U355:W355)))</f>
        <v>0</v>
      </c>
      <c r="AE355" s="27" t="n">
        <f aca="false">MIN(I354*(1+I$8),MAX(U355,$B$11-SUM(X355:AD355)-SUM(V355:W355)))</f>
        <v>0</v>
      </c>
      <c r="AF355" s="27" t="n">
        <f aca="false">MIN(J354*(1+J$8),MAX(V355,$B$11-SUM(X355:AE355)-SUM(W355:W355)))</f>
        <v>0</v>
      </c>
      <c r="AG355" s="27" t="n">
        <f aca="false">MIN(K354*(1+K$8),MAX(W355,$B$11-SUM(X355:AF355)))</f>
        <v>0</v>
      </c>
      <c r="AI355" s="27" t="n">
        <f aca="false">ROUND(MAX(0,AI354*(1+B$8)-BE355),2)</f>
        <v>0</v>
      </c>
      <c r="AJ355" s="27" t="n">
        <f aca="false">ROUND(MAX(0,AJ354*(1+C$8)-BF355),2)</f>
        <v>0</v>
      </c>
      <c r="AK355" s="27" t="n">
        <f aca="false">ROUND(MAX(0,AK354*(1+D$8)-BG355),2)</f>
        <v>0</v>
      </c>
      <c r="AL355" s="27" t="n">
        <f aca="false">ROUND(MAX(0,AL354*(1+E$8)-BH355),2)</f>
        <v>0</v>
      </c>
      <c r="AM355" s="27" t="n">
        <f aca="false">ROUND(MAX(0,AM354*(1+F$8)-BI355),2)</f>
        <v>0</v>
      </c>
      <c r="AN355" s="27" t="n">
        <f aca="false">ROUND(MAX(0,AN354*(1+G$8)-BJ355),2)</f>
        <v>0</v>
      </c>
      <c r="AO355" s="27" t="n">
        <f aca="false">ROUND(MAX(0,AO354*(1+H$8)-BK355),2)</f>
        <v>0</v>
      </c>
      <c r="AP355" s="27" t="n">
        <f aca="false">ROUND(MAX(0,AP354*(1+I$8)-BL355),2)</f>
        <v>0</v>
      </c>
      <c r="AQ355" s="27" t="n">
        <f aca="false">ROUND(MAX(0,AQ354*(1+J$8)-BM355),2)</f>
        <v>0</v>
      </c>
      <c r="AR355" s="27" t="n">
        <f aca="false">ROUND(MAX(0,AR354*(1+K$8)-BN355),2)</f>
        <v>0</v>
      </c>
      <c r="AS355" s="27" t="n">
        <f aca="false">SUM(AI355:AR355)</f>
        <v>0</v>
      </c>
      <c r="AT355" s="27" t="n">
        <f aca="false">SUMPRODUCT(AI354:AR354,$B$8:$K$8)</f>
        <v>0</v>
      </c>
      <c r="AU355" s="27" t="n">
        <f aca="false">MIN(AI354*(1+B$8),B$9)</f>
        <v>0</v>
      </c>
      <c r="AV355" s="27" t="n">
        <f aca="false">MIN(AJ354*(1+C$8),C$9)</f>
        <v>0</v>
      </c>
      <c r="AW355" s="27" t="n">
        <f aca="false">MIN(AK354*(1+D$8),D$9)</f>
        <v>0</v>
      </c>
      <c r="AX355" s="27" t="n">
        <f aca="false">MIN(AL354*(1+E$8),E$9)</f>
        <v>0</v>
      </c>
      <c r="AY355" s="27" t="n">
        <f aca="false">MIN(AM354*(1+F$8),F$9)</f>
        <v>0</v>
      </c>
      <c r="AZ355" s="27" t="n">
        <f aca="false">MIN(AN354*(1+G$8),G$9)</f>
        <v>0</v>
      </c>
      <c r="BA355" s="27" t="n">
        <f aca="false">MIN(AO354*(1+H$8),H$9)</f>
        <v>0</v>
      </c>
      <c r="BB355" s="27" t="n">
        <f aca="false">MIN(AP354*(1+I$8),I$9)</f>
        <v>0</v>
      </c>
      <c r="BC355" s="27" t="n">
        <f aca="false">MIN(AQ354*(1+J$8),J$9)</f>
        <v>0</v>
      </c>
      <c r="BD355" s="27" t="n">
        <f aca="false">MIN(AR354*(1+K$8),K$9)</f>
        <v>0</v>
      </c>
      <c r="BE355" s="27" t="n">
        <f aca="false">MIN(AI354*(1+B$8),MAX(AU355,$B$12-SUM(AV355:BD355)))</f>
        <v>0</v>
      </c>
      <c r="BF355" s="27" t="n">
        <f aca="false">MIN(AJ354*(1+C$8),MAX(AV355,$B$12-SUM(BE355:BE355)-SUM(AW355:BD355)))</f>
        <v>0</v>
      </c>
      <c r="BG355" s="27" t="n">
        <f aca="false">MIN(AK354*(1+D$8),MAX(AW355,$B$12-SUM(BE355:BF355)-SUM(AX355:BD355)))</f>
        <v>0</v>
      </c>
      <c r="BH355" s="27" t="n">
        <f aca="false">MIN(AL354*(1+E$8),MAX(AX355,$B$12-SUM(BE355:BG355)-SUM(AY355:BD355)))</f>
        <v>0</v>
      </c>
      <c r="BI355" s="27" t="n">
        <f aca="false">MIN(AM354*(1+F$8),MAX(AY355,$B$12-SUM(BE355:BH355)-SUM(AZ355:BD355)))</f>
        <v>0</v>
      </c>
      <c r="BJ355" s="27" t="n">
        <f aca="false">MIN(AN354*(1+G$8),MAX(AZ355,$B$12-SUM(BE355:BI355)-SUM(BA355:BD355)))</f>
        <v>0</v>
      </c>
      <c r="BK355" s="27" t="n">
        <f aca="false">MIN(AO354*(1+H$8),MAX(BA355,$B$12-SUM(BE355:BJ355)-SUM(BB355:BD355)))</f>
        <v>0</v>
      </c>
      <c r="BL355" s="27" t="n">
        <f aca="false">MIN(AP354*(1+I$8),MAX(BB355,$B$12-SUM(BE355:BK355)-SUM(BC355:BD355)))</f>
        <v>0</v>
      </c>
      <c r="BM355" s="27" t="n">
        <f aca="false">MIN(AQ354*(1+J$8),MAX(BC355,$B$12-SUM(BE355:BL355)-SUM(BD355:BD355)))</f>
        <v>0</v>
      </c>
      <c r="BN355" s="27" t="n">
        <f aca="false">MIN(AR354*(1+K$8),MAX(BD355,$B$12-SUM(BE355:BM355)))</f>
        <v>0</v>
      </c>
    </row>
    <row r="356" customFormat="false" ht="15" hidden="false" customHeight="false" outlineLevel="0" collapsed="false">
      <c r="A356" s="0" t="n">
        <v>342</v>
      </c>
      <c r="B356" s="27" t="n">
        <f aca="false">ROUND(MAX(0,B355*(1+B$8)-X356),2)</f>
        <v>0</v>
      </c>
      <c r="C356" s="27" t="n">
        <f aca="false">ROUND(MAX(0,C355*(1+C$8)-Y356),2)</f>
        <v>0</v>
      </c>
      <c r="D356" s="27" t="n">
        <f aca="false">ROUND(MAX(0,D355*(1+D$8)-Z356),2)</f>
        <v>0</v>
      </c>
      <c r="E356" s="27" t="n">
        <f aca="false">ROUND(MAX(0,E355*(1+E$8)-AA356),2)</f>
        <v>0</v>
      </c>
      <c r="F356" s="27" t="n">
        <f aca="false">ROUND(MAX(0,F355*(1+F$8)-AB356),2)</f>
        <v>0</v>
      </c>
      <c r="G356" s="27" t="n">
        <f aca="false">ROUND(MAX(0,G355*(1+G$8)-AC356),2)</f>
        <v>0</v>
      </c>
      <c r="H356" s="27" t="n">
        <f aca="false">ROUND(MAX(0,H355*(1+H$8)-AD356),2)</f>
        <v>0</v>
      </c>
      <c r="I356" s="27" t="n">
        <f aca="false">ROUND(MAX(0,I355*(1+I$8)-AE356),2)</f>
        <v>0</v>
      </c>
      <c r="J356" s="27" t="n">
        <f aca="false">ROUND(MAX(0,J355*(1+J$8)-AF356),2)</f>
        <v>0</v>
      </c>
      <c r="K356" s="27" t="n">
        <f aca="false">ROUND(MAX(0,K355*(1+K$8)-AG356),2)</f>
        <v>0</v>
      </c>
      <c r="L356" s="30" t="n">
        <f aca="false">SUM(B356:K356)</f>
        <v>0</v>
      </c>
      <c r="M356" s="27" t="n">
        <f aca="false">SUMPRODUCT(B355:K355,$B$8:$K$8)</f>
        <v>0</v>
      </c>
      <c r="N356" s="27" t="n">
        <f aca="false">MIN(B355*(1+B$8),B$9)</f>
        <v>0</v>
      </c>
      <c r="O356" s="27" t="n">
        <f aca="false">MIN(C355*(1+C$8),C$9)</f>
        <v>0</v>
      </c>
      <c r="P356" s="27" t="n">
        <f aca="false">MIN(D355*(1+D$8),D$9)</f>
        <v>0</v>
      </c>
      <c r="Q356" s="27" t="n">
        <f aca="false">MIN(E355*(1+E$8),E$9)</f>
        <v>0</v>
      </c>
      <c r="R356" s="27" t="n">
        <f aca="false">MIN(F355*(1+F$8),F$9)</f>
        <v>0</v>
      </c>
      <c r="S356" s="27" t="n">
        <f aca="false">MIN(G355*(1+G$8),G$9)</f>
        <v>0</v>
      </c>
      <c r="T356" s="27" t="n">
        <f aca="false">MIN(H355*(1+H$8),H$9)</f>
        <v>0</v>
      </c>
      <c r="U356" s="27" t="n">
        <f aca="false">MIN(I355*(1+I$8),I$9)</f>
        <v>0</v>
      </c>
      <c r="V356" s="27" t="n">
        <f aca="false">MIN(J355*(1+J$8),J$9)</f>
        <v>0</v>
      </c>
      <c r="W356" s="27" t="n">
        <f aca="false">MIN(K355*(1+K$8),K$9)</f>
        <v>0</v>
      </c>
      <c r="X356" s="27" t="n">
        <f aca="false">MIN(B355*(1+B$8),MAX(N356,$B$11-SUM(O356:W356)))</f>
        <v>0</v>
      </c>
      <c r="Y356" s="27" t="n">
        <f aca="false">MIN(C355*(1+C$8),MAX(O356,$B$11-SUM(X356:X356)-SUM(P356:W356)))</f>
        <v>0</v>
      </c>
      <c r="Z356" s="27" t="n">
        <f aca="false">MIN(D355*(1+D$8),MAX(P356,$B$11-SUM(X356:Y356)-SUM(Q356:W356)))</f>
        <v>0</v>
      </c>
      <c r="AA356" s="27" t="n">
        <f aca="false">MIN(E355*(1+E$8),MAX(Q356,$B$11-SUM(X356:Z356)-SUM(R356:W356)))</f>
        <v>0</v>
      </c>
      <c r="AB356" s="27" t="n">
        <f aca="false">MIN(F355*(1+F$8),MAX(R356,$B$11-SUM(X356:AA356)-SUM(S356:W356)))</f>
        <v>0</v>
      </c>
      <c r="AC356" s="27" t="n">
        <f aca="false">MIN(G355*(1+G$8),MAX(S356,$B$11-SUM(X356:AB356)-SUM(T356:W356)))</f>
        <v>0</v>
      </c>
      <c r="AD356" s="27" t="n">
        <f aca="false">MIN(H355*(1+H$8),MAX(T356,$B$11-SUM(X356:AC356)-SUM(U356:W356)))</f>
        <v>0</v>
      </c>
      <c r="AE356" s="27" t="n">
        <f aca="false">MIN(I355*(1+I$8),MAX(U356,$B$11-SUM(X356:AD356)-SUM(V356:W356)))</f>
        <v>0</v>
      </c>
      <c r="AF356" s="27" t="n">
        <f aca="false">MIN(J355*(1+J$8),MAX(V356,$B$11-SUM(X356:AE356)-SUM(W356:W356)))</f>
        <v>0</v>
      </c>
      <c r="AG356" s="27" t="n">
        <f aca="false">MIN(K355*(1+K$8),MAX(W356,$B$11-SUM(X356:AF356)))</f>
        <v>0</v>
      </c>
      <c r="AI356" s="27" t="n">
        <f aca="false">ROUND(MAX(0,AI355*(1+B$8)-BE356),2)</f>
        <v>0</v>
      </c>
      <c r="AJ356" s="27" t="n">
        <f aca="false">ROUND(MAX(0,AJ355*(1+C$8)-BF356),2)</f>
        <v>0</v>
      </c>
      <c r="AK356" s="27" t="n">
        <f aca="false">ROUND(MAX(0,AK355*(1+D$8)-BG356),2)</f>
        <v>0</v>
      </c>
      <c r="AL356" s="27" t="n">
        <f aca="false">ROUND(MAX(0,AL355*(1+E$8)-BH356),2)</f>
        <v>0</v>
      </c>
      <c r="AM356" s="27" t="n">
        <f aca="false">ROUND(MAX(0,AM355*(1+F$8)-BI356),2)</f>
        <v>0</v>
      </c>
      <c r="AN356" s="27" t="n">
        <f aca="false">ROUND(MAX(0,AN355*(1+G$8)-BJ356),2)</f>
        <v>0</v>
      </c>
      <c r="AO356" s="27" t="n">
        <f aca="false">ROUND(MAX(0,AO355*(1+H$8)-BK356),2)</f>
        <v>0</v>
      </c>
      <c r="AP356" s="27" t="n">
        <f aca="false">ROUND(MAX(0,AP355*(1+I$8)-BL356),2)</f>
        <v>0</v>
      </c>
      <c r="AQ356" s="27" t="n">
        <f aca="false">ROUND(MAX(0,AQ355*(1+J$8)-BM356),2)</f>
        <v>0</v>
      </c>
      <c r="AR356" s="27" t="n">
        <f aca="false">ROUND(MAX(0,AR355*(1+K$8)-BN356),2)</f>
        <v>0</v>
      </c>
      <c r="AS356" s="27" t="n">
        <f aca="false">SUM(AI356:AR356)</f>
        <v>0</v>
      </c>
      <c r="AT356" s="27" t="n">
        <f aca="false">SUMPRODUCT(AI355:AR355,$B$8:$K$8)</f>
        <v>0</v>
      </c>
      <c r="AU356" s="27" t="n">
        <f aca="false">MIN(AI355*(1+B$8),B$9)</f>
        <v>0</v>
      </c>
      <c r="AV356" s="27" t="n">
        <f aca="false">MIN(AJ355*(1+C$8),C$9)</f>
        <v>0</v>
      </c>
      <c r="AW356" s="27" t="n">
        <f aca="false">MIN(AK355*(1+D$8),D$9)</f>
        <v>0</v>
      </c>
      <c r="AX356" s="27" t="n">
        <f aca="false">MIN(AL355*(1+E$8),E$9)</f>
        <v>0</v>
      </c>
      <c r="AY356" s="27" t="n">
        <f aca="false">MIN(AM355*(1+F$8),F$9)</f>
        <v>0</v>
      </c>
      <c r="AZ356" s="27" t="n">
        <f aca="false">MIN(AN355*(1+G$8),G$9)</f>
        <v>0</v>
      </c>
      <c r="BA356" s="27" t="n">
        <f aca="false">MIN(AO355*(1+H$8),H$9)</f>
        <v>0</v>
      </c>
      <c r="BB356" s="27" t="n">
        <f aca="false">MIN(AP355*(1+I$8),I$9)</f>
        <v>0</v>
      </c>
      <c r="BC356" s="27" t="n">
        <f aca="false">MIN(AQ355*(1+J$8),J$9)</f>
        <v>0</v>
      </c>
      <c r="BD356" s="27" t="n">
        <f aca="false">MIN(AR355*(1+K$8),K$9)</f>
        <v>0</v>
      </c>
      <c r="BE356" s="27" t="n">
        <f aca="false">MIN(AI355*(1+B$8),MAX(AU356,$B$12-SUM(AV356:BD356)))</f>
        <v>0</v>
      </c>
      <c r="BF356" s="27" t="n">
        <f aca="false">MIN(AJ355*(1+C$8),MAX(AV356,$B$12-SUM(BE356:BE356)-SUM(AW356:BD356)))</f>
        <v>0</v>
      </c>
      <c r="BG356" s="27" t="n">
        <f aca="false">MIN(AK355*(1+D$8),MAX(AW356,$B$12-SUM(BE356:BF356)-SUM(AX356:BD356)))</f>
        <v>0</v>
      </c>
      <c r="BH356" s="27" t="n">
        <f aca="false">MIN(AL355*(1+E$8),MAX(AX356,$B$12-SUM(BE356:BG356)-SUM(AY356:BD356)))</f>
        <v>0</v>
      </c>
      <c r="BI356" s="27" t="n">
        <f aca="false">MIN(AM355*(1+F$8),MAX(AY356,$B$12-SUM(BE356:BH356)-SUM(AZ356:BD356)))</f>
        <v>0</v>
      </c>
      <c r="BJ356" s="27" t="n">
        <f aca="false">MIN(AN355*(1+G$8),MAX(AZ356,$B$12-SUM(BE356:BI356)-SUM(BA356:BD356)))</f>
        <v>0</v>
      </c>
      <c r="BK356" s="27" t="n">
        <f aca="false">MIN(AO355*(1+H$8),MAX(BA356,$B$12-SUM(BE356:BJ356)-SUM(BB356:BD356)))</f>
        <v>0</v>
      </c>
      <c r="BL356" s="27" t="n">
        <f aca="false">MIN(AP355*(1+I$8),MAX(BB356,$B$12-SUM(BE356:BK356)-SUM(BC356:BD356)))</f>
        <v>0</v>
      </c>
      <c r="BM356" s="27" t="n">
        <f aca="false">MIN(AQ355*(1+J$8),MAX(BC356,$B$12-SUM(BE356:BL356)-SUM(BD356:BD356)))</f>
        <v>0</v>
      </c>
      <c r="BN356" s="27" t="n">
        <f aca="false">MIN(AR355*(1+K$8),MAX(BD356,$B$12-SUM(BE356:BM356)))</f>
        <v>0</v>
      </c>
    </row>
    <row r="357" customFormat="false" ht="15" hidden="false" customHeight="false" outlineLevel="0" collapsed="false">
      <c r="A357" s="0" t="n">
        <v>343</v>
      </c>
      <c r="B357" s="27" t="n">
        <f aca="false">ROUND(MAX(0,B356*(1+B$8)-X357),2)</f>
        <v>0</v>
      </c>
      <c r="C357" s="27" t="n">
        <f aca="false">ROUND(MAX(0,C356*(1+C$8)-Y357),2)</f>
        <v>0</v>
      </c>
      <c r="D357" s="27" t="n">
        <f aca="false">ROUND(MAX(0,D356*(1+D$8)-Z357),2)</f>
        <v>0</v>
      </c>
      <c r="E357" s="27" t="n">
        <f aca="false">ROUND(MAX(0,E356*(1+E$8)-AA357),2)</f>
        <v>0</v>
      </c>
      <c r="F357" s="27" t="n">
        <f aca="false">ROUND(MAX(0,F356*(1+F$8)-AB357),2)</f>
        <v>0</v>
      </c>
      <c r="G357" s="27" t="n">
        <f aca="false">ROUND(MAX(0,G356*(1+G$8)-AC357),2)</f>
        <v>0</v>
      </c>
      <c r="H357" s="27" t="n">
        <f aca="false">ROUND(MAX(0,H356*(1+H$8)-AD357),2)</f>
        <v>0</v>
      </c>
      <c r="I357" s="27" t="n">
        <f aca="false">ROUND(MAX(0,I356*(1+I$8)-AE357),2)</f>
        <v>0</v>
      </c>
      <c r="J357" s="27" t="n">
        <f aca="false">ROUND(MAX(0,J356*(1+J$8)-AF357),2)</f>
        <v>0</v>
      </c>
      <c r="K357" s="27" t="n">
        <f aca="false">ROUND(MAX(0,K356*(1+K$8)-AG357),2)</f>
        <v>0</v>
      </c>
      <c r="L357" s="30" t="n">
        <f aca="false">SUM(B357:K357)</f>
        <v>0</v>
      </c>
      <c r="M357" s="27" t="n">
        <f aca="false">SUMPRODUCT(B356:K356,$B$8:$K$8)</f>
        <v>0</v>
      </c>
      <c r="N357" s="27" t="n">
        <f aca="false">MIN(B356*(1+B$8),B$9)</f>
        <v>0</v>
      </c>
      <c r="O357" s="27" t="n">
        <f aca="false">MIN(C356*(1+C$8),C$9)</f>
        <v>0</v>
      </c>
      <c r="P357" s="27" t="n">
        <f aca="false">MIN(D356*(1+D$8),D$9)</f>
        <v>0</v>
      </c>
      <c r="Q357" s="27" t="n">
        <f aca="false">MIN(E356*(1+E$8),E$9)</f>
        <v>0</v>
      </c>
      <c r="R357" s="27" t="n">
        <f aca="false">MIN(F356*(1+F$8),F$9)</f>
        <v>0</v>
      </c>
      <c r="S357" s="27" t="n">
        <f aca="false">MIN(G356*(1+G$8),G$9)</f>
        <v>0</v>
      </c>
      <c r="T357" s="27" t="n">
        <f aca="false">MIN(H356*(1+H$8),H$9)</f>
        <v>0</v>
      </c>
      <c r="U357" s="27" t="n">
        <f aca="false">MIN(I356*(1+I$8),I$9)</f>
        <v>0</v>
      </c>
      <c r="V357" s="27" t="n">
        <f aca="false">MIN(J356*(1+J$8),J$9)</f>
        <v>0</v>
      </c>
      <c r="W357" s="27" t="n">
        <f aca="false">MIN(K356*(1+K$8),K$9)</f>
        <v>0</v>
      </c>
      <c r="X357" s="27" t="n">
        <f aca="false">MIN(B356*(1+B$8),MAX(N357,$B$11-SUM(O357:W357)))</f>
        <v>0</v>
      </c>
      <c r="Y357" s="27" t="n">
        <f aca="false">MIN(C356*(1+C$8),MAX(O357,$B$11-SUM(X357:X357)-SUM(P357:W357)))</f>
        <v>0</v>
      </c>
      <c r="Z357" s="27" t="n">
        <f aca="false">MIN(D356*(1+D$8),MAX(P357,$B$11-SUM(X357:Y357)-SUM(Q357:W357)))</f>
        <v>0</v>
      </c>
      <c r="AA357" s="27" t="n">
        <f aca="false">MIN(E356*(1+E$8),MAX(Q357,$B$11-SUM(X357:Z357)-SUM(R357:W357)))</f>
        <v>0</v>
      </c>
      <c r="AB357" s="27" t="n">
        <f aca="false">MIN(F356*(1+F$8),MAX(R357,$B$11-SUM(X357:AA357)-SUM(S357:W357)))</f>
        <v>0</v>
      </c>
      <c r="AC357" s="27" t="n">
        <f aca="false">MIN(G356*(1+G$8),MAX(S357,$B$11-SUM(X357:AB357)-SUM(T357:W357)))</f>
        <v>0</v>
      </c>
      <c r="AD357" s="27" t="n">
        <f aca="false">MIN(H356*(1+H$8),MAX(T357,$B$11-SUM(X357:AC357)-SUM(U357:W357)))</f>
        <v>0</v>
      </c>
      <c r="AE357" s="27" t="n">
        <f aca="false">MIN(I356*(1+I$8),MAX(U357,$B$11-SUM(X357:AD357)-SUM(V357:W357)))</f>
        <v>0</v>
      </c>
      <c r="AF357" s="27" t="n">
        <f aca="false">MIN(J356*(1+J$8),MAX(V357,$B$11-SUM(X357:AE357)-SUM(W357:W357)))</f>
        <v>0</v>
      </c>
      <c r="AG357" s="27" t="n">
        <f aca="false">MIN(K356*(1+K$8),MAX(W357,$B$11-SUM(X357:AF357)))</f>
        <v>0</v>
      </c>
      <c r="AI357" s="27" t="n">
        <f aca="false">ROUND(MAX(0,AI356*(1+B$8)-BE357),2)</f>
        <v>0</v>
      </c>
      <c r="AJ357" s="27" t="n">
        <f aca="false">ROUND(MAX(0,AJ356*(1+C$8)-BF357),2)</f>
        <v>0</v>
      </c>
      <c r="AK357" s="27" t="n">
        <f aca="false">ROUND(MAX(0,AK356*(1+D$8)-BG357),2)</f>
        <v>0</v>
      </c>
      <c r="AL357" s="27" t="n">
        <f aca="false">ROUND(MAX(0,AL356*(1+E$8)-BH357),2)</f>
        <v>0</v>
      </c>
      <c r="AM357" s="27" t="n">
        <f aca="false">ROUND(MAX(0,AM356*(1+F$8)-BI357),2)</f>
        <v>0</v>
      </c>
      <c r="AN357" s="27" t="n">
        <f aca="false">ROUND(MAX(0,AN356*(1+G$8)-BJ357),2)</f>
        <v>0</v>
      </c>
      <c r="AO357" s="27" t="n">
        <f aca="false">ROUND(MAX(0,AO356*(1+H$8)-BK357),2)</f>
        <v>0</v>
      </c>
      <c r="AP357" s="27" t="n">
        <f aca="false">ROUND(MAX(0,AP356*(1+I$8)-BL357),2)</f>
        <v>0</v>
      </c>
      <c r="AQ357" s="27" t="n">
        <f aca="false">ROUND(MAX(0,AQ356*(1+J$8)-BM357),2)</f>
        <v>0</v>
      </c>
      <c r="AR357" s="27" t="n">
        <f aca="false">ROUND(MAX(0,AR356*(1+K$8)-BN357),2)</f>
        <v>0</v>
      </c>
      <c r="AS357" s="27" t="n">
        <f aca="false">SUM(AI357:AR357)</f>
        <v>0</v>
      </c>
      <c r="AT357" s="27" t="n">
        <f aca="false">SUMPRODUCT(AI356:AR356,$B$8:$K$8)</f>
        <v>0</v>
      </c>
      <c r="AU357" s="27" t="n">
        <f aca="false">MIN(AI356*(1+B$8),B$9)</f>
        <v>0</v>
      </c>
      <c r="AV357" s="27" t="n">
        <f aca="false">MIN(AJ356*(1+C$8),C$9)</f>
        <v>0</v>
      </c>
      <c r="AW357" s="27" t="n">
        <f aca="false">MIN(AK356*(1+D$8),D$9)</f>
        <v>0</v>
      </c>
      <c r="AX357" s="27" t="n">
        <f aca="false">MIN(AL356*(1+E$8),E$9)</f>
        <v>0</v>
      </c>
      <c r="AY357" s="27" t="n">
        <f aca="false">MIN(AM356*(1+F$8),F$9)</f>
        <v>0</v>
      </c>
      <c r="AZ357" s="27" t="n">
        <f aca="false">MIN(AN356*(1+G$8),G$9)</f>
        <v>0</v>
      </c>
      <c r="BA357" s="27" t="n">
        <f aca="false">MIN(AO356*(1+H$8),H$9)</f>
        <v>0</v>
      </c>
      <c r="BB357" s="27" t="n">
        <f aca="false">MIN(AP356*(1+I$8),I$9)</f>
        <v>0</v>
      </c>
      <c r="BC357" s="27" t="n">
        <f aca="false">MIN(AQ356*(1+J$8),J$9)</f>
        <v>0</v>
      </c>
      <c r="BD357" s="27" t="n">
        <f aca="false">MIN(AR356*(1+K$8),K$9)</f>
        <v>0</v>
      </c>
      <c r="BE357" s="27" t="n">
        <f aca="false">MIN(AI356*(1+B$8),MAX(AU357,$B$12-SUM(AV357:BD357)))</f>
        <v>0</v>
      </c>
      <c r="BF357" s="27" t="n">
        <f aca="false">MIN(AJ356*(1+C$8),MAX(AV357,$B$12-SUM(BE357:BE357)-SUM(AW357:BD357)))</f>
        <v>0</v>
      </c>
      <c r="BG357" s="27" t="n">
        <f aca="false">MIN(AK356*(1+D$8),MAX(AW357,$B$12-SUM(BE357:BF357)-SUM(AX357:BD357)))</f>
        <v>0</v>
      </c>
      <c r="BH357" s="27" t="n">
        <f aca="false">MIN(AL356*(1+E$8),MAX(AX357,$B$12-SUM(BE357:BG357)-SUM(AY357:BD357)))</f>
        <v>0</v>
      </c>
      <c r="BI357" s="27" t="n">
        <f aca="false">MIN(AM356*(1+F$8),MAX(AY357,$B$12-SUM(BE357:BH357)-SUM(AZ357:BD357)))</f>
        <v>0</v>
      </c>
      <c r="BJ357" s="27" t="n">
        <f aca="false">MIN(AN356*(1+G$8),MAX(AZ357,$B$12-SUM(BE357:BI357)-SUM(BA357:BD357)))</f>
        <v>0</v>
      </c>
      <c r="BK357" s="27" t="n">
        <f aca="false">MIN(AO356*(1+H$8),MAX(BA357,$B$12-SUM(BE357:BJ357)-SUM(BB357:BD357)))</f>
        <v>0</v>
      </c>
      <c r="BL357" s="27" t="n">
        <f aca="false">MIN(AP356*(1+I$8),MAX(BB357,$B$12-SUM(BE357:BK357)-SUM(BC357:BD357)))</f>
        <v>0</v>
      </c>
      <c r="BM357" s="27" t="n">
        <f aca="false">MIN(AQ356*(1+J$8),MAX(BC357,$B$12-SUM(BE357:BL357)-SUM(BD357:BD357)))</f>
        <v>0</v>
      </c>
      <c r="BN357" s="27" t="n">
        <f aca="false">MIN(AR356*(1+K$8),MAX(BD357,$B$12-SUM(BE357:BM357)))</f>
        <v>0</v>
      </c>
    </row>
    <row r="358" customFormat="false" ht="15" hidden="false" customHeight="false" outlineLevel="0" collapsed="false">
      <c r="A358" s="0" t="n">
        <v>344</v>
      </c>
      <c r="B358" s="27" t="n">
        <f aca="false">ROUND(MAX(0,B357*(1+B$8)-X358),2)</f>
        <v>0</v>
      </c>
      <c r="C358" s="27" t="n">
        <f aca="false">ROUND(MAX(0,C357*(1+C$8)-Y358),2)</f>
        <v>0</v>
      </c>
      <c r="D358" s="27" t="n">
        <f aca="false">ROUND(MAX(0,D357*(1+D$8)-Z358),2)</f>
        <v>0</v>
      </c>
      <c r="E358" s="27" t="n">
        <f aca="false">ROUND(MAX(0,E357*(1+E$8)-AA358),2)</f>
        <v>0</v>
      </c>
      <c r="F358" s="27" t="n">
        <f aca="false">ROUND(MAX(0,F357*(1+F$8)-AB358),2)</f>
        <v>0</v>
      </c>
      <c r="G358" s="27" t="n">
        <f aca="false">ROUND(MAX(0,G357*(1+G$8)-AC358),2)</f>
        <v>0</v>
      </c>
      <c r="H358" s="27" t="n">
        <f aca="false">ROUND(MAX(0,H357*(1+H$8)-AD358),2)</f>
        <v>0</v>
      </c>
      <c r="I358" s="27" t="n">
        <f aca="false">ROUND(MAX(0,I357*(1+I$8)-AE358),2)</f>
        <v>0</v>
      </c>
      <c r="J358" s="27" t="n">
        <f aca="false">ROUND(MAX(0,J357*(1+J$8)-AF358),2)</f>
        <v>0</v>
      </c>
      <c r="K358" s="27" t="n">
        <f aca="false">ROUND(MAX(0,K357*(1+K$8)-AG358),2)</f>
        <v>0</v>
      </c>
      <c r="L358" s="30" t="n">
        <f aca="false">SUM(B358:K358)</f>
        <v>0</v>
      </c>
      <c r="M358" s="27" t="n">
        <f aca="false">SUMPRODUCT(B357:K357,$B$8:$K$8)</f>
        <v>0</v>
      </c>
      <c r="N358" s="27" t="n">
        <f aca="false">MIN(B357*(1+B$8),B$9)</f>
        <v>0</v>
      </c>
      <c r="O358" s="27" t="n">
        <f aca="false">MIN(C357*(1+C$8),C$9)</f>
        <v>0</v>
      </c>
      <c r="P358" s="27" t="n">
        <f aca="false">MIN(D357*(1+D$8),D$9)</f>
        <v>0</v>
      </c>
      <c r="Q358" s="27" t="n">
        <f aca="false">MIN(E357*(1+E$8),E$9)</f>
        <v>0</v>
      </c>
      <c r="R358" s="27" t="n">
        <f aca="false">MIN(F357*(1+F$8),F$9)</f>
        <v>0</v>
      </c>
      <c r="S358" s="27" t="n">
        <f aca="false">MIN(G357*(1+G$8),G$9)</f>
        <v>0</v>
      </c>
      <c r="T358" s="27" t="n">
        <f aca="false">MIN(H357*(1+H$8),H$9)</f>
        <v>0</v>
      </c>
      <c r="U358" s="27" t="n">
        <f aca="false">MIN(I357*(1+I$8),I$9)</f>
        <v>0</v>
      </c>
      <c r="V358" s="27" t="n">
        <f aca="false">MIN(J357*(1+J$8),J$9)</f>
        <v>0</v>
      </c>
      <c r="W358" s="27" t="n">
        <f aca="false">MIN(K357*(1+K$8),K$9)</f>
        <v>0</v>
      </c>
      <c r="X358" s="27" t="n">
        <f aca="false">MIN(B357*(1+B$8),MAX(N358,$B$11-SUM(O358:W358)))</f>
        <v>0</v>
      </c>
      <c r="Y358" s="27" t="n">
        <f aca="false">MIN(C357*(1+C$8),MAX(O358,$B$11-SUM(X358:X358)-SUM(P358:W358)))</f>
        <v>0</v>
      </c>
      <c r="Z358" s="27" t="n">
        <f aca="false">MIN(D357*(1+D$8),MAX(P358,$B$11-SUM(X358:Y358)-SUM(Q358:W358)))</f>
        <v>0</v>
      </c>
      <c r="AA358" s="27" t="n">
        <f aca="false">MIN(E357*(1+E$8),MAX(Q358,$B$11-SUM(X358:Z358)-SUM(R358:W358)))</f>
        <v>0</v>
      </c>
      <c r="AB358" s="27" t="n">
        <f aca="false">MIN(F357*(1+F$8),MAX(R358,$B$11-SUM(X358:AA358)-SUM(S358:W358)))</f>
        <v>0</v>
      </c>
      <c r="AC358" s="27" t="n">
        <f aca="false">MIN(G357*(1+G$8),MAX(S358,$B$11-SUM(X358:AB358)-SUM(T358:W358)))</f>
        <v>0</v>
      </c>
      <c r="AD358" s="27" t="n">
        <f aca="false">MIN(H357*(1+H$8),MAX(T358,$B$11-SUM(X358:AC358)-SUM(U358:W358)))</f>
        <v>0</v>
      </c>
      <c r="AE358" s="27" t="n">
        <f aca="false">MIN(I357*(1+I$8),MAX(U358,$B$11-SUM(X358:AD358)-SUM(V358:W358)))</f>
        <v>0</v>
      </c>
      <c r="AF358" s="27" t="n">
        <f aca="false">MIN(J357*(1+J$8),MAX(V358,$B$11-SUM(X358:AE358)-SUM(W358:W358)))</f>
        <v>0</v>
      </c>
      <c r="AG358" s="27" t="n">
        <f aca="false">MIN(K357*(1+K$8),MAX(W358,$B$11-SUM(X358:AF358)))</f>
        <v>0</v>
      </c>
      <c r="AI358" s="27" t="n">
        <f aca="false">ROUND(MAX(0,AI357*(1+B$8)-BE358),2)</f>
        <v>0</v>
      </c>
      <c r="AJ358" s="27" t="n">
        <f aca="false">ROUND(MAX(0,AJ357*(1+C$8)-BF358),2)</f>
        <v>0</v>
      </c>
      <c r="AK358" s="27" t="n">
        <f aca="false">ROUND(MAX(0,AK357*(1+D$8)-BG358),2)</f>
        <v>0</v>
      </c>
      <c r="AL358" s="27" t="n">
        <f aca="false">ROUND(MAX(0,AL357*(1+E$8)-BH358),2)</f>
        <v>0</v>
      </c>
      <c r="AM358" s="27" t="n">
        <f aca="false">ROUND(MAX(0,AM357*(1+F$8)-BI358),2)</f>
        <v>0</v>
      </c>
      <c r="AN358" s="27" t="n">
        <f aca="false">ROUND(MAX(0,AN357*(1+G$8)-BJ358),2)</f>
        <v>0</v>
      </c>
      <c r="AO358" s="27" t="n">
        <f aca="false">ROUND(MAX(0,AO357*(1+H$8)-BK358),2)</f>
        <v>0</v>
      </c>
      <c r="AP358" s="27" t="n">
        <f aca="false">ROUND(MAX(0,AP357*(1+I$8)-BL358),2)</f>
        <v>0</v>
      </c>
      <c r="AQ358" s="27" t="n">
        <f aca="false">ROUND(MAX(0,AQ357*(1+J$8)-BM358),2)</f>
        <v>0</v>
      </c>
      <c r="AR358" s="27" t="n">
        <f aca="false">ROUND(MAX(0,AR357*(1+K$8)-BN358),2)</f>
        <v>0</v>
      </c>
      <c r="AS358" s="27" t="n">
        <f aca="false">SUM(AI358:AR358)</f>
        <v>0</v>
      </c>
      <c r="AT358" s="27" t="n">
        <f aca="false">SUMPRODUCT(AI357:AR357,$B$8:$K$8)</f>
        <v>0</v>
      </c>
      <c r="AU358" s="27" t="n">
        <f aca="false">MIN(AI357*(1+B$8),B$9)</f>
        <v>0</v>
      </c>
      <c r="AV358" s="27" t="n">
        <f aca="false">MIN(AJ357*(1+C$8),C$9)</f>
        <v>0</v>
      </c>
      <c r="AW358" s="27" t="n">
        <f aca="false">MIN(AK357*(1+D$8),D$9)</f>
        <v>0</v>
      </c>
      <c r="AX358" s="27" t="n">
        <f aca="false">MIN(AL357*(1+E$8),E$9)</f>
        <v>0</v>
      </c>
      <c r="AY358" s="27" t="n">
        <f aca="false">MIN(AM357*(1+F$8),F$9)</f>
        <v>0</v>
      </c>
      <c r="AZ358" s="27" t="n">
        <f aca="false">MIN(AN357*(1+G$8),G$9)</f>
        <v>0</v>
      </c>
      <c r="BA358" s="27" t="n">
        <f aca="false">MIN(AO357*(1+H$8),H$9)</f>
        <v>0</v>
      </c>
      <c r="BB358" s="27" t="n">
        <f aca="false">MIN(AP357*(1+I$8),I$9)</f>
        <v>0</v>
      </c>
      <c r="BC358" s="27" t="n">
        <f aca="false">MIN(AQ357*(1+J$8),J$9)</f>
        <v>0</v>
      </c>
      <c r="BD358" s="27" t="n">
        <f aca="false">MIN(AR357*(1+K$8),K$9)</f>
        <v>0</v>
      </c>
      <c r="BE358" s="27" t="n">
        <f aca="false">MIN(AI357*(1+B$8),MAX(AU358,$B$12-SUM(AV358:BD358)))</f>
        <v>0</v>
      </c>
      <c r="BF358" s="27" t="n">
        <f aca="false">MIN(AJ357*(1+C$8),MAX(AV358,$B$12-SUM(BE358:BE358)-SUM(AW358:BD358)))</f>
        <v>0</v>
      </c>
      <c r="BG358" s="27" t="n">
        <f aca="false">MIN(AK357*(1+D$8),MAX(AW358,$B$12-SUM(BE358:BF358)-SUM(AX358:BD358)))</f>
        <v>0</v>
      </c>
      <c r="BH358" s="27" t="n">
        <f aca="false">MIN(AL357*(1+E$8),MAX(AX358,$B$12-SUM(BE358:BG358)-SUM(AY358:BD358)))</f>
        <v>0</v>
      </c>
      <c r="BI358" s="27" t="n">
        <f aca="false">MIN(AM357*(1+F$8),MAX(AY358,$B$12-SUM(BE358:BH358)-SUM(AZ358:BD358)))</f>
        <v>0</v>
      </c>
      <c r="BJ358" s="27" t="n">
        <f aca="false">MIN(AN357*(1+G$8),MAX(AZ358,$B$12-SUM(BE358:BI358)-SUM(BA358:BD358)))</f>
        <v>0</v>
      </c>
      <c r="BK358" s="27" t="n">
        <f aca="false">MIN(AO357*(1+H$8),MAX(BA358,$B$12-SUM(BE358:BJ358)-SUM(BB358:BD358)))</f>
        <v>0</v>
      </c>
      <c r="BL358" s="27" t="n">
        <f aca="false">MIN(AP357*(1+I$8),MAX(BB358,$B$12-SUM(BE358:BK358)-SUM(BC358:BD358)))</f>
        <v>0</v>
      </c>
      <c r="BM358" s="27" t="n">
        <f aca="false">MIN(AQ357*(1+J$8),MAX(BC358,$B$12-SUM(BE358:BL358)-SUM(BD358:BD358)))</f>
        <v>0</v>
      </c>
      <c r="BN358" s="27" t="n">
        <f aca="false">MIN(AR357*(1+K$8),MAX(BD358,$B$12-SUM(BE358:BM358)))</f>
        <v>0</v>
      </c>
    </row>
    <row r="359" customFormat="false" ht="15" hidden="false" customHeight="false" outlineLevel="0" collapsed="false">
      <c r="A359" s="0" t="n">
        <v>345</v>
      </c>
      <c r="B359" s="27" t="n">
        <f aca="false">ROUND(MAX(0,B358*(1+B$8)-X359),2)</f>
        <v>0</v>
      </c>
      <c r="C359" s="27" t="n">
        <f aca="false">ROUND(MAX(0,C358*(1+C$8)-Y359),2)</f>
        <v>0</v>
      </c>
      <c r="D359" s="27" t="n">
        <f aca="false">ROUND(MAX(0,D358*(1+D$8)-Z359),2)</f>
        <v>0</v>
      </c>
      <c r="E359" s="27" t="n">
        <f aca="false">ROUND(MAX(0,E358*(1+E$8)-AA359),2)</f>
        <v>0</v>
      </c>
      <c r="F359" s="27" t="n">
        <f aca="false">ROUND(MAX(0,F358*(1+F$8)-AB359),2)</f>
        <v>0</v>
      </c>
      <c r="G359" s="27" t="n">
        <f aca="false">ROUND(MAX(0,G358*(1+G$8)-AC359),2)</f>
        <v>0</v>
      </c>
      <c r="H359" s="27" t="n">
        <f aca="false">ROUND(MAX(0,H358*(1+H$8)-AD359),2)</f>
        <v>0</v>
      </c>
      <c r="I359" s="27" t="n">
        <f aca="false">ROUND(MAX(0,I358*(1+I$8)-AE359),2)</f>
        <v>0</v>
      </c>
      <c r="J359" s="27" t="n">
        <f aca="false">ROUND(MAX(0,J358*(1+J$8)-AF359),2)</f>
        <v>0</v>
      </c>
      <c r="K359" s="27" t="n">
        <f aca="false">ROUND(MAX(0,K358*(1+K$8)-AG359),2)</f>
        <v>0</v>
      </c>
      <c r="L359" s="30" t="n">
        <f aca="false">SUM(B359:K359)</f>
        <v>0</v>
      </c>
      <c r="M359" s="27" t="n">
        <f aca="false">SUMPRODUCT(B358:K358,$B$8:$K$8)</f>
        <v>0</v>
      </c>
      <c r="N359" s="27" t="n">
        <f aca="false">MIN(B358*(1+B$8),B$9)</f>
        <v>0</v>
      </c>
      <c r="O359" s="27" t="n">
        <f aca="false">MIN(C358*(1+C$8),C$9)</f>
        <v>0</v>
      </c>
      <c r="P359" s="27" t="n">
        <f aca="false">MIN(D358*(1+D$8),D$9)</f>
        <v>0</v>
      </c>
      <c r="Q359" s="27" t="n">
        <f aca="false">MIN(E358*(1+E$8),E$9)</f>
        <v>0</v>
      </c>
      <c r="R359" s="27" t="n">
        <f aca="false">MIN(F358*(1+F$8),F$9)</f>
        <v>0</v>
      </c>
      <c r="S359" s="27" t="n">
        <f aca="false">MIN(G358*(1+G$8),G$9)</f>
        <v>0</v>
      </c>
      <c r="T359" s="27" t="n">
        <f aca="false">MIN(H358*(1+H$8),H$9)</f>
        <v>0</v>
      </c>
      <c r="U359" s="27" t="n">
        <f aca="false">MIN(I358*(1+I$8),I$9)</f>
        <v>0</v>
      </c>
      <c r="V359" s="27" t="n">
        <f aca="false">MIN(J358*(1+J$8),J$9)</f>
        <v>0</v>
      </c>
      <c r="W359" s="27" t="n">
        <f aca="false">MIN(K358*(1+K$8),K$9)</f>
        <v>0</v>
      </c>
      <c r="X359" s="27" t="n">
        <f aca="false">MIN(B358*(1+B$8),MAX(N359,$B$11-SUM(O359:W359)))</f>
        <v>0</v>
      </c>
      <c r="Y359" s="27" t="n">
        <f aca="false">MIN(C358*(1+C$8),MAX(O359,$B$11-SUM(X359:X359)-SUM(P359:W359)))</f>
        <v>0</v>
      </c>
      <c r="Z359" s="27" t="n">
        <f aca="false">MIN(D358*(1+D$8),MAX(P359,$B$11-SUM(X359:Y359)-SUM(Q359:W359)))</f>
        <v>0</v>
      </c>
      <c r="AA359" s="27" t="n">
        <f aca="false">MIN(E358*(1+E$8),MAX(Q359,$B$11-SUM(X359:Z359)-SUM(R359:W359)))</f>
        <v>0</v>
      </c>
      <c r="AB359" s="27" t="n">
        <f aca="false">MIN(F358*(1+F$8),MAX(R359,$B$11-SUM(X359:AA359)-SUM(S359:W359)))</f>
        <v>0</v>
      </c>
      <c r="AC359" s="27" t="n">
        <f aca="false">MIN(G358*(1+G$8),MAX(S359,$B$11-SUM(X359:AB359)-SUM(T359:W359)))</f>
        <v>0</v>
      </c>
      <c r="AD359" s="27" t="n">
        <f aca="false">MIN(H358*(1+H$8),MAX(T359,$B$11-SUM(X359:AC359)-SUM(U359:W359)))</f>
        <v>0</v>
      </c>
      <c r="AE359" s="27" t="n">
        <f aca="false">MIN(I358*(1+I$8),MAX(U359,$B$11-SUM(X359:AD359)-SUM(V359:W359)))</f>
        <v>0</v>
      </c>
      <c r="AF359" s="27" t="n">
        <f aca="false">MIN(J358*(1+J$8),MAX(V359,$B$11-SUM(X359:AE359)-SUM(W359:W359)))</f>
        <v>0</v>
      </c>
      <c r="AG359" s="27" t="n">
        <f aca="false">MIN(K358*(1+K$8),MAX(W359,$B$11-SUM(X359:AF359)))</f>
        <v>0</v>
      </c>
      <c r="AI359" s="27" t="n">
        <f aca="false">ROUND(MAX(0,AI358*(1+B$8)-BE359),2)</f>
        <v>0</v>
      </c>
      <c r="AJ359" s="27" t="n">
        <f aca="false">ROUND(MAX(0,AJ358*(1+C$8)-BF359),2)</f>
        <v>0</v>
      </c>
      <c r="AK359" s="27" t="n">
        <f aca="false">ROUND(MAX(0,AK358*(1+D$8)-BG359),2)</f>
        <v>0</v>
      </c>
      <c r="AL359" s="27" t="n">
        <f aca="false">ROUND(MAX(0,AL358*(1+E$8)-BH359),2)</f>
        <v>0</v>
      </c>
      <c r="AM359" s="27" t="n">
        <f aca="false">ROUND(MAX(0,AM358*(1+F$8)-BI359),2)</f>
        <v>0</v>
      </c>
      <c r="AN359" s="27" t="n">
        <f aca="false">ROUND(MAX(0,AN358*(1+G$8)-BJ359),2)</f>
        <v>0</v>
      </c>
      <c r="AO359" s="27" t="n">
        <f aca="false">ROUND(MAX(0,AO358*(1+H$8)-BK359),2)</f>
        <v>0</v>
      </c>
      <c r="AP359" s="27" t="n">
        <f aca="false">ROUND(MAX(0,AP358*(1+I$8)-BL359),2)</f>
        <v>0</v>
      </c>
      <c r="AQ359" s="27" t="n">
        <f aca="false">ROUND(MAX(0,AQ358*(1+J$8)-BM359),2)</f>
        <v>0</v>
      </c>
      <c r="AR359" s="27" t="n">
        <f aca="false">ROUND(MAX(0,AR358*(1+K$8)-BN359),2)</f>
        <v>0</v>
      </c>
      <c r="AS359" s="27" t="n">
        <f aca="false">SUM(AI359:AR359)</f>
        <v>0</v>
      </c>
      <c r="AT359" s="27" t="n">
        <f aca="false">SUMPRODUCT(AI358:AR358,$B$8:$K$8)</f>
        <v>0</v>
      </c>
      <c r="AU359" s="27" t="n">
        <f aca="false">MIN(AI358*(1+B$8),B$9)</f>
        <v>0</v>
      </c>
      <c r="AV359" s="27" t="n">
        <f aca="false">MIN(AJ358*(1+C$8),C$9)</f>
        <v>0</v>
      </c>
      <c r="AW359" s="27" t="n">
        <f aca="false">MIN(AK358*(1+D$8),D$9)</f>
        <v>0</v>
      </c>
      <c r="AX359" s="27" t="n">
        <f aca="false">MIN(AL358*(1+E$8),E$9)</f>
        <v>0</v>
      </c>
      <c r="AY359" s="27" t="n">
        <f aca="false">MIN(AM358*(1+F$8),F$9)</f>
        <v>0</v>
      </c>
      <c r="AZ359" s="27" t="n">
        <f aca="false">MIN(AN358*(1+G$8),G$9)</f>
        <v>0</v>
      </c>
      <c r="BA359" s="27" t="n">
        <f aca="false">MIN(AO358*(1+H$8),H$9)</f>
        <v>0</v>
      </c>
      <c r="BB359" s="27" t="n">
        <f aca="false">MIN(AP358*(1+I$8),I$9)</f>
        <v>0</v>
      </c>
      <c r="BC359" s="27" t="n">
        <f aca="false">MIN(AQ358*(1+J$8),J$9)</f>
        <v>0</v>
      </c>
      <c r="BD359" s="27" t="n">
        <f aca="false">MIN(AR358*(1+K$8),K$9)</f>
        <v>0</v>
      </c>
      <c r="BE359" s="27" t="n">
        <f aca="false">MIN(AI358*(1+B$8),MAX(AU359,$B$12-SUM(AV359:BD359)))</f>
        <v>0</v>
      </c>
      <c r="BF359" s="27" t="n">
        <f aca="false">MIN(AJ358*(1+C$8),MAX(AV359,$B$12-SUM(BE359:BE359)-SUM(AW359:BD359)))</f>
        <v>0</v>
      </c>
      <c r="BG359" s="27" t="n">
        <f aca="false">MIN(AK358*(1+D$8),MAX(AW359,$B$12-SUM(BE359:BF359)-SUM(AX359:BD359)))</f>
        <v>0</v>
      </c>
      <c r="BH359" s="27" t="n">
        <f aca="false">MIN(AL358*(1+E$8),MAX(AX359,$B$12-SUM(BE359:BG359)-SUM(AY359:BD359)))</f>
        <v>0</v>
      </c>
      <c r="BI359" s="27" t="n">
        <f aca="false">MIN(AM358*(1+F$8),MAX(AY359,$B$12-SUM(BE359:BH359)-SUM(AZ359:BD359)))</f>
        <v>0</v>
      </c>
      <c r="BJ359" s="27" t="n">
        <f aca="false">MIN(AN358*(1+G$8),MAX(AZ359,$B$12-SUM(BE359:BI359)-SUM(BA359:BD359)))</f>
        <v>0</v>
      </c>
      <c r="BK359" s="27" t="n">
        <f aca="false">MIN(AO358*(1+H$8),MAX(BA359,$B$12-SUM(BE359:BJ359)-SUM(BB359:BD359)))</f>
        <v>0</v>
      </c>
      <c r="BL359" s="27" t="n">
        <f aca="false">MIN(AP358*(1+I$8),MAX(BB359,$B$12-SUM(BE359:BK359)-SUM(BC359:BD359)))</f>
        <v>0</v>
      </c>
      <c r="BM359" s="27" t="n">
        <f aca="false">MIN(AQ358*(1+J$8),MAX(BC359,$B$12-SUM(BE359:BL359)-SUM(BD359:BD359)))</f>
        <v>0</v>
      </c>
      <c r="BN359" s="27" t="n">
        <f aca="false">MIN(AR358*(1+K$8),MAX(BD359,$B$12-SUM(BE359:BM359)))</f>
        <v>0</v>
      </c>
    </row>
    <row r="360" customFormat="false" ht="15" hidden="false" customHeight="false" outlineLevel="0" collapsed="false">
      <c r="A360" s="0" t="n">
        <v>346</v>
      </c>
      <c r="B360" s="27" t="n">
        <f aca="false">ROUND(MAX(0,B359*(1+B$8)-X360),2)</f>
        <v>0</v>
      </c>
      <c r="C360" s="27" t="n">
        <f aca="false">ROUND(MAX(0,C359*(1+C$8)-Y360),2)</f>
        <v>0</v>
      </c>
      <c r="D360" s="27" t="n">
        <f aca="false">ROUND(MAX(0,D359*(1+D$8)-Z360),2)</f>
        <v>0</v>
      </c>
      <c r="E360" s="27" t="n">
        <f aca="false">ROUND(MAX(0,E359*(1+E$8)-AA360),2)</f>
        <v>0</v>
      </c>
      <c r="F360" s="27" t="n">
        <f aca="false">ROUND(MAX(0,F359*(1+F$8)-AB360),2)</f>
        <v>0</v>
      </c>
      <c r="G360" s="27" t="n">
        <f aca="false">ROUND(MAX(0,G359*(1+G$8)-AC360),2)</f>
        <v>0</v>
      </c>
      <c r="H360" s="27" t="n">
        <f aca="false">ROUND(MAX(0,H359*(1+H$8)-AD360),2)</f>
        <v>0</v>
      </c>
      <c r="I360" s="27" t="n">
        <f aca="false">ROUND(MAX(0,I359*(1+I$8)-AE360),2)</f>
        <v>0</v>
      </c>
      <c r="J360" s="27" t="n">
        <f aca="false">ROUND(MAX(0,J359*(1+J$8)-AF360),2)</f>
        <v>0</v>
      </c>
      <c r="K360" s="27" t="n">
        <f aca="false">ROUND(MAX(0,K359*(1+K$8)-AG360),2)</f>
        <v>0</v>
      </c>
      <c r="L360" s="30" t="n">
        <f aca="false">SUM(B360:K360)</f>
        <v>0</v>
      </c>
      <c r="M360" s="27" t="n">
        <f aca="false">SUMPRODUCT(B359:K359,$B$8:$K$8)</f>
        <v>0</v>
      </c>
      <c r="N360" s="27" t="n">
        <f aca="false">MIN(B359*(1+B$8),B$9)</f>
        <v>0</v>
      </c>
      <c r="O360" s="27" t="n">
        <f aca="false">MIN(C359*(1+C$8),C$9)</f>
        <v>0</v>
      </c>
      <c r="P360" s="27" t="n">
        <f aca="false">MIN(D359*(1+D$8),D$9)</f>
        <v>0</v>
      </c>
      <c r="Q360" s="27" t="n">
        <f aca="false">MIN(E359*(1+E$8),E$9)</f>
        <v>0</v>
      </c>
      <c r="R360" s="27" t="n">
        <f aca="false">MIN(F359*(1+F$8),F$9)</f>
        <v>0</v>
      </c>
      <c r="S360" s="27" t="n">
        <f aca="false">MIN(G359*(1+G$8),G$9)</f>
        <v>0</v>
      </c>
      <c r="T360" s="27" t="n">
        <f aca="false">MIN(H359*(1+H$8),H$9)</f>
        <v>0</v>
      </c>
      <c r="U360" s="27" t="n">
        <f aca="false">MIN(I359*(1+I$8),I$9)</f>
        <v>0</v>
      </c>
      <c r="V360" s="27" t="n">
        <f aca="false">MIN(J359*(1+J$8),J$9)</f>
        <v>0</v>
      </c>
      <c r="W360" s="27" t="n">
        <f aca="false">MIN(K359*(1+K$8),K$9)</f>
        <v>0</v>
      </c>
      <c r="X360" s="27" t="n">
        <f aca="false">MIN(B359*(1+B$8),MAX(N360,$B$11-SUM(O360:W360)))</f>
        <v>0</v>
      </c>
      <c r="Y360" s="27" t="n">
        <f aca="false">MIN(C359*(1+C$8),MAX(O360,$B$11-SUM(X360:X360)-SUM(P360:W360)))</f>
        <v>0</v>
      </c>
      <c r="Z360" s="27" t="n">
        <f aca="false">MIN(D359*(1+D$8),MAX(P360,$B$11-SUM(X360:Y360)-SUM(Q360:W360)))</f>
        <v>0</v>
      </c>
      <c r="AA360" s="27" t="n">
        <f aca="false">MIN(E359*(1+E$8),MAX(Q360,$B$11-SUM(X360:Z360)-SUM(R360:W360)))</f>
        <v>0</v>
      </c>
      <c r="AB360" s="27" t="n">
        <f aca="false">MIN(F359*(1+F$8),MAX(R360,$B$11-SUM(X360:AA360)-SUM(S360:W360)))</f>
        <v>0</v>
      </c>
      <c r="AC360" s="27" t="n">
        <f aca="false">MIN(G359*(1+G$8),MAX(S360,$B$11-SUM(X360:AB360)-SUM(T360:W360)))</f>
        <v>0</v>
      </c>
      <c r="AD360" s="27" t="n">
        <f aca="false">MIN(H359*(1+H$8),MAX(T360,$B$11-SUM(X360:AC360)-SUM(U360:W360)))</f>
        <v>0</v>
      </c>
      <c r="AE360" s="27" t="n">
        <f aca="false">MIN(I359*(1+I$8),MAX(U360,$B$11-SUM(X360:AD360)-SUM(V360:W360)))</f>
        <v>0</v>
      </c>
      <c r="AF360" s="27" t="n">
        <f aca="false">MIN(J359*(1+J$8),MAX(V360,$B$11-SUM(X360:AE360)-SUM(W360:W360)))</f>
        <v>0</v>
      </c>
      <c r="AG360" s="27" t="n">
        <f aca="false">MIN(K359*(1+K$8),MAX(W360,$B$11-SUM(X360:AF360)))</f>
        <v>0</v>
      </c>
      <c r="AI360" s="27" t="n">
        <f aca="false">ROUND(MAX(0,AI359*(1+B$8)-BE360),2)</f>
        <v>0</v>
      </c>
      <c r="AJ360" s="27" t="n">
        <f aca="false">ROUND(MAX(0,AJ359*(1+C$8)-BF360),2)</f>
        <v>0</v>
      </c>
      <c r="AK360" s="27" t="n">
        <f aca="false">ROUND(MAX(0,AK359*(1+D$8)-BG360),2)</f>
        <v>0</v>
      </c>
      <c r="AL360" s="27" t="n">
        <f aca="false">ROUND(MAX(0,AL359*(1+E$8)-BH360),2)</f>
        <v>0</v>
      </c>
      <c r="AM360" s="27" t="n">
        <f aca="false">ROUND(MAX(0,AM359*(1+F$8)-BI360),2)</f>
        <v>0</v>
      </c>
      <c r="AN360" s="27" t="n">
        <f aca="false">ROUND(MAX(0,AN359*(1+G$8)-BJ360),2)</f>
        <v>0</v>
      </c>
      <c r="AO360" s="27" t="n">
        <f aca="false">ROUND(MAX(0,AO359*(1+H$8)-BK360),2)</f>
        <v>0</v>
      </c>
      <c r="AP360" s="27" t="n">
        <f aca="false">ROUND(MAX(0,AP359*(1+I$8)-BL360),2)</f>
        <v>0</v>
      </c>
      <c r="AQ360" s="27" t="n">
        <f aca="false">ROUND(MAX(0,AQ359*(1+J$8)-BM360),2)</f>
        <v>0</v>
      </c>
      <c r="AR360" s="27" t="n">
        <f aca="false">ROUND(MAX(0,AR359*(1+K$8)-BN360),2)</f>
        <v>0</v>
      </c>
      <c r="AS360" s="27" t="n">
        <f aca="false">SUM(AI360:AR360)</f>
        <v>0</v>
      </c>
      <c r="AT360" s="27" t="n">
        <f aca="false">SUMPRODUCT(AI359:AR359,$B$8:$K$8)</f>
        <v>0</v>
      </c>
      <c r="AU360" s="27" t="n">
        <f aca="false">MIN(AI359*(1+B$8),B$9)</f>
        <v>0</v>
      </c>
      <c r="AV360" s="27" t="n">
        <f aca="false">MIN(AJ359*(1+C$8),C$9)</f>
        <v>0</v>
      </c>
      <c r="AW360" s="27" t="n">
        <f aca="false">MIN(AK359*(1+D$8),D$9)</f>
        <v>0</v>
      </c>
      <c r="AX360" s="27" t="n">
        <f aca="false">MIN(AL359*(1+E$8),E$9)</f>
        <v>0</v>
      </c>
      <c r="AY360" s="27" t="n">
        <f aca="false">MIN(AM359*(1+F$8),F$9)</f>
        <v>0</v>
      </c>
      <c r="AZ360" s="27" t="n">
        <f aca="false">MIN(AN359*(1+G$8),G$9)</f>
        <v>0</v>
      </c>
      <c r="BA360" s="27" t="n">
        <f aca="false">MIN(AO359*(1+H$8),H$9)</f>
        <v>0</v>
      </c>
      <c r="BB360" s="27" t="n">
        <f aca="false">MIN(AP359*(1+I$8),I$9)</f>
        <v>0</v>
      </c>
      <c r="BC360" s="27" t="n">
        <f aca="false">MIN(AQ359*(1+J$8),J$9)</f>
        <v>0</v>
      </c>
      <c r="BD360" s="27" t="n">
        <f aca="false">MIN(AR359*(1+K$8),K$9)</f>
        <v>0</v>
      </c>
      <c r="BE360" s="27" t="n">
        <f aca="false">MIN(AI359*(1+B$8),MAX(AU360,$B$12-SUM(AV360:BD360)))</f>
        <v>0</v>
      </c>
      <c r="BF360" s="27" t="n">
        <f aca="false">MIN(AJ359*(1+C$8),MAX(AV360,$B$12-SUM(BE360:BE360)-SUM(AW360:BD360)))</f>
        <v>0</v>
      </c>
      <c r="BG360" s="27" t="n">
        <f aca="false">MIN(AK359*(1+D$8),MAX(AW360,$B$12-SUM(BE360:BF360)-SUM(AX360:BD360)))</f>
        <v>0</v>
      </c>
      <c r="BH360" s="27" t="n">
        <f aca="false">MIN(AL359*(1+E$8),MAX(AX360,$B$12-SUM(BE360:BG360)-SUM(AY360:BD360)))</f>
        <v>0</v>
      </c>
      <c r="BI360" s="27" t="n">
        <f aca="false">MIN(AM359*(1+F$8),MAX(AY360,$B$12-SUM(BE360:BH360)-SUM(AZ360:BD360)))</f>
        <v>0</v>
      </c>
      <c r="BJ360" s="27" t="n">
        <f aca="false">MIN(AN359*(1+G$8),MAX(AZ360,$B$12-SUM(BE360:BI360)-SUM(BA360:BD360)))</f>
        <v>0</v>
      </c>
      <c r="BK360" s="27" t="n">
        <f aca="false">MIN(AO359*(1+H$8),MAX(BA360,$B$12-SUM(BE360:BJ360)-SUM(BB360:BD360)))</f>
        <v>0</v>
      </c>
      <c r="BL360" s="27" t="n">
        <f aca="false">MIN(AP359*(1+I$8),MAX(BB360,$B$12-SUM(BE360:BK360)-SUM(BC360:BD360)))</f>
        <v>0</v>
      </c>
      <c r="BM360" s="27" t="n">
        <f aca="false">MIN(AQ359*(1+J$8),MAX(BC360,$B$12-SUM(BE360:BL360)-SUM(BD360:BD360)))</f>
        <v>0</v>
      </c>
      <c r="BN360" s="27" t="n">
        <f aca="false">MIN(AR359*(1+K$8),MAX(BD360,$B$12-SUM(BE360:BM360)))</f>
        <v>0</v>
      </c>
    </row>
    <row r="361" customFormat="false" ht="15" hidden="false" customHeight="false" outlineLevel="0" collapsed="false">
      <c r="A361" s="0" t="n">
        <v>347</v>
      </c>
      <c r="B361" s="27" t="n">
        <f aca="false">ROUND(MAX(0,B360*(1+B$8)-X361),2)</f>
        <v>0</v>
      </c>
      <c r="C361" s="27" t="n">
        <f aca="false">ROUND(MAX(0,C360*(1+C$8)-Y361),2)</f>
        <v>0</v>
      </c>
      <c r="D361" s="27" t="n">
        <f aca="false">ROUND(MAX(0,D360*(1+D$8)-Z361),2)</f>
        <v>0</v>
      </c>
      <c r="E361" s="27" t="n">
        <f aca="false">ROUND(MAX(0,E360*(1+E$8)-AA361),2)</f>
        <v>0</v>
      </c>
      <c r="F361" s="27" t="n">
        <f aca="false">ROUND(MAX(0,F360*(1+F$8)-AB361),2)</f>
        <v>0</v>
      </c>
      <c r="G361" s="27" t="n">
        <f aca="false">ROUND(MAX(0,G360*(1+G$8)-AC361),2)</f>
        <v>0</v>
      </c>
      <c r="H361" s="27" t="n">
        <f aca="false">ROUND(MAX(0,H360*(1+H$8)-AD361),2)</f>
        <v>0</v>
      </c>
      <c r="I361" s="27" t="n">
        <f aca="false">ROUND(MAX(0,I360*(1+I$8)-AE361),2)</f>
        <v>0</v>
      </c>
      <c r="J361" s="27" t="n">
        <f aca="false">ROUND(MAX(0,J360*(1+J$8)-AF361),2)</f>
        <v>0</v>
      </c>
      <c r="K361" s="27" t="n">
        <f aca="false">ROUND(MAX(0,K360*(1+K$8)-AG361),2)</f>
        <v>0</v>
      </c>
      <c r="L361" s="30" t="n">
        <f aca="false">SUM(B361:K361)</f>
        <v>0</v>
      </c>
      <c r="M361" s="27" t="n">
        <f aca="false">SUMPRODUCT(B360:K360,$B$8:$K$8)</f>
        <v>0</v>
      </c>
      <c r="N361" s="27" t="n">
        <f aca="false">MIN(B360*(1+B$8),B$9)</f>
        <v>0</v>
      </c>
      <c r="O361" s="27" t="n">
        <f aca="false">MIN(C360*(1+C$8),C$9)</f>
        <v>0</v>
      </c>
      <c r="P361" s="27" t="n">
        <f aca="false">MIN(D360*(1+D$8),D$9)</f>
        <v>0</v>
      </c>
      <c r="Q361" s="27" t="n">
        <f aca="false">MIN(E360*(1+E$8),E$9)</f>
        <v>0</v>
      </c>
      <c r="R361" s="27" t="n">
        <f aca="false">MIN(F360*(1+F$8),F$9)</f>
        <v>0</v>
      </c>
      <c r="S361" s="27" t="n">
        <f aca="false">MIN(G360*(1+G$8),G$9)</f>
        <v>0</v>
      </c>
      <c r="T361" s="27" t="n">
        <f aca="false">MIN(H360*(1+H$8),H$9)</f>
        <v>0</v>
      </c>
      <c r="U361" s="27" t="n">
        <f aca="false">MIN(I360*(1+I$8),I$9)</f>
        <v>0</v>
      </c>
      <c r="V361" s="27" t="n">
        <f aca="false">MIN(J360*(1+J$8),J$9)</f>
        <v>0</v>
      </c>
      <c r="W361" s="27" t="n">
        <f aca="false">MIN(K360*(1+K$8),K$9)</f>
        <v>0</v>
      </c>
      <c r="X361" s="27" t="n">
        <f aca="false">MIN(B360*(1+B$8),MAX(N361,$B$11-SUM(O361:W361)))</f>
        <v>0</v>
      </c>
      <c r="Y361" s="27" t="n">
        <f aca="false">MIN(C360*(1+C$8),MAX(O361,$B$11-SUM(X361:X361)-SUM(P361:W361)))</f>
        <v>0</v>
      </c>
      <c r="Z361" s="27" t="n">
        <f aca="false">MIN(D360*(1+D$8),MAX(P361,$B$11-SUM(X361:Y361)-SUM(Q361:W361)))</f>
        <v>0</v>
      </c>
      <c r="AA361" s="27" t="n">
        <f aca="false">MIN(E360*(1+E$8),MAX(Q361,$B$11-SUM(X361:Z361)-SUM(R361:W361)))</f>
        <v>0</v>
      </c>
      <c r="AB361" s="27" t="n">
        <f aca="false">MIN(F360*(1+F$8),MAX(R361,$B$11-SUM(X361:AA361)-SUM(S361:W361)))</f>
        <v>0</v>
      </c>
      <c r="AC361" s="27" t="n">
        <f aca="false">MIN(G360*(1+G$8),MAX(S361,$B$11-SUM(X361:AB361)-SUM(T361:W361)))</f>
        <v>0</v>
      </c>
      <c r="AD361" s="27" t="n">
        <f aca="false">MIN(H360*(1+H$8),MAX(T361,$B$11-SUM(X361:AC361)-SUM(U361:W361)))</f>
        <v>0</v>
      </c>
      <c r="AE361" s="27" t="n">
        <f aca="false">MIN(I360*(1+I$8),MAX(U361,$B$11-SUM(X361:AD361)-SUM(V361:W361)))</f>
        <v>0</v>
      </c>
      <c r="AF361" s="27" t="n">
        <f aca="false">MIN(J360*(1+J$8),MAX(V361,$B$11-SUM(X361:AE361)-SUM(W361:W361)))</f>
        <v>0</v>
      </c>
      <c r="AG361" s="27" t="n">
        <f aca="false">MIN(K360*(1+K$8),MAX(W361,$B$11-SUM(X361:AF361)))</f>
        <v>0</v>
      </c>
      <c r="AI361" s="27" t="n">
        <f aca="false">ROUND(MAX(0,AI360*(1+B$8)-BE361),2)</f>
        <v>0</v>
      </c>
      <c r="AJ361" s="27" t="n">
        <f aca="false">ROUND(MAX(0,AJ360*(1+C$8)-BF361),2)</f>
        <v>0</v>
      </c>
      <c r="AK361" s="27" t="n">
        <f aca="false">ROUND(MAX(0,AK360*(1+D$8)-BG361),2)</f>
        <v>0</v>
      </c>
      <c r="AL361" s="27" t="n">
        <f aca="false">ROUND(MAX(0,AL360*(1+E$8)-BH361),2)</f>
        <v>0</v>
      </c>
      <c r="AM361" s="27" t="n">
        <f aca="false">ROUND(MAX(0,AM360*(1+F$8)-BI361),2)</f>
        <v>0</v>
      </c>
      <c r="AN361" s="27" t="n">
        <f aca="false">ROUND(MAX(0,AN360*(1+G$8)-BJ361),2)</f>
        <v>0</v>
      </c>
      <c r="AO361" s="27" t="n">
        <f aca="false">ROUND(MAX(0,AO360*(1+H$8)-BK361),2)</f>
        <v>0</v>
      </c>
      <c r="AP361" s="27" t="n">
        <f aca="false">ROUND(MAX(0,AP360*(1+I$8)-BL361),2)</f>
        <v>0</v>
      </c>
      <c r="AQ361" s="27" t="n">
        <f aca="false">ROUND(MAX(0,AQ360*(1+J$8)-BM361),2)</f>
        <v>0</v>
      </c>
      <c r="AR361" s="27" t="n">
        <f aca="false">ROUND(MAX(0,AR360*(1+K$8)-BN361),2)</f>
        <v>0</v>
      </c>
      <c r="AS361" s="27" t="n">
        <f aca="false">SUM(AI361:AR361)</f>
        <v>0</v>
      </c>
      <c r="AT361" s="27" t="n">
        <f aca="false">SUMPRODUCT(AI360:AR360,$B$8:$K$8)</f>
        <v>0</v>
      </c>
      <c r="AU361" s="27" t="n">
        <f aca="false">MIN(AI360*(1+B$8),B$9)</f>
        <v>0</v>
      </c>
      <c r="AV361" s="27" t="n">
        <f aca="false">MIN(AJ360*(1+C$8),C$9)</f>
        <v>0</v>
      </c>
      <c r="AW361" s="27" t="n">
        <f aca="false">MIN(AK360*(1+D$8),D$9)</f>
        <v>0</v>
      </c>
      <c r="AX361" s="27" t="n">
        <f aca="false">MIN(AL360*(1+E$8),E$9)</f>
        <v>0</v>
      </c>
      <c r="AY361" s="27" t="n">
        <f aca="false">MIN(AM360*(1+F$8),F$9)</f>
        <v>0</v>
      </c>
      <c r="AZ361" s="27" t="n">
        <f aca="false">MIN(AN360*(1+G$8),G$9)</f>
        <v>0</v>
      </c>
      <c r="BA361" s="27" t="n">
        <f aca="false">MIN(AO360*(1+H$8),H$9)</f>
        <v>0</v>
      </c>
      <c r="BB361" s="27" t="n">
        <f aca="false">MIN(AP360*(1+I$8),I$9)</f>
        <v>0</v>
      </c>
      <c r="BC361" s="27" t="n">
        <f aca="false">MIN(AQ360*(1+J$8),J$9)</f>
        <v>0</v>
      </c>
      <c r="BD361" s="27" t="n">
        <f aca="false">MIN(AR360*(1+K$8),K$9)</f>
        <v>0</v>
      </c>
      <c r="BE361" s="27" t="n">
        <f aca="false">MIN(AI360*(1+B$8),MAX(AU361,$B$12-SUM(AV361:BD361)))</f>
        <v>0</v>
      </c>
      <c r="BF361" s="27" t="n">
        <f aca="false">MIN(AJ360*(1+C$8),MAX(AV361,$B$12-SUM(BE361:BE361)-SUM(AW361:BD361)))</f>
        <v>0</v>
      </c>
      <c r="BG361" s="27" t="n">
        <f aca="false">MIN(AK360*(1+D$8),MAX(AW361,$B$12-SUM(BE361:BF361)-SUM(AX361:BD361)))</f>
        <v>0</v>
      </c>
      <c r="BH361" s="27" t="n">
        <f aca="false">MIN(AL360*(1+E$8),MAX(AX361,$B$12-SUM(BE361:BG361)-SUM(AY361:BD361)))</f>
        <v>0</v>
      </c>
      <c r="BI361" s="27" t="n">
        <f aca="false">MIN(AM360*(1+F$8),MAX(AY361,$B$12-SUM(BE361:BH361)-SUM(AZ361:BD361)))</f>
        <v>0</v>
      </c>
      <c r="BJ361" s="27" t="n">
        <f aca="false">MIN(AN360*(1+G$8),MAX(AZ361,$B$12-SUM(BE361:BI361)-SUM(BA361:BD361)))</f>
        <v>0</v>
      </c>
      <c r="BK361" s="27" t="n">
        <f aca="false">MIN(AO360*(1+H$8),MAX(BA361,$B$12-SUM(BE361:BJ361)-SUM(BB361:BD361)))</f>
        <v>0</v>
      </c>
      <c r="BL361" s="27" t="n">
        <f aca="false">MIN(AP360*(1+I$8),MAX(BB361,$B$12-SUM(BE361:BK361)-SUM(BC361:BD361)))</f>
        <v>0</v>
      </c>
      <c r="BM361" s="27" t="n">
        <f aca="false">MIN(AQ360*(1+J$8),MAX(BC361,$B$12-SUM(BE361:BL361)-SUM(BD361:BD361)))</f>
        <v>0</v>
      </c>
      <c r="BN361" s="27" t="n">
        <f aca="false">MIN(AR360*(1+K$8),MAX(BD361,$B$12-SUM(BE361:BM361)))</f>
        <v>0</v>
      </c>
    </row>
    <row r="362" customFormat="false" ht="15" hidden="false" customHeight="false" outlineLevel="0" collapsed="false">
      <c r="A362" s="0" t="n">
        <v>348</v>
      </c>
      <c r="B362" s="27" t="n">
        <f aca="false">ROUND(MAX(0,B361*(1+B$8)-X362),2)</f>
        <v>0</v>
      </c>
      <c r="C362" s="27" t="n">
        <f aca="false">ROUND(MAX(0,C361*(1+C$8)-Y362),2)</f>
        <v>0</v>
      </c>
      <c r="D362" s="27" t="n">
        <f aca="false">ROUND(MAX(0,D361*(1+D$8)-Z362),2)</f>
        <v>0</v>
      </c>
      <c r="E362" s="27" t="n">
        <f aca="false">ROUND(MAX(0,E361*(1+E$8)-AA362),2)</f>
        <v>0</v>
      </c>
      <c r="F362" s="27" t="n">
        <f aca="false">ROUND(MAX(0,F361*(1+F$8)-AB362),2)</f>
        <v>0</v>
      </c>
      <c r="G362" s="27" t="n">
        <f aca="false">ROUND(MAX(0,G361*(1+G$8)-AC362),2)</f>
        <v>0</v>
      </c>
      <c r="H362" s="27" t="n">
        <f aca="false">ROUND(MAX(0,H361*(1+H$8)-AD362),2)</f>
        <v>0</v>
      </c>
      <c r="I362" s="27" t="n">
        <f aca="false">ROUND(MAX(0,I361*(1+I$8)-AE362),2)</f>
        <v>0</v>
      </c>
      <c r="J362" s="27" t="n">
        <f aca="false">ROUND(MAX(0,J361*(1+J$8)-AF362),2)</f>
        <v>0</v>
      </c>
      <c r="K362" s="27" t="n">
        <f aca="false">ROUND(MAX(0,K361*(1+K$8)-AG362),2)</f>
        <v>0</v>
      </c>
      <c r="L362" s="30" t="n">
        <f aca="false">SUM(B362:K362)</f>
        <v>0</v>
      </c>
      <c r="M362" s="27" t="n">
        <f aca="false">SUMPRODUCT(B361:K361,$B$8:$K$8)</f>
        <v>0</v>
      </c>
      <c r="N362" s="27" t="n">
        <f aca="false">MIN(B361*(1+B$8),B$9)</f>
        <v>0</v>
      </c>
      <c r="O362" s="27" t="n">
        <f aca="false">MIN(C361*(1+C$8),C$9)</f>
        <v>0</v>
      </c>
      <c r="P362" s="27" t="n">
        <f aca="false">MIN(D361*(1+D$8),D$9)</f>
        <v>0</v>
      </c>
      <c r="Q362" s="27" t="n">
        <f aca="false">MIN(E361*(1+E$8),E$9)</f>
        <v>0</v>
      </c>
      <c r="R362" s="27" t="n">
        <f aca="false">MIN(F361*(1+F$8),F$9)</f>
        <v>0</v>
      </c>
      <c r="S362" s="27" t="n">
        <f aca="false">MIN(G361*(1+G$8),G$9)</f>
        <v>0</v>
      </c>
      <c r="T362" s="27" t="n">
        <f aca="false">MIN(H361*(1+H$8),H$9)</f>
        <v>0</v>
      </c>
      <c r="U362" s="27" t="n">
        <f aca="false">MIN(I361*(1+I$8),I$9)</f>
        <v>0</v>
      </c>
      <c r="V362" s="27" t="n">
        <f aca="false">MIN(J361*(1+J$8),J$9)</f>
        <v>0</v>
      </c>
      <c r="W362" s="27" t="n">
        <f aca="false">MIN(K361*(1+K$8),K$9)</f>
        <v>0</v>
      </c>
      <c r="X362" s="27" t="n">
        <f aca="false">MIN(B361*(1+B$8),MAX(N362,$B$11-SUM(O362:W362)))</f>
        <v>0</v>
      </c>
      <c r="Y362" s="27" t="n">
        <f aca="false">MIN(C361*(1+C$8),MAX(O362,$B$11-SUM(X362:X362)-SUM(P362:W362)))</f>
        <v>0</v>
      </c>
      <c r="Z362" s="27" t="n">
        <f aca="false">MIN(D361*(1+D$8),MAX(P362,$B$11-SUM(X362:Y362)-SUM(Q362:W362)))</f>
        <v>0</v>
      </c>
      <c r="AA362" s="27" t="n">
        <f aca="false">MIN(E361*(1+E$8),MAX(Q362,$B$11-SUM(X362:Z362)-SUM(R362:W362)))</f>
        <v>0</v>
      </c>
      <c r="AB362" s="27" t="n">
        <f aca="false">MIN(F361*(1+F$8),MAX(R362,$B$11-SUM(X362:AA362)-SUM(S362:W362)))</f>
        <v>0</v>
      </c>
      <c r="AC362" s="27" t="n">
        <f aca="false">MIN(G361*(1+G$8),MAX(S362,$B$11-SUM(X362:AB362)-SUM(T362:W362)))</f>
        <v>0</v>
      </c>
      <c r="AD362" s="27" t="n">
        <f aca="false">MIN(H361*(1+H$8),MAX(T362,$B$11-SUM(X362:AC362)-SUM(U362:W362)))</f>
        <v>0</v>
      </c>
      <c r="AE362" s="27" t="n">
        <f aca="false">MIN(I361*(1+I$8),MAX(U362,$B$11-SUM(X362:AD362)-SUM(V362:W362)))</f>
        <v>0</v>
      </c>
      <c r="AF362" s="27" t="n">
        <f aca="false">MIN(J361*(1+J$8),MAX(V362,$B$11-SUM(X362:AE362)-SUM(W362:W362)))</f>
        <v>0</v>
      </c>
      <c r="AG362" s="27" t="n">
        <f aca="false">MIN(K361*(1+K$8),MAX(W362,$B$11-SUM(X362:AF362)))</f>
        <v>0</v>
      </c>
      <c r="AI362" s="27" t="n">
        <f aca="false">ROUND(MAX(0,AI361*(1+B$8)-BE362),2)</f>
        <v>0</v>
      </c>
      <c r="AJ362" s="27" t="n">
        <f aca="false">ROUND(MAX(0,AJ361*(1+C$8)-BF362),2)</f>
        <v>0</v>
      </c>
      <c r="AK362" s="27" t="n">
        <f aca="false">ROUND(MAX(0,AK361*(1+D$8)-BG362),2)</f>
        <v>0</v>
      </c>
      <c r="AL362" s="27" t="n">
        <f aca="false">ROUND(MAX(0,AL361*(1+E$8)-BH362),2)</f>
        <v>0</v>
      </c>
      <c r="AM362" s="27" t="n">
        <f aca="false">ROUND(MAX(0,AM361*(1+F$8)-BI362),2)</f>
        <v>0</v>
      </c>
      <c r="AN362" s="27" t="n">
        <f aca="false">ROUND(MAX(0,AN361*(1+G$8)-BJ362),2)</f>
        <v>0</v>
      </c>
      <c r="AO362" s="27" t="n">
        <f aca="false">ROUND(MAX(0,AO361*(1+H$8)-BK362),2)</f>
        <v>0</v>
      </c>
      <c r="AP362" s="27" t="n">
        <f aca="false">ROUND(MAX(0,AP361*(1+I$8)-BL362),2)</f>
        <v>0</v>
      </c>
      <c r="AQ362" s="27" t="n">
        <f aca="false">ROUND(MAX(0,AQ361*(1+J$8)-BM362),2)</f>
        <v>0</v>
      </c>
      <c r="AR362" s="27" t="n">
        <f aca="false">ROUND(MAX(0,AR361*(1+K$8)-BN362),2)</f>
        <v>0</v>
      </c>
      <c r="AS362" s="27" t="n">
        <f aca="false">SUM(AI362:AR362)</f>
        <v>0</v>
      </c>
      <c r="AT362" s="27" t="n">
        <f aca="false">SUMPRODUCT(AI361:AR361,$B$8:$K$8)</f>
        <v>0</v>
      </c>
      <c r="AU362" s="27" t="n">
        <f aca="false">MIN(AI361*(1+B$8),B$9)</f>
        <v>0</v>
      </c>
      <c r="AV362" s="27" t="n">
        <f aca="false">MIN(AJ361*(1+C$8),C$9)</f>
        <v>0</v>
      </c>
      <c r="AW362" s="27" t="n">
        <f aca="false">MIN(AK361*(1+D$8),D$9)</f>
        <v>0</v>
      </c>
      <c r="AX362" s="27" t="n">
        <f aca="false">MIN(AL361*(1+E$8),E$9)</f>
        <v>0</v>
      </c>
      <c r="AY362" s="27" t="n">
        <f aca="false">MIN(AM361*(1+F$8),F$9)</f>
        <v>0</v>
      </c>
      <c r="AZ362" s="27" t="n">
        <f aca="false">MIN(AN361*(1+G$8),G$9)</f>
        <v>0</v>
      </c>
      <c r="BA362" s="27" t="n">
        <f aca="false">MIN(AO361*(1+H$8),H$9)</f>
        <v>0</v>
      </c>
      <c r="BB362" s="27" t="n">
        <f aca="false">MIN(AP361*(1+I$8),I$9)</f>
        <v>0</v>
      </c>
      <c r="BC362" s="27" t="n">
        <f aca="false">MIN(AQ361*(1+J$8),J$9)</f>
        <v>0</v>
      </c>
      <c r="BD362" s="27" t="n">
        <f aca="false">MIN(AR361*(1+K$8),K$9)</f>
        <v>0</v>
      </c>
      <c r="BE362" s="27" t="n">
        <f aca="false">MIN(AI361*(1+B$8),MAX(AU362,$B$12-SUM(AV362:BD362)))</f>
        <v>0</v>
      </c>
      <c r="BF362" s="27" t="n">
        <f aca="false">MIN(AJ361*(1+C$8),MAX(AV362,$B$12-SUM(BE362:BE362)-SUM(AW362:BD362)))</f>
        <v>0</v>
      </c>
      <c r="BG362" s="27" t="n">
        <f aca="false">MIN(AK361*(1+D$8),MAX(AW362,$B$12-SUM(BE362:BF362)-SUM(AX362:BD362)))</f>
        <v>0</v>
      </c>
      <c r="BH362" s="27" t="n">
        <f aca="false">MIN(AL361*(1+E$8),MAX(AX362,$B$12-SUM(BE362:BG362)-SUM(AY362:BD362)))</f>
        <v>0</v>
      </c>
      <c r="BI362" s="27" t="n">
        <f aca="false">MIN(AM361*(1+F$8),MAX(AY362,$B$12-SUM(BE362:BH362)-SUM(AZ362:BD362)))</f>
        <v>0</v>
      </c>
      <c r="BJ362" s="27" t="n">
        <f aca="false">MIN(AN361*(1+G$8),MAX(AZ362,$B$12-SUM(BE362:BI362)-SUM(BA362:BD362)))</f>
        <v>0</v>
      </c>
      <c r="BK362" s="27" t="n">
        <f aca="false">MIN(AO361*(1+H$8),MAX(BA362,$B$12-SUM(BE362:BJ362)-SUM(BB362:BD362)))</f>
        <v>0</v>
      </c>
      <c r="BL362" s="27" t="n">
        <f aca="false">MIN(AP361*(1+I$8),MAX(BB362,$B$12-SUM(BE362:BK362)-SUM(BC362:BD362)))</f>
        <v>0</v>
      </c>
      <c r="BM362" s="27" t="n">
        <f aca="false">MIN(AQ361*(1+J$8),MAX(BC362,$B$12-SUM(BE362:BL362)-SUM(BD362:BD362)))</f>
        <v>0</v>
      </c>
      <c r="BN362" s="27" t="n">
        <f aca="false">MIN(AR361*(1+K$8),MAX(BD362,$B$12-SUM(BE362:BM362)))</f>
        <v>0</v>
      </c>
    </row>
    <row r="363" customFormat="false" ht="15" hidden="false" customHeight="false" outlineLevel="0" collapsed="false">
      <c r="A363" s="0" t="n">
        <v>349</v>
      </c>
      <c r="B363" s="27" t="n">
        <f aca="false">ROUND(MAX(0,B362*(1+B$8)-X363),2)</f>
        <v>0</v>
      </c>
      <c r="C363" s="27" t="n">
        <f aca="false">ROUND(MAX(0,C362*(1+C$8)-Y363),2)</f>
        <v>0</v>
      </c>
      <c r="D363" s="27" t="n">
        <f aca="false">ROUND(MAX(0,D362*(1+D$8)-Z363),2)</f>
        <v>0</v>
      </c>
      <c r="E363" s="27" t="n">
        <f aca="false">ROUND(MAX(0,E362*(1+E$8)-AA363),2)</f>
        <v>0</v>
      </c>
      <c r="F363" s="27" t="n">
        <f aca="false">ROUND(MAX(0,F362*(1+F$8)-AB363),2)</f>
        <v>0</v>
      </c>
      <c r="G363" s="27" t="n">
        <f aca="false">ROUND(MAX(0,G362*(1+G$8)-AC363),2)</f>
        <v>0</v>
      </c>
      <c r="H363" s="27" t="n">
        <f aca="false">ROUND(MAX(0,H362*(1+H$8)-AD363),2)</f>
        <v>0</v>
      </c>
      <c r="I363" s="27" t="n">
        <f aca="false">ROUND(MAX(0,I362*(1+I$8)-AE363),2)</f>
        <v>0</v>
      </c>
      <c r="J363" s="27" t="n">
        <f aca="false">ROUND(MAX(0,J362*(1+J$8)-AF363),2)</f>
        <v>0</v>
      </c>
      <c r="K363" s="27" t="n">
        <f aca="false">ROUND(MAX(0,K362*(1+K$8)-AG363),2)</f>
        <v>0</v>
      </c>
      <c r="L363" s="30" t="n">
        <f aca="false">SUM(B363:K363)</f>
        <v>0</v>
      </c>
      <c r="M363" s="27" t="n">
        <f aca="false">SUMPRODUCT(B362:K362,$B$8:$K$8)</f>
        <v>0</v>
      </c>
      <c r="N363" s="27" t="n">
        <f aca="false">MIN(B362*(1+B$8),B$9)</f>
        <v>0</v>
      </c>
      <c r="O363" s="27" t="n">
        <f aca="false">MIN(C362*(1+C$8),C$9)</f>
        <v>0</v>
      </c>
      <c r="P363" s="27" t="n">
        <f aca="false">MIN(D362*(1+D$8),D$9)</f>
        <v>0</v>
      </c>
      <c r="Q363" s="27" t="n">
        <f aca="false">MIN(E362*(1+E$8),E$9)</f>
        <v>0</v>
      </c>
      <c r="R363" s="27" t="n">
        <f aca="false">MIN(F362*(1+F$8),F$9)</f>
        <v>0</v>
      </c>
      <c r="S363" s="27" t="n">
        <f aca="false">MIN(G362*(1+G$8),G$9)</f>
        <v>0</v>
      </c>
      <c r="T363" s="27" t="n">
        <f aca="false">MIN(H362*(1+H$8),H$9)</f>
        <v>0</v>
      </c>
      <c r="U363" s="27" t="n">
        <f aca="false">MIN(I362*(1+I$8),I$9)</f>
        <v>0</v>
      </c>
      <c r="V363" s="27" t="n">
        <f aca="false">MIN(J362*(1+J$8),J$9)</f>
        <v>0</v>
      </c>
      <c r="W363" s="27" t="n">
        <f aca="false">MIN(K362*(1+K$8),K$9)</f>
        <v>0</v>
      </c>
      <c r="X363" s="27" t="n">
        <f aca="false">MIN(B362*(1+B$8),MAX(N363,$B$11-SUM(O363:W363)))</f>
        <v>0</v>
      </c>
      <c r="Y363" s="27" t="n">
        <f aca="false">MIN(C362*(1+C$8),MAX(O363,$B$11-SUM(X363:X363)-SUM(P363:W363)))</f>
        <v>0</v>
      </c>
      <c r="Z363" s="27" t="n">
        <f aca="false">MIN(D362*(1+D$8),MAX(P363,$B$11-SUM(X363:Y363)-SUM(Q363:W363)))</f>
        <v>0</v>
      </c>
      <c r="AA363" s="27" t="n">
        <f aca="false">MIN(E362*(1+E$8),MAX(Q363,$B$11-SUM(X363:Z363)-SUM(R363:W363)))</f>
        <v>0</v>
      </c>
      <c r="AB363" s="27" t="n">
        <f aca="false">MIN(F362*(1+F$8),MAX(R363,$B$11-SUM(X363:AA363)-SUM(S363:W363)))</f>
        <v>0</v>
      </c>
      <c r="AC363" s="27" t="n">
        <f aca="false">MIN(G362*(1+G$8),MAX(S363,$B$11-SUM(X363:AB363)-SUM(T363:W363)))</f>
        <v>0</v>
      </c>
      <c r="AD363" s="27" t="n">
        <f aca="false">MIN(H362*(1+H$8),MAX(T363,$B$11-SUM(X363:AC363)-SUM(U363:W363)))</f>
        <v>0</v>
      </c>
      <c r="AE363" s="27" t="n">
        <f aca="false">MIN(I362*(1+I$8),MAX(U363,$B$11-SUM(X363:AD363)-SUM(V363:W363)))</f>
        <v>0</v>
      </c>
      <c r="AF363" s="27" t="n">
        <f aca="false">MIN(J362*(1+J$8),MAX(V363,$B$11-SUM(X363:AE363)-SUM(W363:W363)))</f>
        <v>0</v>
      </c>
      <c r="AG363" s="27" t="n">
        <f aca="false">MIN(K362*(1+K$8),MAX(W363,$B$11-SUM(X363:AF363)))</f>
        <v>0</v>
      </c>
      <c r="AI363" s="27" t="n">
        <f aca="false">ROUND(MAX(0,AI362*(1+B$8)-BE363),2)</f>
        <v>0</v>
      </c>
      <c r="AJ363" s="27" t="n">
        <f aca="false">ROUND(MAX(0,AJ362*(1+C$8)-BF363),2)</f>
        <v>0</v>
      </c>
      <c r="AK363" s="27" t="n">
        <f aca="false">ROUND(MAX(0,AK362*(1+D$8)-BG363),2)</f>
        <v>0</v>
      </c>
      <c r="AL363" s="27" t="n">
        <f aca="false">ROUND(MAX(0,AL362*(1+E$8)-BH363),2)</f>
        <v>0</v>
      </c>
      <c r="AM363" s="27" t="n">
        <f aca="false">ROUND(MAX(0,AM362*(1+F$8)-BI363),2)</f>
        <v>0</v>
      </c>
      <c r="AN363" s="27" t="n">
        <f aca="false">ROUND(MAX(0,AN362*(1+G$8)-BJ363),2)</f>
        <v>0</v>
      </c>
      <c r="AO363" s="27" t="n">
        <f aca="false">ROUND(MAX(0,AO362*(1+H$8)-BK363),2)</f>
        <v>0</v>
      </c>
      <c r="AP363" s="27" t="n">
        <f aca="false">ROUND(MAX(0,AP362*(1+I$8)-BL363),2)</f>
        <v>0</v>
      </c>
      <c r="AQ363" s="27" t="n">
        <f aca="false">ROUND(MAX(0,AQ362*(1+J$8)-BM363),2)</f>
        <v>0</v>
      </c>
      <c r="AR363" s="27" t="n">
        <f aca="false">ROUND(MAX(0,AR362*(1+K$8)-BN363),2)</f>
        <v>0</v>
      </c>
      <c r="AS363" s="27" t="n">
        <f aca="false">SUM(AI363:AR363)</f>
        <v>0</v>
      </c>
      <c r="AT363" s="27" t="n">
        <f aca="false">SUMPRODUCT(AI362:AR362,$B$8:$K$8)</f>
        <v>0</v>
      </c>
      <c r="AU363" s="27" t="n">
        <f aca="false">MIN(AI362*(1+B$8),B$9)</f>
        <v>0</v>
      </c>
      <c r="AV363" s="27" t="n">
        <f aca="false">MIN(AJ362*(1+C$8),C$9)</f>
        <v>0</v>
      </c>
      <c r="AW363" s="27" t="n">
        <f aca="false">MIN(AK362*(1+D$8),D$9)</f>
        <v>0</v>
      </c>
      <c r="AX363" s="27" t="n">
        <f aca="false">MIN(AL362*(1+E$8),E$9)</f>
        <v>0</v>
      </c>
      <c r="AY363" s="27" t="n">
        <f aca="false">MIN(AM362*(1+F$8),F$9)</f>
        <v>0</v>
      </c>
      <c r="AZ363" s="27" t="n">
        <f aca="false">MIN(AN362*(1+G$8),G$9)</f>
        <v>0</v>
      </c>
      <c r="BA363" s="27" t="n">
        <f aca="false">MIN(AO362*(1+H$8),H$9)</f>
        <v>0</v>
      </c>
      <c r="BB363" s="27" t="n">
        <f aca="false">MIN(AP362*(1+I$8),I$9)</f>
        <v>0</v>
      </c>
      <c r="BC363" s="27" t="n">
        <f aca="false">MIN(AQ362*(1+J$8),J$9)</f>
        <v>0</v>
      </c>
      <c r="BD363" s="27" t="n">
        <f aca="false">MIN(AR362*(1+K$8),K$9)</f>
        <v>0</v>
      </c>
      <c r="BE363" s="27" t="n">
        <f aca="false">MIN(AI362*(1+B$8),MAX(AU363,$B$12-SUM(AV363:BD363)))</f>
        <v>0</v>
      </c>
      <c r="BF363" s="27" t="n">
        <f aca="false">MIN(AJ362*(1+C$8),MAX(AV363,$B$12-SUM(BE363:BE363)-SUM(AW363:BD363)))</f>
        <v>0</v>
      </c>
      <c r="BG363" s="27" t="n">
        <f aca="false">MIN(AK362*(1+D$8),MAX(AW363,$B$12-SUM(BE363:BF363)-SUM(AX363:BD363)))</f>
        <v>0</v>
      </c>
      <c r="BH363" s="27" t="n">
        <f aca="false">MIN(AL362*(1+E$8),MAX(AX363,$B$12-SUM(BE363:BG363)-SUM(AY363:BD363)))</f>
        <v>0</v>
      </c>
      <c r="BI363" s="27" t="n">
        <f aca="false">MIN(AM362*(1+F$8),MAX(AY363,$B$12-SUM(BE363:BH363)-SUM(AZ363:BD363)))</f>
        <v>0</v>
      </c>
      <c r="BJ363" s="27" t="n">
        <f aca="false">MIN(AN362*(1+G$8),MAX(AZ363,$B$12-SUM(BE363:BI363)-SUM(BA363:BD363)))</f>
        <v>0</v>
      </c>
      <c r="BK363" s="27" t="n">
        <f aca="false">MIN(AO362*(1+H$8),MAX(BA363,$B$12-SUM(BE363:BJ363)-SUM(BB363:BD363)))</f>
        <v>0</v>
      </c>
      <c r="BL363" s="27" t="n">
        <f aca="false">MIN(AP362*(1+I$8),MAX(BB363,$B$12-SUM(BE363:BK363)-SUM(BC363:BD363)))</f>
        <v>0</v>
      </c>
      <c r="BM363" s="27" t="n">
        <f aca="false">MIN(AQ362*(1+J$8),MAX(BC363,$B$12-SUM(BE363:BL363)-SUM(BD363:BD363)))</f>
        <v>0</v>
      </c>
      <c r="BN363" s="27" t="n">
        <f aca="false">MIN(AR362*(1+K$8),MAX(BD363,$B$12-SUM(BE363:BM363)))</f>
        <v>0</v>
      </c>
    </row>
    <row r="364" customFormat="false" ht="15" hidden="false" customHeight="false" outlineLevel="0" collapsed="false">
      <c r="A364" s="0" t="n">
        <v>350</v>
      </c>
      <c r="B364" s="27" t="n">
        <f aca="false">ROUND(MAX(0,B363*(1+B$8)-X364),2)</f>
        <v>0</v>
      </c>
      <c r="C364" s="27" t="n">
        <f aca="false">ROUND(MAX(0,C363*(1+C$8)-Y364),2)</f>
        <v>0</v>
      </c>
      <c r="D364" s="27" t="n">
        <f aca="false">ROUND(MAX(0,D363*(1+D$8)-Z364),2)</f>
        <v>0</v>
      </c>
      <c r="E364" s="27" t="n">
        <f aca="false">ROUND(MAX(0,E363*(1+E$8)-AA364),2)</f>
        <v>0</v>
      </c>
      <c r="F364" s="27" t="n">
        <f aca="false">ROUND(MAX(0,F363*(1+F$8)-AB364),2)</f>
        <v>0</v>
      </c>
      <c r="G364" s="27" t="n">
        <f aca="false">ROUND(MAX(0,G363*(1+G$8)-AC364),2)</f>
        <v>0</v>
      </c>
      <c r="H364" s="27" t="n">
        <f aca="false">ROUND(MAX(0,H363*(1+H$8)-AD364),2)</f>
        <v>0</v>
      </c>
      <c r="I364" s="27" t="n">
        <f aca="false">ROUND(MAX(0,I363*(1+I$8)-AE364),2)</f>
        <v>0</v>
      </c>
      <c r="J364" s="27" t="n">
        <f aca="false">ROUND(MAX(0,J363*(1+J$8)-AF364),2)</f>
        <v>0</v>
      </c>
      <c r="K364" s="27" t="n">
        <f aca="false">ROUND(MAX(0,K363*(1+K$8)-AG364),2)</f>
        <v>0</v>
      </c>
      <c r="L364" s="30" t="n">
        <f aca="false">SUM(B364:K364)</f>
        <v>0</v>
      </c>
      <c r="M364" s="27" t="n">
        <f aca="false">SUMPRODUCT(B363:K363,$B$8:$K$8)</f>
        <v>0</v>
      </c>
      <c r="N364" s="27" t="n">
        <f aca="false">MIN(B363*(1+B$8),B$9)</f>
        <v>0</v>
      </c>
      <c r="O364" s="27" t="n">
        <f aca="false">MIN(C363*(1+C$8),C$9)</f>
        <v>0</v>
      </c>
      <c r="P364" s="27" t="n">
        <f aca="false">MIN(D363*(1+D$8),D$9)</f>
        <v>0</v>
      </c>
      <c r="Q364" s="27" t="n">
        <f aca="false">MIN(E363*(1+E$8),E$9)</f>
        <v>0</v>
      </c>
      <c r="R364" s="27" t="n">
        <f aca="false">MIN(F363*(1+F$8),F$9)</f>
        <v>0</v>
      </c>
      <c r="S364" s="27" t="n">
        <f aca="false">MIN(G363*(1+G$8),G$9)</f>
        <v>0</v>
      </c>
      <c r="T364" s="27" t="n">
        <f aca="false">MIN(H363*(1+H$8),H$9)</f>
        <v>0</v>
      </c>
      <c r="U364" s="27" t="n">
        <f aca="false">MIN(I363*(1+I$8),I$9)</f>
        <v>0</v>
      </c>
      <c r="V364" s="27" t="n">
        <f aca="false">MIN(J363*(1+J$8),J$9)</f>
        <v>0</v>
      </c>
      <c r="W364" s="27" t="n">
        <f aca="false">MIN(K363*(1+K$8),K$9)</f>
        <v>0</v>
      </c>
      <c r="X364" s="27" t="n">
        <f aca="false">MIN(B363*(1+B$8),MAX(N364,$B$11-SUM(O364:W364)))</f>
        <v>0</v>
      </c>
      <c r="Y364" s="27" t="n">
        <f aca="false">MIN(C363*(1+C$8),MAX(O364,$B$11-SUM(X364:X364)-SUM(P364:W364)))</f>
        <v>0</v>
      </c>
      <c r="Z364" s="27" t="n">
        <f aca="false">MIN(D363*(1+D$8),MAX(P364,$B$11-SUM(X364:Y364)-SUM(Q364:W364)))</f>
        <v>0</v>
      </c>
      <c r="AA364" s="27" t="n">
        <f aca="false">MIN(E363*(1+E$8),MAX(Q364,$B$11-SUM(X364:Z364)-SUM(R364:W364)))</f>
        <v>0</v>
      </c>
      <c r="AB364" s="27" t="n">
        <f aca="false">MIN(F363*(1+F$8),MAX(R364,$B$11-SUM(X364:AA364)-SUM(S364:W364)))</f>
        <v>0</v>
      </c>
      <c r="AC364" s="27" t="n">
        <f aca="false">MIN(G363*(1+G$8),MAX(S364,$B$11-SUM(X364:AB364)-SUM(T364:W364)))</f>
        <v>0</v>
      </c>
      <c r="AD364" s="27" t="n">
        <f aca="false">MIN(H363*(1+H$8),MAX(T364,$B$11-SUM(X364:AC364)-SUM(U364:W364)))</f>
        <v>0</v>
      </c>
      <c r="AE364" s="27" t="n">
        <f aca="false">MIN(I363*(1+I$8),MAX(U364,$B$11-SUM(X364:AD364)-SUM(V364:W364)))</f>
        <v>0</v>
      </c>
      <c r="AF364" s="27" t="n">
        <f aca="false">MIN(J363*(1+J$8),MAX(V364,$B$11-SUM(X364:AE364)-SUM(W364:W364)))</f>
        <v>0</v>
      </c>
      <c r="AG364" s="27" t="n">
        <f aca="false">MIN(K363*(1+K$8),MAX(W364,$B$11-SUM(X364:AF364)))</f>
        <v>0</v>
      </c>
      <c r="AI364" s="27" t="n">
        <f aca="false">ROUND(MAX(0,AI363*(1+B$8)-BE364),2)</f>
        <v>0</v>
      </c>
      <c r="AJ364" s="27" t="n">
        <f aca="false">ROUND(MAX(0,AJ363*(1+C$8)-BF364),2)</f>
        <v>0</v>
      </c>
      <c r="AK364" s="27" t="n">
        <f aca="false">ROUND(MAX(0,AK363*(1+D$8)-BG364),2)</f>
        <v>0</v>
      </c>
      <c r="AL364" s="27" t="n">
        <f aca="false">ROUND(MAX(0,AL363*(1+E$8)-BH364),2)</f>
        <v>0</v>
      </c>
      <c r="AM364" s="27" t="n">
        <f aca="false">ROUND(MAX(0,AM363*(1+F$8)-BI364),2)</f>
        <v>0</v>
      </c>
      <c r="AN364" s="27" t="n">
        <f aca="false">ROUND(MAX(0,AN363*(1+G$8)-BJ364),2)</f>
        <v>0</v>
      </c>
      <c r="AO364" s="27" t="n">
        <f aca="false">ROUND(MAX(0,AO363*(1+H$8)-BK364),2)</f>
        <v>0</v>
      </c>
      <c r="AP364" s="27" t="n">
        <f aca="false">ROUND(MAX(0,AP363*(1+I$8)-BL364),2)</f>
        <v>0</v>
      </c>
      <c r="AQ364" s="27" t="n">
        <f aca="false">ROUND(MAX(0,AQ363*(1+J$8)-BM364),2)</f>
        <v>0</v>
      </c>
      <c r="AR364" s="27" t="n">
        <f aca="false">ROUND(MAX(0,AR363*(1+K$8)-BN364),2)</f>
        <v>0</v>
      </c>
      <c r="AS364" s="27" t="n">
        <f aca="false">SUM(AI364:AR364)</f>
        <v>0</v>
      </c>
      <c r="AT364" s="27" t="n">
        <f aca="false">SUMPRODUCT(AI363:AR363,$B$8:$K$8)</f>
        <v>0</v>
      </c>
      <c r="AU364" s="27" t="n">
        <f aca="false">MIN(AI363*(1+B$8),B$9)</f>
        <v>0</v>
      </c>
      <c r="AV364" s="27" t="n">
        <f aca="false">MIN(AJ363*(1+C$8),C$9)</f>
        <v>0</v>
      </c>
      <c r="AW364" s="27" t="n">
        <f aca="false">MIN(AK363*(1+D$8),D$9)</f>
        <v>0</v>
      </c>
      <c r="AX364" s="27" t="n">
        <f aca="false">MIN(AL363*(1+E$8),E$9)</f>
        <v>0</v>
      </c>
      <c r="AY364" s="27" t="n">
        <f aca="false">MIN(AM363*(1+F$8),F$9)</f>
        <v>0</v>
      </c>
      <c r="AZ364" s="27" t="n">
        <f aca="false">MIN(AN363*(1+G$8),G$9)</f>
        <v>0</v>
      </c>
      <c r="BA364" s="27" t="n">
        <f aca="false">MIN(AO363*(1+H$8),H$9)</f>
        <v>0</v>
      </c>
      <c r="BB364" s="27" t="n">
        <f aca="false">MIN(AP363*(1+I$8),I$9)</f>
        <v>0</v>
      </c>
      <c r="BC364" s="27" t="n">
        <f aca="false">MIN(AQ363*(1+J$8),J$9)</f>
        <v>0</v>
      </c>
      <c r="BD364" s="27" t="n">
        <f aca="false">MIN(AR363*(1+K$8),K$9)</f>
        <v>0</v>
      </c>
      <c r="BE364" s="27" t="n">
        <f aca="false">MIN(AI363*(1+B$8),MAX(AU364,$B$12-SUM(AV364:BD364)))</f>
        <v>0</v>
      </c>
      <c r="BF364" s="27" t="n">
        <f aca="false">MIN(AJ363*(1+C$8),MAX(AV364,$B$12-SUM(BE364:BE364)-SUM(AW364:BD364)))</f>
        <v>0</v>
      </c>
      <c r="BG364" s="27" t="n">
        <f aca="false">MIN(AK363*(1+D$8),MAX(AW364,$B$12-SUM(BE364:BF364)-SUM(AX364:BD364)))</f>
        <v>0</v>
      </c>
      <c r="BH364" s="27" t="n">
        <f aca="false">MIN(AL363*(1+E$8),MAX(AX364,$B$12-SUM(BE364:BG364)-SUM(AY364:BD364)))</f>
        <v>0</v>
      </c>
      <c r="BI364" s="27" t="n">
        <f aca="false">MIN(AM363*(1+F$8),MAX(AY364,$B$12-SUM(BE364:BH364)-SUM(AZ364:BD364)))</f>
        <v>0</v>
      </c>
      <c r="BJ364" s="27" t="n">
        <f aca="false">MIN(AN363*(1+G$8),MAX(AZ364,$B$12-SUM(BE364:BI364)-SUM(BA364:BD364)))</f>
        <v>0</v>
      </c>
      <c r="BK364" s="27" t="n">
        <f aca="false">MIN(AO363*(1+H$8),MAX(BA364,$B$12-SUM(BE364:BJ364)-SUM(BB364:BD364)))</f>
        <v>0</v>
      </c>
      <c r="BL364" s="27" t="n">
        <f aca="false">MIN(AP363*(1+I$8),MAX(BB364,$B$12-SUM(BE364:BK364)-SUM(BC364:BD364)))</f>
        <v>0</v>
      </c>
      <c r="BM364" s="27" t="n">
        <f aca="false">MIN(AQ363*(1+J$8),MAX(BC364,$B$12-SUM(BE364:BL364)-SUM(BD364:BD364)))</f>
        <v>0</v>
      </c>
      <c r="BN364" s="27" t="n">
        <f aca="false">MIN(AR363*(1+K$8),MAX(BD364,$B$12-SUM(BE364:BM364)))</f>
        <v>0</v>
      </c>
    </row>
    <row r="365" customFormat="false" ht="15" hidden="false" customHeight="false" outlineLevel="0" collapsed="false">
      <c r="A365" s="0" t="n">
        <v>351</v>
      </c>
      <c r="B365" s="27" t="n">
        <f aca="false">ROUND(MAX(0,B364*(1+B$8)-X365),2)</f>
        <v>0</v>
      </c>
      <c r="C365" s="27" t="n">
        <f aca="false">ROUND(MAX(0,C364*(1+C$8)-Y365),2)</f>
        <v>0</v>
      </c>
      <c r="D365" s="27" t="n">
        <f aca="false">ROUND(MAX(0,D364*(1+D$8)-Z365),2)</f>
        <v>0</v>
      </c>
      <c r="E365" s="27" t="n">
        <f aca="false">ROUND(MAX(0,E364*(1+E$8)-AA365),2)</f>
        <v>0</v>
      </c>
      <c r="F365" s="27" t="n">
        <f aca="false">ROUND(MAX(0,F364*(1+F$8)-AB365),2)</f>
        <v>0</v>
      </c>
      <c r="G365" s="27" t="n">
        <f aca="false">ROUND(MAX(0,G364*(1+G$8)-AC365),2)</f>
        <v>0</v>
      </c>
      <c r="H365" s="27" t="n">
        <f aca="false">ROUND(MAX(0,H364*(1+H$8)-AD365),2)</f>
        <v>0</v>
      </c>
      <c r="I365" s="27" t="n">
        <f aca="false">ROUND(MAX(0,I364*(1+I$8)-AE365),2)</f>
        <v>0</v>
      </c>
      <c r="J365" s="27" t="n">
        <f aca="false">ROUND(MAX(0,J364*(1+J$8)-AF365),2)</f>
        <v>0</v>
      </c>
      <c r="K365" s="27" t="n">
        <f aca="false">ROUND(MAX(0,K364*(1+K$8)-AG365),2)</f>
        <v>0</v>
      </c>
      <c r="L365" s="30" t="n">
        <f aca="false">SUM(B365:K365)</f>
        <v>0</v>
      </c>
      <c r="M365" s="27" t="n">
        <f aca="false">SUMPRODUCT(B364:K364,$B$8:$K$8)</f>
        <v>0</v>
      </c>
      <c r="N365" s="27" t="n">
        <f aca="false">MIN(B364*(1+B$8),B$9)</f>
        <v>0</v>
      </c>
      <c r="O365" s="27" t="n">
        <f aca="false">MIN(C364*(1+C$8),C$9)</f>
        <v>0</v>
      </c>
      <c r="P365" s="27" t="n">
        <f aca="false">MIN(D364*(1+D$8),D$9)</f>
        <v>0</v>
      </c>
      <c r="Q365" s="27" t="n">
        <f aca="false">MIN(E364*(1+E$8),E$9)</f>
        <v>0</v>
      </c>
      <c r="R365" s="27" t="n">
        <f aca="false">MIN(F364*(1+F$8),F$9)</f>
        <v>0</v>
      </c>
      <c r="S365" s="27" t="n">
        <f aca="false">MIN(G364*(1+G$8),G$9)</f>
        <v>0</v>
      </c>
      <c r="T365" s="27" t="n">
        <f aca="false">MIN(H364*(1+H$8),H$9)</f>
        <v>0</v>
      </c>
      <c r="U365" s="27" t="n">
        <f aca="false">MIN(I364*(1+I$8),I$9)</f>
        <v>0</v>
      </c>
      <c r="V365" s="27" t="n">
        <f aca="false">MIN(J364*(1+J$8),J$9)</f>
        <v>0</v>
      </c>
      <c r="W365" s="27" t="n">
        <f aca="false">MIN(K364*(1+K$8),K$9)</f>
        <v>0</v>
      </c>
      <c r="X365" s="27" t="n">
        <f aca="false">MIN(B364*(1+B$8),MAX(N365,$B$11-SUM(O365:W365)))</f>
        <v>0</v>
      </c>
      <c r="Y365" s="27" t="n">
        <f aca="false">MIN(C364*(1+C$8),MAX(O365,$B$11-SUM(X365:X365)-SUM(P365:W365)))</f>
        <v>0</v>
      </c>
      <c r="Z365" s="27" t="n">
        <f aca="false">MIN(D364*(1+D$8),MAX(P365,$B$11-SUM(X365:Y365)-SUM(Q365:W365)))</f>
        <v>0</v>
      </c>
      <c r="AA365" s="27" t="n">
        <f aca="false">MIN(E364*(1+E$8),MAX(Q365,$B$11-SUM(X365:Z365)-SUM(R365:W365)))</f>
        <v>0</v>
      </c>
      <c r="AB365" s="27" t="n">
        <f aca="false">MIN(F364*(1+F$8),MAX(R365,$B$11-SUM(X365:AA365)-SUM(S365:W365)))</f>
        <v>0</v>
      </c>
      <c r="AC365" s="27" t="n">
        <f aca="false">MIN(G364*(1+G$8),MAX(S365,$B$11-SUM(X365:AB365)-SUM(T365:W365)))</f>
        <v>0</v>
      </c>
      <c r="AD365" s="27" t="n">
        <f aca="false">MIN(H364*(1+H$8),MAX(T365,$B$11-SUM(X365:AC365)-SUM(U365:W365)))</f>
        <v>0</v>
      </c>
      <c r="AE365" s="27" t="n">
        <f aca="false">MIN(I364*(1+I$8),MAX(U365,$B$11-SUM(X365:AD365)-SUM(V365:W365)))</f>
        <v>0</v>
      </c>
      <c r="AF365" s="27" t="n">
        <f aca="false">MIN(J364*(1+J$8),MAX(V365,$B$11-SUM(X365:AE365)-SUM(W365:W365)))</f>
        <v>0</v>
      </c>
      <c r="AG365" s="27" t="n">
        <f aca="false">MIN(K364*(1+K$8),MAX(W365,$B$11-SUM(X365:AF365)))</f>
        <v>0</v>
      </c>
      <c r="AI365" s="27" t="n">
        <f aca="false">ROUND(MAX(0,AI364*(1+B$8)-BE365),2)</f>
        <v>0</v>
      </c>
      <c r="AJ365" s="27" t="n">
        <f aca="false">ROUND(MAX(0,AJ364*(1+C$8)-BF365),2)</f>
        <v>0</v>
      </c>
      <c r="AK365" s="27" t="n">
        <f aca="false">ROUND(MAX(0,AK364*(1+D$8)-BG365),2)</f>
        <v>0</v>
      </c>
      <c r="AL365" s="27" t="n">
        <f aca="false">ROUND(MAX(0,AL364*(1+E$8)-BH365),2)</f>
        <v>0</v>
      </c>
      <c r="AM365" s="27" t="n">
        <f aca="false">ROUND(MAX(0,AM364*(1+F$8)-BI365),2)</f>
        <v>0</v>
      </c>
      <c r="AN365" s="27" t="n">
        <f aca="false">ROUND(MAX(0,AN364*(1+G$8)-BJ365),2)</f>
        <v>0</v>
      </c>
      <c r="AO365" s="27" t="n">
        <f aca="false">ROUND(MAX(0,AO364*(1+H$8)-BK365),2)</f>
        <v>0</v>
      </c>
      <c r="AP365" s="27" t="n">
        <f aca="false">ROUND(MAX(0,AP364*(1+I$8)-BL365),2)</f>
        <v>0</v>
      </c>
      <c r="AQ365" s="27" t="n">
        <f aca="false">ROUND(MAX(0,AQ364*(1+J$8)-BM365),2)</f>
        <v>0</v>
      </c>
      <c r="AR365" s="27" t="n">
        <f aca="false">ROUND(MAX(0,AR364*(1+K$8)-BN365),2)</f>
        <v>0</v>
      </c>
      <c r="AS365" s="27" t="n">
        <f aca="false">SUM(AI365:AR365)</f>
        <v>0</v>
      </c>
      <c r="AT365" s="27" t="n">
        <f aca="false">SUMPRODUCT(AI364:AR364,$B$8:$K$8)</f>
        <v>0</v>
      </c>
      <c r="AU365" s="27" t="n">
        <f aca="false">MIN(AI364*(1+B$8),B$9)</f>
        <v>0</v>
      </c>
      <c r="AV365" s="27" t="n">
        <f aca="false">MIN(AJ364*(1+C$8),C$9)</f>
        <v>0</v>
      </c>
      <c r="AW365" s="27" t="n">
        <f aca="false">MIN(AK364*(1+D$8),D$9)</f>
        <v>0</v>
      </c>
      <c r="AX365" s="27" t="n">
        <f aca="false">MIN(AL364*(1+E$8),E$9)</f>
        <v>0</v>
      </c>
      <c r="AY365" s="27" t="n">
        <f aca="false">MIN(AM364*(1+F$8),F$9)</f>
        <v>0</v>
      </c>
      <c r="AZ365" s="27" t="n">
        <f aca="false">MIN(AN364*(1+G$8),G$9)</f>
        <v>0</v>
      </c>
      <c r="BA365" s="27" t="n">
        <f aca="false">MIN(AO364*(1+H$8),H$9)</f>
        <v>0</v>
      </c>
      <c r="BB365" s="27" t="n">
        <f aca="false">MIN(AP364*(1+I$8),I$9)</f>
        <v>0</v>
      </c>
      <c r="BC365" s="27" t="n">
        <f aca="false">MIN(AQ364*(1+J$8),J$9)</f>
        <v>0</v>
      </c>
      <c r="BD365" s="27" t="n">
        <f aca="false">MIN(AR364*(1+K$8),K$9)</f>
        <v>0</v>
      </c>
      <c r="BE365" s="27" t="n">
        <f aca="false">MIN(AI364*(1+B$8),MAX(AU365,$B$12-SUM(AV365:BD365)))</f>
        <v>0</v>
      </c>
      <c r="BF365" s="27" t="n">
        <f aca="false">MIN(AJ364*(1+C$8),MAX(AV365,$B$12-SUM(BE365:BE365)-SUM(AW365:BD365)))</f>
        <v>0</v>
      </c>
      <c r="BG365" s="27" t="n">
        <f aca="false">MIN(AK364*(1+D$8),MAX(AW365,$B$12-SUM(BE365:BF365)-SUM(AX365:BD365)))</f>
        <v>0</v>
      </c>
      <c r="BH365" s="27" t="n">
        <f aca="false">MIN(AL364*(1+E$8),MAX(AX365,$B$12-SUM(BE365:BG365)-SUM(AY365:BD365)))</f>
        <v>0</v>
      </c>
      <c r="BI365" s="27" t="n">
        <f aca="false">MIN(AM364*(1+F$8),MAX(AY365,$B$12-SUM(BE365:BH365)-SUM(AZ365:BD365)))</f>
        <v>0</v>
      </c>
      <c r="BJ365" s="27" t="n">
        <f aca="false">MIN(AN364*(1+G$8),MAX(AZ365,$B$12-SUM(BE365:BI365)-SUM(BA365:BD365)))</f>
        <v>0</v>
      </c>
      <c r="BK365" s="27" t="n">
        <f aca="false">MIN(AO364*(1+H$8),MAX(BA365,$B$12-SUM(BE365:BJ365)-SUM(BB365:BD365)))</f>
        <v>0</v>
      </c>
      <c r="BL365" s="27" t="n">
        <f aca="false">MIN(AP364*(1+I$8),MAX(BB365,$B$12-SUM(BE365:BK365)-SUM(BC365:BD365)))</f>
        <v>0</v>
      </c>
      <c r="BM365" s="27" t="n">
        <f aca="false">MIN(AQ364*(1+J$8),MAX(BC365,$B$12-SUM(BE365:BL365)-SUM(BD365:BD365)))</f>
        <v>0</v>
      </c>
      <c r="BN365" s="27" t="n">
        <f aca="false">MIN(AR364*(1+K$8),MAX(BD365,$B$12-SUM(BE365:BM365)))</f>
        <v>0</v>
      </c>
    </row>
    <row r="366" customFormat="false" ht="15" hidden="false" customHeight="false" outlineLevel="0" collapsed="false">
      <c r="A366" s="0" t="n">
        <v>352</v>
      </c>
      <c r="B366" s="27" t="n">
        <f aca="false">ROUND(MAX(0,B365*(1+B$8)-X366),2)</f>
        <v>0</v>
      </c>
      <c r="C366" s="27" t="n">
        <f aca="false">ROUND(MAX(0,C365*(1+C$8)-Y366),2)</f>
        <v>0</v>
      </c>
      <c r="D366" s="27" t="n">
        <f aca="false">ROUND(MAX(0,D365*(1+D$8)-Z366),2)</f>
        <v>0</v>
      </c>
      <c r="E366" s="27" t="n">
        <f aca="false">ROUND(MAX(0,E365*(1+E$8)-AA366),2)</f>
        <v>0</v>
      </c>
      <c r="F366" s="27" t="n">
        <f aca="false">ROUND(MAX(0,F365*(1+F$8)-AB366),2)</f>
        <v>0</v>
      </c>
      <c r="G366" s="27" t="n">
        <f aca="false">ROUND(MAX(0,G365*(1+G$8)-AC366),2)</f>
        <v>0</v>
      </c>
      <c r="H366" s="27" t="n">
        <f aca="false">ROUND(MAX(0,H365*(1+H$8)-AD366),2)</f>
        <v>0</v>
      </c>
      <c r="I366" s="27" t="n">
        <f aca="false">ROUND(MAX(0,I365*(1+I$8)-AE366),2)</f>
        <v>0</v>
      </c>
      <c r="J366" s="27" t="n">
        <f aca="false">ROUND(MAX(0,J365*(1+J$8)-AF366),2)</f>
        <v>0</v>
      </c>
      <c r="K366" s="27" t="n">
        <f aca="false">ROUND(MAX(0,K365*(1+K$8)-AG366),2)</f>
        <v>0</v>
      </c>
      <c r="L366" s="30" t="n">
        <f aca="false">SUM(B366:K366)</f>
        <v>0</v>
      </c>
      <c r="M366" s="27" t="n">
        <f aca="false">SUMPRODUCT(B365:K365,$B$8:$K$8)</f>
        <v>0</v>
      </c>
      <c r="N366" s="27" t="n">
        <f aca="false">MIN(B365*(1+B$8),B$9)</f>
        <v>0</v>
      </c>
      <c r="O366" s="27" t="n">
        <f aca="false">MIN(C365*(1+C$8),C$9)</f>
        <v>0</v>
      </c>
      <c r="P366" s="27" t="n">
        <f aca="false">MIN(D365*(1+D$8),D$9)</f>
        <v>0</v>
      </c>
      <c r="Q366" s="27" t="n">
        <f aca="false">MIN(E365*(1+E$8),E$9)</f>
        <v>0</v>
      </c>
      <c r="R366" s="27" t="n">
        <f aca="false">MIN(F365*(1+F$8),F$9)</f>
        <v>0</v>
      </c>
      <c r="S366" s="27" t="n">
        <f aca="false">MIN(G365*(1+G$8),G$9)</f>
        <v>0</v>
      </c>
      <c r="T366" s="27" t="n">
        <f aca="false">MIN(H365*(1+H$8),H$9)</f>
        <v>0</v>
      </c>
      <c r="U366" s="27" t="n">
        <f aca="false">MIN(I365*(1+I$8),I$9)</f>
        <v>0</v>
      </c>
      <c r="V366" s="27" t="n">
        <f aca="false">MIN(J365*(1+J$8),J$9)</f>
        <v>0</v>
      </c>
      <c r="W366" s="27" t="n">
        <f aca="false">MIN(K365*(1+K$8),K$9)</f>
        <v>0</v>
      </c>
      <c r="X366" s="27" t="n">
        <f aca="false">MIN(B365*(1+B$8),MAX(N366,$B$11-SUM(O366:W366)))</f>
        <v>0</v>
      </c>
      <c r="Y366" s="27" t="n">
        <f aca="false">MIN(C365*(1+C$8),MAX(O366,$B$11-SUM(X366:X366)-SUM(P366:W366)))</f>
        <v>0</v>
      </c>
      <c r="Z366" s="27" t="n">
        <f aca="false">MIN(D365*(1+D$8),MAX(P366,$B$11-SUM(X366:Y366)-SUM(Q366:W366)))</f>
        <v>0</v>
      </c>
      <c r="AA366" s="27" t="n">
        <f aca="false">MIN(E365*(1+E$8),MAX(Q366,$B$11-SUM(X366:Z366)-SUM(R366:W366)))</f>
        <v>0</v>
      </c>
      <c r="AB366" s="27" t="n">
        <f aca="false">MIN(F365*(1+F$8),MAX(R366,$B$11-SUM(X366:AA366)-SUM(S366:W366)))</f>
        <v>0</v>
      </c>
      <c r="AC366" s="27" t="n">
        <f aca="false">MIN(G365*(1+G$8),MAX(S366,$B$11-SUM(X366:AB366)-SUM(T366:W366)))</f>
        <v>0</v>
      </c>
      <c r="AD366" s="27" t="n">
        <f aca="false">MIN(H365*(1+H$8),MAX(T366,$B$11-SUM(X366:AC366)-SUM(U366:W366)))</f>
        <v>0</v>
      </c>
      <c r="AE366" s="27" t="n">
        <f aca="false">MIN(I365*(1+I$8),MAX(U366,$B$11-SUM(X366:AD366)-SUM(V366:W366)))</f>
        <v>0</v>
      </c>
      <c r="AF366" s="27" t="n">
        <f aca="false">MIN(J365*(1+J$8),MAX(V366,$B$11-SUM(X366:AE366)-SUM(W366:W366)))</f>
        <v>0</v>
      </c>
      <c r="AG366" s="27" t="n">
        <f aca="false">MIN(K365*(1+K$8),MAX(W366,$B$11-SUM(X366:AF366)))</f>
        <v>0</v>
      </c>
      <c r="AI366" s="27" t="n">
        <f aca="false">ROUND(MAX(0,AI365*(1+B$8)-BE366),2)</f>
        <v>0</v>
      </c>
      <c r="AJ366" s="27" t="n">
        <f aca="false">ROUND(MAX(0,AJ365*(1+C$8)-BF366),2)</f>
        <v>0</v>
      </c>
      <c r="AK366" s="27" t="n">
        <f aca="false">ROUND(MAX(0,AK365*(1+D$8)-BG366),2)</f>
        <v>0</v>
      </c>
      <c r="AL366" s="27" t="n">
        <f aca="false">ROUND(MAX(0,AL365*(1+E$8)-BH366),2)</f>
        <v>0</v>
      </c>
      <c r="AM366" s="27" t="n">
        <f aca="false">ROUND(MAX(0,AM365*(1+F$8)-BI366),2)</f>
        <v>0</v>
      </c>
      <c r="AN366" s="27" t="n">
        <f aca="false">ROUND(MAX(0,AN365*(1+G$8)-BJ366),2)</f>
        <v>0</v>
      </c>
      <c r="AO366" s="27" t="n">
        <f aca="false">ROUND(MAX(0,AO365*(1+H$8)-BK366),2)</f>
        <v>0</v>
      </c>
      <c r="AP366" s="27" t="n">
        <f aca="false">ROUND(MAX(0,AP365*(1+I$8)-BL366),2)</f>
        <v>0</v>
      </c>
      <c r="AQ366" s="27" t="n">
        <f aca="false">ROUND(MAX(0,AQ365*(1+J$8)-BM366),2)</f>
        <v>0</v>
      </c>
      <c r="AR366" s="27" t="n">
        <f aca="false">ROUND(MAX(0,AR365*(1+K$8)-BN366),2)</f>
        <v>0</v>
      </c>
      <c r="AS366" s="27" t="n">
        <f aca="false">SUM(AI366:AR366)</f>
        <v>0</v>
      </c>
      <c r="AT366" s="27" t="n">
        <f aca="false">SUMPRODUCT(AI365:AR365,$B$8:$K$8)</f>
        <v>0</v>
      </c>
      <c r="AU366" s="27" t="n">
        <f aca="false">MIN(AI365*(1+B$8),B$9)</f>
        <v>0</v>
      </c>
      <c r="AV366" s="27" t="n">
        <f aca="false">MIN(AJ365*(1+C$8),C$9)</f>
        <v>0</v>
      </c>
      <c r="AW366" s="27" t="n">
        <f aca="false">MIN(AK365*(1+D$8),D$9)</f>
        <v>0</v>
      </c>
      <c r="AX366" s="27" t="n">
        <f aca="false">MIN(AL365*(1+E$8),E$9)</f>
        <v>0</v>
      </c>
      <c r="AY366" s="27" t="n">
        <f aca="false">MIN(AM365*(1+F$8),F$9)</f>
        <v>0</v>
      </c>
      <c r="AZ366" s="27" t="n">
        <f aca="false">MIN(AN365*(1+G$8),G$9)</f>
        <v>0</v>
      </c>
      <c r="BA366" s="27" t="n">
        <f aca="false">MIN(AO365*(1+H$8),H$9)</f>
        <v>0</v>
      </c>
      <c r="BB366" s="27" t="n">
        <f aca="false">MIN(AP365*(1+I$8),I$9)</f>
        <v>0</v>
      </c>
      <c r="BC366" s="27" t="n">
        <f aca="false">MIN(AQ365*(1+J$8),J$9)</f>
        <v>0</v>
      </c>
      <c r="BD366" s="27" t="n">
        <f aca="false">MIN(AR365*(1+K$8),K$9)</f>
        <v>0</v>
      </c>
      <c r="BE366" s="27" t="n">
        <f aca="false">MIN(AI365*(1+B$8),MAX(AU366,$B$12-SUM(AV366:BD366)))</f>
        <v>0</v>
      </c>
      <c r="BF366" s="27" t="n">
        <f aca="false">MIN(AJ365*(1+C$8),MAX(AV366,$B$12-SUM(BE366:BE366)-SUM(AW366:BD366)))</f>
        <v>0</v>
      </c>
      <c r="BG366" s="27" t="n">
        <f aca="false">MIN(AK365*(1+D$8),MAX(AW366,$B$12-SUM(BE366:BF366)-SUM(AX366:BD366)))</f>
        <v>0</v>
      </c>
      <c r="BH366" s="27" t="n">
        <f aca="false">MIN(AL365*(1+E$8),MAX(AX366,$B$12-SUM(BE366:BG366)-SUM(AY366:BD366)))</f>
        <v>0</v>
      </c>
      <c r="BI366" s="27" t="n">
        <f aca="false">MIN(AM365*(1+F$8),MAX(AY366,$B$12-SUM(BE366:BH366)-SUM(AZ366:BD366)))</f>
        <v>0</v>
      </c>
      <c r="BJ366" s="27" t="n">
        <f aca="false">MIN(AN365*(1+G$8),MAX(AZ366,$B$12-SUM(BE366:BI366)-SUM(BA366:BD366)))</f>
        <v>0</v>
      </c>
      <c r="BK366" s="27" t="n">
        <f aca="false">MIN(AO365*(1+H$8),MAX(BA366,$B$12-SUM(BE366:BJ366)-SUM(BB366:BD366)))</f>
        <v>0</v>
      </c>
      <c r="BL366" s="27" t="n">
        <f aca="false">MIN(AP365*(1+I$8),MAX(BB366,$B$12-SUM(BE366:BK366)-SUM(BC366:BD366)))</f>
        <v>0</v>
      </c>
      <c r="BM366" s="27" t="n">
        <f aca="false">MIN(AQ365*(1+J$8),MAX(BC366,$B$12-SUM(BE366:BL366)-SUM(BD366:BD366)))</f>
        <v>0</v>
      </c>
      <c r="BN366" s="27" t="n">
        <f aca="false">MIN(AR365*(1+K$8),MAX(BD366,$B$12-SUM(BE366:BM366)))</f>
        <v>0</v>
      </c>
    </row>
    <row r="367" customFormat="false" ht="15" hidden="false" customHeight="false" outlineLevel="0" collapsed="false">
      <c r="A367" s="0" t="n">
        <v>353</v>
      </c>
      <c r="B367" s="27" t="n">
        <f aca="false">ROUND(MAX(0,B366*(1+B$8)-X367),2)</f>
        <v>0</v>
      </c>
      <c r="C367" s="27" t="n">
        <f aca="false">ROUND(MAX(0,C366*(1+C$8)-Y367),2)</f>
        <v>0</v>
      </c>
      <c r="D367" s="27" t="n">
        <f aca="false">ROUND(MAX(0,D366*(1+D$8)-Z367),2)</f>
        <v>0</v>
      </c>
      <c r="E367" s="27" t="n">
        <f aca="false">ROUND(MAX(0,E366*(1+E$8)-AA367),2)</f>
        <v>0</v>
      </c>
      <c r="F367" s="27" t="n">
        <f aca="false">ROUND(MAX(0,F366*(1+F$8)-AB367),2)</f>
        <v>0</v>
      </c>
      <c r="G367" s="27" t="n">
        <f aca="false">ROUND(MAX(0,G366*(1+G$8)-AC367),2)</f>
        <v>0</v>
      </c>
      <c r="H367" s="27" t="n">
        <f aca="false">ROUND(MAX(0,H366*(1+H$8)-AD367),2)</f>
        <v>0</v>
      </c>
      <c r="I367" s="27" t="n">
        <f aca="false">ROUND(MAX(0,I366*(1+I$8)-AE367),2)</f>
        <v>0</v>
      </c>
      <c r="J367" s="27" t="n">
        <f aca="false">ROUND(MAX(0,J366*(1+J$8)-AF367),2)</f>
        <v>0</v>
      </c>
      <c r="K367" s="27" t="n">
        <f aca="false">ROUND(MAX(0,K366*(1+K$8)-AG367),2)</f>
        <v>0</v>
      </c>
      <c r="L367" s="30" t="n">
        <f aca="false">SUM(B367:K367)</f>
        <v>0</v>
      </c>
      <c r="M367" s="27" t="n">
        <f aca="false">SUMPRODUCT(B366:K366,$B$8:$K$8)</f>
        <v>0</v>
      </c>
      <c r="N367" s="27" t="n">
        <f aca="false">MIN(B366*(1+B$8),B$9)</f>
        <v>0</v>
      </c>
      <c r="O367" s="27" t="n">
        <f aca="false">MIN(C366*(1+C$8),C$9)</f>
        <v>0</v>
      </c>
      <c r="P367" s="27" t="n">
        <f aca="false">MIN(D366*(1+D$8),D$9)</f>
        <v>0</v>
      </c>
      <c r="Q367" s="27" t="n">
        <f aca="false">MIN(E366*(1+E$8),E$9)</f>
        <v>0</v>
      </c>
      <c r="R367" s="27" t="n">
        <f aca="false">MIN(F366*(1+F$8),F$9)</f>
        <v>0</v>
      </c>
      <c r="S367" s="27" t="n">
        <f aca="false">MIN(G366*(1+G$8),G$9)</f>
        <v>0</v>
      </c>
      <c r="T367" s="27" t="n">
        <f aca="false">MIN(H366*(1+H$8),H$9)</f>
        <v>0</v>
      </c>
      <c r="U367" s="27" t="n">
        <f aca="false">MIN(I366*(1+I$8),I$9)</f>
        <v>0</v>
      </c>
      <c r="V367" s="27" t="n">
        <f aca="false">MIN(J366*(1+J$8),J$9)</f>
        <v>0</v>
      </c>
      <c r="W367" s="27" t="n">
        <f aca="false">MIN(K366*(1+K$8),K$9)</f>
        <v>0</v>
      </c>
      <c r="X367" s="27" t="n">
        <f aca="false">MIN(B366*(1+B$8),MAX(N367,$B$11-SUM(O367:W367)))</f>
        <v>0</v>
      </c>
      <c r="Y367" s="27" t="n">
        <f aca="false">MIN(C366*(1+C$8),MAX(O367,$B$11-SUM(X367:X367)-SUM(P367:W367)))</f>
        <v>0</v>
      </c>
      <c r="Z367" s="27" t="n">
        <f aca="false">MIN(D366*(1+D$8),MAX(P367,$B$11-SUM(X367:Y367)-SUM(Q367:W367)))</f>
        <v>0</v>
      </c>
      <c r="AA367" s="27" t="n">
        <f aca="false">MIN(E366*(1+E$8),MAX(Q367,$B$11-SUM(X367:Z367)-SUM(R367:W367)))</f>
        <v>0</v>
      </c>
      <c r="AB367" s="27" t="n">
        <f aca="false">MIN(F366*(1+F$8),MAX(R367,$B$11-SUM(X367:AA367)-SUM(S367:W367)))</f>
        <v>0</v>
      </c>
      <c r="AC367" s="27" t="n">
        <f aca="false">MIN(G366*(1+G$8),MAX(S367,$B$11-SUM(X367:AB367)-SUM(T367:W367)))</f>
        <v>0</v>
      </c>
      <c r="AD367" s="27" t="n">
        <f aca="false">MIN(H366*(1+H$8),MAX(T367,$B$11-SUM(X367:AC367)-SUM(U367:W367)))</f>
        <v>0</v>
      </c>
      <c r="AE367" s="27" t="n">
        <f aca="false">MIN(I366*(1+I$8),MAX(U367,$B$11-SUM(X367:AD367)-SUM(V367:W367)))</f>
        <v>0</v>
      </c>
      <c r="AF367" s="27" t="n">
        <f aca="false">MIN(J366*(1+J$8),MAX(V367,$B$11-SUM(X367:AE367)-SUM(W367:W367)))</f>
        <v>0</v>
      </c>
      <c r="AG367" s="27" t="n">
        <f aca="false">MIN(K366*(1+K$8),MAX(W367,$B$11-SUM(X367:AF367)))</f>
        <v>0</v>
      </c>
      <c r="AI367" s="27" t="n">
        <f aca="false">ROUND(MAX(0,AI366*(1+B$8)-BE367),2)</f>
        <v>0</v>
      </c>
      <c r="AJ367" s="27" t="n">
        <f aca="false">ROUND(MAX(0,AJ366*(1+C$8)-BF367),2)</f>
        <v>0</v>
      </c>
      <c r="AK367" s="27" t="n">
        <f aca="false">ROUND(MAX(0,AK366*(1+D$8)-BG367),2)</f>
        <v>0</v>
      </c>
      <c r="AL367" s="27" t="n">
        <f aca="false">ROUND(MAX(0,AL366*(1+E$8)-BH367),2)</f>
        <v>0</v>
      </c>
      <c r="AM367" s="27" t="n">
        <f aca="false">ROUND(MAX(0,AM366*(1+F$8)-BI367),2)</f>
        <v>0</v>
      </c>
      <c r="AN367" s="27" t="n">
        <f aca="false">ROUND(MAX(0,AN366*(1+G$8)-BJ367),2)</f>
        <v>0</v>
      </c>
      <c r="AO367" s="27" t="n">
        <f aca="false">ROUND(MAX(0,AO366*(1+H$8)-BK367),2)</f>
        <v>0</v>
      </c>
      <c r="AP367" s="27" t="n">
        <f aca="false">ROUND(MAX(0,AP366*(1+I$8)-BL367),2)</f>
        <v>0</v>
      </c>
      <c r="AQ367" s="27" t="n">
        <f aca="false">ROUND(MAX(0,AQ366*(1+J$8)-BM367),2)</f>
        <v>0</v>
      </c>
      <c r="AR367" s="27" t="n">
        <f aca="false">ROUND(MAX(0,AR366*(1+K$8)-BN367),2)</f>
        <v>0</v>
      </c>
      <c r="AS367" s="27" t="n">
        <f aca="false">SUM(AI367:AR367)</f>
        <v>0</v>
      </c>
      <c r="AT367" s="27" t="n">
        <f aca="false">SUMPRODUCT(AI366:AR366,$B$8:$K$8)</f>
        <v>0</v>
      </c>
      <c r="AU367" s="27" t="n">
        <f aca="false">MIN(AI366*(1+B$8),B$9)</f>
        <v>0</v>
      </c>
      <c r="AV367" s="27" t="n">
        <f aca="false">MIN(AJ366*(1+C$8),C$9)</f>
        <v>0</v>
      </c>
      <c r="AW367" s="27" t="n">
        <f aca="false">MIN(AK366*(1+D$8),D$9)</f>
        <v>0</v>
      </c>
      <c r="AX367" s="27" t="n">
        <f aca="false">MIN(AL366*(1+E$8),E$9)</f>
        <v>0</v>
      </c>
      <c r="AY367" s="27" t="n">
        <f aca="false">MIN(AM366*(1+F$8),F$9)</f>
        <v>0</v>
      </c>
      <c r="AZ367" s="27" t="n">
        <f aca="false">MIN(AN366*(1+G$8),G$9)</f>
        <v>0</v>
      </c>
      <c r="BA367" s="27" t="n">
        <f aca="false">MIN(AO366*(1+H$8),H$9)</f>
        <v>0</v>
      </c>
      <c r="BB367" s="27" t="n">
        <f aca="false">MIN(AP366*(1+I$8),I$9)</f>
        <v>0</v>
      </c>
      <c r="BC367" s="27" t="n">
        <f aca="false">MIN(AQ366*(1+J$8),J$9)</f>
        <v>0</v>
      </c>
      <c r="BD367" s="27" t="n">
        <f aca="false">MIN(AR366*(1+K$8),K$9)</f>
        <v>0</v>
      </c>
      <c r="BE367" s="27" t="n">
        <f aca="false">MIN(AI366*(1+B$8),MAX(AU367,$B$12-SUM(AV367:BD367)))</f>
        <v>0</v>
      </c>
      <c r="BF367" s="27" t="n">
        <f aca="false">MIN(AJ366*(1+C$8),MAX(AV367,$B$12-SUM(BE367:BE367)-SUM(AW367:BD367)))</f>
        <v>0</v>
      </c>
      <c r="BG367" s="27" t="n">
        <f aca="false">MIN(AK366*(1+D$8),MAX(AW367,$B$12-SUM(BE367:BF367)-SUM(AX367:BD367)))</f>
        <v>0</v>
      </c>
      <c r="BH367" s="27" t="n">
        <f aca="false">MIN(AL366*(1+E$8),MAX(AX367,$B$12-SUM(BE367:BG367)-SUM(AY367:BD367)))</f>
        <v>0</v>
      </c>
      <c r="BI367" s="27" t="n">
        <f aca="false">MIN(AM366*(1+F$8),MAX(AY367,$B$12-SUM(BE367:BH367)-SUM(AZ367:BD367)))</f>
        <v>0</v>
      </c>
      <c r="BJ367" s="27" t="n">
        <f aca="false">MIN(AN366*(1+G$8),MAX(AZ367,$B$12-SUM(BE367:BI367)-SUM(BA367:BD367)))</f>
        <v>0</v>
      </c>
      <c r="BK367" s="27" t="n">
        <f aca="false">MIN(AO366*(1+H$8),MAX(BA367,$B$12-SUM(BE367:BJ367)-SUM(BB367:BD367)))</f>
        <v>0</v>
      </c>
      <c r="BL367" s="27" t="n">
        <f aca="false">MIN(AP366*(1+I$8),MAX(BB367,$B$12-SUM(BE367:BK367)-SUM(BC367:BD367)))</f>
        <v>0</v>
      </c>
      <c r="BM367" s="27" t="n">
        <f aca="false">MIN(AQ366*(1+J$8),MAX(BC367,$B$12-SUM(BE367:BL367)-SUM(BD367:BD367)))</f>
        <v>0</v>
      </c>
      <c r="BN367" s="27" t="n">
        <f aca="false">MIN(AR366*(1+K$8),MAX(BD367,$B$12-SUM(BE367:BM367)))</f>
        <v>0</v>
      </c>
    </row>
    <row r="368" customFormat="false" ht="15" hidden="false" customHeight="false" outlineLevel="0" collapsed="false">
      <c r="A368" s="0" t="n">
        <v>354</v>
      </c>
      <c r="B368" s="27" t="n">
        <f aca="false">ROUND(MAX(0,B367*(1+B$8)-X368),2)</f>
        <v>0</v>
      </c>
      <c r="C368" s="27" t="n">
        <f aca="false">ROUND(MAX(0,C367*(1+C$8)-Y368),2)</f>
        <v>0</v>
      </c>
      <c r="D368" s="27" t="n">
        <f aca="false">ROUND(MAX(0,D367*(1+D$8)-Z368),2)</f>
        <v>0</v>
      </c>
      <c r="E368" s="27" t="n">
        <f aca="false">ROUND(MAX(0,E367*(1+E$8)-AA368),2)</f>
        <v>0</v>
      </c>
      <c r="F368" s="27" t="n">
        <f aca="false">ROUND(MAX(0,F367*(1+F$8)-AB368),2)</f>
        <v>0</v>
      </c>
      <c r="G368" s="27" t="n">
        <f aca="false">ROUND(MAX(0,G367*(1+G$8)-AC368),2)</f>
        <v>0</v>
      </c>
      <c r="H368" s="27" t="n">
        <f aca="false">ROUND(MAX(0,H367*(1+H$8)-AD368),2)</f>
        <v>0</v>
      </c>
      <c r="I368" s="27" t="n">
        <f aca="false">ROUND(MAX(0,I367*(1+I$8)-AE368),2)</f>
        <v>0</v>
      </c>
      <c r="J368" s="27" t="n">
        <f aca="false">ROUND(MAX(0,J367*(1+J$8)-AF368),2)</f>
        <v>0</v>
      </c>
      <c r="K368" s="27" t="n">
        <f aca="false">ROUND(MAX(0,K367*(1+K$8)-AG368),2)</f>
        <v>0</v>
      </c>
      <c r="L368" s="30" t="n">
        <f aca="false">SUM(B368:K368)</f>
        <v>0</v>
      </c>
      <c r="M368" s="27" t="n">
        <f aca="false">SUMPRODUCT(B367:K367,$B$8:$K$8)</f>
        <v>0</v>
      </c>
      <c r="N368" s="27" t="n">
        <f aca="false">MIN(B367*(1+B$8),B$9)</f>
        <v>0</v>
      </c>
      <c r="O368" s="27" t="n">
        <f aca="false">MIN(C367*(1+C$8),C$9)</f>
        <v>0</v>
      </c>
      <c r="P368" s="27" t="n">
        <f aca="false">MIN(D367*(1+D$8),D$9)</f>
        <v>0</v>
      </c>
      <c r="Q368" s="27" t="n">
        <f aca="false">MIN(E367*(1+E$8),E$9)</f>
        <v>0</v>
      </c>
      <c r="R368" s="27" t="n">
        <f aca="false">MIN(F367*(1+F$8),F$9)</f>
        <v>0</v>
      </c>
      <c r="S368" s="27" t="n">
        <f aca="false">MIN(G367*(1+G$8),G$9)</f>
        <v>0</v>
      </c>
      <c r="T368" s="27" t="n">
        <f aca="false">MIN(H367*(1+H$8),H$9)</f>
        <v>0</v>
      </c>
      <c r="U368" s="27" t="n">
        <f aca="false">MIN(I367*(1+I$8),I$9)</f>
        <v>0</v>
      </c>
      <c r="V368" s="27" t="n">
        <f aca="false">MIN(J367*(1+J$8),J$9)</f>
        <v>0</v>
      </c>
      <c r="W368" s="27" t="n">
        <f aca="false">MIN(K367*(1+K$8),K$9)</f>
        <v>0</v>
      </c>
      <c r="X368" s="27" t="n">
        <f aca="false">MIN(B367*(1+B$8),MAX(N368,$B$11-SUM(O368:W368)))</f>
        <v>0</v>
      </c>
      <c r="Y368" s="27" t="n">
        <f aca="false">MIN(C367*(1+C$8),MAX(O368,$B$11-SUM(X368:X368)-SUM(P368:W368)))</f>
        <v>0</v>
      </c>
      <c r="Z368" s="27" t="n">
        <f aca="false">MIN(D367*(1+D$8),MAX(P368,$B$11-SUM(X368:Y368)-SUM(Q368:W368)))</f>
        <v>0</v>
      </c>
      <c r="AA368" s="27" t="n">
        <f aca="false">MIN(E367*(1+E$8),MAX(Q368,$B$11-SUM(X368:Z368)-SUM(R368:W368)))</f>
        <v>0</v>
      </c>
      <c r="AB368" s="27" t="n">
        <f aca="false">MIN(F367*(1+F$8),MAX(R368,$B$11-SUM(X368:AA368)-SUM(S368:W368)))</f>
        <v>0</v>
      </c>
      <c r="AC368" s="27" t="n">
        <f aca="false">MIN(G367*(1+G$8),MAX(S368,$B$11-SUM(X368:AB368)-SUM(T368:W368)))</f>
        <v>0</v>
      </c>
      <c r="AD368" s="27" t="n">
        <f aca="false">MIN(H367*(1+H$8),MAX(T368,$B$11-SUM(X368:AC368)-SUM(U368:W368)))</f>
        <v>0</v>
      </c>
      <c r="AE368" s="27" t="n">
        <f aca="false">MIN(I367*(1+I$8),MAX(U368,$B$11-SUM(X368:AD368)-SUM(V368:W368)))</f>
        <v>0</v>
      </c>
      <c r="AF368" s="27" t="n">
        <f aca="false">MIN(J367*(1+J$8),MAX(V368,$B$11-SUM(X368:AE368)-SUM(W368:W368)))</f>
        <v>0</v>
      </c>
      <c r="AG368" s="27" t="n">
        <f aca="false">MIN(K367*(1+K$8),MAX(W368,$B$11-SUM(X368:AF368)))</f>
        <v>0</v>
      </c>
      <c r="AI368" s="27" t="n">
        <f aca="false">ROUND(MAX(0,AI367*(1+B$8)-BE368),2)</f>
        <v>0</v>
      </c>
      <c r="AJ368" s="27" t="n">
        <f aca="false">ROUND(MAX(0,AJ367*(1+C$8)-BF368),2)</f>
        <v>0</v>
      </c>
      <c r="AK368" s="27" t="n">
        <f aca="false">ROUND(MAX(0,AK367*(1+D$8)-BG368),2)</f>
        <v>0</v>
      </c>
      <c r="AL368" s="27" t="n">
        <f aca="false">ROUND(MAX(0,AL367*(1+E$8)-BH368),2)</f>
        <v>0</v>
      </c>
      <c r="AM368" s="27" t="n">
        <f aca="false">ROUND(MAX(0,AM367*(1+F$8)-BI368),2)</f>
        <v>0</v>
      </c>
      <c r="AN368" s="27" t="n">
        <f aca="false">ROUND(MAX(0,AN367*(1+G$8)-BJ368),2)</f>
        <v>0</v>
      </c>
      <c r="AO368" s="27" t="n">
        <f aca="false">ROUND(MAX(0,AO367*(1+H$8)-BK368),2)</f>
        <v>0</v>
      </c>
      <c r="AP368" s="27" t="n">
        <f aca="false">ROUND(MAX(0,AP367*(1+I$8)-BL368),2)</f>
        <v>0</v>
      </c>
      <c r="AQ368" s="27" t="n">
        <f aca="false">ROUND(MAX(0,AQ367*(1+J$8)-BM368),2)</f>
        <v>0</v>
      </c>
      <c r="AR368" s="27" t="n">
        <f aca="false">ROUND(MAX(0,AR367*(1+K$8)-BN368),2)</f>
        <v>0</v>
      </c>
      <c r="AS368" s="27" t="n">
        <f aca="false">SUM(AI368:AR368)</f>
        <v>0</v>
      </c>
      <c r="AT368" s="27" t="n">
        <f aca="false">SUMPRODUCT(AI367:AR367,$B$8:$K$8)</f>
        <v>0</v>
      </c>
      <c r="AU368" s="27" t="n">
        <f aca="false">MIN(AI367*(1+B$8),B$9)</f>
        <v>0</v>
      </c>
      <c r="AV368" s="27" t="n">
        <f aca="false">MIN(AJ367*(1+C$8),C$9)</f>
        <v>0</v>
      </c>
      <c r="AW368" s="27" t="n">
        <f aca="false">MIN(AK367*(1+D$8),D$9)</f>
        <v>0</v>
      </c>
      <c r="AX368" s="27" t="n">
        <f aca="false">MIN(AL367*(1+E$8),E$9)</f>
        <v>0</v>
      </c>
      <c r="AY368" s="27" t="n">
        <f aca="false">MIN(AM367*(1+F$8),F$9)</f>
        <v>0</v>
      </c>
      <c r="AZ368" s="27" t="n">
        <f aca="false">MIN(AN367*(1+G$8),G$9)</f>
        <v>0</v>
      </c>
      <c r="BA368" s="27" t="n">
        <f aca="false">MIN(AO367*(1+H$8),H$9)</f>
        <v>0</v>
      </c>
      <c r="BB368" s="27" t="n">
        <f aca="false">MIN(AP367*(1+I$8),I$9)</f>
        <v>0</v>
      </c>
      <c r="BC368" s="27" t="n">
        <f aca="false">MIN(AQ367*(1+J$8),J$9)</f>
        <v>0</v>
      </c>
      <c r="BD368" s="27" t="n">
        <f aca="false">MIN(AR367*(1+K$8),K$9)</f>
        <v>0</v>
      </c>
      <c r="BE368" s="27" t="n">
        <f aca="false">MIN(AI367*(1+B$8),MAX(AU368,$B$12-SUM(AV368:BD368)))</f>
        <v>0</v>
      </c>
      <c r="BF368" s="27" t="n">
        <f aca="false">MIN(AJ367*(1+C$8),MAX(AV368,$B$12-SUM(BE368:BE368)-SUM(AW368:BD368)))</f>
        <v>0</v>
      </c>
      <c r="BG368" s="27" t="n">
        <f aca="false">MIN(AK367*(1+D$8),MAX(AW368,$B$12-SUM(BE368:BF368)-SUM(AX368:BD368)))</f>
        <v>0</v>
      </c>
      <c r="BH368" s="27" t="n">
        <f aca="false">MIN(AL367*(1+E$8),MAX(AX368,$B$12-SUM(BE368:BG368)-SUM(AY368:BD368)))</f>
        <v>0</v>
      </c>
      <c r="BI368" s="27" t="n">
        <f aca="false">MIN(AM367*(1+F$8),MAX(AY368,$B$12-SUM(BE368:BH368)-SUM(AZ368:BD368)))</f>
        <v>0</v>
      </c>
      <c r="BJ368" s="27" t="n">
        <f aca="false">MIN(AN367*(1+G$8),MAX(AZ368,$B$12-SUM(BE368:BI368)-SUM(BA368:BD368)))</f>
        <v>0</v>
      </c>
      <c r="BK368" s="27" t="n">
        <f aca="false">MIN(AO367*(1+H$8),MAX(BA368,$B$12-SUM(BE368:BJ368)-SUM(BB368:BD368)))</f>
        <v>0</v>
      </c>
      <c r="BL368" s="27" t="n">
        <f aca="false">MIN(AP367*(1+I$8),MAX(BB368,$B$12-SUM(BE368:BK368)-SUM(BC368:BD368)))</f>
        <v>0</v>
      </c>
      <c r="BM368" s="27" t="n">
        <f aca="false">MIN(AQ367*(1+J$8),MAX(BC368,$B$12-SUM(BE368:BL368)-SUM(BD368:BD368)))</f>
        <v>0</v>
      </c>
      <c r="BN368" s="27" t="n">
        <f aca="false">MIN(AR367*(1+K$8),MAX(BD368,$B$12-SUM(BE368:BM368)))</f>
        <v>0</v>
      </c>
    </row>
    <row r="369" customFormat="false" ht="15" hidden="false" customHeight="false" outlineLevel="0" collapsed="false">
      <c r="A369" s="0" t="n">
        <v>355</v>
      </c>
      <c r="B369" s="27" t="n">
        <f aca="false">ROUND(MAX(0,B368*(1+B$8)-X369),2)</f>
        <v>0</v>
      </c>
      <c r="C369" s="27" t="n">
        <f aca="false">ROUND(MAX(0,C368*(1+C$8)-Y369),2)</f>
        <v>0</v>
      </c>
      <c r="D369" s="27" t="n">
        <f aca="false">ROUND(MAX(0,D368*(1+D$8)-Z369),2)</f>
        <v>0</v>
      </c>
      <c r="E369" s="27" t="n">
        <f aca="false">ROUND(MAX(0,E368*(1+E$8)-AA369),2)</f>
        <v>0</v>
      </c>
      <c r="F369" s="27" t="n">
        <f aca="false">ROUND(MAX(0,F368*(1+F$8)-AB369),2)</f>
        <v>0</v>
      </c>
      <c r="G369" s="27" t="n">
        <f aca="false">ROUND(MAX(0,G368*(1+G$8)-AC369),2)</f>
        <v>0</v>
      </c>
      <c r="H369" s="27" t="n">
        <f aca="false">ROUND(MAX(0,H368*(1+H$8)-AD369),2)</f>
        <v>0</v>
      </c>
      <c r="I369" s="27" t="n">
        <f aca="false">ROUND(MAX(0,I368*(1+I$8)-AE369),2)</f>
        <v>0</v>
      </c>
      <c r="J369" s="27" t="n">
        <f aca="false">ROUND(MAX(0,J368*(1+J$8)-AF369),2)</f>
        <v>0</v>
      </c>
      <c r="K369" s="27" t="n">
        <f aca="false">ROUND(MAX(0,K368*(1+K$8)-AG369),2)</f>
        <v>0</v>
      </c>
      <c r="L369" s="30" t="n">
        <f aca="false">SUM(B369:K369)</f>
        <v>0</v>
      </c>
      <c r="M369" s="27" t="n">
        <f aca="false">SUMPRODUCT(B368:K368,$B$8:$K$8)</f>
        <v>0</v>
      </c>
      <c r="N369" s="27" t="n">
        <f aca="false">MIN(B368*(1+B$8),B$9)</f>
        <v>0</v>
      </c>
      <c r="O369" s="27" t="n">
        <f aca="false">MIN(C368*(1+C$8),C$9)</f>
        <v>0</v>
      </c>
      <c r="P369" s="27" t="n">
        <f aca="false">MIN(D368*(1+D$8),D$9)</f>
        <v>0</v>
      </c>
      <c r="Q369" s="27" t="n">
        <f aca="false">MIN(E368*(1+E$8),E$9)</f>
        <v>0</v>
      </c>
      <c r="R369" s="27" t="n">
        <f aca="false">MIN(F368*(1+F$8),F$9)</f>
        <v>0</v>
      </c>
      <c r="S369" s="27" t="n">
        <f aca="false">MIN(G368*(1+G$8),G$9)</f>
        <v>0</v>
      </c>
      <c r="T369" s="27" t="n">
        <f aca="false">MIN(H368*(1+H$8),H$9)</f>
        <v>0</v>
      </c>
      <c r="U369" s="27" t="n">
        <f aca="false">MIN(I368*(1+I$8),I$9)</f>
        <v>0</v>
      </c>
      <c r="V369" s="27" t="n">
        <f aca="false">MIN(J368*(1+J$8),J$9)</f>
        <v>0</v>
      </c>
      <c r="W369" s="27" t="n">
        <f aca="false">MIN(K368*(1+K$8),K$9)</f>
        <v>0</v>
      </c>
      <c r="X369" s="27" t="n">
        <f aca="false">MIN(B368*(1+B$8),MAX(N369,$B$11-SUM(O369:W369)))</f>
        <v>0</v>
      </c>
      <c r="Y369" s="27" t="n">
        <f aca="false">MIN(C368*(1+C$8),MAX(O369,$B$11-SUM(X369:X369)-SUM(P369:W369)))</f>
        <v>0</v>
      </c>
      <c r="Z369" s="27" t="n">
        <f aca="false">MIN(D368*(1+D$8),MAX(P369,$B$11-SUM(X369:Y369)-SUM(Q369:W369)))</f>
        <v>0</v>
      </c>
      <c r="AA369" s="27" t="n">
        <f aca="false">MIN(E368*(1+E$8),MAX(Q369,$B$11-SUM(X369:Z369)-SUM(R369:W369)))</f>
        <v>0</v>
      </c>
      <c r="AB369" s="27" t="n">
        <f aca="false">MIN(F368*(1+F$8),MAX(R369,$B$11-SUM(X369:AA369)-SUM(S369:W369)))</f>
        <v>0</v>
      </c>
      <c r="AC369" s="27" t="n">
        <f aca="false">MIN(G368*(1+G$8),MAX(S369,$B$11-SUM(X369:AB369)-SUM(T369:W369)))</f>
        <v>0</v>
      </c>
      <c r="AD369" s="27" t="n">
        <f aca="false">MIN(H368*(1+H$8),MAX(T369,$B$11-SUM(X369:AC369)-SUM(U369:W369)))</f>
        <v>0</v>
      </c>
      <c r="AE369" s="27" t="n">
        <f aca="false">MIN(I368*(1+I$8),MAX(U369,$B$11-SUM(X369:AD369)-SUM(V369:W369)))</f>
        <v>0</v>
      </c>
      <c r="AF369" s="27" t="n">
        <f aca="false">MIN(J368*(1+J$8),MAX(V369,$B$11-SUM(X369:AE369)-SUM(W369:W369)))</f>
        <v>0</v>
      </c>
      <c r="AG369" s="27" t="n">
        <f aca="false">MIN(K368*(1+K$8),MAX(W369,$B$11-SUM(X369:AF369)))</f>
        <v>0</v>
      </c>
      <c r="AI369" s="27" t="n">
        <f aca="false">ROUND(MAX(0,AI368*(1+B$8)-BE369),2)</f>
        <v>0</v>
      </c>
      <c r="AJ369" s="27" t="n">
        <f aca="false">ROUND(MAX(0,AJ368*(1+C$8)-BF369),2)</f>
        <v>0</v>
      </c>
      <c r="AK369" s="27" t="n">
        <f aca="false">ROUND(MAX(0,AK368*(1+D$8)-BG369),2)</f>
        <v>0</v>
      </c>
      <c r="AL369" s="27" t="n">
        <f aca="false">ROUND(MAX(0,AL368*(1+E$8)-BH369),2)</f>
        <v>0</v>
      </c>
      <c r="AM369" s="27" t="n">
        <f aca="false">ROUND(MAX(0,AM368*(1+F$8)-BI369),2)</f>
        <v>0</v>
      </c>
      <c r="AN369" s="27" t="n">
        <f aca="false">ROUND(MAX(0,AN368*(1+G$8)-BJ369),2)</f>
        <v>0</v>
      </c>
      <c r="AO369" s="27" t="n">
        <f aca="false">ROUND(MAX(0,AO368*(1+H$8)-BK369),2)</f>
        <v>0</v>
      </c>
      <c r="AP369" s="27" t="n">
        <f aca="false">ROUND(MAX(0,AP368*(1+I$8)-BL369),2)</f>
        <v>0</v>
      </c>
      <c r="AQ369" s="27" t="n">
        <f aca="false">ROUND(MAX(0,AQ368*(1+J$8)-BM369),2)</f>
        <v>0</v>
      </c>
      <c r="AR369" s="27" t="n">
        <f aca="false">ROUND(MAX(0,AR368*(1+K$8)-BN369),2)</f>
        <v>0</v>
      </c>
      <c r="AS369" s="27" t="n">
        <f aca="false">SUM(AI369:AR369)</f>
        <v>0</v>
      </c>
      <c r="AT369" s="27" t="n">
        <f aca="false">SUMPRODUCT(AI368:AR368,$B$8:$K$8)</f>
        <v>0</v>
      </c>
      <c r="AU369" s="27" t="n">
        <f aca="false">MIN(AI368*(1+B$8),B$9)</f>
        <v>0</v>
      </c>
      <c r="AV369" s="27" t="n">
        <f aca="false">MIN(AJ368*(1+C$8),C$9)</f>
        <v>0</v>
      </c>
      <c r="AW369" s="27" t="n">
        <f aca="false">MIN(AK368*(1+D$8),D$9)</f>
        <v>0</v>
      </c>
      <c r="AX369" s="27" t="n">
        <f aca="false">MIN(AL368*(1+E$8),E$9)</f>
        <v>0</v>
      </c>
      <c r="AY369" s="27" t="n">
        <f aca="false">MIN(AM368*(1+F$8),F$9)</f>
        <v>0</v>
      </c>
      <c r="AZ369" s="27" t="n">
        <f aca="false">MIN(AN368*(1+G$8),G$9)</f>
        <v>0</v>
      </c>
      <c r="BA369" s="27" t="n">
        <f aca="false">MIN(AO368*(1+H$8),H$9)</f>
        <v>0</v>
      </c>
      <c r="BB369" s="27" t="n">
        <f aca="false">MIN(AP368*(1+I$8),I$9)</f>
        <v>0</v>
      </c>
      <c r="BC369" s="27" t="n">
        <f aca="false">MIN(AQ368*(1+J$8),J$9)</f>
        <v>0</v>
      </c>
      <c r="BD369" s="27" t="n">
        <f aca="false">MIN(AR368*(1+K$8),K$9)</f>
        <v>0</v>
      </c>
      <c r="BE369" s="27" t="n">
        <f aca="false">MIN(AI368*(1+B$8),MAX(AU369,$B$12-SUM(AV369:BD369)))</f>
        <v>0</v>
      </c>
      <c r="BF369" s="27" t="n">
        <f aca="false">MIN(AJ368*(1+C$8),MAX(AV369,$B$12-SUM(BE369:BE369)-SUM(AW369:BD369)))</f>
        <v>0</v>
      </c>
      <c r="BG369" s="27" t="n">
        <f aca="false">MIN(AK368*(1+D$8),MAX(AW369,$B$12-SUM(BE369:BF369)-SUM(AX369:BD369)))</f>
        <v>0</v>
      </c>
      <c r="BH369" s="27" t="n">
        <f aca="false">MIN(AL368*(1+E$8),MAX(AX369,$B$12-SUM(BE369:BG369)-SUM(AY369:BD369)))</f>
        <v>0</v>
      </c>
      <c r="BI369" s="27" t="n">
        <f aca="false">MIN(AM368*(1+F$8),MAX(AY369,$B$12-SUM(BE369:BH369)-SUM(AZ369:BD369)))</f>
        <v>0</v>
      </c>
      <c r="BJ369" s="27" t="n">
        <f aca="false">MIN(AN368*(1+G$8),MAX(AZ369,$B$12-SUM(BE369:BI369)-SUM(BA369:BD369)))</f>
        <v>0</v>
      </c>
      <c r="BK369" s="27" t="n">
        <f aca="false">MIN(AO368*(1+H$8),MAX(BA369,$B$12-SUM(BE369:BJ369)-SUM(BB369:BD369)))</f>
        <v>0</v>
      </c>
      <c r="BL369" s="27" t="n">
        <f aca="false">MIN(AP368*(1+I$8),MAX(BB369,$B$12-SUM(BE369:BK369)-SUM(BC369:BD369)))</f>
        <v>0</v>
      </c>
      <c r="BM369" s="27" t="n">
        <f aca="false">MIN(AQ368*(1+J$8),MAX(BC369,$B$12-SUM(BE369:BL369)-SUM(BD369:BD369)))</f>
        <v>0</v>
      </c>
      <c r="BN369" s="27" t="n">
        <f aca="false">MIN(AR368*(1+K$8),MAX(BD369,$B$12-SUM(BE369:BM369)))</f>
        <v>0</v>
      </c>
    </row>
    <row r="370" customFormat="false" ht="15" hidden="false" customHeight="false" outlineLevel="0" collapsed="false">
      <c r="A370" s="0" t="n">
        <v>356</v>
      </c>
      <c r="B370" s="27" t="n">
        <f aca="false">ROUND(MAX(0,B369*(1+B$8)-X370),2)</f>
        <v>0</v>
      </c>
      <c r="C370" s="27" t="n">
        <f aca="false">ROUND(MAX(0,C369*(1+C$8)-Y370),2)</f>
        <v>0</v>
      </c>
      <c r="D370" s="27" t="n">
        <f aca="false">ROUND(MAX(0,D369*(1+D$8)-Z370),2)</f>
        <v>0</v>
      </c>
      <c r="E370" s="27" t="n">
        <f aca="false">ROUND(MAX(0,E369*(1+E$8)-AA370),2)</f>
        <v>0</v>
      </c>
      <c r="F370" s="27" t="n">
        <f aca="false">ROUND(MAX(0,F369*(1+F$8)-AB370),2)</f>
        <v>0</v>
      </c>
      <c r="G370" s="27" t="n">
        <f aca="false">ROUND(MAX(0,G369*(1+G$8)-AC370),2)</f>
        <v>0</v>
      </c>
      <c r="H370" s="27" t="n">
        <f aca="false">ROUND(MAX(0,H369*(1+H$8)-AD370),2)</f>
        <v>0</v>
      </c>
      <c r="I370" s="27" t="n">
        <f aca="false">ROUND(MAX(0,I369*(1+I$8)-AE370),2)</f>
        <v>0</v>
      </c>
      <c r="J370" s="27" t="n">
        <f aca="false">ROUND(MAX(0,J369*(1+J$8)-AF370),2)</f>
        <v>0</v>
      </c>
      <c r="K370" s="27" t="n">
        <f aca="false">ROUND(MAX(0,K369*(1+K$8)-AG370),2)</f>
        <v>0</v>
      </c>
      <c r="L370" s="30" t="n">
        <f aca="false">SUM(B370:K370)</f>
        <v>0</v>
      </c>
      <c r="M370" s="27" t="n">
        <f aca="false">SUMPRODUCT(B369:K369,$B$8:$K$8)</f>
        <v>0</v>
      </c>
      <c r="N370" s="27" t="n">
        <f aca="false">MIN(B369*(1+B$8),B$9)</f>
        <v>0</v>
      </c>
      <c r="O370" s="27" t="n">
        <f aca="false">MIN(C369*(1+C$8),C$9)</f>
        <v>0</v>
      </c>
      <c r="P370" s="27" t="n">
        <f aca="false">MIN(D369*(1+D$8),D$9)</f>
        <v>0</v>
      </c>
      <c r="Q370" s="27" t="n">
        <f aca="false">MIN(E369*(1+E$8),E$9)</f>
        <v>0</v>
      </c>
      <c r="R370" s="27" t="n">
        <f aca="false">MIN(F369*(1+F$8),F$9)</f>
        <v>0</v>
      </c>
      <c r="S370" s="27" t="n">
        <f aca="false">MIN(G369*(1+G$8),G$9)</f>
        <v>0</v>
      </c>
      <c r="T370" s="27" t="n">
        <f aca="false">MIN(H369*(1+H$8),H$9)</f>
        <v>0</v>
      </c>
      <c r="U370" s="27" t="n">
        <f aca="false">MIN(I369*(1+I$8),I$9)</f>
        <v>0</v>
      </c>
      <c r="V370" s="27" t="n">
        <f aca="false">MIN(J369*(1+J$8),J$9)</f>
        <v>0</v>
      </c>
      <c r="W370" s="27" t="n">
        <f aca="false">MIN(K369*(1+K$8),K$9)</f>
        <v>0</v>
      </c>
      <c r="X370" s="27" t="n">
        <f aca="false">MIN(B369*(1+B$8),MAX(N370,$B$11-SUM(O370:W370)))</f>
        <v>0</v>
      </c>
      <c r="Y370" s="27" t="n">
        <f aca="false">MIN(C369*(1+C$8),MAX(O370,$B$11-SUM(X370:X370)-SUM(P370:W370)))</f>
        <v>0</v>
      </c>
      <c r="Z370" s="27" t="n">
        <f aca="false">MIN(D369*(1+D$8),MAX(P370,$B$11-SUM(X370:Y370)-SUM(Q370:W370)))</f>
        <v>0</v>
      </c>
      <c r="AA370" s="27" t="n">
        <f aca="false">MIN(E369*(1+E$8),MAX(Q370,$B$11-SUM(X370:Z370)-SUM(R370:W370)))</f>
        <v>0</v>
      </c>
      <c r="AB370" s="27" t="n">
        <f aca="false">MIN(F369*(1+F$8),MAX(R370,$B$11-SUM(X370:AA370)-SUM(S370:W370)))</f>
        <v>0</v>
      </c>
      <c r="AC370" s="27" t="n">
        <f aca="false">MIN(G369*(1+G$8),MAX(S370,$B$11-SUM(X370:AB370)-SUM(T370:W370)))</f>
        <v>0</v>
      </c>
      <c r="AD370" s="27" t="n">
        <f aca="false">MIN(H369*(1+H$8),MAX(T370,$B$11-SUM(X370:AC370)-SUM(U370:W370)))</f>
        <v>0</v>
      </c>
      <c r="AE370" s="27" t="n">
        <f aca="false">MIN(I369*(1+I$8),MAX(U370,$B$11-SUM(X370:AD370)-SUM(V370:W370)))</f>
        <v>0</v>
      </c>
      <c r="AF370" s="27" t="n">
        <f aca="false">MIN(J369*(1+J$8),MAX(V370,$B$11-SUM(X370:AE370)-SUM(W370:W370)))</f>
        <v>0</v>
      </c>
      <c r="AG370" s="27" t="n">
        <f aca="false">MIN(K369*(1+K$8),MAX(W370,$B$11-SUM(X370:AF370)))</f>
        <v>0</v>
      </c>
      <c r="AI370" s="27" t="n">
        <f aca="false">ROUND(MAX(0,AI369*(1+B$8)-BE370),2)</f>
        <v>0</v>
      </c>
      <c r="AJ370" s="27" t="n">
        <f aca="false">ROUND(MAX(0,AJ369*(1+C$8)-BF370),2)</f>
        <v>0</v>
      </c>
      <c r="AK370" s="27" t="n">
        <f aca="false">ROUND(MAX(0,AK369*(1+D$8)-BG370),2)</f>
        <v>0</v>
      </c>
      <c r="AL370" s="27" t="n">
        <f aca="false">ROUND(MAX(0,AL369*(1+E$8)-BH370),2)</f>
        <v>0</v>
      </c>
      <c r="AM370" s="27" t="n">
        <f aca="false">ROUND(MAX(0,AM369*(1+F$8)-BI370),2)</f>
        <v>0</v>
      </c>
      <c r="AN370" s="27" t="n">
        <f aca="false">ROUND(MAX(0,AN369*(1+G$8)-BJ370),2)</f>
        <v>0</v>
      </c>
      <c r="AO370" s="27" t="n">
        <f aca="false">ROUND(MAX(0,AO369*(1+H$8)-BK370),2)</f>
        <v>0</v>
      </c>
      <c r="AP370" s="27" t="n">
        <f aca="false">ROUND(MAX(0,AP369*(1+I$8)-BL370),2)</f>
        <v>0</v>
      </c>
      <c r="AQ370" s="27" t="n">
        <f aca="false">ROUND(MAX(0,AQ369*(1+J$8)-BM370),2)</f>
        <v>0</v>
      </c>
      <c r="AR370" s="27" t="n">
        <f aca="false">ROUND(MAX(0,AR369*(1+K$8)-BN370),2)</f>
        <v>0</v>
      </c>
      <c r="AS370" s="27" t="n">
        <f aca="false">SUM(AI370:AR370)</f>
        <v>0</v>
      </c>
      <c r="AT370" s="27" t="n">
        <f aca="false">SUMPRODUCT(AI369:AR369,$B$8:$K$8)</f>
        <v>0</v>
      </c>
      <c r="AU370" s="27" t="n">
        <f aca="false">MIN(AI369*(1+B$8),B$9)</f>
        <v>0</v>
      </c>
      <c r="AV370" s="27" t="n">
        <f aca="false">MIN(AJ369*(1+C$8),C$9)</f>
        <v>0</v>
      </c>
      <c r="AW370" s="27" t="n">
        <f aca="false">MIN(AK369*(1+D$8),D$9)</f>
        <v>0</v>
      </c>
      <c r="AX370" s="27" t="n">
        <f aca="false">MIN(AL369*(1+E$8),E$9)</f>
        <v>0</v>
      </c>
      <c r="AY370" s="27" t="n">
        <f aca="false">MIN(AM369*(1+F$8),F$9)</f>
        <v>0</v>
      </c>
      <c r="AZ370" s="27" t="n">
        <f aca="false">MIN(AN369*(1+G$8),G$9)</f>
        <v>0</v>
      </c>
      <c r="BA370" s="27" t="n">
        <f aca="false">MIN(AO369*(1+H$8),H$9)</f>
        <v>0</v>
      </c>
      <c r="BB370" s="27" t="n">
        <f aca="false">MIN(AP369*(1+I$8),I$9)</f>
        <v>0</v>
      </c>
      <c r="BC370" s="27" t="n">
        <f aca="false">MIN(AQ369*(1+J$8),J$9)</f>
        <v>0</v>
      </c>
      <c r="BD370" s="27" t="n">
        <f aca="false">MIN(AR369*(1+K$8),K$9)</f>
        <v>0</v>
      </c>
      <c r="BE370" s="27" t="n">
        <f aca="false">MIN(AI369*(1+B$8),MAX(AU370,$B$12-SUM(AV370:BD370)))</f>
        <v>0</v>
      </c>
      <c r="BF370" s="27" t="n">
        <f aca="false">MIN(AJ369*(1+C$8),MAX(AV370,$B$12-SUM(BE370:BE370)-SUM(AW370:BD370)))</f>
        <v>0</v>
      </c>
      <c r="BG370" s="27" t="n">
        <f aca="false">MIN(AK369*(1+D$8),MAX(AW370,$B$12-SUM(BE370:BF370)-SUM(AX370:BD370)))</f>
        <v>0</v>
      </c>
      <c r="BH370" s="27" t="n">
        <f aca="false">MIN(AL369*(1+E$8),MAX(AX370,$B$12-SUM(BE370:BG370)-SUM(AY370:BD370)))</f>
        <v>0</v>
      </c>
      <c r="BI370" s="27" t="n">
        <f aca="false">MIN(AM369*(1+F$8),MAX(AY370,$B$12-SUM(BE370:BH370)-SUM(AZ370:BD370)))</f>
        <v>0</v>
      </c>
      <c r="BJ370" s="27" t="n">
        <f aca="false">MIN(AN369*(1+G$8),MAX(AZ370,$B$12-SUM(BE370:BI370)-SUM(BA370:BD370)))</f>
        <v>0</v>
      </c>
      <c r="BK370" s="27" t="n">
        <f aca="false">MIN(AO369*(1+H$8),MAX(BA370,$B$12-SUM(BE370:BJ370)-SUM(BB370:BD370)))</f>
        <v>0</v>
      </c>
      <c r="BL370" s="27" t="n">
        <f aca="false">MIN(AP369*(1+I$8),MAX(BB370,$B$12-SUM(BE370:BK370)-SUM(BC370:BD370)))</f>
        <v>0</v>
      </c>
      <c r="BM370" s="27" t="n">
        <f aca="false">MIN(AQ369*(1+J$8),MAX(BC370,$B$12-SUM(BE370:BL370)-SUM(BD370:BD370)))</f>
        <v>0</v>
      </c>
      <c r="BN370" s="27" t="n">
        <f aca="false">MIN(AR369*(1+K$8),MAX(BD370,$B$12-SUM(BE370:BM370)))</f>
        <v>0</v>
      </c>
    </row>
    <row r="371" customFormat="false" ht="15" hidden="false" customHeight="false" outlineLevel="0" collapsed="false">
      <c r="A371" s="0" t="n">
        <v>357</v>
      </c>
      <c r="B371" s="27" t="n">
        <f aca="false">ROUND(MAX(0,B370*(1+B$8)-X371),2)</f>
        <v>0</v>
      </c>
      <c r="C371" s="27" t="n">
        <f aca="false">ROUND(MAX(0,C370*(1+C$8)-Y371),2)</f>
        <v>0</v>
      </c>
      <c r="D371" s="27" t="n">
        <f aca="false">ROUND(MAX(0,D370*(1+D$8)-Z371),2)</f>
        <v>0</v>
      </c>
      <c r="E371" s="27" t="n">
        <f aca="false">ROUND(MAX(0,E370*(1+E$8)-AA371),2)</f>
        <v>0</v>
      </c>
      <c r="F371" s="27" t="n">
        <f aca="false">ROUND(MAX(0,F370*(1+F$8)-AB371),2)</f>
        <v>0</v>
      </c>
      <c r="G371" s="27" t="n">
        <f aca="false">ROUND(MAX(0,G370*(1+G$8)-AC371),2)</f>
        <v>0</v>
      </c>
      <c r="H371" s="27" t="n">
        <f aca="false">ROUND(MAX(0,H370*(1+H$8)-AD371),2)</f>
        <v>0</v>
      </c>
      <c r="I371" s="27" t="n">
        <f aca="false">ROUND(MAX(0,I370*(1+I$8)-AE371),2)</f>
        <v>0</v>
      </c>
      <c r="J371" s="27" t="n">
        <f aca="false">ROUND(MAX(0,J370*(1+J$8)-AF371),2)</f>
        <v>0</v>
      </c>
      <c r="K371" s="27" t="n">
        <f aca="false">ROUND(MAX(0,K370*(1+K$8)-AG371),2)</f>
        <v>0</v>
      </c>
      <c r="L371" s="30" t="n">
        <f aca="false">SUM(B371:K371)</f>
        <v>0</v>
      </c>
      <c r="M371" s="27" t="n">
        <f aca="false">SUMPRODUCT(B370:K370,$B$8:$K$8)</f>
        <v>0</v>
      </c>
      <c r="N371" s="27" t="n">
        <f aca="false">MIN(B370*(1+B$8),B$9)</f>
        <v>0</v>
      </c>
      <c r="O371" s="27" t="n">
        <f aca="false">MIN(C370*(1+C$8),C$9)</f>
        <v>0</v>
      </c>
      <c r="P371" s="27" t="n">
        <f aca="false">MIN(D370*(1+D$8),D$9)</f>
        <v>0</v>
      </c>
      <c r="Q371" s="27" t="n">
        <f aca="false">MIN(E370*(1+E$8),E$9)</f>
        <v>0</v>
      </c>
      <c r="R371" s="27" t="n">
        <f aca="false">MIN(F370*(1+F$8),F$9)</f>
        <v>0</v>
      </c>
      <c r="S371" s="27" t="n">
        <f aca="false">MIN(G370*(1+G$8),G$9)</f>
        <v>0</v>
      </c>
      <c r="T371" s="27" t="n">
        <f aca="false">MIN(H370*(1+H$8),H$9)</f>
        <v>0</v>
      </c>
      <c r="U371" s="27" t="n">
        <f aca="false">MIN(I370*(1+I$8),I$9)</f>
        <v>0</v>
      </c>
      <c r="V371" s="27" t="n">
        <f aca="false">MIN(J370*(1+J$8),J$9)</f>
        <v>0</v>
      </c>
      <c r="W371" s="27" t="n">
        <f aca="false">MIN(K370*(1+K$8),K$9)</f>
        <v>0</v>
      </c>
      <c r="X371" s="27" t="n">
        <f aca="false">MIN(B370*(1+B$8),MAX(N371,$B$11-SUM(O371:W371)))</f>
        <v>0</v>
      </c>
      <c r="Y371" s="27" t="n">
        <f aca="false">MIN(C370*(1+C$8),MAX(O371,$B$11-SUM(X371:X371)-SUM(P371:W371)))</f>
        <v>0</v>
      </c>
      <c r="Z371" s="27" t="n">
        <f aca="false">MIN(D370*(1+D$8),MAX(P371,$B$11-SUM(X371:Y371)-SUM(Q371:W371)))</f>
        <v>0</v>
      </c>
      <c r="AA371" s="27" t="n">
        <f aca="false">MIN(E370*(1+E$8),MAX(Q371,$B$11-SUM(X371:Z371)-SUM(R371:W371)))</f>
        <v>0</v>
      </c>
      <c r="AB371" s="27" t="n">
        <f aca="false">MIN(F370*(1+F$8),MAX(R371,$B$11-SUM(X371:AA371)-SUM(S371:W371)))</f>
        <v>0</v>
      </c>
      <c r="AC371" s="27" t="n">
        <f aca="false">MIN(G370*(1+G$8),MAX(S371,$B$11-SUM(X371:AB371)-SUM(T371:W371)))</f>
        <v>0</v>
      </c>
      <c r="AD371" s="27" t="n">
        <f aca="false">MIN(H370*(1+H$8),MAX(T371,$B$11-SUM(X371:AC371)-SUM(U371:W371)))</f>
        <v>0</v>
      </c>
      <c r="AE371" s="27" t="n">
        <f aca="false">MIN(I370*(1+I$8),MAX(U371,$B$11-SUM(X371:AD371)-SUM(V371:W371)))</f>
        <v>0</v>
      </c>
      <c r="AF371" s="27" t="n">
        <f aca="false">MIN(J370*(1+J$8),MAX(V371,$B$11-SUM(X371:AE371)-SUM(W371:W371)))</f>
        <v>0</v>
      </c>
      <c r="AG371" s="27" t="n">
        <f aca="false">MIN(K370*(1+K$8),MAX(W371,$B$11-SUM(X371:AF371)))</f>
        <v>0</v>
      </c>
      <c r="AI371" s="27" t="n">
        <f aca="false">ROUND(MAX(0,AI370*(1+B$8)-BE371),2)</f>
        <v>0</v>
      </c>
      <c r="AJ371" s="27" t="n">
        <f aca="false">ROUND(MAX(0,AJ370*(1+C$8)-BF371),2)</f>
        <v>0</v>
      </c>
      <c r="AK371" s="27" t="n">
        <f aca="false">ROUND(MAX(0,AK370*(1+D$8)-BG371),2)</f>
        <v>0</v>
      </c>
      <c r="AL371" s="27" t="n">
        <f aca="false">ROUND(MAX(0,AL370*(1+E$8)-BH371),2)</f>
        <v>0</v>
      </c>
      <c r="AM371" s="27" t="n">
        <f aca="false">ROUND(MAX(0,AM370*(1+F$8)-BI371),2)</f>
        <v>0</v>
      </c>
      <c r="AN371" s="27" t="n">
        <f aca="false">ROUND(MAX(0,AN370*(1+G$8)-BJ371),2)</f>
        <v>0</v>
      </c>
      <c r="AO371" s="27" t="n">
        <f aca="false">ROUND(MAX(0,AO370*(1+H$8)-BK371),2)</f>
        <v>0</v>
      </c>
      <c r="AP371" s="27" t="n">
        <f aca="false">ROUND(MAX(0,AP370*(1+I$8)-BL371),2)</f>
        <v>0</v>
      </c>
      <c r="AQ371" s="27" t="n">
        <f aca="false">ROUND(MAX(0,AQ370*(1+J$8)-BM371),2)</f>
        <v>0</v>
      </c>
      <c r="AR371" s="27" t="n">
        <f aca="false">ROUND(MAX(0,AR370*(1+K$8)-BN371),2)</f>
        <v>0</v>
      </c>
      <c r="AS371" s="27" t="n">
        <f aca="false">SUM(AI371:AR371)</f>
        <v>0</v>
      </c>
      <c r="AT371" s="27" t="n">
        <f aca="false">SUMPRODUCT(AI370:AR370,$B$8:$K$8)</f>
        <v>0</v>
      </c>
      <c r="AU371" s="27" t="n">
        <f aca="false">MIN(AI370*(1+B$8),B$9)</f>
        <v>0</v>
      </c>
      <c r="AV371" s="27" t="n">
        <f aca="false">MIN(AJ370*(1+C$8),C$9)</f>
        <v>0</v>
      </c>
      <c r="AW371" s="27" t="n">
        <f aca="false">MIN(AK370*(1+D$8),D$9)</f>
        <v>0</v>
      </c>
      <c r="AX371" s="27" t="n">
        <f aca="false">MIN(AL370*(1+E$8),E$9)</f>
        <v>0</v>
      </c>
      <c r="AY371" s="27" t="n">
        <f aca="false">MIN(AM370*(1+F$8),F$9)</f>
        <v>0</v>
      </c>
      <c r="AZ371" s="27" t="n">
        <f aca="false">MIN(AN370*(1+G$8),G$9)</f>
        <v>0</v>
      </c>
      <c r="BA371" s="27" t="n">
        <f aca="false">MIN(AO370*(1+H$8),H$9)</f>
        <v>0</v>
      </c>
      <c r="BB371" s="27" t="n">
        <f aca="false">MIN(AP370*(1+I$8),I$9)</f>
        <v>0</v>
      </c>
      <c r="BC371" s="27" t="n">
        <f aca="false">MIN(AQ370*(1+J$8),J$9)</f>
        <v>0</v>
      </c>
      <c r="BD371" s="27" t="n">
        <f aca="false">MIN(AR370*(1+K$8),K$9)</f>
        <v>0</v>
      </c>
      <c r="BE371" s="27" t="n">
        <f aca="false">MIN(AI370*(1+B$8),MAX(AU371,$B$12-SUM(AV371:BD371)))</f>
        <v>0</v>
      </c>
      <c r="BF371" s="27" t="n">
        <f aca="false">MIN(AJ370*(1+C$8),MAX(AV371,$B$12-SUM(BE371:BE371)-SUM(AW371:BD371)))</f>
        <v>0</v>
      </c>
      <c r="BG371" s="27" t="n">
        <f aca="false">MIN(AK370*(1+D$8),MAX(AW371,$B$12-SUM(BE371:BF371)-SUM(AX371:BD371)))</f>
        <v>0</v>
      </c>
      <c r="BH371" s="27" t="n">
        <f aca="false">MIN(AL370*(1+E$8),MAX(AX371,$B$12-SUM(BE371:BG371)-SUM(AY371:BD371)))</f>
        <v>0</v>
      </c>
      <c r="BI371" s="27" t="n">
        <f aca="false">MIN(AM370*(1+F$8),MAX(AY371,$B$12-SUM(BE371:BH371)-SUM(AZ371:BD371)))</f>
        <v>0</v>
      </c>
      <c r="BJ371" s="27" t="n">
        <f aca="false">MIN(AN370*(1+G$8),MAX(AZ371,$B$12-SUM(BE371:BI371)-SUM(BA371:BD371)))</f>
        <v>0</v>
      </c>
      <c r="BK371" s="27" t="n">
        <f aca="false">MIN(AO370*(1+H$8),MAX(BA371,$B$12-SUM(BE371:BJ371)-SUM(BB371:BD371)))</f>
        <v>0</v>
      </c>
      <c r="BL371" s="27" t="n">
        <f aca="false">MIN(AP370*(1+I$8),MAX(BB371,$B$12-SUM(BE371:BK371)-SUM(BC371:BD371)))</f>
        <v>0</v>
      </c>
      <c r="BM371" s="27" t="n">
        <f aca="false">MIN(AQ370*(1+J$8),MAX(BC371,$B$12-SUM(BE371:BL371)-SUM(BD371:BD371)))</f>
        <v>0</v>
      </c>
      <c r="BN371" s="27" t="n">
        <f aca="false">MIN(AR370*(1+K$8),MAX(BD371,$B$12-SUM(BE371:BM371)))</f>
        <v>0</v>
      </c>
    </row>
    <row r="372" customFormat="false" ht="15" hidden="false" customHeight="false" outlineLevel="0" collapsed="false">
      <c r="A372" s="0" t="n">
        <v>358</v>
      </c>
      <c r="B372" s="27" t="n">
        <f aca="false">ROUND(MAX(0,B371*(1+B$8)-X372),2)</f>
        <v>0</v>
      </c>
      <c r="C372" s="27" t="n">
        <f aca="false">ROUND(MAX(0,C371*(1+C$8)-Y372),2)</f>
        <v>0</v>
      </c>
      <c r="D372" s="27" t="n">
        <f aca="false">ROUND(MAX(0,D371*(1+D$8)-Z372),2)</f>
        <v>0</v>
      </c>
      <c r="E372" s="27" t="n">
        <f aca="false">ROUND(MAX(0,E371*(1+E$8)-AA372),2)</f>
        <v>0</v>
      </c>
      <c r="F372" s="27" t="n">
        <f aca="false">ROUND(MAX(0,F371*(1+F$8)-AB372),2)</f>
        <v>0</v>
      </c>
      <c r="G372" s="27" t="n">
        <f aca="false">ROUND(MAX(0,G371*(1+G$8)-AC372),2)</f>
        <v>0</v>
      </c>
      <c r="H372" s="27" t="n">
        <f aca="false">ROUND(MAX(0,H371*(1+H$8)-AD372),2)</f>
        <v>0</v>
      </c>
      <c r="I372" s="27" t="n">
        <f aca="false">ROUND(MAX(0,I371*(1+I$8)-AE372),2)</f>
        <v>0</v>
      </c>
      <c r="J372" s="27" t="n">
        <f aca="false">ROUND(MAX(0,J371*(1+J$8)-AF372),2)</f>
        <v>0</v>
      </c>
      <c r="K372" s="27" t="n">
        <f aca="false">ROUND(MAX(0,K371*(1+K$8)-AG372),2)</f>
        <v>0</v>
      </c>
      <c r="L372" s="30" t="n">
        <f aca="false">SUM(B372:K372)</f>
        <v>0</v>
      </c>
      <c r="M372" s="27" t="n">
        <f aca="false">SUMPRODUCT(B371:K371,$B$8:$K$8)</f>
        <v>0</v>
      </c>
      <c r="N372" s="27" t="n">
        <f aca="false">MIN(B371*(1+B$8),B$9)</f>
        <v>0</v>
      </c>
      <c r="O372" s="27" t="n">
        <f aca="false">MIN(C371*(1+C$8),C$9)</f>
        <v>0</v>
      </c>
      <c r="P372" s="27" t="n">
        <f aca="false">MIN(D371*(1+D$8),D$9)</f>
        <v>0</v>
      </c>
      <c r="Q372" s="27" t="n">
        <f aca="false">MIN(E371*(1+E$8),E$9)</f>
        <v>0</v>
      </c>
      <c r="R372" s="27" t="n">
        <f aca="false">MIN(F371*(1+F$8),F$9)</f>
        <v>0</v>
      </c>
      <c r="S372" s="27" t="n">
        <f aca="false">MIN(G371*(1+G$8),G$9)</f>
        <v>0</v>
      </c>
      <c r="T372" s="27" t="n">
        <f aca="false">MIN(H371*(1+H$8),H$9)</f>
        <v>0</v>
      </c>
      <c r="U372" s="27" t="n">
        <f aca="false">MIN(I371*(1+I$8),I$9)</f>
        <v>0</v>
      </c>
      <c r="V372" s="27" t="n">
        <f aca="false">MIN(J371*(1+J$8),J$9)</f>
        <v>0</v>
      </c>
      <c r="W372" s="27" t="n">
        <f aca="false">MIN(K371*(1+K$8),K$9)</f>
        <v>0</v>
      </c>
      <c r="X372" s="27" t="n">
        <f aca="false">MIN(B371*(1+B$8),MAX(N372,$B$11-SUM(O372:W372)))</f>
        <v>0</v>
      </c>
      <c r="Y372" s="27" t="n">
        <f aca="false">MIN(C371*(1+C$8),MAX(O372,$B$11-SUM(X372:X372)-SUM(P372:W372)))</f>
        <v>0</v>
      </c>
      <c r="Z372" s="27" t="n">
        <f aca="false">MIN(D371*(1+D$8),MAX(P372,$B$11-SUM(X372:Y372)-SUM(Q372:W372)))</f>
        <v>0</v>
      </c>
      <c r="AA372" s="27" t="n">
        <f aca="false">MIN(E371*(1+E$8),MAX(Q372,$B$11-SUM(X372:Z372)-SUM(R372:W372)))</f>
        <v>0</v>
      </c>
      <c r="AB372" s="27" t="n">
        <f aca="false">MIN(F371*(1+F$8),MAX(R372,$B$11-SUM(X372:AA372)-SUM(S372:W372)))</f>
        <v>0</v>
      </c>
      <c r="AC372" s="27" t="n">
        <f aca="false">MIN(G371*(1+G$8),MAX(S372,$B$11-SUM(X372:AB372)-SUM(T372:W372)))</f>
        <v>0</v>
      </c>
      <c r="AD372" s="27" t="n">
        <f aca="false">MIN(H371*(1+H$8),MAX(T372,$B$11-SUM(X372:AC372)-SUM(U372:W372)))</f>
        <v>0</v>
      </c>
      <c r="AE372" s="27" t="n">
        <f aca="false">MIN(I371*(1+I$8),MAX(U372,$B$11-SUM(X372:AD372)-SUM(V372:W372)))</f>
        <v>0</v>
      </c>
      <c r="AF372" s="27" t="n">
        <f aca="false">MIN(J371*(1+J$8),MAX(V372,$B$11-SUM(X372:AE372)-SUM(W372:W372)))</f>
        <v>0</v>
      </c>
      <c r="AG372" s="27" t="n">
        <f aca="false">MIN(K371*(1+K$8),MAX(W372,$B$11-SUM(X372:AF372)))</f>
        <v>0</v>
      </c>
      <c r="AI372" s="27" t="n">
        <f aca="false">ROUND(MAX(0,AI371*(1+B$8)-BE372),2)</f>
        <v>0</v>
      </c>
      <c r="AJ372" s="27" t="n">
        <f aca="false">ROUND(MAX(0,AJ371*(1+C$8)-BF372),2)</f>
        <v>0</v>
      </c>
      <c r="AK372" s="27" t="n">
        <f aca="false">ROUND(MAX(0,AK371*(1+D$8)-BG372),2)</f>
        <v>0</v>
      </c>
      <c r="AL372" s="27" t="n">
        <f aca="false">ROUND(MAX(0,AL371*(1+E$8)-BH372),2)</f>
        <v>0</v>
      </c>
      <c r="AM372" s="27" t="n">
        <f aca="false">ROUND(MAX(0,AM371*(1+F$8)-BI372),2)</f>
        <v>0</v>
      </c>
      <c r="AN372" s="27" t="n">
        <f aca="false">ROUND(MAX(0,AN371*(1+G$8)-BJ372),2)</f>
        <v>0</v>
      </c>
      <c r="AO372" s="27" t="n">
        <f aca="false">ROUND(MAX(0,AO371*(1+H$8)-BK372),2)</f>
        <v>0</v>
      </c>
      <c r="AP372" s="27" t="n">
        <f aca="false">ROUND(MAX(0,AP371*(1+I$8)-BL372),2)</f>
        <v>0</v>
      </c>
      <c r="AQ372" s="27" t="n">
        <f aca="false">ROUND(MAX(0,AQ371*(1+J$8)-BM372),2)</f>
        <v>0</v>
      </c>
      <c r="AR372" s="27" t="n">
        <f aca="false">ROUND(MAX(0,AR371*(1+K$8)-BN372),2)</f>
        <v>0</v>
      </c>
      <c r="AS372" s="27" t="n">
        <f aca="false">SUM(AI372:AR372)</f>
        <v>0</v>
      </c>
      <c r="AT372" s="27" t="n">
        <f aca="false">SUMPRODUCT(AI371:AR371,$B$8:$K$8)</f>
        <v>0</v>
      </c>
      <c r="AU372" s="27" t="n">
        <f aca="false">MIN(AI371*(1+B$8),B$9)</f>
        <v>0</v>
      </c>
      <c r="AV372" s="27" t="n">
        <f aca="false">MIN(AJ371*(1+C$8),C$9)</f>
        <v>0</v>
      </c>
      <c r="AW372" s="27" t="n">
        <f aca="false">MIN(AK371*(1+D$8),D$9)</f>
        <v>0</v>
      </c>
      <c r="AX372" s="27" t="n">
        <f aca="false">MIN(AL371*(1+E$8),E$9)</f>
        <v>0</v>
      </c>
      <c r="AY372" s="27" t="n">
        <f aca="false">MIN(AM371*(1+F$8),F$9)</f>
        <v>0</v>
      </c>
      <c r="AZ372" s="27" t="n">
        <f aca="false">MIN(AN371*(1+G$8),G$9)</f>
        <v>0</v>
      </c>
      <c r="BA372" s="27" t="n">
        <f aca="false">MIN(AO371*(1+H$8),H$9)</f>
        <v>0</v>
      </c>
      <c r="BB372" s="27" t="n">
        <f aca="false">MIN(AP371*(1+I$8),I$9)</f>
        <v>0</v>
      </c>
      <c r="BC372" s="27" t="n">
        <f aca="false">MIN(AQ371*(1+J$8),J$9)</f>
        <v>0</v>
      </c>
      <c r="BD372" s="27" t="n">
        <f aca="false">MIN(AR371*(1+K$8),K$9)</f>
        <v>0</v>
      </c>
      <c r="BE372" s="27" t="n">
        <f aca="false">MIN(AI371*(1+B$8),MAX(AU372,$B$12-SUM(AV372:BD372)))</f>
        <v>0</v>
      </c>
      <c r="BF372" s="27" t="n">
        <f aca="false">MIN(AJ371*(1+C$8),MAX(AV372,$B$12-SUM(BE372:BE372)-SUM(AW372:BD372)))</f>
        <v>0</v>
      </c>
      <c r="BG372" s="27" t="n">
        <f aca="false">MIN(AK371*(1+D$8),MAX(AW372,$B$12-SUM(BE372:BF372)-SUM(AX372:BD372)))</f>
        <v>0</v>
      </c>
      <c r="BH372" s="27" t="n">
        <f aca="false">MIN(AL371*(1+E$8),MAX(AX372,$B$12-SUM(BE372:BG372)-SUM(AY372:BD372)))</f>
        <v>0</v>
      </c>
      <c r="BI372" s="27" t="n">
        <f aca="false">MIN(AM371*(1+F$8),MAX(AY372,$B$12-SUM(BE372:BH372)-SUM(AZ372:BD372)))</f>
        <v>0</v>
      </c>
      <c r="BJ372" s="27" t="n">
        <f aca="false">MIN(AN371*(1+G$8),MAX(AZ372,$B$12-SUM(BE372:BI372)-SUM(BA372:BD372)))</f>
        <v>0</v>
      </c>
      <c r="BK372" s="27" t="n">
        <f aca="false">MIN(AO371*(1+H$8),MAX(BA372,$B$12-SUM(BE372:BJ372)-SUM(BB372:BD372)))</f>
        <v>0</v>
      </c>
      <c r="BL372" s="27" t="n">
        <f aca="false">MIN(AP371*(1+I$8),MAX(BB372,$B$12-SUM(BE372:BK372)-SUM(BC372:BD372)))</f>
        <v>0</v>
      </c>
      <c r="BM372" s="27" t="n">
        <f aca="false">MIN(AQ371*(1+J$8),MAX(BC372,$B$12-SUM(BE372:BL372)-SUM(BD372:BD372)))</f>
        <v>0</v>
      </c>
      <c r="BN372" s="27" t="n">
        <f aca="false">MIN(AR371*(1+K$8),MAX(BD372,$B$12-SUM(BE372:BM372)))</f>
        <v>0</v>
      </c>
    </row>
    <row r="373" customFormat="false" ht="15" hidden="false" customHeight="false" outlineLevel="0" collapsed="false">
      <c r="A373" s="0" t="n">
        <v>359</v>
      </c>
      <c r="B373" s="27" t="n">
        <f aca="false">ROUND(MAX(0,B372*(1+B$8)-X373),2)</f>
        <v>0</v>
      </c>
      <c r="C373" s="27" t="n">
        <f aca="false">ROUND(MAX(0,C372*(1+C$8)-Y373),2)</f>
        <v>0</v>
      </c>
      <c r="D373" s="27" t="n">
        <f aca="false">ROUND(MAX(0,D372*(1+D$8)-Z373),2)</f>
        <v>0</v>
      </c>
      <c r="E373" s="27" t="n">
        <f aca="false">ROUND(MAX(0,E372*(1+E$8)-AA373),2)</f>
        <v>0</v>
      </c>
      <c r="F373" s="27" t="n">
        <f aca="false">ROUND(MAX(0,F372*(1+F$8)-AB373),2)</f>
        <v>0</v>
      </c>
      <c r="G373" s="27" t="n">
        <f aca="false">ROUND(MAX(0,G372*(1+G$8)-AC373),2)</f>
        <v>0</v>
      </c>
      <c r="H373" s="27" t="n">
        <f aca="false">ROUND(MAX(0,H372*(1+H$8)-AD373),2)</f>
        <v>0</v>
      </c>
      <c r="I373" s="27" t="n">
        <f aca="false">ROUND(MAX(0,I372*(1+I$8)-AE373),2)</f>
        <v>0</v>
      </c>
      <c r="J373" s="27" t="n">
        <f aca="false">ROUND(MAX(0,J372*(1+J$8)-AF373),2)</f>
        <v>0</v>
      </c>
      <c r="K373" s="27" t="n">
        <f aca="false">ROUND(MAX(0,K372*(1+K$8)-AG373),2)</f>
        <v>0</v>
      </c>
      <c r="L373" s="30" t="n">
        <f aca="false">SUM(B373:K373)</f>
        <v>0</v>
      </c>
      <c r="M373" s="27" t="n">
        <f aca="false">SUMPRODUCT(B372:K372,$B$8:$K$8)</f>
        <v>0</v>
      </c>
      <c r="N373" s="27" t="n">
        <f aca="false">MIN(B372*(1+B$8),B$9)</f>
        <v>0</v>
      </c>
      <c r="O373" s="27" t="n">
        <f aca="false">MIN(C372*(1+C$8),C$9)</f>
        <v>0</v>
      </c>
      <c r="P373" s="27" t="n">
        <f aca="false">MIN(D372*(1+D$8),D$9)</f>
        <v>0</v>
      </c>
      <c r="Q373" s="27" t="n">
        <f aca="false">MIN(E372*(1+E$8),E$9)</f>
        <v>0</v>
      </c>
      <c r="R373" s="27" t="n">
        <f aca="false">MIN(F372*(1+F$8),F$9)</f>
        <v>0</v>
      </c>
      <c r="S373" s="27" t="n">
        <f aca="false">MIN(G372*(1+G$8),G$9)</f>
        <v>0</v>
      </c>
      <c r="T373" s="27" t="n">
        <f aca="false">MIN(H372*(1+H$8),H$9)</f>
        <v>0</v>
      </c>
      <c r="U373" s="27" t="n">
        <f aca="false">MIN(I372*(1+I$8),I$9)</f>
        <v>0</v>
      </c>
      <c r="V373" s="27" t="n">
        <f aca="false">MIN(J372*(1+J$8),J$9)</f>
        <v>0</v>
      </c>
      <c r="W373" s="27" t="n">
        <f aca="false">MIN(K372*(1+K$8),K$9)</f>
        <v>0</v>
      </c>
      <c r="X373" s="27" t="n">
        <f aca="false">MIN(B372*(1+B$8),MAX(N373,$B$11-SUM(O373:W373)))</f>
        <v>0</v>
      </c>
      <c r="Y373" s="27" t="n">
        <f aca="false">MIN(C372*(1+C$8),MAX(O373,$B$11-SUM(X373:X373)-SUM(P373:W373)))</f>
        <v>0</v>
      </c>
      <c r="Z373" s="27" t="n">
        <f aca="false">MIN(D372*(1+D$8),MAX(P373,$B$11-SUM(X373:Y373)-SUM(Q373:W373)))</f>
        <v>0</v>
      </c>
      <c r="AA373" s="27" t="n">
        <f aca="false">MIN(E372*(1+E$8),MAX(Q373,$B$11-SUM(X373:Z373)-SUM(R373:W373)))</f>
        <v>0</v>
      </c>
      <c r="AB373" s="27" t="n">
        <f aca="false">MIN(F372*(1+F$8),MAX(R373,$B$11-SUM(X373:AA373)-SUM(S373:W373)))</f>
        <v>0</v>
      </c>
      <c r="AC373" s="27" t="n">
        <f aca="false">MIN(G372*(1+G$8),MAX(S373,$B$11-SUM(X373:AB373)-SUM(T373:W373)))</f>
        <v>0</v>
      </c>
      <c r="AD373" s="27" t="n">
        <f aca="false">MIN(H372*(1+H$8),MAX(T373,$B$11-SUM(X373:AC373)-SUM(U373:W373)))</f>
        <v>0</v>
      </c>
      <c r="AE373" s="27" t="n">
        <f aca="false">MIN(I372*(1+I$8),MAX(U373,$B$11-SUM(X373:AD373)-SUM(V373:W373)))</f>
        <v>0</v>
      </c>
      <c r="AF373" s="27" t="n">
        <f aca="false">MIN(J372*(1+J$8),MAX(V373,$B$11-SUM(X373:AE373)-SUM(W373:W373)))</f>
        <v>0</v>
      </c>
      <c r="AG373" s="27" t="n">
        <f aca="false">MIN(K372*(1+K$8),MAX(W373,$B$11-SUM(X373:AF373)))</f>
        <v>0</v>
      </c>
      <c r="AI373" s="27" t="n">
        <f aca="false">ROUND(MAX(0,AI372*(1+B$8)-BE373),2)</f>
        <v>0</v>
      </c>
      <c r="AJ373" s="27" t="n">
        <f aca="false">ROUND(MAX(0,AJ372*(1+C$8)-BF373),2)</f>
        <v>0</v>
      </c>
      <c r="AK373" s="27" t="n">
        <f aca="false">ROUND(MAX(0,AK372*(1+D$8)-BG373),2)</f>
        <v>0</v>
      </c>
      <c r="AL373" s="27" t="n">
        <f aca="false">ROUND(MAX(0,AL372*(1+E$8)-BH373),2)</f>
        <v>0</v>
      </c>
      <c r="AM373" s="27" t="n">
        <f aca="false">ROUND(MAX(0,AM372*(1+F$8)-BI373),2)</f>
        <v>0</v>
      </c>
      <c r="AN373" s="27" t="n">
        <f aca="false">ROUND(MAX(0,AN372*(1+G$8)-BJ373),2)</f>
        <v>0</v>
      </c>
      <c r="AO373" s="27" t="n">
        <f aca="false">ROUND(MAX(0,AO372*(1+H$8)-BK373),2)</f>
        <v>0</v>
      </c>
      <c r="AP373" s="27" t="n">
        <f aca="false">ROUND(MAX(0,AP372*(1+I$8)-BL373),2)</f>
        <v>0</v>
      </c>
      <c r="AQ373" s="27" t="n">
        <f aca="false">ROUND(MAX(0,AQ372*(1+J$8)-BM373),2)</f>
        <v>0</v>
      </c>
      <c r="AR373" s="27" t="n">
        <f aca="false">ROUND(MAX(0,AR372*(1+K$8)-BN373),2)</f>
        <v>0</v>
      </c>
      <c r="AS373" s="27" t="n">
        <f aca="false">SUM(AI373:AR373)</f>
        <v>0</v>
      </c>
      <c r="AT373" s="27" t="n">
        <f aca="false">SUMPRODUCT(AI372:AR372,$B$8:$K$8)</f>
        <v>0</v>
      </c>
      <c r="AU373" s="27" t="n">
        <f aca="false">MIN(AI372*(1+B$8),B$9)</f>
        <v>0</v>
      </c>
      <c r="AV373" s="27" t="n">
        <f aca="false">MIN(AJ372*(1+C$8),C$9)</f>
        <v>0</v>
      </c>
      <c r="AW373" s="27" t="n">
        <f aca="false">MIN(AK372*(1+D$8),D$9)</f>
        <v>0</v>
      </c>
      <c r="AX373" s="27" t="n">
        <f aca="false">MIN(AL372*(1+E$8),E$9)</f>
        <v>0</v>
      </c>
      <c r="AY373" s="27" t="n">
        <f aca="false">MIN(AM372*(1+F$8),F$9)</f>
        <v>0</v>
      </c>
      <c r="AZ373" s="27" t="n">
        <f aca="false">MIN(AN372*(1+G$8),G$9)</f>
        <v>0</v>
      </c>
      <c r="BA373" s="27" t="n">
        <f aca="false">MIN(AO372*(1+H$8),H$9)</f>
        <v>0</v>
      </c>
      <c r="BB373" s="27" t="n">
        <f aca="false">MIN(AP372*(1+I$8),I$9)</f>
        <v>0</v>
      </c>
      <c r="BC373" s="27" t="n">
        <f aca="false">MIN(AQ372*(1+J$8),J$9)</f>
        <v>0</v>
      </c>
      <c r="BD373" s="27" t="n">
        <f aca="false">MIN(AR372*(1+K$8),K$9)</f>
        <v>0</v>
      </c>
      <c r="BE373" s="27" t="n">
        <f aca="false">MIN(AI372*(1+B$8),MAX(AU373,$B$12-SUM(AV373:BD373)))</f>
        <v>0</v>
      </c>
      <c r="BF373" s="27" t="n">
        <f aca="false">MIN(AJ372*(1+C$8),MAX(AV373,$B$12-SUM(BE373:BE373)-SUM(AW373:BD373)))</f>
        <v>0</v>
      </c>
      <c r="BG373" s="27" t="n">
        <f aca="false">MIN(AK372*(1+D$8),MAX(AW373,$B$12-SUM(BE373:BF373)-SUM(AX373:BD373)))</f>
        <v>0</v>
      </c>
      <c r="BH373" s="27" t="n">
        <f aca="false">MIN(AL372*(1+E$8),MAX(AX373,$B$12-SUM(BE373:BG373)-SUM(AY373:BD373)))</f>
        <v>0</v>
      </c>
      <c r="BI373" s="27" t="n">
        <f aca="false">MIN(AM372*(1+F$8),MAX(AY373,$B$12-SUM(BE373:BH373)-SUM(AZ373:BD373)))</f>
        <v>0</v>
      </c>
      <c r="BJ373" s="27" t="n">
        <f aca="false">MIN(AN372*(1+G$8),MAX(AZ373,$B$12-SUM(BE373:BI373)-SUM(BA373:BD373)))</f>
        <v>0</v>
      </c>
      <c r="BK373" s="27" t="n">
        <f aca="false">MIN(AO372*(1+H$8),MAX(BA373,$B$12-SUM(BE373:BJ373)-SUM(BB373:BD373)))</f>
        <v>0</v>
      </c>
      <c r="BL373" s="27" t="n">
        <f aca="false">MIN(AP372*(1+I$8),MAX(BB373,$B$12-SUM(BE373:BK373)-SUM(BC373:BD373)))</f>
        <v>0</v>
      </c>
      <c r="BM373" s="27" t="n">
        <f aca="false">MIN(AQ372*(1+J$8),MAX(BC373,$B$12-SUM(BE373:BL373)-SUM(BD373:BD373)))</f>
        <v>0</v>
      </c>
      <c r="BN373" s="27" t="n">
        <f aca="false">MIN(AR372*(1+K$8),MAX(BD373,$B$12-SUM(BE373:BM373)))</f>
        <v>0</v>
      </c>
    </row>
    <row r="374" customFormat="false" ht="15" hidden="false" customHeight="false" outlineLevel="0" collapsed="false">
      <c r="A374" s="0" t="n">
        <v>360</v>
      </c>
      <c r="B374" s="27" t="n">
        <f aca="false">ROUND(MAX(0,B373*(1+B$8)-X374),2)</f>
        <v>0</v>
      </c>
      <c r="C374" s="27" t="n">
        <f aca="false">ROUND(MAX(0,C373*(1+C$8)-Y374),2)</f>
        <v>0</v>
      </c>
      <c r="D374" s="27" t="n">
        <f aca="false">ROUND(MAX(0,D373*(1+D$8)-Z374),2)</f>
        <v>0</v>
      </c>
      <c r="E374" s="27" t="n">
        <f aca="false">ROUND(MAX(0,E373*(1+E$8)-AA374),2)</f>
        <v>0</v>
      </c>
      <c r="F374" s="27" t="n">
        <f aca="false">ROUND(MAX(0,F373*(1+F$8)-AB374),2)</f>
        <v>0</v>
      </c>
      <c r="G374" s="27" t="n">
        <f aca="false">ROUND(MAX(0,G373*(1+G$8)-AC374),2)</f>
        <v>0</v>
      </c>
      <c r="H374" s="27" t="n">
        <f aca="false">ROUND(MAX(0,H373*(1+H$8)-AD374),2)</f>
        <v>0</v>
      </c>
      <c r="I374" s="27" t="n">
        <f aca="false">ROUND(MAX(0,I373*(1+I$8)-AE374),2)</f>
        <v>0</v>
      </c>
      <c r="J374" s="27" t="n">
        <f aca="false">ROUND(MAX(0,J373*(1+J$8)-AF374),2)</f>
        <v>0</v>
      </c>
      <c r="K374" s="27" t="n">
        <f aca="false">ROUND(MAX(0,K373*(1+K$8)-AG374),2)</f>
        <v>0</v>
      </c>
      <c r="L374" s="30" t="n">
        <f aca="false">SUM(B374:K374)</f>
        <v>0</v>
      </c>
      <c r="M374" s="27" t="n">
        <f aca="false">SUMPRODUCT(B373:K373,$B$8:$K$8)</f>
        <v>0</v>
      </c>
      <c r="N374" s="27" t="n">
        <f aca="false">MIN(B373*(1+B$8),B$9)</f>
        <v>0</v>
      </c>
      <c r="O374" s="27" t="n">
        <f aca="false">MIN(C373*(1+C$8),C$9)</f>
        <v>0</v>
      </c>
      <c r="P374" s="27" t="n">
        <f aca="false">MIN(D373*(1+D$8),D$9)</f>
        <v>0</v>
      </c>
      <c r="Q374" s="27" t="n">
        <f aca="false">MIN(E373*(1+E$8),E$9)</f>
        <v>0</v>
      </c>
      <c r="R374" s="27" t="n">
        <f aca="false">MIN(F373*(1+F$8),F$9)</f>
        <v>0</v>
      </c>
      <c r="S374" s="27" t="n">
        <f aca="false">MIN(G373*(1+G$8),G$9)</f>
        <v>0</v>
      </c>
      <c r="T374" s="27" t="n">
        <f aca="false">MIN(H373*(1+H$8),H$9)</f>
        <v>0</v>
      </c>
      <c r="U374" s="27" t="n">
        <f aca="false">MIN(I373*(1+I$8),I$9)</f>
        <v>0</v>
      </c>
      <c r="V374" s="27" t="n">
        <f aca="false">MIN(J373*(1+J$8),J$9)</f>
        <v>0</v>
      </c>
      <c r="W374" s="27" t="n">
        <f aca="false">MIN(K373*(1+K$8),K$9)</f>
        <v>0</v>
      </c>
      <c r="X374" s="27" t="n">
        <f aca="false">MIN(B373*(1+B$8),MAX(N374,$B$11-SUM(O374:W374)))</f>
        <v>0</v>
      </c>
      <c r="Y374" s="27" t="n">
        <f aca="false">MIN(C373*(1+C$8),MAX(O374,$B$11-SUM(X374:X374)-SUM(P374:W374)))</f>
        <v>0</v>
      </c>
      <c r="Z374" s="27" t="n">
        <f aca="false">MIN(D373*(1+D$8),MAX(P374,$B$11-SUM(X374:Y374)-SUM(Q374:W374)))</f>
        <v>0</v>
      </c>
      <c r="AA374" s="27" t="n">
        <f aca="false">MIN(E373*(1+E$8),MAX(Q374,$B$11-SUM(X374:Z374)-SUM(R374:W374)))</f>
        <v>0</v>
      </c>
      <c r="AB374" s="27" t="n">
        <f aca="false">MIN(F373*(1+F$8),MAX(R374,$B$11-SUM(X374:AA374)-SUM(S374:W374)))</f>
        <v>0</v>
      </c>
      <c r="AC374" s="27" t="n">
        <f aca="false">MIN(G373*(1+G$8),MAX(S374,$B$11-SUM(X374:AB374)-SUM(T374:W374)))</f>
        <v>0</v>
      </c>
      <c r="AD374" s="27" t="n">
        <f aca="false">MIN(H373*(1+H$8),MAX(T374,$B$11-SUM(X374:AC374)-SUM(U374:W374)))</f>
        <v>0</v>
      </c>
      <c r="AE374" s="27" t="n">
        <f aca="false">MIN(I373*(1+I$8),MAX(U374,$B$11-SUM(X374:AD374)-SUM(V374:W374)))</f>
        <v>0</v>
      </c>
      <c r="AF374" s="27" t="n">
        <f aca="false">MIN(J373*(1+J$8),MAX(V374,$B$11-SUM(X374:AE374)-SUM(W374:W374)))</f>
        <v>0</v>
      </c>
      <c r="AG374" s="27" t="n">
        <f aca="false">MIN(K373*(1+K$8),MAX(W374,$B$11-SUM(X374:AF374)))</f>
        <v>0</v>
      </c>
      <c r="AI374" s="27" t="n">
        <f aca="false">ROUND(MAX(0,AI373*(1+B$8)-BE374),2)</f>
        <v>0</v>
      </c>
      <c r="AJ374" s="27" t="n">
        <f aca="false">ROUND(MAX(0,AJ373*(1+C$8)-BF374),2)</f>
        <v>0</v>
      </c>
      <c r="AK374" s="27" t="n">
        <f aca="false">ROUND(MAX(0,AK373*(1+D$8)-BG374),2)</f>
        <v>0</v>
      </c>
      <c r="AL374" s="27" t="n">
        <f aca="false">ROUND(MAX(0,AL373*(1+E$8)-BH374),2)</f>
        <v>0</v>
      </c>
      <c r="AM374" s="27" t="n">
        <f aca="false">ROUND(MAX(0,AM373*(1+F$8)-BI374),2)</f>
        <v>0</v>
      </c>
      <c r="AN374" s="27" t="n">
        <f aca="false">ROUND(MAX(0,AN373*(1+G$8)-BJ374),2)</f>
        <v>0</v>
      </c>
      <c r="AO374" s="27" t="n">
        <f aca="false">ROUND(MAX(0,AO373*(1+H$8)-BK374),2)</f>
        <v>0</v>
      </c>
      <c r="AP374" s="27" t="n">
        <f aca="false">ROUND(MAX(0,AP373*(1+I$8)-BL374),2)</f>
        <v>0</v>
      </c>
      <c r="AQ374" s="27" t="n">
        <f aca="false">ROUND(MAX(0,AQ373*(1+J$8)-BM374),2)</f>
        <v>0</v>
      </c>
      <c r="AR374" s="27" t="n">
        <f aca="false">ROUND(MAX(0,AR373*(1+K$8)-BN374),2)</f>
        <v>0</v>
      </c>
      <c r="AS374" s="27" t="n">
        <f aca="false">SUM(AI374:AR374)</f>
        <v>0</v>
      </c>
      <c r="AT374" s="27" t="n">
        <f aca="false">SUMPRODUCT(AI373:AR373,$B$8:$K$8)</f>
        <v>0</v>
      </c>
      <c r="AU374" s="27" t="n">
        <f aca="false">MIN(AI373*(1+B$8),B$9)</f>
        <v>0</v>
      </c>
      <c r="AV374" s="27" t="n">
        <f aca="false">MIN(AJ373*(1+C$8),C$9)</f>
        <v>0</v>
      </c>
      <c r="AW374" s="27" t="n">
        <f aca="false">MIN(AK373*(1+D$8),D$9)</f>
        <v>0</v>
      </c>
      <c r="AX374" s="27" t="n">
        <f aca="false">MIN(AL373*(1+E$8),E$9)</f>
        <v>0</v>
      </c>
      <c r="AY374" s="27" t="n">
        <f aca="false">MIN(AM373*(1+F$8),F$9)</f>
        <v>0</v>
      </c>
      <c r="AZ374" s="27" t="n">
        <f aca="false">MIN(AN373*(1+G$8),G$9)</f>
        <v>0</v>
      </c>
      <c r="BA374" s="27" t="n">
        <f aca="false">MIN(AO373*(1+H$8),H$9)</f>
        <v>0</v>
      </c>
      <c r="BB374" s="27" t="n">
        <f aca="false">MIN(AP373*(1+I$8),I$9)</f>
        <v>0</v>
      </c>
      <c r="BC374" s="27" t="n">
        <f aca="false">MIN(AQ373*(1+J$8),J$9)</f>
        <v>0</v>
      </c>
      <c r="BD374" s="27" t="n">
        <f aca="false">MIN(AR373*(1+K$8),K$9)</f>
        <v>0</v>
      </c>
      <c r="BE374" s="27" t="n">
        <f aca="false">MIN(AI373*(1+B$8),MAX(AU374,$B$12-SUM(AV374:BD374)))</f>
        <v>0</v>
      </c>
      <c r="BF374" s="27" t="n">
        <f aca="false">MIN(AJ373*(1+C$8),MAX(AV374,$B$12-SUM(BE374:BE374)-SUM(AW374:BD374)))</f>
        <v>0</v>
      </c>
      <c r="BG374" s="27" t="n">
        <f aca="false">MIN(AK373*(1+D$8),MAX(AW374,$B$12-SUM(BE374:BF374)-SUM(AX374:BD374)))</f>
        <v>0</v>
      </c>
      <c r="BH374" s="27" t="n">
        <f aca="false">MIN(AL373*(1+E$8),MAX(AX374,$B$12-SUM(BE374:BG374)-SUM(AY374:BD374)))</f>
        <v>0</v>
      </c>
      <c r="BI374" s="27" t="n">
        <f aca="false">MIN(AM373*(1+F$8),MAX(AY374,$B$12-SUM(BE374:BH374)-SUM(AZ374:BD374)))</f>
        <v>0</v>
      </c>
      <c r="BJ374" s="27" t="n">
        <f aca="false">MIN(AN373*(1+G$8),MAX(AZ374,$B$12-SUM(BE374:BI374)-SUM(BA374:BD374)))</f>
        <v>0</v>
      </c>
      <c r="BK374" s="27" t="n">
        <f aca="false">MIN(AO373*(1+H$8),MAX(BA374,$B$12-SUM(BE374:BJ374)-SUM(BB374:BD374)))</f>
        <v>0</v>
      </c>
      <c r="BL374" s="27" t="n">
        <f aca="false">MIN(AP373*(1+I$8),MAX(BB374,$B$12-SUM(BE374:BK374)-SUM(BC374:BD374)))</f>
        <v>0</v>
      </c>
      <c r="BM374" s="27" t="n">
        <f aca="false">MIN(AQ373*(1+J$8),MAX(BC374,$B$12-SUM(BE374:BL374)-SUM(BD374:BD374)))</f>
        <v>0</v>
      </c>
      <c r="BN374" s="27" t="n">
        <f aca="false">MIN(AR373*(1+K$8),MAX(BD374,$B$12-SUM(BE374:BM374)))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2026-08-03T20:09:57Z</dcterms:created>
  <dc:creator>openpyxl</dc:creator>
  <dc:description/>
  <dc:language>en-US</dc:language>
  <cp:lastModifiedBy/>
  <dcterms:modified xsi:type="dcterms:W3CDTF">2026-08-03T20:10:00Z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