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Wedding Budget" sheetId="2" state="visible" r:id="rId4"/>
    <sheet name="Guest List" sheetId="3" state="visible" r:id="rId5"/>
    <sheet name="Vendor 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<sst xmlns="http://schemas.openxmlformats.org/spreadsheetml/2006/main" count="167" uniqueCount="115">
  <si>
    <t xml:space="preserve">WEDDING BUDGET &amp; GUEST TRACKER</t>
  </si>
  <si>
    <t xml:space="preserve">Welcome! Three tabs run the whole wedding: the money, the people, and the payments.</t>
  </si>
  <si>
    <t xml:space="preserve">HOW TO USE (3 steps)</t>
  </si>
  <si>
    <t xml:space="preserve">1. 'Wedding Budget' tab: enter your total budget in the yellow cell. The 'Typical %' column</t>
  </si>
  <si>
    <t xml:space="preserve">    suggests a starting split from real weddings — then plan your own numbers in the yellow cells.</t>
  </si>
  <si>
    <t xml:space="preserve">2. 'Guest List' tab: add guests as you invite them. RSVPs and meals are dropdowns (no typos,</t>
  </si>
  <si>
    <t xml:space="preserve">    no broken counts); headcount, meal totals, and thank-yous owed are counted for you at the top.</t>
  </si>
  <si>
    <t xml:space="preserve">3. 'Vendor Payments' tab: log every contract, deposit, and due date. The sheet shows what is</t>
  </si>
  <si>
    <t xml:space="preserve">    paid and exactly what is still owed, so no payment sneaks up on you.</t>
  </si>
  <si>
    <t xml:space="preserve">COLOR LEGEND</t>
  </si>
  <si>
    <t xml:space="preserve">Yellow cells = yours to edit.  Everything else calculates automatically — please don't type over it.</t>
  </si>
  <si>
    <t xml:space="preserve">The numbers already in the sheet are a realistic worked example. Replace them with your own.</t>
  </si>
  <si>
    <t xml:space="preserve">GOOGLE SHEETS USERS</t>
  </si>
  <si>
    <t xml:space="preserve">Upload this file to Google Drive, then open it — it converts automatically: formulas and dropdowns</t>
  </si>
  <si>
    <t xml:space="preserve">work as-is, and the budget chart converts to a Sheets chart (colors can shift slightly; data identical).</t>
  </si>
  <si>
    <t xml:space="preserve">Questions or a formula acting up? Message us on Etsy any time — we answer fast and we'll fix it.</t>
  </si>
  <si>
    <t xml:space="preserve">WEDDING BUDGET</t>
  </si>
  <si>
    <t xml:space="preserve">Total wedding budget:</t>
  </si>
  <si>
    <t xml:space="preserve">'Typical %' is guidance from real weddings, not a rule — every wedding is different. 'Typical $' updates from YOUR budget.</t>
  </si>
  <si>
    <t xml:space="preserve">Category</t>
  </si>
  <si>
    <t xml:space="preserve">Typical %</t>
  </si>
  <si>
    <t xml:space="preserve">Typical $</t>
  </si>
  <si>
    <t xml:space="preserve">Planned</t>
  </si>
  <si>
    <t xml:space="preserve">Actual</t>
  </si>
  <si>
    <t xml:space="preserve">Difference</t>
  </si>
  <si>
    <t xml:space="preserve">Venue &amp; catering</t>
  </si>
  <si>
    <t xml:space="preserve">Photography &amp; video</t>
  </si>
  <si>
    <t xml:space="preserve">Attire &amp; beauty</t>
  </si>
  <si>
    <t xml:space="preserve">Flowers &amp; decor</t>
  </si>
  <si>
    <t xml:space="preserve">Music / entertainment</t>
  </si>
  <si>
    <t xml:space="preserve">Stationery &amp; invites</t>
  </si>
  <si>
    <t xml:space="preserve">Wedding rings</t>
  </si>
  <si>
    <t xml:space="preserve">Transportation</t>
  </si>
  <si>
    <t xml:space="preserve">Cake &amp; desserts</t>
  </si>
  <si>
    <t xml:space="preserve">Favors &amp; gifts</t>
  </si>
  <si>
    <t xml:space="preserve">Officiant &amp; ceremony</t>
  </si>
  <si>
    <t xml:space="preserve">Contingency buffer</t>
  </si>
  <si>
    <t xml:space="preserve">Total</t>
  </si>
  <si>
    <t xml:space="preserve">THE BOTTOM LINE</t>
  </si>
  <si>
    <t xml:space="preserve">Left to plan (budget − planned) — get this to $0</t>
  </si>
  <si>
    <t xml:space="preserve">Budget remaining right now (budget − spent so far)</t>
  </si>
  <si>
    <t xml:space="preserve">Tip: keep the contingency line — the average wedding runs over in at least one category.</t>
  </si>
  <si>
    <t xml:space="preserve">GUEST LIST</t>
  </si>
  <si>
    <t xml:space="preserve">Parties invited</t>
  </si>
  <si>
    <t xml:space="preserve">RSVP yes</t>
  </si>
  <si>
    <t xml:space="preserve">Headcount attending</t>
  </si>
  <si>
    <t xml:space="preserve">RSVP no</t>
  </si>
  <si>
    <t xml:space="preserve">Chicken meals</t>
  </si>
  <si>
    <t xml:space="preserve">Awaiting reply</t>
  </si>
  <si>
    <t xml:space="preserve">Beef meals</t>
  </si>
  <si>
    <t xml:space="preserve">Gifts received</t>
  </si>
  <si>
    <t xml:space="preserve">Vegetarian meals</t>
  </si>
  <si>
    <t xml:space="preserve">Thank-yous owed</t>
  </si>
  <si>
    <t xml:space="preserve">Pick RSVP and meals from the dropdowns — Yes / No / Waiting and Chicken / Beef / Vegetarian. (Other meals are allowed; the counters above track those three.)</t>
  </si>
  <si>
    <t xml:space="preserve">Guest / party</t>
  </si>
  <si>
    <t xml:space="preserve"># in party</t>
  </si>
  <si>
    <t xml:space="preserve">RSVP</t>
  </si>
  <si>
    <t xml:space="preserve">Meal choice</t>
  </si>
  <si>
    <t xml:space="preserve">Gift received</t>
  </si>
  <si>
    <t xml:space="preserve">Thank-you sent</t>
  </si>
  <si>
    <t xml:space="preserve">Notes</t>
  </si>
  <si>
    <t xml:space="preserve">Sam &amp; Riley Carter</t>
  </si>
  <si>
    <t xml:space="preserve">Yes</t>
  </si>
  <si>
    <t xml:space="preserve">Chicken</t>
  </si>
  <si>
    <t xml:space="preserve">Grandma Jean</t>
  </si>
  <si>
    <t xml:space="preserve">Vegetarian</t>
  </si>
  <si>
    <t xml:space="preserve">No</t>
  </si>
  <si>
    <t xml:space="preserve">The Ortiz family</t>
  </si>
  <si>
    <t xml:space="preserve">Priya Patel</t>
  </si>
  <si>
    <t xml:space="preserve">Beef</t>
  </si>
  <si>
    <t xml:space="preserve">Marcus &amp; Dee Lewis</t>
  </si>
  <si>
    <t xml:space="preserve">Coach Thompson</t>
  </si>
  <si>
    <t xml:space="preserve">Waiting</t>
  </si>
  <si>
    <t xml:space="preserve">Jules Moreau</t>
  </si>
  <si>
    <t xml:space="preserve">The Kims</t>
  </si>
  <si>
    <t xml:space="preserve">Aunt Carol &amp; Uncle Ray</t>
  </si>
  <si>
    <t xml:space="preserve">Devon Brooks</t>
  </si>
  <si>
    <t xml:space="preserve">Hannah &amp; Theo Ruiz</t>
  </si>
  <si>
    <t xml:space="preserve">Olivia Chen +1</t>
  </si>
  <si>
    <t xml:space="preserve">VENDOR PAYMENT SCHEDULE</t>
  </si>
  <si>
    <t xml:space="preserve">One row per vendor. Balance calculates itself. Mark Paid? = Yes as money goes out — the totals below always show what's still owed.</t>
  </si>
  <si>
    <t xml:space="preserve">Vendor</t>
  </si>
  <si>
    <t xml:space="preserve">Service</t>
  </si>
  <si>
    <t xml:space="preserve">Total contract</t>
  </si>
  <si>
    <t xml:space="preserve">Deposit</t>
  </si>
  <si>
    <t xml:space="preserve">Deposit due</t>
  </si>
  <si>
    <t xml:space="preserve">Deposit paid?</t>
  </si>
  <si>
    <t xml:space="preserve">Balance</t>
  </si>
  <si>
    <t xml:space="preserve">Final due</t>
  </si>
  <si>
    <t xml:space="preserve">Final paid?</t>
  </si>
  <si>
    <t xml:space="preserve">Willow Creek Venue</t>
  </si>
  <si>
    <t xml:space="preserve">2026-03-01</t>
  </si>
  <si>
    <t xml:space="preserve">2026-09-15</t>
  </si>
  <si>
    <t xml:space="preserve">J. Alvarez Photography</t>
  </si>
  <si>
    <t xml:space="preserve">Photo + video</t>
  </si>
  <si>
    <t xml:space="preserve">2026-03-20</t>
  </si>
  <si>
    <t xml:space="preserve">2026-09-01</t>
  </si>
  <si>
    <t xml:space="preserve">Bloom &amp; Stem</t>
  </si>
  <si>
    <t xml:space="preserve">Flowers</t>
  </si>
  <si>
    <t xml:space="preserve">2026-04-10</t>
  </si>
  <si>
    <t xml:space="preserve">2026-09-20</t>
  </si>
  <si>
    <t xml:space="preserve">DJ Nightowl</t>
  </si>
  <si>
    <t xml:space="preserve">Music</t>
  </si>
  <si>
    <t xml:space="preserve">2026-05-05</t>
  </si>
  <si>
    <t xml:space="preserve">2026-10-01</t>
  </si>
  <si>
    <t xml:space="preserve">Sweet Layer Bakery</t>
  </si>
  <si>
    <t xml:space="preserve">Cake</t>
  </si>
  <si>
    <t xml:space="preserve">2026-06-01</t>
  </si>
  <si>
    <t xml:space="preserve">2026-09-25</t>
  </si>
  <si>
    <t xml:space="preserve">Rev. Dana Whit</t>
  </si>
  <si>
    <t xml:space="preserve">Officiant</t>
  </si>
  <si>
    <t xml:space="preserve">2026-10-03</t>
  </si>
  <si>
    <t xml:space="preserve">Paid so far</t>
  </si>
  <si>
    <t xml:space="preserve">Still to pay</t>
  </si>
  <si>
    <t xml:space="preserve">Pick Yes from the dropdown in the Paid? columns as money goes out — the 'Paid so far' total reads it.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</si>
</sst>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;&quot;($&quot;#,##0.00\);\-"/>
    <numFmt numFmtId="166" formatCode="0%"/>
    <numFmt numFmtId="167" formatCode="\$#,##0.00;&quot;($&quot;#,##0.00\)"/>
    <numFmt numFmtId="168" formatCode="\$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7D6B"/>
        <bgColor rgb="FF008080"/>
      </patternFill>
    </fill>
    <fill>
      <patternFill patternType="solid">
        <fgColor rgb="FFFFF2CC"/>
        <bgColor rgb="FFF4F6F8"/>
      </patternFill>
    </fill>
    <fill>
      <patternFill patternType="solid">
        <fgColor rgb="FFF4F6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2CC"/>
      <rgbColor rgb="FFF4F6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2E7D6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 actual,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Budget'!E7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a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Budget'!$B$8:$B$19</c:f>
              <c:strCache>
                <c:ptCount val="12"/>
                <c:pt idx="0">
                  <c:v>Venue &amp; catering</c:v>
                </c:pt>
                <c:pt idx="1">
                  <c:v>Photography &amp; video</c:v>
                </c:pt>
                <c:pt idx="2">
                  <c:v>Attire &amp; beauty</c:v>
                </c:pt>
                <c:pt idx="3">
                  <c:v>Flowers &amp; decor</c:v>
                </c:pt>
                <c:pt idx="4">
                  <c:v>Music / entertainment</c:v>
                </c:pt>
                <c:pt idx="5">
                  <c:v>Stationery &amp; invites</c:v>
                </c:pt>
                <c:pt idx="6">
                  <c:v>Wedding rings</c:v>
                </c:pt>
                <c:pt idx="7">
                  <c:v>Transportation</c:v>
                </c:pt>
                <c:pt idx="8">
                  <c:v>Cake &amp; desserts</c:v>
                </c:pt>
                <c:pt idx="9">
                  <c:v>Favors &amp; gifts</c:v>
                </c:pt>
                <c:pt idx="10">
                  <c:v>Officiant &amp; ceremony</c:v>
                </c:pt>
                <c:pt idx="11">
                  <c:v>Contingency buffer</c:v>
                </c:pt>
              </c:strCache>
            </c:strRef>
          </c:cat>
          <c:val>
            <c:numRef>
              <c:f>'Wedding Budget'!$E$8:$E$19</c:f>
              <c:numCache>
                <c:formatCode>\$#,##0.00;"($"#,##0.00\);\-</c:formatCode>
                <c:ptCount val="12"/>
                <c:pt idx="0">
                  <c:v>9600</c:v>
                </c:pt>
                <c:pt idx="1">
                  <c:v>2900</c:v>
                </c:pt>
                <c:pt idx="2">
                  <c:v>2150</c:v>
                </c:pt>
                <c:pt idx="3">
                  <c:v>2400</c:v>
                </c:pt>
                <c:pt idx="4">
                  <c:v>1700</c:v>
                </c:pt>
                <c:pt idx="5">
                  <c:v>720</c:v>
                </c:pt>
                <c:pt idx="6">
                  <c:v>720</c:v>
                </c:pt>
                <c:pt idx="7">
                  <c:v>480</c:v>
                </c:pt>
                <c:pt idx="8">
                  <c:v>480</c:v>
                </c:pt>
                <c:pt idx="9">
                  <c:v>480</c:v>
                </c:pt>
                <c:pt idx="10">
                  <c:v>480</c:v>
                </c:pt>
                <c:pt idx="11">
                  <c:v>1890</c:v>
                </c:pt>
              </c:numCache>
            </c:numRef>
          </c:val>
        </c:ser>
        <c:ser>
          <c:idx val="1"/>
          <c:order val="1"/>
          <c:tx>
            <c:strRef>
              <c:f>'Wedding Budget'!F7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2e7d6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Budget'!$B$8:$B$19</c:f>
              <c:strCache>
                <c:ptCount val="12"/>
                <c:pt idx="0">
                  <c:v>Venue &amp; catering</c:v>
                </c:pt>
                <c:pt idx="1">
                  <c:v>Photography &amp; video</c:v>
                </c:pt>
                <c:pt idx="2">
                  <c:v>Attire &amp; beauty</c:v>
                </c:pt>
                <c:pt idx="3">
                  <c:v>Flowers &amp; decor</c:v>
                </c:pt>
                <c:pt idx="4">
                  <c:v>Music / entertainment</c:v>
                </c:pt>
                <c:pt idx="5">
                  <c:v>Stationery &amp; invites</c:v>
                </c:pt>
                <c:pt idx="6">
                  <c:v>Wedding rings</c:v>
                </c:pt>
                <c:pt idx="7">
                  <c:v>Transportation</c:v>
                </c:pt>
                <c:pt idx="8">
                  <c:v>Cake &amp; desserts</c:v>
                </c:pt>
                <c:pt idx="9">
                  <c:v>Favors &amp; gifts</c:v>
                </c:pt>
                <c:pt idx="10">
                  <c:v>Officiant &amp; ceremony</c:v>
                </c:pt>
                <c:pt idx="11">
                  <c:v>Contingency buffer</c:v>
                </c:pt>
              </c:strCache>
            </c:strRef>
          </c:cat>
          <c:val>
            <c:numRef>
              <c:f>'Wedding Budget'!$F$8:$F$19</c:f>
              <c:numCache>
                <c:formatCode>\$#,##0.00;"($"#,##0.00\);\-</c:formatCode>
                <c:ptCount val="12"/>
                <c:pt idx="0">
                  <c:v>9750</c:v>
                </c:pt>
                <c:pt idx="1">
                  <c:v>2900</c:v>
                </c:pt>
                <c:pt idx="2">
                  <c:v>1980.5</c:v>
                </c:pt>
                <c:pt idx="3">
                  <c:v>2510</c:v>
                </c:pt>
                <c:pt idx="4">
                  <c:v>1700</c:v>
                </c:pt>
                <c:pt idx="5">
                  <c:v>684.25</c:v>
                </c:pt>
                <c:pt idx="6">
                  <c:v>650</c:v>
                </c:pt>
                <c:pt idx="7">
                  <c:v>480</c:v>
                </c:pt>
                <c:pt idx="8">
                  <c:v>495</c:v>
                </c:pt>
                <c:pt idx="9">
                  <c:v>462</c:v>
                </c:pt>
                <c:pt idx="10">
                  <c:v>450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8980838"/>
        <c:axId val="82419745"/>
      </c:barChart>
      <c:catAx>
        <c:axId val="28980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19745"/>
        <c:crosses val="autoZero"/>
        <c:auto val="1"/>
        <c:lblAlgn val="ctr"/>
        <c:lblOffset val="100"/>
        <c:noMultiLvlLbl val="0"/>
      </c:catAx>
      <c:valAx>
        <c:axId val="824197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808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19</xdr:col>
      <xdr:colOff>292680</xdr:colOff>
      <xdr:row>25</xdr:row>
      <xdr:rowOff>128880</xdr:rowOff>
    </xdr:to>
    <xdr:graphicFrame>
      <xdr:nvGraphicFramePr>
        <xdr:cNvPr id="0" name="Chart 1"/>
        <xdr:cNvGraphicFramePr/>
      </xdr:nvGraphicFramePr>
      <xdr:xfrm>
        <a:off x="9293400" y="762120"/>
        <a:ext cx="863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5" min="3" style="0" width="30"/>
  </cols>
  <sheetData>
    <row r="2" customFormat="false" ht="33.75" hidden="false" customHeight="true" outlineLevel="0" collapsed="false">
      <c r="B2" s="1" t="s">
        <v>0</v>
      </c>
      <c r="C2" s="1"/>
      <c r="D2" s="1"/>
      <c r="E2" s="1"/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2" t="s">
        <v>1</v>
      </c>
    </row>
    <row r="6" customFormat="false" ht="15" hidden="false" customHeight="false" outlineLevel="0" collapsed="false">
      <c r="B6" s="2"/>
    </row>
    <row r="7" customFormat="false" ht="19.5" hidden="false" customHeight="true" outlineLevel="0" collapsed="false">
      <c r="B7" s="3" t="s">
        <v>2</v>
      </c>
      <c r="C7" s="3"/>
      <c r="D7" s="3"/>
      <c r="E7" s="3"/>
    </row>
    <row r="8" customFormat="false" ht="15" hidden="false" customHeight="false" outlineLevel="0" collapsed="false">
      <c r="B8" s="2" t="s">
        <v>3</v>
      </c>
    </row>
    <row r="9" customFormat="false" ht="15" hidden="false" customHeight="false" outlineLevel="0" collapsed="false">
      <c r="B9" s="2" t="s">
        <v>4</v>
      </c>
    </row>
    <row r="10" customFormat="false" ht="15" hidden="false" customHeight="false" outlineLevel="0" collapsed="false">
      <c r="B10" s="2" t="s">
        <v>5</v>
      </c>
    </row>
    <row r="11" customFormat="false" ht="15" hidden="false" customHeight="false" outlineLevel="0" collapsed="false">
      <c r="B11" s="2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2" t="s">
        <v>8</v>
      </c>
    </row>
    <row r="14" customFormat="false" ht="15" hidden="false" customHeight="false" outlineLevel="0" collapsed="false">
      <c r="B14" s="2"/>
    </row>
    <row r="15" customFormat="false" ht="19.5" hidden="false" customHeight="true" outlineLevel="0" collapsed="false">
      <c r="B15" s="3" t="s">
        <v>9</v>
      </c>
      <c r="C15" s="3"/>
      <c r="D15" s="3"/>
      <c r="E15" s="3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2" t="s">
        <v>11</v>
      </c>
    </row>
    <row r="18" customFormat="false" ht="15" hidden="false" customHeight="false" outlineLevel="0" collapsed="false">
      <c r="B18" s="2"/>
    </row>
    <row r="19" customFormat="false" ht="19.5" hidden="false" customHeight="true" outlineLevel="0" collapsed="false">
      <c r="B19" s="3" t="s">
        <v>12</v>
      </c>
      <c r="C19" s="3"/>
      <c r="D19" s="3"/>
      <c r="E19" s="3"/>
    </row>
    <row r="20" customFormat="false" ht="15" hidden="false" customHeight="false" outlineLevel="0" collapsed="false">
      <c r="B20" s="2" t="s">
        <v>13</v>
      </c>
    </row>
    <row r="21" customFormat="false" ht="15" hidden="false" customHeight="false" outlineLevel="0" collapsed="false">
      <c r="B21" s="2" t="s">
        <v>14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2" t="s">
        <v>15</v>
      </c>
    </row>
  </sheetData>
  <mergeCells count="4">
    <mergeCell ref="B2:E2"/>
    <mergeCell ref="B7:E7"/>
    <mergeCell ref="B15:E15"/>
    <mergeCell ref="B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7" min="4" style="0" width="14"/>
  </cols>
  <sheetData>
    <row r="2" customFormat="false" ht="30" hidden="false" customHeight="true" outlineLevel="0" collapsed="false">
      <c r="B2" s="4" t="s">
        <v>16</v>
      </c>
      <c r="C2" s="4"/>
      <c r="D2" s="4"/>
      <c r="E2" s="4"/>
      <c r="F2" s="4"/>
      <c r="G2" s="4"/>
    </row>
    <row r="4" customFormat="false" ht="15" hidden="false" customHeight="false" outlineLevel="0" collapsed="false">
      <c r="B4" s="5" t="s">
        <v>17</v>
      </c>
      <c r="C4" s="6" t="n">
        <v>24000</v>
      </c>
    </row>
    <row r="5" customFormat="false" ht="15" hidden="false" customHeight="false" outlineLevel="0" collapsed="false">
      <c r="B5" s="7" t="s">
        <v>18</v>
      </c>
    </row>
    <row r="7" customFormat="false" ht="15" hidden="false" customHeight="false" outlineLevel="0" collapsed="false">
      <c r="B7" s="8" t="s">
        <v>19</v>
      </c>
      <c r="C7" s="8" t="s">
        <v>20</v>
      </c>
      <c r="D7" s="8" t="s">
        <v>21</v>
      </c>
      <c r="E7" s="8" t="s">
        <v>22</v>
      </c>
      <c r="F7" s="8" t="s">
        <v>23</v>
      </c>
      <c r="G7" s="8" t="s">
        <v>24</v>
      </c>
    </row>
    <row r="8" customFormat="false" ht="15" hidden="false" customHeight="false" outlineLevel="0" collapsed="false">
      <c r="B8" s="9" t="s">
        <v>25</v>
      </c>
      <c r="C8" s="10" t="n">
        <v>0.4</v>
      </c>
      <c r="D8" s="11" t="n">
        <f aca="false">$C$4*C8</f>
        <v>9600</v>
      </c>
      <c r="E8" s="6" t="n">
        <v>9600</v>
      </c>
      <c r="F8" s="6" t="n">
        <v>9750</v>
      </c>
      <c r="G8" s="11" t="n">
        <f aca="false">E8-F8</f>
        <v>-150</v>
      </c>
    </row>
    <row r="9" customFormat="false" ht="15" hidden="false" customHeight="false" outlineLevel="0" collapsed="false">
      <c r="B9" s="9" t="s">
        <v>26</v>
      </c>
      <c r="C9" s="10" t="n">
        <v>0.12</v>
      </c>
      <c r="D9" s="11" t="n">
        <f aca="false">$C$4*C9</f>
        <v>2880</v>
      </c>
      <c r="E9" s="6" t="n">
        <v>2900</v>
      </c>
      <c r="F9" s="6" t="n">
        <v>2900</v>
      </c>
      <c r="G9" s="11" t="n">
        <f aca="false">E9-F9</f>
        <v>0</v>
      </c>
    </row>
    <row r="10" customFormat="false" ht="15" hidden="false" customHeight="false" outlineLevel="0" collapsed="false">
      <c r="B10" s="9" t="s">
        <v>27</v>
      </c>
      <c r="C10" s="10" t="n">
        <v>0.09</v>
      </c>
      <c r="D10" s="11" t="n">
        <f aca="false">$C$4*C10</f>
        <v>2160</v>
      </c>
      <c r="E10" s="6" t="n">
        <v>2150</v>
      </c>
      <c r="F10" s="6" t="n">
        <v>1980.5</v>
      </c>
      <c r="G10" s="11" t="n">
        <f aca="false">E10-F10</f>
        <v>169.5</v>
      </c>
    </row>
    <row r="11" customFormat="false" ht="15" hidden="false" customHeight="false" outlineLevel="0" collapsed="false">
      <c r="B11" s="9" t="s">
        <v>28</v>
      </c>
      <c r="C11" s="10" t="n">
        <v>0.1</v>
      </c>
      <c r="D11" s="11" t="n">
        <f aca="false">$C$4*C11</f>
        <v>2400</v>
      </c>
      <c r="E11" s="6" t="n">
        <v>2400</v>
      </c>
      <c r="F11" s="6" t="n">
        <v>2510</v>
      </c>
      <c r="G11" s="11" t="n">
        <f aca="false">E11-F11</f>
        <v>-110</v>
      </c>
    </row>
    <row r="12" customFormat="false" ht="15" hidden="false" customHeight="false" outlineLevel="0" collapsed="false">
      <c r="B12" s="9" t="s">
        <v>29</v>
      </c>
      <c r="C12" s="10" t="n">
        <v>0.07</v>
      </c>
      <c r="D12" s="11" t="n">
        <f aca="false">$C$4*C12</f>
        <v>1680</v>
      </c>
      <c r="E12" s="6" t="n">
        <v>1700</v>
      </c>
      <c r="F12" s="6" t="n">
        <v>1700</v>
      </c>
      <c r="G12" s="11" t="n">
        <f aca="false">E12-F12</f>
        <v>0</v>
      </c>
    </row>
    <row r="13" customFormat="false" ht="15" hidden="false" customHeight="false" outlineLevel="0" collapsed="false">
      <c r="B13" s="9" t="s">
        <v>30</v>
      </c>
      <c r="C13" s="10" t="n">
        <v>0.03</v>
      </c>
      <c r="D13" s="11" t="n">
        <f aca="false">$C$4*C13</f>
        <v>720</v>
      </c>
      <c r="E13" s="6" t="n">
        <v>720</v>
      </c>
      <c r="F13" s="6" t="n">
        <v>684.25</v>
      </c>
      <c r="G13" s="11" t="n">
        <f aca="false">E13-F13</f>
        <v>35.75</v>
      </c>
    </row>
    <row r="14" customFormat="false" ht="15" hidden="false" customHeight="false" outlineLevel="0" collapsed="false">
      <c r="B14" s="9" t="s">
        <v>31</v>
      </c>
      <c r="C14" s="10" t="n">
        <v>0.03</v>
      </c>
      <c r="D14" s="11" t="n">
        <f aca="false">$C$4*C14</f>
        <v>720</v>
      </c>
      <c r="E14" s="6" t="n">
        <v>720</v>
      </c>
      <c r="F14" s="6" t="n">
        <v>650</v>
      </c>
      <c r="G14" s="11" t="n">
        <f aca="false">E14-F14</f>
        <v>70</v>
      </c>
    </row>
    <row r="15" customFormat="false" ht="15" hidden="false" customHeight="false" outlineLevel="0" collapsed="false">
      <c r="B15" s="9" t="s">
        <v>32</v>
      </c>
      <c r="C15" s="10" t="n">
        <v>0.02</v>
      </c>
      <c r="D15" s="11" t="n">
        <f aca="false">$C$4*C15</f>
        <v>480</v>
      </c>
      <c r="E15" s="6" t="n">
        <v>480</v>
      </c>
      <c r="F15" s="6" t="n">
        <v>480</v>
      </c>
      <c r="G15" s="11" t="n">
        <f aca="false">E15-F15</f>
        <v>0</v>
      </c>
    </row>
    <row r="16" customFormat="false" ht="15" hidden="false" customHeight="false" outlineLevel="0" collapsed="false">
      <c r="B16" s="9" t="s">
        <v>33</v>
      </c>
      <c r="C16" s="10" t="n">
        <v>0.02</v>
      </c>
      <c r="D16" s="11" t="n">
        <f aca="false">$C$4*C16</f>
        <v>480</v>
      </c>
      <c r="E16" s="6" t="n">
        <v>480</v>
      </c>
      <c r="F16" s="6" t="n">
        <v>495</v>
      </c>
      <c r="G16" s="11" t="n">
        <f aca="false">E16-F16</f>
        <v>-15</v>
      </c>
    </row>
    <row r="17" customFormat="false" ht="15" hidden="false" customHeight="false" outlineLevel="0" collapsed="false">
      <c r="B17" s="9" t="s">
        <v>34</v>
      </c>
      <c r="C17" s="10" t="n">
        <v>0.02</v>
      </c>
      <c r="D17" s="11" t="n">
        <f aca="false">$C$4*C17</f>
        <v>480</v>
      </c>
      <c r="E17" s="6" t="n">
        <v>480</v>
      </c>
      <c r="F17" s="6" t="n">
        <v>462</v>
      </c>
      <c r="G17" s="11" t="n">
        <f aca="false">E17-F17</f>
        <v>18</v>
      </c>
    </row>
    <row r="18" customFormat="false" ht="15" hidden="false" customHeight="false" outlineLevel="0" collapsed="false">
      <c r="B18" s="9" t="s">
        <v>35</v>
      </c>
      <c r="C18" s="10" t="n">
        <v>0.02</v>
      </c>
      <c r="D18" s="11" t="n">
        <f aca="false">$C$4*C18</f>
        <v>480</v>
      </c>
      <c r="E18" s="6" t="n">
        <v>480</v>
      </c>
      <c r="F18" s="6" t="n">
        <v>450</v>
      </c>
      <c r="G18" s="11" t="n">
        <f aca="false">E18-F18</f>
        <v>30</v>
      </c>
    </row>
    <row r="19" customFormat="false" ht="15" hidden="false" customHeight="false" outlineLevel="0" collapsed="false">
      <c r="B19" s="9" t="s">
        <v>36</v>
      </c>
      <c r="C19" s="10" t="n">
        <v>0.08</v>
      </c>
      <c r="D19" s="11" t="n">
        <f aca="false">$C$4*C19</f>
        <v>1920</v>
      </c>
      <c r="E19" s="6" t="n">
        <v>1890</v>
      </c>
      <c r="F19" s="6" t="n">
        <v>0</v>
      </c>
      <c r="G19" s="11" t="n">
        <f aca="false">E19-F19</f>
        <v>1890</v>
      </c>
    </row>
    <row r="20" customFormat="false" ht="15" hidden="false" customHeight="false" outlineLevel="0" collapsed="false">
      <c r="B20" s="8" t="s">
        <v>37</v>
      </c>
      <c r="C20" s="12" t="n">
        <f aca="false">SUM(C8:C19)</f>
        <v>1</v>
      </c>
      <c r="D20" s="13" t="n">
        <f aca="false">SUM(D8:D19)</f>
        <v>24000</v>
      </c>
      <c r="E20" s="13" t="n">
        <f aca="false">SUM(E8:E19)</f>
        <v>24000</v>
      </c>
      <c r="F20" s="13" t="n">
        <f aca="false">SUM(F8:F19)</f>
        <v>22061.75</v>
      </c>
      <c r="G20" s="13" t="n">
        <f aca="false">E20-F20</f>
        <v>1938.25</v>
      </c>
    </row>
    <row r="22" customFormat="false" ht="15" hidden="false" customHeight="false" outlineLevel="0" collapsed="false">
      <c r="B22" s="14" t="s">
        <v>38</v>
      </c>
      <c r="C22" s="14"/>
      <c r="D22" s="14"/>
      <c r="E22" s="14"/>
      <c r="F22" s="14"/>
      <c r="G22" s="14"/>
    </row>
    <row r="23" customFormat="false" ht="15" hidden="false" customHeight="false" outlineLevel="0" collapsed="false">
      <c r="B23" s="15" t="s">
        <v>39</v>
      </c>
      <c r="C23" s="15"/>
      <c r="D23" s="15"/>
      <c r="E23" s="15"/>
      <c r="F23" s="15"/>
      <c r="G23" s="16" t="n">
        <f aca="false">C4-E20</f>
        <v>0</v>
      </c>
    </row>
    <row r="24" customFormat="false" ht="15" hidden="false" customHeight="false" outlineLevel="0" collapsed="false">
      <c r="B24" s="15" t="s">
        <v>40</v>
      </c>
      <c r="C24" s="15"/>
      <c r="D24" s="15"/>
      <c r="E24" s="15"/>
      <c r="F24" s="15"/>
      <c r="G24" s="16" t="n">
        <f aca="false">C4-F20</f>
        <v>1938.25</v>
      </c>
    </row>
    <row r="25" customFormat="false" ht="15" hidden="false" customHeight="false" outlineLevel="0" collapsed="false">
      <c r="B25" s="7" t="s">
        <v>41</v>
      </c>
    </row>
  </sheetData>
  <mergeCells count="4">
    <mergeCell ref="B2:G2"/>
    <mergeCell ref="B22:G22"/>
    <mergeCell ref="B23:F23"/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24"/>
  </cols>
  <sheetData>
    <row r="2" customFormat="false" ht="30" hidden="false" customHeight="true" outlineLevel="0" collapsed="false">
      <c r="B2" s="4" t="s">
        <v>42</v>
      </c>
      <c r="C2" s="4"/>
      <c r="D2" s="4"/>
      <c r="E2" s="4"/>
      <c r="F2" s="4"/>
      <c r="G2" s="4"/>
      <c r="H2" s="4"/>
    </row>
    <row r="4" customFormat="false" ht="15" hidden="false" customHeight="false" outlineLevel="0" collapsed="false">
      <c r="B4" s="5" t="s">
        <v>43</v>
      </c>
      <c r="C4" s="8" t="n">
        <f aca="false">COUNTA(B13:B112)</f>
        <v>12</v>
      </c>
      <c r="D4" s="15" t="s">
        <v>44</v>
      </c>
      <c r="E4" s="15"/>
      <c r="F4" s="8" t="n">
        <f aca="false">COUNTIF(D13:D112,"Yes")</f>
        <v>8</v>
      </c>
    </row>
    <row r="5" customFormat="false" ht="15" hidden="false" customHeight="false" outlineLevel="0" collapsed="false">
      <c r="B5" s="5" t="s">
        <v>45</v>
      </c>
      <c r="C5" s="8" t="n">
        <f aca="false">SUMIF(D13:D112,"Yes",C13:C112)</f>
        <v>16</v>
      </c>
      <c r="D5" s="15" t="s">
        <v>46</v>
      </c>
      <c r="E5" s="15"/>
      <c r="F5" s="8" t="n">
        <f aca="false">COUNTIF(D13:D112,"No")</f>
        <v>2</v>
      </c>
    </row>
    <row r="6" customFormat="false" ht="15" hidden="false" customHeight="false" outlineLevel="0" collapsed="false">
      <c r="B6" s="5" t="s">
        <v>47</v>
      </c>
      <c r="C6" s="8" t="n">
        <f aca="false">SUMIFS(C13:C112,D13:D112,"Yes",E13:E112,"Chicken")</f>
        <v>9</v>
      </c>
      <c r="D6" s="15" t="s">
        <v>48</v>
      </c>
      <c r="E6" s="15"/>
      <c r="F6" s="8" t="n">
        <f aca="false">COUNTIF(D13:D112,"Waiting")</f>
        <v>2</v>
      </c>
    </row>
    <row r="7" customFormat="false" ht="15" hidden="false" customHeight="false" outlineLevel="0" collapsed="false">
      <c r="B7" s="5" t="s">
        <v>49</v>
      </c>
      <c r="C7" s="8" t="n">
        <f aca="false">SUMIFS(C13:C112,D13:D112,"Yes",E13:E112,"Beef")</f>
        <v>4</v>
      </c>
      <c r="D7" s="15" t="s">
        <v>50</v>
      </c>
      <c r="E7" s="15"/>
      <c r="F7" s="8" t="n">
        <f aca="false">COUNTIF(F13:F112,"Yes")</f>
        <v>4</v>
      </c>
    </row>
    <row r="8" customFormat="false" ht="15" hidden="false" customHeight="false" outlineLevel="0" collapsed="false">
      <c r="B8" s="5" t="s">
        <v>51</v>
      </c>
      <c r="C8" s="8" t="n">
        <f aca="false">SUMIFS(C13:C112,D13:D112,"Yes",E13:E112,"Vegetarian")</f>
        <v>3</v>
      </c>
      <c r="D8" s="15" t="s">
        <v>52</v>
      </c>
      <c r="E8" s="15"/>
      <c r="F8" s="8" t="n">
        <f aca="false">COUNTIF(F13:F112,"Yes")-COUNTIF(G13:G112,"Yes")</f>
        <v>2</v>
      </c>
    </row>
    <row r="10" customFormat="false" ht="15" hidden="false" customHeight="false" outlineLevel="0" collapsed="false">
      <c r="B10" s="7" t="s">
        <v>53</v>
      </c>
    </row>
    <row r="12" customFormat="false" ht="15" hidden="false" customHeight="false" outlineLevel="0" collapsed="false">
      <c r="B12" s="8" t="s">
        <v>54</v>
      </c>
      <c r="C12" s="8" t="s">
        <v>55</v>
      </c>
      <c r="D12" s="8" t="s">
        <v>56</v>
      </c>
      <c r="E12" s="8" t="s">
        <v>57</v>
      </c>
      <c r="F12" s="8" t="s">
        <v>58</v>
      </c>
      <c r="G12" s="8" t="s">
        <v>59</v>
      </c>
      <c r="H12" s="8" t="s">
        <v>60</v>
      </c>
    </row>
    <row r="13" customFormat="false" ht="15" hidden="false" customHeight="false" outlineLevel="0" collapsed="false">
      <c r="B13" s="17" t="s">
        <v>61</v>
      </c>
      <c r="C13" s="17" t="n">
        <v>2</v>
      </c>
      <c r="D13" s="17" t="s">
        <v>62</v>
      </c>
      <c r="E13" s="17" t="s">
        <v>63</v>
      </c>
      <c r="F13" s="17" t="s">
        <v>62</v>
      </c>
      <c r="G13" s="17" t="s">
        <v>62</v>
      </c>
      <c r="H13" s="17"/>
    </row>
    <row r="14" customFormat="false" ht="15" hidden="false" customHeight="false" outlineLevel="0" collapsed="false">
      <c r="B14" s="17" t="s">
        <v>64</v>
      </c>
      <c r="C14" s="17" t="n">
        <v>1</v>
      </c>
      <c r="D14" s="17" t="s">
        <v>62</v>
      </c>
      <c r="E14" s="17" t="s">
        <v>65</v>
      </c>
      <c r="F14" s="17" t="s">
        <v>62</v>
      </c>
      <c r="G14" s="17" t="s">
        <v>66</v>
      </c>
      <c r="H14" s="17"/>
    </row>
    <row r="15" customFormat="false" ht="15" hidden="false" customHeight="false" outlineLevel="0" collapsed="false">
      <c r="B15" s="17" t="s">
        <v>67</v>
      </c>
      <c r="C15" s="17" t="n">
        <v>4</v>
      </c>
      <c r="D15" s="17" t="s">
        <v>62</v>
      </c>
      <c r="E15" s="17" t="s">
        <v>63</v>
      </c>
      <c r="F15" s="17" t="s">
        <v>66</v>
      </c>
      <c r="G15" s="17" t="s">
        <v>66</v>
      </c>
      <c r="H15" s="17"/>
    </row>
    <row r="16" customFormat="false" ht="15" hidden="false" customHeight="false" outlineLevel="0" collapsed="false">
      <c r="B16" s="17" t="s">
        <v>68</v>
      </c>
      <c r="C16" s="17" t="n">
        <v>1</v>
      </c>
      <c r="D16" s="17" t="s">
        <v>62</v>
      </c>
      <c r="E16" s="17" t="s">
        <v>69</v>
      </c>
      <c r="F16" s="17" t="s">
        <v>66</v>
      </c>
      <c r="G16" s="17" t="s">
        <v>66</v>
      </c>
      <c r="H16" s="17"/>
    </row>
    <row r="17" customFormat="false" ht="15" hidden="false" customHeight="false" outlineLevel="0" collapsed="false">
      <c r="B17" s="17" t="s">
        <v>70</v>
      </c>
      <c r="C17" s="17" t="n">
        <v>2</v>
      </c>
      <c r="D17" s="17" t="s">
        <v>66</v>
      </c>
      <c r="E17" s="17"/>
      <c r="F17" s="17" t="s">
        <v>66</v>
      </c>
      <c r="G17" s="17" t="s">
        <v>66</v>
      </c>
      <c r="H17" s="17"/>
    </row>
    <row r="18" customFormat="false" ht="15" hidden="false" customHeight="false" outlineLevel="0" collapsed="false">
      <c r="B18" s="17" t="s">
        <v>71</v>
      </c>
      <c r="C18" s="17" t="n">
        <v>1</v>
      </c>
      <c r="D18" s="17" t="s">
        <v>72</v>
      </c>
      <c r="E18" s="17"/>
      <c r="F18" s="17" t="s">
        <v>66</v>
      </c>
      <c r="G18" s="17" t="s">
        <v>66</v>
      </c>
      <c r="H18" s="17"/>
    </row>
    <row r="19" customFormat="false" ht="15" hidden="false" customHeight="false" outlineLevel="0" collapsed="false">
      <c r="B19" s="17" t="s">
        <v>73</v>
      </c>
      <c r="C19" s="17" t="n">
        <v>1</v>
      </c>
      <c r="D19" s="17" t="s">
        <v>62</v>
      </c>
      <c r="E19" s="17" t="s">
        <v>69</v>
      </c>
      <c r="F19" s="17" t="s">
        <v>62</v>
      </c>
      <c r="G19" s="17" t="s">
        <v>62</v>
      </c>
      <c r="H19" s="17"/>
    </row>
    <row r="20" customFormat="false" ht="15" hidden="false" customHeight="false" outlineLevel="0" collapsed="false">
      <c r="B20" s="17" t="s">
        <v>74</v>
      </c>
      <c r="C20" s="17" t="n">
        <v>3</v>
      </c>
      <c r="D20" s="17" t="s">
        <v>62</v>
      </c>
      <c r="E20" s="17" t="s">
        <v>63</v>
      </c>
      <c r="F20" s="17" t="s">
        <v>66</v>
      </c>
      <c r="G20" s="17" t="s">
        <v>66</v>
      </c>
      <c r="H20" s="17"/>
    </row>
    <row r="21" customFormat="false" ht="15" hidden="false" customHeight="false" outlineLevel="0" collapsed="false">
      <c r="B21" s="17" t="s">
        <v>75</v>
      </c>
      <c r="C21" s="17" t="n">
        <v>2</v>
      </c>
      <c r="D21" s="17" t="s">
        <v>72</v>
      </c>
      <c r="E21" s="17"/>
      <c r="F21" s="17" t="s">
        <v>66</v>
      </c>
      <c r="G21" s="17" t="s">
        <v>66</v>
      </c>
      <c r="H21" s="17"/>
    </row>
    <row r="22" customFormat="false" ht="15" hidden="false" customHeight="false" outlineLevel="0" collapsed="false">
      <c r="B22" s="17" t="s">
        <v>76</v>
      </c>
      <c r="C22" s="17" t="n">
        <v>1</v>
      </c>
      <c r="D22" s="17" t="s">
        <v>66</v>
      </c>
      <c r="E22" s="17"/>
      <c r="F22" s="17" t="s">
        <v>66</v>
      </c>
      <c r="G22" s="17" t="s">
        <v>66</v>
      </c>
      <c r="H22" s="17"/>
    </row>
    <row r="23" customFormat="false" ht="15" hidden="false" customHeight="false" outlineLevel="0" collapsed="false">
      <c r="B23" s="17" t="s">
        <v>77</v>
      </c>
      <c r="C23" s="17" t="n">
        <v>2</v>
      </c>
      <c r="D23" s="17" t="s">
        <v>62</v>
      </c>
      <c r="E23" s="17" t="s">
        <v>65</v>
      </c>
      <c r="F23" s="17" t="s">
        <v>62</v>
      </c>
      <c r="G23" s="17" t="s">
        <v>66</v>
      </c>
      <c r="H23" s="17"/>
    </row>
    <row r="24" customFormat="false" ht="15" hidden="false" customHeight="false" outlineLevel="0" collapsed="false">
      <c r="B24" s="17" t="s">
        <v>78</v>
      </c>
      <c r="C24" s="17" t="n">
        <v>2</v>
      </c>
      <c r="D24" s="17" t="s">
        <v>62</v>
      </c>
      <c r="E24" s="17" t="s">
        <v>69</v>
      </c>
      <c r="F24" s="17" t="s">
        <v>66</v>
      </c>
      <c r="G24" s="17" t="s">
        <v>66</v>
      </c>
      <c r="H24" s="17"/>
    </row>
    <row r="25" customFormat="false" ht="15" hidden="false" customHeight="false" outlineLevel="0" collapsed="false">
      <c r="B25" s="17"/>
      <c r="C25" s="17"/>
      <c r="D25" s="17"/>
      <c r="E25" s="17"/>
      <c r="F25" s="17"/>
      <c r="G25" s="17"/>
      <c r="H25" s="17"/>
    </row>
    <row r="26" customFormat="false" ht="15" hidden="false" customHeight="false" outlineLevel="0" collapsed="false">
      <c r="B26" s="17"/>
      <c r="C26" s="17"/>
      <c r="D26" s="17"/>
      <c r="E26" s="17"/>
      <c r="F26" s="17"/>
      <c r="G26" s="17"/>
      <c r="H26" s="17"/>
    </row>
    <row r="27" customFormat="false" ht="15" hidden="false" customHeight="false" outlineLevel="0" collapsed="false">
      <c r="B27" s="17"/>
      <c r="C27" s="17"/>
      <c r="D27" s="17"/>
      <c r="E27" s="17"/>
      <c r="F27" s="17"/>
      <c r="G27" s="17"/>
      <c r="H27" s="17"/>
    </row>
    <row r="28" customFormat="false" ht="15" hidden="false" customHeight="false" outlineLevel="0" collapsed="false">
      <c r="B28" s="17"/>
      <c r="C28" s="17"/>
      <c r="D28" s="17"/>
      <c r="E28" s="17"/>
      <c r="F28" s="17"/>
      <c r="G28" s="17"/>
      <c r="H28" s="17"/>
    </row>
    <row r="29" customFormat="false" ht="15" hidden="false" customHeight="false" outlineLevel="0" collapsed="false"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B30" s="17"/>
      <c r="C30" s="17"/>
      <c r="D30" s="17"/>
      <c r="E30" s="17"/>
      <c r="F30" s="17"/>
      <c r="G30" s="17"/>
      <c r="H30" s="17"/>
    </row>
    <row r="31" customFormat="false" ht="15" hidden="false" customHeight="false" outlineLevel="0" collapsed="false">
      <c r="B31" s="17"/>
      <c r="C31" s="17"/>
      <c r="D31" s="17"/>
      <c r="E31" s="17"/>
      <c r="F31" s="17"/>
      <c r="G31" s="17"/>
      <c r="H31" s="17"/>
    </row>
    <row r="32" customFormat="false" ht="15" hidden="false" customHeight="false" outlineLevel="0" collapsed="false">
      <c r="B32" s="17"/>
      <c r="C32" s="17"/>
      <c r="D32" s="17"/>
      <c r="E32" s="17"/>
      <c r="F32" s="17"/>
      <c r="G32" s="17"/>
      <c r="H32" s="17"/>
    </row>
    <row r="33" customFormat="false" ht="15" hidden="false" customHeight="false" outlineLevel="0" collapsed="false">
      <c r="B33" s="17"/>
      <c r="C33" s="17"/>
      <c r="D33" s="17"/>
      <c r="E33" s="17"/>
      <c r="F33" s="17"/>
      <c r="G33" s="17"/>
      <c r="H33" s="17"/>
    </row>
    <row r="34" customFormat="false" ht="15" hidden="false" customHeight="false" outlineLevel="0" collapsed="false">
      <c r="B34" s="17"/>
      <c r="C34" s="17"/>
      <c r="D34" s="17"/>
      <c r="E34" s="17"/>
      <c r="F34" s="17"/>
      <c r="G34" s="17"/>
      <c r="H34" s="17"/>
    </row>
    <row r="35" customFormat="false" ht="15" hidden="false" customHeight="false" outlineLevel="0" collapsed="false">
      <c r="B35" s="17"/>
      <c r="C35" s="17"/>
      <c r="D35" s="17"/>
      <c r="E35" s="17"/>
      <c r="F35" s="17"/>
      <c r="G35" s="17"/>
      <c r="H35" s="17"/>
    </row>
    <row r="36" customFormat="false" ht="15" hidden="false" customHeight="false" outlineLevel="0" collapsed="false">
      <c r="B36" s="17"/>
      <c r="C36" s="17"/>
      <c r="D36" s="17"/>
      <c r="E36" s="17"/>
      <c r="F36" s="17"/>
      <c r="G36" s="17"/>
      <c r="H36" s="17"/>
    </row>
    <row r="37" customFormat="false" ht="15" hidden="false" customHeight="false" outlineLevel="0" collapsed="false">
      <c r="B37" s="17"/>
      <c r="C37" s="17"/>
      <c r="D37" s="17"/>
      <c r="E37" s="17"/>
      <c r="F37" s="17"/>
      <c r="G37" s="17"/>
      <c r="H37" s="17"/>
    </row>
    <row r="38" customFormat="false" ht="15" hidden="false" customHeight="false" outlineLevel="0" collapsed="false">
      <c r="B38" s="17"/>
      <c r="C38" s="17"/>
      <c r="D38" s="17"/>
      <c r="E38" s="17"/>
      <c r="F38" s="17"/>
      <c r="G38" s="17"/>
      <c r="H38" s="17"/>
    </row>
    <row r="39" customFormat="false" ht="15" hidden="false" customHeight="false" outlineLevel="0" collapsed="false">
      <c r="B39" s="17"/>
      <c r="C39" s="17"/>
      <c r="D39" s="17"/>
      <c r="E39" s="17"/>
      <c r="F39" s="17"/>
      <c r="G39" s="17"/>
      <c r="H39" s="17"/>
    </row>
    <row r="40" customFormat="false" ht="15" hidden="false" customHeight="false" outlineLevel="0" collapsed="false">
      <c r="B40" s="17"/>
      <c r="C40" s="17"/>
      <c r="D40" s="17"/>
      <c r="E40" s="17"/>
      <c r="F40" s="17"/>
      <c r="G40" s="17"/>
      <c r="H40" s="17"/>
    </row>
    <row r="41" customFormat="false" ht="15" hidden="false" customHeight="false" outlineLevel="0" collapsed="false">
      <c r="B41" s="17"/>
      <c r="C41" s="17"/>
      <c r="D41" s="17"/>
      <c r="E41" s="17"/>
      <c r="F41" s="17"/>
      <c r="G41" s="17"/>
      <c r="H41" s="17"/>
    </row>
    <row r="42" customFormat="false" ht="15" hidden="false" customHeight="false" outlineLevel="0" collapsed="false">
      <c r="B42" s="17"/>
      <c r="C42" s="17"/>
      <c r="D42" s="17"/>
      <c r="E42" s="17"/>
      <c r="F42" s="17"/>
      <c r="G42" s="17"/>
      <c r="H42" s="17"/>
    </row>
    <row r="43" customFormat="false" ht="15" hidden="false" customHeight="false" outlineLevel="0" collapsed="false">
      <c r="B43" s="17"/>
      <c r="C43" s="17"/>
      <c r="D43" s="17"/>
      <c r="E43" s="17"/>
      <c r="F43" s="17"/>
      <c r="G43" s="17"/>
      <c r="H43" s="17"/>
    </row>
    <row r="44" customFormat="false" ht="15" hidden="false" customHeight="false" outlineLevel="0" collapsed="false">
      <c r="B44" s="17"/>
      <c r="C44" s="17"/>
      <c r="D44" s="17"/>
      <c r="E44" s="17"/>
      <c r="F44" s="17"/>
      <c r="G44" s="17"/>
      <c r="H44" s="17"/>
    </row>
    <row r="45" customFormat="false" ht="15" hidden="false" customHeight="false" outlineLevel="0" collapsed="false">
      <c r="B45" s="17"/>
      <c r="C45" s="17"/>
      <c r="D45" s="17"/>
      <c r="E45" s="17"/>
      <c r="F45" s="17"/>
      <c r="G45" s="17"/>
      <c r="H45" s="17"/>
    </row>
    <row r="46" customFormat="false" ht="15" hidden="false" customHeight="false" outlineLevel="0" collapsed="false">
      <c r="B46" s="17"/>
      <c r="C46" s="17"/>
      <c r="D46" s="17"/>
      <c r="E46" s="17"/>
      <c r="F46" s="17"/>
      <c r="G46" s="17"/>
      <c r="H46" s="17"/>
    </row>
    <row r="47" customFormat="false" ht="15" hidden="false" customHeight="false" outlineLevel="0" collapsed="false">
      <c r="B47" s="17"/>
      <c r="C47" s="17"/>
      <c r="D47" s="17"/>
      <c r="E47" s="17"/>
      <c r="F47" s="17"/>
      <c r="G47" s="17"/>
      <c r="H47" s="17"/>
    </row>
    <row r="48" customFormat="false" ht="15" hidden="false" customHeight="false" outlineLevel="0" collapsed="false">
      <c r="B48" s="17"/>
      <c r="C48" s="17"/>
      <c r="D48" s="17"/>
      <c r="E48" s="17"/>
      <c r="F48" s="17"/>
      <c r="G48" s="17"/>
      <c r="H48" s="17"/>
    </row>
    <row r="49" customFormat="false" ht="15" hidden="false" customHeight="false" outlineLevel="0" collapsed="false">
      <c r="B49" s="17"/>
      <c r="C49" s="17"/>
      <c r="D49" s="17"/>
      <c r="E49" s="17"/>
      <c r="F49" s="17"/>
      <c r="G49" s="17"/>
      <c r="H49" s="17"/>
    </row>
    <row r="50" customFormat="false" ht="15" hidden="false" customHeight="false" outlineLevel="0" collapsed="false">
      <c r="B50" s="17"/>
      <c r="C50" s="17"/>
      <c r="D50" s="17"/>
      <c r="E50" s="17"/>
      <c r="F50" s="17"/>
      <c r="G50" s="17"/>
      <c r="H50" s="17"/>
    </row>
    <row r="51" customFormat="false" ht="15" hidden="false" customHeight="false" outlineLevel="0" collapsed="false">
      <c r="B51" s="17"/>
      <c r="C51" s="17"/>
      <c r="D51" s="17"/>
      <c r="E51" s="17"/>
      <c r="F51" s="17"/>
      <c r="G51" s="17"/>
      <c r="H51" s="17"/>
    </row>
    <row r="52" customFormat="false" ht="15" hidden="false" customHeight="false" outlineLevel="0" collapsed="false">
      <c r="B52" s="17"/>
      <c r="C52" s="17"/>
      <c r="D52" s="17"/>
      <c r="E52" s="17"/>
      <c r="F52" s="17"/>
      <c r="G52" s="17"/>
      <c r="H52" s="17"/>
    </row>
    <row r="53" customFormat="false" ht="15" hidden="false" customHeight="false" outlineLevel="0" collapsed="false">
      <c r="B53" s="17"/>
      <c r="C53" s="17"/>
      <c r="D53" s="17"/>
      <c r="E53" s="17"/>
      <c r="F53" s="17"/>
      <c r="G53" s="17"/>
      <c r="H53" s="17"/>
    </row>
    <row r="54" customFormat="false" ht="15" hidden="false" customHeight="false" outlineLevel="0" collapsed="false">
      <c r="B54" s="17"/>
      <c r="C54" s="17"/>
      <c r="D54" s="17"/>
      <c r="E54" s="17"/>
      <c r="F54" s="17"/>
      <c r="G54" s="17"/>
      <c r="H54" s="17"/>
    </row>
    <row r="55" customFormat="false" ht="15" hidden="false" customHeight="false" outlineLevel="0" collapsed="false">
      <c r="B55" s="17"/>
      <c r="C55" s="17"/>
      <c r="D55" s="17"/>
      <c r="E55" s="17"/>
      <c r="F55" s="17"/>
      <c r="G55" s="17"/>
      <c r="H55" s="17"/>
    </row>
    <row r="56" customFormat="false" ht="15" hidden="false" customHeight="false" outlineLevel="0" collapsed="false">
      <c r="B56" s="17"/>
      <c r="C56" s="17"/>
      <c r="D56" s="17"/>
      <c r="E56" s="17"/>
      <c r="F56" s="17"/>
      <c r="G56" s="17"/>
      <c r="H56" s="17"/>
    </row>
    <row r="57" customFormat="false" ht="15" hidden="false" customHeight="false" outlineLevel="0" collapsed="false">
      <c r="B57" s="17"/>
      <c r="C57" s="17"/>
      <c r="D57" s="17"/>
      <c r="E57" s="17"/>
      <c r="F57" s="17"/>
      <c r="G57" s="17"/>
      <c r="H57" s="17"/>
    </row>
    <row r="58" customFormat="false" ht="15" hidden="false" customHeight="false" outlineLevel="0" collapsed="false">
      <c r="B58" s="17"/>
      <c r="C58" s="17"/>
      <c r="D58" s="17"/>
      <c r="E58" s="17"/>
      <c r="F58" s="17"/>
      <c r="G58" s="17"/>
      <c r="H58" s="17"/>
    </row>
    <row r="59" customFormat="false" ht="15" hidden="false" customHeight="false" outlineLevel="0" collapsed="false">
      <c r="B59" s="17"/>
      <c r="C59" s="17"/>
      <c r="D59" s="17"/>
      <c r="E59" s="17"/>
      <c r="F59" s="17"/>
      <c r="G59" s="17"/>
      <c r="H59" s="17"/>
    </row>
    <row r="60" customFormat="false" ht="15" hidden="false" customHeight="false" outlineLevel="0" collapsed="false">
      <c r="B60" s="17"/>
      <c r="C60" s="17"/>
      <c r="D60" s="17"/>
      <c r="E60" s="17"/>
      <c r="F60" s="17"/>
      <c r="G60" s="17"/>
      <c r="H60" s="17"/>
    </row>
    <row r="61" customFormat="false" ht="15" hidden="false" customHeight="false" outlineLevel="0" collapsed="false">
      <c r="B61" s="17"/>
      <c r="C61" s="17"/>
      <c r="D61" s="17"/>
      <c r="E61" s="17"/>
      <c r="F61" s="17"/>
      <c r="G61" s="17"/>
      <c r="H61" s="17"/>
    </row>
    <row r="62" customFormat="false" ht="15" hidden="false" customHeight="false" outlineLevel="0" collapsed="false">
      <c r="B62" s="17"/>
      <c r="C62" s="17"/>
      <c r="D62" s="17"/>
      <c r="E62" s="17"/>
      <c r="F62" s="17"/>
      <c r="G62" s="17"/>
      <c r="H62" s="17"/>
    </row>
    <row r="63" customFormat="false" ht="15" hidden="false" customHeight="false" outlineLevel="0" collapsed="false">
      <c r="B63" s="17"/>
      <c r="C63" s="17"/>
      <c r="D63" s="17"/>
      <c r="E63" s="17"/>
      <c r="F63" s="17"/>
      <c r="G63" s="17"/>
      <c r="H63" s="17"/>
    </row>
    <row r="64" customFormat="false" ht="15" hidden="false" customHeight="false" outlineLevel="0" collapsed="false">
      <c r="B64" s="17"/>
      <c r="C64" s="17"/>
      <c r="D64" s="17"/>
      <c r="E64" s="17"/>
      <c r="F64" s="17"/>
      <c r="G64" s="17"/>
      <c r="H64" s="17"/>
    </row>
    <row r="65" customFormat="false" ht="15" hidden="false" customHeight="false" outlineLevel="0" collapsed="false">
      <c r="B65" s="17"/>
      <c r="C65" s="17"/>
      <c r="D65" s="17"/>
      <c r="E65" s="17"/>
      <c r="F65" s="17"/>
      <c r="G65" s="17"/>
      <c r="H65" s="17"/>
    </row>
    <row r="66" customFormat="false" ht="15" hidden="false" customHeight="false" outlineLevel="0" collapsed="false">
      <c r="B66" s="17"/>
      <c r="C66" s="17"/>
      <c r="D66" s="17"/>
      <c r="E66" s="17"/>
      <c r="F66" s="17"/>
      <c r="G66" s="17"/>
      <c r="H66" s="17"/>
    </row>
    <row r="67" customFormat="false" ht="15" hidden="false" customHeight="false" outlineLevel="0" collapsed="false">
      <c r="B67" s="17"/>
      <c r="C67" s="17"/>
      <c r="D67" s="17"/>
      <c r="E67" s="17"/>
      <c r="F67" s="17"/>
      <c r="G67" s="17"/>
      <c r="H67" s="17"/>
    </row>
    <row r="68" customFormat="false" ht="15" hidden="false" customHeight="false" outlineLevel="0" collapsed="false">
      <c r="B68" s="17"/>
      <c r="C68" s="17"/>
      <c r="D68" s="17"/>
      <c r="E68" s="17"/>
      <c r="F68" s="17"/>
      <c r="G68" s="17"/>
      <c r="H68" s="17"/>
    </row>
    <row r="69" customFormat="false" ht="15" hidden="false" customHeight="false" outlineLevel="0" collapsed="false">
      <c r="B69" s="17"/>
      <c r="C69" s="17"/>
      <c r="D69" s="17"/>
      <c r="E69" s="17"/>
      <c r="F69" s="17"/>
      <c r="G69" s="17"/>
      <c r="H69" s="17"/>
    </row>
    <row r="70" customFormat="false" ht="15" hidden="false" customHeight="false" outlineLevel="0" collapsed="false">
      <c r="B70" s="17"/>
      <c r="C70" s="17"/>
      <c r="D70" s="17"/>
      <c r="E70" s="17"/>
      <c r="F70" s="17"/>
      <c r="G70" s="17"/>
      <c r="H70" s="17"/>
    </row>
    <row r="71" customFormat="false" ht="15" hidden="false" customHeight="false" outlineLevel="0" collapsed="false">
      <c r="B71" s="17"/>
      <c r="C71" s="17"/>
      <c r="D71" s="17"/>
      <c r="E71" s="17"/>
      <c r="F71" s="17"/>
      <c r="G71" s="17"/>
      <c r="H71" s="17"/>
    </row>
    <row r="72" customFormat="false" ht="15" hidden="false" customHeight="false" outlineLevel="0" collapsed="false">
      <c r="B72" s="17"/>
      <c r="C72" s="17"/>
      <c r="D72" s="17"/>
      <c r="E72" s="17"/>
      <c r="F72" s="17"/>
      <c r="G72" s="17"/>
      <c r="H72" s="17"/>
    </row>
    <row r="73" customFormat="false" ht="15" hidden="false" customHeight="false" outlineLevel="0" collapsed="false">
      <c r="B73" s="17"/>
      <c r="C73" s="17"/>
      <c r="D73" s="17"/>
      <c r="E73" s="17"/>
      <c r="F73" s="17"/>
      <c r="G73" s="17"/>
      <c r="H73" s="17"/>
    </row>
    <row r="74" customFormat="false" ht="15" hidden="false" customHeight="false" outlineLevel="0" collapsed="false">
      <c r="B74" s="17"/>
      <c r="C74" s="17"/>
      <c r="D74" s="17"/>
      <c r="E74" s="17"/>
      <c r="F74" s="17"/>
      <c r="G74" s="17"/>
      <c r="H74" s="17"/>
    </row>
    <row r="75" customFormat="false" ht="15" hidden="false" customHeight="false" outlineLevel="0" collapsed="false">
      <c r="B75" s="17"/>
      <c r="C75" s="17"/>
      <c r="D75" s="17"/>
      <c r="E75" s="17"/>
      <c r="F75" s="17"/>
      <c r="G75" s="17"/>
      <c r="H75" s="17"/>
    </row>
    <row r="76" customFormat="false" ht="15" hidden="false" customHeight="false" outlineLevel="0" collapsed="false">
      <c r="B76" s="17"/>
      <c r="C76" s="17"/>
      <c r="D76" s="17"/>
      <c r="E76" s="17"/>
      <c r="F76" s="17"/>
      <c r="G76" s="17"/>
      <c r="H76" s="17"/>
    </row>
    <row r="77" customFormat="false" ht="15" hidden="false" customHeight="false" outlineLevel="0" collapsed="false">
      <c r="B77" s="17"/>
      <c r="C77" s="17"/>
      <c r="D77" s="17"/>
      <c r="E77" s="17"/>
      <c r="F77" s="17"/>
      <c r="G77" s="17"/>
      <c r="H77" s="17"/>
    </row>
    <row r="78" customFormat="false" ht="15" hidden="false" customHeight="false" outlineLevel="0" collapsed="false">
      <c r="B78" s="17"/>
      <c r="C78" s="17"/>
      <c r="D78" s="17"/>
      <c r="E78" s="17"/>
      <c r="F78" s="17"/>
      <c r="G78" s="17"/>
      <c r="H78" s="17"/>
    </row>
    <row r="79" customFormat="false" ht="15" hidden="false" customHeight="false" outlineLevel="0" collapsed="false">
      <c r="B79" s="17"/>
      <c r="C79" s="17"/>
      <c r="D79" s="17"/>
      <c r="E79" s="17"/>
      <c r="F79" s="17"/>
      <c r="G79" s="17"/>
      <c r="H79" s="17"/>
    </row>
    <row r="80" customFormat="false" ht="15" hidden="false" customHeight="false" outlineLevel="0" collapsed="false">
      <c r="B80" s="17"/>
      <c r="C80" s="17"/>
      <c r="D80" s="17"/>
      <c r="E80" s="17"/>
      <c r="F80" s="17"/>
      <c r="G80" s="17"/>
      <c r="H80" s="17"/>
    </row>
    <row r="81" customFormat="false" ht="15" hidden="false" customHeight="false" outlineLevel="0" collapsed="false">
      <c r="B81" s="17"/>
      <c r="C81" s="17"/>
      <c r="D81" s="17"/>
      <c r="E81" s="17"/>
      <c r="F81" s="17"/>
      <c r="G81" s="17"/>
      <c r="H81" s="17"/>
    </row>
    <row r="82" customFormat="false" ht="15" hidden="false" customHeight="false" outlineLevel="0" collapsed="false">
      <c r="B82" s="17"/>
      <c r="C82" s="17"/>
      <c r="D82" s="17"/>
      <c r="E82" s="17"/>
      <c r="F82" s="17"/>
      <c r="G82" s="17"/>
      <c r="H82" s="17"/>
    </row>
    <row r="83" customFormat="false" ht="15" hidden="false" customHeight="false" outlineLevel="0" collapsed="false">
      <c r="B83" s="17"/>
      <c r="C83" s="17"/>
      <c r="D83" s="17"/>
      <c r="E83" s="17"/>
      <c r="F83" s="17"/>
      <c r="G83" s="17"/>
      <c r="H83" s="17"/>
    </row>
    <row r="84" customFormat="false" ht="15" hidden="false" customHeight="false" outlineLevel="0" collapsed="false">
      <c r="B84" s="17"/>
      <c r="C84" s="17"/>
      <c r="D84" s="17"/>
      <c r="E84" s="17"/>
      <c r="F84" s="17"/>
      <c r="G84" s="17"/>
      <c r="H84" s="17"/>
    </row>
    <row r="85" customFormat="false" ht="15" hidden="false" customHeight="false" outlineLevel="0" collapsed="false">
      <c r="B85" s="17"/>
      <c r="C85" s="17"/>
      <c r="D85" s="17"/>
      <c r="E85" s="17"/>
      <c r="F85" s="17"/>
      <c r="G85" s="17"/>
      <c r="H85" s="17"/>
    </row>
    <row r="86" customFormat="false" ht="15" hidden="false" customHeight="false" outlineLevel="0" collapsed="false">
      <c r="B86" s="17"/>
      <c r="C86" s="17"/>
      <c r="D86" s="17"/>
      <c r="E86" s="17"/>
      <c r="F86" s="17"/>
      <c r="G86" s="17"/>
      <c r="H86" s="17"/>
    </row>
    <row r="87" customFormat="false" ht="15" hidden="false" customHeight="false" outlineLevel="0" collapsed="false">
      <c r="B87" s="17"/>
      <c r="C87" s="17"/>
      <c r="D87" s="17"/>
      <c r="E87" s="17"/>
      <c r="F87" s="17"/>
      <c r="G87" s="17"/>
      <c r="H87" s="17"/>
    </row>
    <row r="88" customFormat="false" ht="15" hidden="false" customHeight="false" outlineLevel="0" collapsed="false">
      <c r="B88" s="17"/>
      <c r="C88" s="17"/>
      <c r="D88" s="17"/>
      <c r="E88" s="17"/>
      <c r="F88" s="17"/>
      <c r="G88" s="17"/>
      <c r="H88" s="17"/>
    </row>
    <row r="89" customFormat="false" ht="15" hidden="false" customHeight="false" outlineLevel="0" collapsed="false">
      <c r="B89" s="17"/>
      <c r="C89" s="17"/>
      <c r="D89" s="17"/>
      <c r="E89" s="17"/>
      <c r="F89" s="17"/>
      <c r="G89" s="17"/>
      <c r="H89" s="17"/>
    </row>
    <row r="90" customFormat="false" ht="15" hidden="false" customHeight="false" outlineLevel="0" collapsed="false">
      <c r="B90" s="17"/>
      <c r="C90" s="17"/>
      <c r="D90" s="17"/>
      <c r="E90" s="17"/>
      <c r="F90" s="17"/>
      <c r="G90" s="17"/>
      <c r="H90" s="17"/>
    </row>
    <row r="91" customFormat="false" ht="15" hidden="false" customHeight="false" outlineLevel="0" collapsed="false">
      <c r="B91" s="17"/>
      <c r="C91" s="17"/>
      <c r="D91" s="17"/>
      <c r="E91" s="17"/>
      <c r="F91" s="17"/>
      <c r="G91" s="17"/>
      <c r="H91" s="17"/>
    </row>
    <row r="92" customFormat="false" ht="15" hidden="false" customHeight="false" outlineLevel="0" collapsed="false">
      <c r="B92" s="17"/>
      <c r="C92" s="17"/>
      <c r="D92" s="17"/>
      <c r="E92" s="17"/>
      <c r="F92" s="17"/>
      <c r="G92" s="17"/>
      <c r="H92" s="17"/>
    </row>
    <row r="93" customFormat="false" ht="15" hidden="false" customHeight="false" outlineLevel="0" collapsed="false">
      <c r="B93" s="17"/>
      <c r="C93" s="17"/>
      <c r="D93" s="17"/>
      <c r="E93" s="17"/>
      <c r="F93" s="17"/>
      <c r="G93" s="17"/>
      <c r="H93" s="17"/>
    </row>
    <row r="94" customFormat="false" ht="15" hidden="false" customHeight="false" outlineLevel="0" collapsed="false">
      <c r="B94" s="17"/>
      <c r="C94" s="17"/>
      <c r="D94" s="17"/>
      <c r="E94" s="17"/>
      <c r="F94" s="17"/>
      <c r="G94" s="17"/>
      <c r="H94" s="17"/>
    </row>
    <row r="95" customFormat="false" ht="15" hidden="false" customHeight="false" outlineLevel="0" collapsed="false">
      <c r="B95" s="17"/>
      <c r="C95" s="17"/>
      <c r="D95" s="17"/>
      <c r="E95" s="17"/>
      <c r="F95" s="17"/>
      <c r="G95" s="17"/>
      <c r="H95" s="17"/>
    </row>
    <row r="96" customFormat="false" ht="15" hidden="false" customHeight="false" outlineLevel="0" collapsed="false">
      <c r="B96" s="17"/>
      <c r="C96" s="17"/>
      <c r="D96" s="17"/>
      <c r="E96" s="17"/>
      <c r="F96" s="17"/>
      <c r="G96" s="17"/>
      <c r="H96" s="17"/>
    </row>
    <row r="97" customFormat="false" ht="15" hidden="false" customHeight="false" outlineLevel="0" collapsed="false">
      <c r="B97" s="17"/>
      <c r="C97" s="17"/>
      <c r="D97" s="17"/>
      <c r="E97" s="17"/>
      <c r="F97" s="17"/>
      <c r="G97" s="17"/>
      <c r="H97" s="17"/>
    </row>
    <row r="98" customFormat="false" ht="15" hidden="false" customHeight="false" outlineLevel="0" collapsed="false">
      <c r="B98" s="17"/>
      <c r="C98" s="17"/>
      <c r="D98" s="17"/>
      <c r="E98" s="17"/>
      <c r="F98" s="17"/>
      <c r="G98" s="17"/>
      <c r="H98" s="17"/>
    </row>
    <row r="99" customFormat="false" ht="15" hidden="false" customHeight="false" outlineLevel="0" collapsed="false">
      <c r="B99" s="17"/>
      <c r="C99" s="17"/>
      <c r="D99" s="17"/>
      <c r="E99" s="17"/>
      <c r="F99" s="17"/>
      <c r="G99" s="17"/>
      <c r="H99" s="17"/>
    </row>
    <row r="100" customFormat="false" ht="15" hidden="false" customHeight="false" outlineLevel="0" collapsed="false">
      <c r="B100" s="17"/>
      <c r="C100" s="17"/>
      <c r="D100" s="17"/>
      <c r="E100" s="17"/>
      <c r="F100" s="17"/>
      <c r="G100" s="17"/>
      <c r="H100" s="17"/>
    </row>
    <row r="101" customFormat="false" ht="15" hidden="false" customHeight="false" outlineLevel="0" collapsed="false">
      <c r="B101" s="17"/>
      <c r="C101" s="17"/>
      <c r="D101" s="17"/>
      <c r="E101" s="17"/>
      <c r="F101" s="17"/>
      <c r="G101" s="17"/>
      <c r="H101" s="17"/>
    </row>
    <row r="102" customFormat="false" ht="15" hidden="false" customHeight="false" outlineLevel="0" collapsed="false">
      <c r="B102" s="17"/>
      <c r="C102" s="17"/>
      <c r="D102" s="17"/>
      <c r="E102" s="17"/>
      <c r="F102" s="17"/>
      <c r="G102" s="17"/>
      <c r="H102" s="17"/>
    </row>
    <row r="103" customFormat="false" ht="15" hidden="false" customHeight="false" outlineLevel="0" collapsed="false">
      <c r="B103" s="17"/>
      <c r="C103" s="17"/>
      <c r="D103" s="17"/>
      <c r="E103" s="17"/>
      <c r="F103" s="17"/>
      <c r="G103" s="17"/>
      <c r="H103" s="17"/>
    </row>
    <row r="104" customFormat="false" ht="15" hidden="false" customHeight="false" outlineLevel="0" collapsed="false">
      <c r="B104" s="17"/>
      <c r="C104" s="17"/>
      <c r="D104" s="17"/>
      <c r="E104" s="17"/>
      <c r="F104" s="17"/>
      <c r="G104" s="17"/>
      <c r="H104" s="17"/>
    </row>
    <row r="105" customFormat="false" ht="15" hidden="false" customHeight="false" outlineLevel="0" collapsed="false">
      <c r="B105" s="17"/>
      <c r="C105" s="17"/>
      <c r="D105" s="17"/>
      <c r="E105" s="17"/>
      <c r="F105" s="17"/>
      <c r="G105" s="17"/>
      <c r="H105" s="17"/>
    </row>
    <row r="106" customFormat="false" ht="15" hidden="false" customHeight="false" outlineLevel="0" collapsed="false">
      <c r="B106" s="17"/>
      <c r="C106" s="17"/>
      <c r="D106" s="17"/>
      <c r="E106" s="17"/>
      <c r="F106" s="17"/>
      <c r="G106" s="17"/>
      <c r="H106" s="17"/>
    </row>
    <row r="107" customFormat="false" ht="15" hidden="false" customHeight="false" outlineLevel="0" collapsed="false">
      <c r="B107" s="17"/>
      <c r="C107" s="17"/>
      <c r="D107" s="17"/>
      <c r="E107" s="17"/>
      <c r="F107" s="17"/>
      <c r="G107" s="17"/>
      <c r="H107" s="17"/>
    </row>
    <row r="108" customFormat="false" ht="15" hidden="false" customHeight="false" outlineLevel="0" collapsed="false">
      <c r="B108" s="17"/>
      <c r="C108" s="17"/>
      <c r="D108" s="17"/>
      <c r="E108" s="17"/>
      <c r="F108" s="17"/>
      <c r="G108" s="17"/>
      <c r="H108" s="17"/>
    </row>
    <row r="109" customFormat="false" ht="15" hidden="false" customHeight="false" outlineLevel="0" collapsed="false">
      <c r="B109" s="17"/>
      <c r="C109" s="17"/>
      <c r="D109" s="17"/>
      <c r="E109" s="17"/>
      <c r="F109" s="17"/>
      <c r="G109" s="17"/>
      <c r="H109" s="17"/>
    </row>
    <row r="110" customFormat="false" ht="15" hidden="false" customHeight="false" outlineLevel="0" collapsed="false">
      <c r="B110" s="17"/>
      <c r="C110" s="17"/>
      <c r="D110" s="17"/>
      <c r="E110" s="17"/>
      <c r="F110" s="17"/>
      <c r="G110" s="17"/>
      <c r="H110" s="17"/>
    </row>
    <row r="111" customFormat="false" ht="15" hidden="false" customHeight="false" outlineLevel="0" collapsed="false">
      <c r="B111" s="17"/>
      <c r="C111" s="17"/>
      <c r="D111" s="17"/>
      <c r="E111" s="17"/>
      <c r="F111" s="17"/>
      <c r="G111" s="17"/>
      <c r="H111" s="17"/>
    </row>
    <row r="112" customFormat="false" ht="15" hidden="false" customHeight="false" outlineLevel="0" collapsed="false">
      <c r="B112" s="17"/>
      <c r="C112" s="17"/>
      <c r="D112" s="17"/>
      <c r="E112" s="17"/>
      <c r="F112" s="17"/>
      <c r="G112" s="17"/>
      <c r="H112" s="17"/>
    </row>
  </sheetData>
  <mergeCells count="6">
    <mergeCell ref="B2:H2"/>
    <mergeCell ref="D4:E4"/>
    <mergeCell ref="D5:E5"/>
    <mergeCell ref="D6:E6"/>
    <mergeCell ref="D7:E7"/>
    <mergeCell ref="D8:E8"/>
  </mergeCells>
  <dataValidations count="3">
    <dataValidation allowBlank="true" error="Pick Yes, No, or Waiting — the counters read these words." errorStyle="stop" errorTitle="RSVP" operator="between" showDropDown="false" showErrorMessage="true" showInputMessage="false" sqref="D13:D112" type="list">
      <formula1>"Yes,No,Waiting"</formula1>
      <formula2>0</formula2>
    </dataValidation>
    <dataValidation allowBlank="true" errorStyle="stop" operator="between" showDropDown="false" showErrorMessage="false" showInputMessage="false" sqref="E13:E112" type="list">
      <formula1>"Chicken,Beef,Vegetarian"</formula1>
      <formula2>0</formula2>
    </dataValidation>
    <dataValidation allowBlank="true" error="Pick Yes or No — the counters read these words." errorStyle="stop" errorTitle="Yes or No" operator="between" showDropDown="false" showErrorMessage="true" showInputMessage="false" sqref="F13:G11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1"/>
  </cols>
  <sheetData>
    <row r="2" customFormat="false" ht="30" hidden="false" customHeight="true" outlineLevel="0" collapsed="false">
      <c r="B2" s="4" t="s">
        <v>79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7" t="s">
        <v>80</v>
      </c>
    </row>
    <row r="6" customFormat="false" ht="15" hidden="false" customHeight="false" outlineLevel="0" collapsed="false">
      <c r="B6" s="8" t="s">
        <v>81</v>
      </c>
      <c r="C6" s="8" t="s">
        <v>82</v>
      </c>
      <c r="D6" s="8" t="s">
        <v>83</v>
      </c>
      <c r="E6" s="8" t="s">
        <v>84</v>
      </c>
      <c r="F6" s="8" t="s">
        <v>85</v>
      </c>
      <c r="G6" s="8" t="s">
        <v>86</v>
      </c>
      <c r="H6" s="8" t="s">
        <v>87</v>
      </c>
      <c r="I6" s="8" t="s">
        <v>88</v>
      </c>
      <c r="J6" s="8" t="s">
        <v>89</v>
      </c>
    </row>
    <row r="7" customFormat="false" ht="15" hidden="false" customHeight="false" outlineLevel="0" collapsed="false">
      <c r="B7" s="17" t="s">
        <v>90</v>
      </c>
      <c r="C7" s="17" t="s">
        <v>25</v>
      </c>
      <c r="D7" s="6" t="n">
        <v>9800</v>
      </c>
      <c r="E7" s="6" t="n">
        <v>2500</v>
      </c>
      <c r="F7" s="17" t="s">
        <v>91</v>
      </c>
      <c r="G7" s="17" t="s">
        <v>62</v>
      </c>
      <c r="H7" s="11" t="n">
        <f aca="false">D7-E7</f>
        <v>7300</v>
      </c>
      <c r="I7" s="17" t="s">
        <v>92</v>
      </c>
      <c r="J7" s="17" t="s">
        <v>66</v>
      </c>
    </row>
    <row r="8" customFormat="false" ht="15" hidden="false" customHeight="false" outlineLevel="0" collapsed="false">
      <c r="B8" s="17" t="s">
        <v>93</v>
      </c>
      <c r="C8" s="17" t="s">
        <v>94</v>
      </c>
      <c r="D8" s="6" t="n">
        <v>2900</v>
      </c>
      <c r="E8" s="6" t="n">
        <v>900</v>
      </c>
      <c r="F8" s="17" t="s">
        <v>95</v>
      </c>
      <c r="G8" s="17" t="s">
        <v>62</v>
      </c>
      <c r="H8" s="11" t="n">
        <f aca="false">D8-E8</f>
        <v>2000</v>
      </c>
      <c r="I8" s="17" t="s">
        <v>96</v>
      </c>
      <c r="J8" s="17" t="s">
        <v>66</v>
      </c>
    </row>
    <row r="9" customFormat="false" ht="15" hidden="false" customHeight="false" outlineLevel="0" collapsed="false">
      <c r="B9" s="17" t="s">
        <v>97</v>
      </c>
      <c r="C9" s="17" t="s">
        <v>98</v>
      </c>
      <c r="D9" s="6" t="n">
        <v>2400</v>
      </c>
      <c r="E9" s="6" t="n">
        <v>600</v>
      </c>
      <c r="F9" s="17" t="s">
        <v>99</v>
      </c>
      <c r="G9" s="17" t="s">
        <v>62</v>
      </c>
      <c r="H9" s="11" t="n">
        <f aca="false">D9-E9</f>
        <v>1800</v>
      </c>
      <c r="I9" s="17" t="s">
        <v>100</v>
      </c>
      <c r="J9" s="17" t="s">
        <v>66</v>
      </c>
    </row>
    <row r="10" customFormat="false" ht="15" hidden="false" customHeight="false" outlineLevel="0" collapsed="false">
      <c r="B10" s="17" t="s">
        <v>101</v>
      </c>
      <c r="C10" s="17" t="s">
        <v>102</v>
      </c>
      <c r="D10" s="6" t="n">
        <v>1700</v>
      </c>
      <c r="E10" s="6" t="n">
        <v>400</v>
      </c>
      <c r="F10" s="17" t="s">
        <v>103</v>
      </c>
      <c r="G10" s="17" t="s">
        <v>62</v>
      </c>
      <c r="H10" s="11" t="n">
        <f aca="false">D10-E10</f>
        <v>1300</v>
      </c>
      <c r="I10" s="17" t="s">
        <v>104</v>
      </c>
      <c r="J10" s="17" t="s">
        <v>66</v>
      </c>
    </row>
    <row r="11" customFormat="false" ht="15" hidden="false" customHeight="false" outlineLevel="0" collapsed="false">
      <c r="B11" s="17" t="s">
        <v>105</v>
      </c>
      <c r="C11" s="17" t="s">
        <v>106</v>
      </c>
      <c r="D11" s="6" t="n">
        <v>495</v>
      </c>
      <c r="E11" s="6" t="n">
        <v>100</v>
      </c>
      <c r="F11" s="17" t="s">
        <v>107</v>
      </c>
      <c r="G11" s="17" t="s">
        <v>62</v>
      </c>
      <c r="H11" s="11" t="n">
        <f aca="false">D11-E11</f>
        <v>395</v>
      </c>
      <c r="I11" s="17" t="s">
        <v>108</v>
      </c>
      <c r="J11" s="17" t="s">
        <v>66</v>
      </c>
    </row>
    <row r="12" customFormat="false" ht="15" hidden="false" customHeight="false" outlineLevel="0" collapsed="false">
      <c r="B12" s="17" t="s">
        <v>109</v>
      </c>
      <c r="C12" s="17" t="s">
        <v>110</v>
      </c>
      <c r="D12" s="6" t="n">
        <v>450</v>
      </c>
      <c r="E12" s="6" t="n">
        <v>0</v>
      </c>
      <c r="F12" s="17"/>
      <c r="G12" s="17" t="s">
        <v>66</v>
      </c>
      <c r="H12" s="11" t="n">
        <f aca="false">D12-E12</f>
        <v>450</v>
      </c>
      <c r="I12" s="17" t="s">
        <v>111</v>
      </c>
      <c r="J12" s="17" t="s">
        <v>66</v>
      </c>
    </row>
    <row r="13" customFormat="false" ht="15" hidden="false" customHeight="false" outlineLevel="0" collapsed="false">
      <c r="B13" s="17"/>
      <c r="C13" s="17"/>
      <c r="D13" s="6"/>
      <c r="E13" s="6"/>
      <c r="F13" s="17"/>
      <c r="G13" s="17"/>
      <c r="H13" s="11" t="n">
        <f aca="false">D13-E13</f>
        <v>0</v>
      </c>
      <c r="I13" s="17"/>
      <c r="J13" s="17"/>
    </row>
    <row r="14" customFormat="false" ht="15" hidden="false" customHeight="false" outlineLevel="0" collapsed="false">
      <c r="B14" s="17"/>
      <c r="C14" s="17"/>
      <c r="D14" s="6"/>
      <c r="E14" s="6"/>
      <c r="F14" s="17"/>
      <c r="G14" s="17"/>
      <c r="H14" s="11" t="n">
        <f aca="false">D14-E14</f>
        <v>0</v>
      </c>
      <c r="I14" s="17"/>
      <c r="J14" s="17"/>
    </row>
    <row r="15" customFormat="false" ht="15" hidden="false" customHeight="false" outlineLevel="0" collapsed="false">
      <c r="B15" s="17"/>
      <c r="C15" s="17"/>
      <c r="D15" s="6"/>
      <c r="E15" s="6"/>
      <c r="F15" s="17"/>
      <c r="G15" s="17"/>
      <c r="H15" s="11" t="n">
        <f aca="false">D15-E15</f>
        <v>0</v>
      </c>
      <c r="I15" s="17"/>
      <c r="J15" s="17"/>
    </row>
    <row r="16" customFormat="false" ht="15" hidden="false" customHeight="false" outlineLevel="0" collapsed="false">
      <c r="B16" s="17"/>
      <c r="C16" s="17"/>
      <c r="D16" s="6"/>
      <c r="E16" s="6"/>
      <c r="F16" s="17"/>
      <c r="G16" s="17"/>
      <c r="H16" s="11" t="n">
        <f aca="false">D16-E16</f>
        <v>0</v>
      </c>
      <c r="I16" s="17"/>
      <c r="J16" s="17"/>
    </row>
    <row r="17" customFormat="false" ht="15" hidden="false" customHeight="false" outlineLevel="0" collapsed="false">
      <c r="B17" s="17"/>
      <c r="C17" s="17"/>
      <c r="D17" s="6"/>
      <c r="E17" s="6"/>
      <c r="F17" s="17"/>
      <c r="G17" s="17"/>
      <c r="H17" s="11" t="n">
        <f aca="false">D17-E17</f>
        <v>0</v>
      </c>
      <c r="I17" s="17"/>
      <c r="J17" s="17"/>
    </row>
    <row r="18" customFormat="false" ht="15" hidden="false" customHeight="false" outlineLevel="0" collapsed="false">
      <c r="B18" s="17"/>
      <c r="C18" s="17"/>
      <c r="D18" s="6"/>
      <c r="E18" s="6"/>
      <c r="F18" s="17"/>
      <c r="G18" s="17"/>
      <c r="H18" s="11" t="n">
        <f aca="false">D18-E18</f>
        <v>0</v>
      </c>
      <c r="I18" s="17"/>
      <c r="J18" s="17"/>
    </row>
    <row r="19" customFormat="false" ht="15" hidden="false" customHeight="false" outlineLevel="0" collapsed="false">
      <c r="B19" s="17"/>
      <c r="C19" s="17"/>
      <c r="D19" s="6"/>
      <c r="E19" s="6"/>
      <c r="F19" s="17"/>
      <c r="G19" s="17"/>
      <c r="H19" s="11" t="n">
        <f aca="false">D19-E19</f>
        <v>0</v>
      </c>
      <c r="I19" s="17"/>
      <c r="J19" s="17"/>
    </row>
    <row r="20" customFormat="false" ht="15" hidden="false" customHeight="false" outlineLevel="0" collapsed="false">
      <c r="B20" s="17"/>
      <c r="C20" s="17"/>
      <c r="D20" s="6"/>
      <c r="E20" s="6"/>
      <c r="F20" s="17"/>
      <c r="G20" s="17"/>
      <c r="H20" s="11" t="n">
        <f aca="false">D20-E20</f>
        <v>0</v>
      </c>
      <c r="I20" s="17"/>
      <c r="J20" s="17"/>
    </row>
    <row r="21" customFormat="false" ht="15" hidden="false" customHeight="false" outlineLevel="0" collapsed="false">
      <c r="B21" s="17"/>
      <c r="C21" s="17"/>
      <c r="D21" s="6"/>
      <c r="E21" s="6"/>
      <c r="F21" s="17"/>
      <c r="G21" s="17"/>
      <c r="H21" s="11" t="n">
        <f aca="false">D21-E21</f>
        <v>0</v>
      </c>
      <c r="I21" s="17"/>
      <c r="J21" s="17"/>
    </row>
    <row r="22" customFormat="false" ht="15" hidden="false" customHeight="false" outlineLevel="0" collapsed="false">
      <c r="B22" s="17"/>
      <c r="C22" s="17"/>
      <c r="D22" s="6"/>
      <c r="E22" s="6"/>
      <c r="F22" s="17"/>
      <c r="G22" s="17"/>
      <c r="H22" s="11" t="n">
        <f aca="false">D22-E22</f>
        <v>0</v>
      </c>
      <c r="I22" s="17"/>
      <c r="J22" s="17"/>
    </row>
    <row r="23" customFormat="false" ht="15" hidden="false" customHeight="false" outlineLevel="0" collapsed="false">
      <c r="B23" s="17"/>
      <c r="C23" s="17"/>
      <c r="D23" s="6"/>
      <c r="E23" s="6"/>
      <c r="F23" s="17"/>
      <c r="G23" s="17"/>
      <c r="H23" s="11" t="n">
        <f aca="false">D23-E23</f>
        <v>0</v>
      </c>
      <c r="I23" s="17"/>
      <c r="J23" s="17"/>
    </row>
    <row r="24" customFormat="false" ht="15" hidden="false" customHeight="false" outlineLevel="0" collapsed="false">
      <c r="B24" s="17"/>
      <c r="C24" s="17"/>
      <c r="D24" s="6"/>
      <c r="E24" s="6"/>
      <c r="F24" s="17"/>
      <c r="G24" s="17"/>
      <c r="H24" s="11" t="n">
        <f aca="false">D24-E24</f>
        <v>0</v>
      </c>
      <c r="I24" s="17"/>
      <c r="J24" s="17"/>
    </row>
    <row r="25" customFormat="false" ht="15" hidden="false" customHeight="false" outlineLevel="0" collapsed="false">
      <c r="B25" s="17"/>
      <c r="C25" s="17"/>
      <c r="D25" s="6"/>
      <c r="E25" s="6"/>
      <c r="F25" s="17"/>
      <c r="G25" s="17"/>
      <c r="H25" s="11" t="n">
        <f aca="false">D25-E25</f>
        <v>0</v>
      </c>
      <c r="I25" s="17"/>
      <c r="J25" s="17"/>
    </row>
    <row r="26" customFormat="false" ht="15" hidden="false" customHeight="false" outlineLevel="0" collapsed="false">
      <c r="B26" s="17"/>
      <c r="C26" s="17"/>
      <c r="D26" s="6"/>
      <c r="E26" s="6"/>
      <c r="F26" s="17"/>
      <c r="G26" s="17"/>
      <c r="H26" s="11" t="n">
        <f aca="false">D26-E26</f>
        <v>0</v>
      </c>
      <c r="I26" s="17"/>
      <c r="J26" s="17"/>
    </row>
    <row r="27" customFormat="false" ht="15" hidden="false" customHeight="false" outlineLevel="0" collapsed="false">
      <c r="B27" s="8" t="s">
        <v>37</v>
      </c>
      <c r="C27" s="8"/>
      <c r="D27" s="13" t="n">
        <f aca="false">SUM(D7:D26)</f>
        <v>17745</v>
      </c>
      <c r="E27" s="13" t="n">
        <f aca="false">SUM(E7:E26)</f>
        <v>4500</v>
      </c>
      <c r="F27" s="8"/>
      <c r="G27" s="8"/>
      <c r="H27" s="13" t="n">
        <f aca="false">SUM(H7:H26)</f>
        <v>13245</v>
      </c>
      <c r="I27" s="8"/>
      <c r="J27" s="8"/>
    </row>
    <row r="29" customFormat="false" ht="15" hidden="false" customHeight="false" outlineLevel="0" collapsed="false">
      <c r="B29" s="5" t="s">
        <v>112</v>
      </c>
      <c r="D29" s="16" t="n">
        <f aca="false">SUMIF(G7:G26,"Yes",E7:E26)+SUMIF(J7:J26,"Yes",H7:H26)</f>
        <v>4500</v>
      </c>
    </row>
    <row r="30" customFormat="false" ht="15" hidden="false" customHeight="false" outlineLevel="0" collapsed="false">
      <c r="B30" s="5" t="s">
        <v>113</v>
      </c>
      <c r="D30" s="16" t="n">
        <f aca="false">D27-D29</f>
        <v>13245</v>
      </c>
    </row>
    <row r="32" customFormat="false" ht="15" hidden="false" customHeight="false" outlineLevel="0" collapsed="false">
      <c r="B32" s="7" t="s">
        <v>114</v>
      </c>
    </row>
  </sheetData>
  <mergeCells count="1">
    <mergeCell ref="B2:J2"/>
  </mergeCells>
  <dataValidations count="1">
    <dataValidation allowBlank="true" error="Pick Yes or No — the payment totals read these words." errorStyle="stop" errorTitle="Yes or No" operator="between" showDropDown="false" showErrorMessage="true" showInputMessage="false" sqref="G7:G26 J7:J2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2026-08-03T20:12:49Z</dcterms:created>
  <dc:creator>openpyxl</dc:creator>
  <dc:description/>
  <dc:language>en-US</dc:language>
  <cp:lastModifiedBy/>
  <dcterms:modified xsi:type="dcterms:W3CDTF">2026-08-03T20:12:51Z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