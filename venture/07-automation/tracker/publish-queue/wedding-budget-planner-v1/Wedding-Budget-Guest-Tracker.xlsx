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Wedding Budget" sheetId="2" state="visible" r:id="rId2"/>
    <sheet name="Guest List" sheetId="3" state="visible" r:id="rId3"/>
    <sheet name="Vendor 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sz val="11"/>
    </font>
    <font>
      <name val="Arial"/>
      <b val="1"/>
      <color rgb="00FFFFFF"/>
      <sz val="12"/>
    </font>
    <font>
      <name val="Arial"/>
      <b val="1"/>
      <color rgb="00FFFFFF"/>
      <sz val="18"/>
    </font>
    <font>
      <name val="Arial"/>
      <b val="1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6B"/>
      </patternFill>
    </fill>
    <fill>
      <patternFill patternType="solid">
        <fgColor rgb="00FFF2CC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164" fontId="0" fillId="4" borderId="1" pivotButton="0" quotePrefix="0" xfId="0"/>
    <xf numFmtId="0" fontId="6" fillId="0" borderId="0" pivotButton="0" quotePrefix="0" xfId="0"/>
    <xf numFmtId="0" fontId="5" fillId="5" borderId="1" pivotButton="0" quotePrefix="0" xfId="0"/>
    <xf numFmtId="0" fontId="2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9" fontId="5" fillId="5" borderId="1" pivotButton="0" quotePrefix="0" xfId="0"/>
    <xf numFmtId="164" fontId="5" fillId="5" borderId="1" pivotButton="0" quotePrefix="0" xfId="0"/>
    <xf numFmtId="0" fontId="3" fillId="2" borderId="0" pivotButton="0" quotePrefix="0" xfId="0"/>
    <xf numFmtId="164" fontId="5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30" customWidth="1" min="4" max="4"/>
    <col width="30" customWidth="1" min="5" max="5"/>
  </cols>
  <sheetData>
    <row r="2" ht="34" customHeight="1">
      <c r="B2" s="1" t="inlineStr">
        <is>
          <t>WEDDING BUDGET &amp; GUEST TRACKER</t>
        </is>
      </c>
    </row>
    <row r="4">
      <c r="B4" s="2" t="inlineStr"/>
    </row>
    <row r="5">
      <c r="B5" s="2" t="inlineStr">
        <is>
          <t>Welcome! Three tabs run the whole wedding: the money, the people, and the payments.</t>
        </is>
      </c>
    </row>
    <row r="6">
      <c r="B6" s="2" t="inlineStr"/>
    </row>
    <row r="7" ht="20" customHeight="1">
      <c r="B7" s="3" t="inlineStr">
        <is>
          <t>HOW TO USE (3 steps)</t>
        </is>
      </c>
    </row>
    <row r="8">
      <c r="B8" s="2" t="inlineStr">
        <is>
          <t>1. 'Wedding Budget' tab: enter your total budget in the yellow cell. The 'Typical %' column</t>
        </is>
      </c>
    </row>
    <row r="9">
      <c r="B9" s="2" t="inlineStr">
        <is>
          <t xml:space="preserve">    suggests a starting split from real weddings — then plan your own numbers in the yellow cells.</t>
        </is>
      </c>
    </row>
    <row r="10">
      <c r="B10" s="2" t="inlineStr">
        <is>
          <t>2. 'Guest List' tab: add guests as you invite them. RSVPs, meal counts, headcount, and</t>
        </is>
      </c>
    </row>
    <row r="11">
      <c r="B11" s="2" t="inlineStr">
        <is>
          <t xml:space="preserve">    thank-you notes are all counted for you at the top — nothing to add up, ever.</t>
        </is>
      </c>
    </row>
    <row r="12">
      <c r="B12" s="2" t="inlineStr">
        <is>
          <t>3. 'Vendor Payments' tab: log every contract, deposit, and due date. The sheet shows what is</t>
        </is>
      </c>
    </row>
    <row r="13">
      <c r="B13" s="2" t="inlineStr">
        <is>
          <t xml:space="preserve">    paid and exactly what is still owed, so no payment sneaks up on you.</t>
        </is>
      </c>
    </row>
    <row r="14">
      <c r="B14" s="2" t="inlineStr"/>
    </row>
    <row r="15" ht="20" customHeight="1">
      <c r="B15" s="3" t="inlineStr">
        <is>
          <t>COLOR LEGEND</t>
        </is>
      </c>
    </row>
    <row r="16">
      <c r="B16" s="2" t="inlineStr">
        <is>
          <t>Yellow cells = yours to edit.  Everything else calculates automatically — please don't type over it.</t>
        </is>
      </c>
    </row>
    <row r="17">
      <c r="B17" s="2" t="inlineStr">
        <is>
          <t>The numbers already in the sheet are a realistic worked example. Replace them with your own.</t>
        </is>
      </c>
    </row>
    <row r="18">
      <c r="B18" s="2" t="inlineStr"/>
    </row>
    <row r="19" ht="20" customHeight="1">
      <c r="B19" s="3" t="inlineStr">
        <is>
          <t>GOOGLE SHEETS USERS</t>
        </is>
      </c>
    </row>
    <row r="20">
      <c r="B20" s="2" t="inlineStr">
        <is>
          <t>Upload this file to Google Drive, then open it — it converts automatically and all formulas work.</t>
        </is>
      </c>
    </row>
    <row r="21">
      <c r="B21" s="2" t="inlineStr"/>
    </row>
    <row r="22">
      <c r="B22" s="2" t="inlineStr">
        <is>
          <t>Questions or a formula acting up? Message us on Etsy any time — we answer fast and we'll fix it.</t>
        </is>
      </c>
    </row>
  </sheetData>
  <mergeCells count="4">
    <mergeCell ref="B19:E19"/>
    <mergeCell ref="B15:E15"/>
    <mergeCell ref="B7:E7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30" customHeight="1">
      <c r="B2" s="4" t="inlineStr">
        <is>
          <t>WEDDING BUDGET</t>
        </is>
      </c>
    </row>
    <row r="4">
      <c r="B4" s="5" t="inlineStr">
        <is>
          <t>Total wedding budget:</t>
        </is>
      </c>
      <c r="C4" s="6" t="n">
        <v>24000</v>
      </c>
    </row>
    <row r="5">
      <c r="B5" s="7" t="inlineStr">
        <is>
          <t>'Typical %' is guidance from real weddings, not a rule — every wedding is different. 'Typical $' updates from YOUR budget.</t>
        </is>
      </c>
    </row>
    <row r="7">
      <c r="B7" s="8" t="inlineStr">
        <is>
          <t>Category</t>
        </is>
      </c>
      <c r="C7" s="8" t="inlineStr">
        <is>
          <t>Typical %</t>
        </is>
      </c>
      <c r="D7" s="8" t="inlineStr">
        <is>
          <t>Typical $</t>
        </is>
      </c>
      <c r="E7" s="8" t="inlineStr">
        <is>
          <t>Planned</t>
        </is>
      </c>
      <c r="F7" s="8" t="inlineStr">
        <is>
          <t>Actual</t>
        </is>
      </c>
      <c r="G7" s="8" t="inlineStr">
        <is>
          <t>Difference</t>
        </is>
      </c>
    </row>
    <row r="8">
      <c r="B8" s="9" t="inlineStr">
        <is>
          <t>Venue &amp; catering</t>
        </is>
      </c>
      <c r="C8" s="10" t="n">
        <v>0.4</v>
      </c>
      <c r="D8" s="11">
        <f>$C$4*C8</f>
        <v/>
      </c>
      <c r="E8" s="6" t="n">
        <v>9600</v>
      </c>
      <c r="F8" s="6" t="n">
        <v>9750</v>
      </c>
      <c r="G8" s="11">
        <f>E8-F8</f>
        <v/>
      </c>
    </row>
    <row r="9">
      <c r="B9" s="9" t="inlineStr">
        <is>
          <t>Photography &amp; video</t>
        </is>
      </c>
      <c r="C9" s="10" t="n">
        <v>0.12</v>
      </c>
      <c r="D9" s="11">
        <f>$C$4*C9</f>
        <v/>
      </c>
      <c r="E9" s="6" t="n">
        <v>2900</v>
      </c>
      <c r="F9" s="6" t="n">
        <v>2900</v>
      </c>
      <c r="G9" s="11">
        <f>E9-F9</f>
        <v/>
      </c>
    </row>
    <row r="10">
      <c r="B10" s="9" t="inlineStr">
        <is>
          <t>Attire &amp; beauty</t>
        </is>
      </c>
      <c r="C10" s="10" t="n">
        <v>0.09</v>
      </c>
      <c r="D10" s="11">
        <f>$C$4*C10</f>
        <v/>
      </c>
      <c r="E10" s="6" t="n">
        <v>2150</v>
      </c>
      <c r="F10" s="6" t="n">
        <v>1980.5</v>
      </c>
      <c r="G10" s="11">
        <f>E10-F10</f>
        <v/>
      </c>
    </row>
    <row r="11">
      <c r="B11" s="9" t="inlineStr">
        <is>
          <t>Flowers &amp; decor</t>
        </is>
      </c>
      <c r="C11" s="10" t="n">
        <v>0.1</v>
      </c>
      <c r="D11" s="11">
        <f>$C$4*C11</f>
        <v/>
      </c>
      <c r="E11" s="6" t="n">
        <v>2400</v>
      </c>
      <c r="F11" s="6" t="n">
        <v>2510</v>
      </c>
      <c r="G11" s="11">
        <f>E11-F11</f>
        <v/>
      </c>
    </row>
    <row r="12">
      <c r="B12" s="9" t="inlineStr">
        <is>
          <t>Music / entertainment</t>
        </is>
      </c>
      <c r="C12" s="10" t="n">
        <v>0.07000000000000001</v>
      </c>
      <c r="D12" s="11">
        <f>$C$4*C12</f>
        <v/>
      </c>
      <c r="E12" s="6" t="n">
        <v>1700</v>
      </c>
      <c r="F12" s="6" t="n">
        <v>1700</v>
      </c>
      <c r="G12" s="11">
        <f>E12-F12</f>
        <v/>
      </c>
    </row>
    <row r="13">
      <c r="B13" s="9" t="inlineStr">
        <is>
          <t>Stationery &amp; invites</t>
        </is>
      </c>
      <c r="C13" s="10" t="n">
        <v>0.03</v>
      </c>
      <c r="D13" s="11">
        <f>$C$4*C13</f>
        <v/>
      </c>
      <c r="E13" s="6" t="n">
        <v>720</v>
      </c>
      <c r="F13" s="6" t="n">
        <v>684.25</v>
      </c>
      <c r="G13" s="11">
        <f>E13-F13</f>
        <v/>
      </c>
    </row>
    <row r="14">
      <c r="B14" s="9" t="inlineStr">
        <is>
          <t>Wedding rings</t>
        </is>
      </c>
      <c r="C14" s="10" t="n">
        <v>0.03</v>
      </c>
      <c r="D14" s="11">
        <f>$C$4*C14</f>
        <v/>
      </c>
      <c r="E14" s="6" t="n">
        <v>720</v>
      </c>
      <c r="F14" s="6" t="n">
        <v>650</v>
      </c>
      <c r="G14" s="11">
        <f>E14-F14</f>
        <v/>
      </c>
    </row>
    <row r="15">
      <c r="B15" s="9" t="inlineStr">
        <is>
          <t>Transportation</t>
        </is>
      </c>
      <c r="C15" s="10" t="n">
        <v>0.02</v>
      </c>
      <c r="D15" s="11">
        <f>$C$4*C15</f>
        <v/>
      </c>
      <c r="E15" s="6" t="n">
        <v>480</v>
      </c>
      <c r="F15" s="6" t="n">
        <v>480</v>
      </c>
      <c r="G15" s="11">
        <f>E15-F15</f>
        <v/>
      </c>
    </row>
    <row r="16">
      <c r="B16" s="9" t="inlineStr">
        <is>
          <t>Cake &amp; desserts</t>
        </is>
      </c>
      <c r="C16" s="10" t="n">
        <v>0.02</v>
      </c>
      <c r="D16" s="11">
        <f>$C$4*C16</f>
        <v/>
      </c>
      <c r="E16" s="6" t="n">
        <v>480</v>
      </c>
      <c r="F16" s="6" t="n">
        <v>495</v>
      </c>
      <c r="G16" s="11">
        <f>E16-F16</f>
        <v/>
      </c>
    </row>
    <row r="17">
      <c r="B17" s="9" t="inlineStr">
        <is>
          <t>Favors &amp; gifts</t>
        </is>
      </c>
      <c r="C17" s="10" t="n">
        <v>0.02</v>
      </c>
      <c r="D17" s="11">
        <f>$C$4*C17</f>
        <v/>
      </c>
      <c r="E17" s="6" t="n">
        <v>480</v>
      </c>
      <c r="F17" s="6" t="n">
        <v>462</v>
      </c>
      <c r="G17" s="11">
        <f>E17-F17</f>
        <v/>
      </c>
    </row>
    <row r="18">
      <c r="B18" s="9" t="inlineStr">
        <is>
          <t>Officiant &amp; ceremony</t>
        </is>
      </c>
      <c r="C18" s="10" t="n">
        <v>0.02</v>
      </c>
      <c r="D18" s="11">
        <f>$C$4*C18</f>
        <v/>
      </c>
      <c r="E18" s="6" t="n">
        <v>480</v>
      </c>
      <c r="F18" s="6" t="n">
        <v>450</v>
      </c>
      <c r="G18" s="11">
        <f>E18-F18</f>
        <v/>
      </c>
    </row>
    <row r="19">
      <c r="B19" s="9" t="inlineStr">
        <is>
          <t>Contingency buffer</t>
        </is>
      </c>
      <c r="C19" s="10" t="n">
        <v>0.08</v>
      </c>
      <c r="D19" s="11">
        <f>$C$4*C19</f>
        <v/>
      </c>
      <c r="E19" s="6" t="n">
        <v>1890</v>
      </c>
      <c r="F19" s="6" t="n">
        <v>0</v>
      </c>
      <c r="G19" s="11">
        <f>E19-F19</f>
        <v/>
      </c>
    </row>
    <row r="20">
      <c r="B20" s="8" t="inlineStr">
        <is>
          <t>Total</t>
        </is>
      </c>
      <c r="C20" s="12">
        <f>SUM(C8:C19)</f>
        <v/>
      </c>
      <c r="D20" s="13">
        <f>SUM(D8:D19)</f>
        <v/>
      </c>
      <c r="E20" s="13">
        <f>SUM(E8:E19)</f>
        <v/>
      </c>
      <c r="F20" s="13">
        <f>SUM(F8:F19)</f>
        <v/>
      </c>
      <c r="G20" s="13">
        <f>E20-F20</f>
        <v/>
      </c>
    </row>
    <row r="22">
      <c r="B22" s="14" t="inlineStr">
        <is>
          <t>THE BOTTOM LINE</t>
        </is>
      </c>
    </row>
    <row r="23">
      <c r="B23" s="5" t="inlineStr">
        <is>
          <t>Left to plan (budget − planned) — get this to $0</t>
        </is>
      </c>
      <c r="C23" s="15">
        <f>C4-E20</f>
        <v/>
      </c>
    </row>
    <row r="24">
      <c r="B24" s="5" t="inlineStr">
        <is>
          <t>Budget remaining right now (budget − spent so far)</t>
        </is>
      </c>
      <c r="C24" s="15">
        <f>C4-F20</f>
        <v/>
      </c>
    </row>
    <row r="25">
      <c r="B25" s="7" t="inlineStr">
        <is>
          <t>Tip: keep the contingency line — the average wedding runs over in at least one category.</t>
        </is>
      </c>
    </row>
  </sheetData>
  <mergeCells count="2">
    <mergeCell ref="B22:G22"/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12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  <col width="24" customWidth="1" min="8" max="8"/>
  </cols>
  <sheetData>
    <row r="2" ht="30" customHeight="1">
      <c r="B2" s="4" t="inlineStr">
        <is>
          <t>GUEST LIST</t>
        </is>
      </c>
    </row>
    <row r="4">
      <c r="B4" s="5" t="inlineStr">
        <is>
          <t>Parties invited</t>
        </is>
      </c>
      <c r="C4" s="8">
        <f>COUNTA(B13:B112)</f>
        <v/>
      </c>
      <c r="E4" s="5" t="inlineStr">
        <is>
          <t>RSVP yes</t>
        </is>
      </c>
      <c r="F4" s="8">
        <f>COUNTIF(D13:D112,"Yes")</f>
        <v/>
      </c>
    </row>
    <row r="5">
      <c r="B5" s="5" t="inlineStr">
        <is>
          <t>Headcount attending</t>
        </is>
      </c>
      <c r="C5" s="8">
        <f>SUMIF(D13:D112,"Yes",C13:C112)</f>
        <v/>
      </c>
      <c r="E5" s="5" t="inlineStr">
        <is>
          <t>RSVP no</t>
        </is>
      </c>
      <c r="F5" s="8">
        <f>COUNTIF(D13:D112,"No")</f>
        <v/>
      </c>
    </row>
    <row r="6">
      <c r="B6" s="5" t="inlineStr">
        <is>
          <t>Chicken meals</t>
        </is>
      </c>
      <c r="C6" s="8">
        <f>SUMIFS(C13:C112,D13:D112,"Yes",E13:E112,"Chicken")</f>
        <v/>
      </c>
      <c r="E6" s="5" t="inlineStr">
        <is>
          <t>Awaiting reply</t>
        </is>
      </c>
      <c r="F6" s="8">
        <f>COUNTIF(D13:D112,"Waiting")</f>
        <v/>
      </c>
    </row>
    <row r="7">
      <c r="B7" s="5" t="inlineStr">
        <is>
          <t>Beef meals</t>
        </is>
      </c>
      <c r="C7" s="8">
        <f>SUMIFS(C13:C112,D13:D112,"Yes",E13:E112,"Beef")</f>
        <v/>
      </c>
      <c r="E7" s="5" t="inlineStr">
        <is>
          <t>Gifts received</t>
        </is>
      </c>
      <c r="F7" s="8">
        <f>COUNTIF(F13:F112,"Yes")</f>
        <v/>
      </c>
    </row>
    <row r="8">
      <c r="B8" s="5" t="inlineStr">
        <is>
          <t>Vegetarian meals</t>
        </is>
      </c>
      <c r="C8" s="8">
        <f>SUMIFS(C13:C112,D13:D112,"Yes",E13:E112,"Vegetarian")</f>
        <v/>
      </c>
      <c r="E8" s="5" t="inlineStr">
        <is>
          <t>Thank-yous still owed</t>
        </is>
      </c>
      <c r="F8" s="8">
        <f>COUNTIF(F13:F112,"Yes")-COUNTIF(G13:G112,"Yes")</f>
        <v/>
      </c>
    </row>
    <row r="10">
      <c r="B10" s="7" t="inlineStr">
        <is>
          <t>Type RSVP exactly as Yes / No / Waiting and meals as Chicken / Beef / Vegetarian — the counters above match those words.</t>
        </is>
      </c>
    </row>
    <row r="12">
      <c r="B12" s="8" t="inlineStr">
        <is>
          <t>Guest / party</t>
        </is>
      </c>
      <c r="C12" s="8" t="inlineStr">
        <is>
          <t># in party</t>
        </is>
      </c>
      <c r="D12" s="8" t="inlineStr">
        <is>
          <t>RSVP</t>
        </is>
      </c>
      <c r="E12" s="8" t="inlineStr">
        <is>
          <t>Meal choice</t>
        </is>
      </c>
      <c r="F12" s="8" t="inlineStr">
        <is>
          <t>Gift received</t>
        </is>
      </c>
      <c r="G12" s="8" t="inlineStr">
        <is>
          <t>Thank-you sent</t>
        </is>
      </c>
      <c r="H12" s="8" t="inlineStr">
        <is>
          <t>Notes</t>
        </is>
      </c>
    </row>
    <row r="13">
      <c r="B13" s="16" t="inlineStr">
        <is>
          <t>Sam &amp; Riley Carter</t>
        </is>
      </c>
      <c r="C13" s="16" t="n">
        <v>2</v>
      </c>
      <c r="D13" s="16" t="inlineStr">
        <is>
          <t>Yes</t>
        </is>
      </c>
      <c r="E13" s="16" t="inlineStr">
        <is>
          <t>Chicken</t>
        </is>
      </c>
      <c r="F13" s="16" t="inlineStr">
        <is>
          <t>Yes</t>
        </is>
      </c>
      <c r="G13" s="16" t="inlineStr">
        <is>
          <t>Yes</t>
        </is>
      </c>
      <c r="H13" s="16" t="n"/>
    </row>
    <row r="14">
      <c r="B14" s="16" t="inlineStr">
        <is>
          <t>Grandma Jean</t>
        </is>
      </c>
      <c r="C14" s="16" t="n">
        <v>1</v>
      </c>
      <c r="D14" s="16" t="inlineStr">
        <is>
          <t>Yes</t>
        </is>
      </c>
      <c r="E14" s="16" t="inlineStr">
        <is>
          <t>Vegetarian</t>
        </is>
      </c>
      <c r="F14" s="16" t="inlineStr">
        <is>
          <t>Yes</t>
        </is>
      </c>
      <c r="G14" s="16" t="inlineStr">
        <is>
          <t>No</t>
        </is>
      </c>
      <c r="H14" s="16" t="n"/>
    </row>
    <row r="15">
      <c r="B15" s="16" t="inlineStr">
        <is>
          <t>The Ortiz family</t>
        </is>
      </c>
      <c r="C15" s="16" t="n">
        <v>4</v>
      </c>
      <c r="D15" s="16" t="inlineStr">
        <is>
          <t>Yes</t>
        </is>
      </c>
      <c r="E15" s="16" t="inlineStr">
        <is>
          <t>Chicken</t>
        </is>
      </c>
      <c r="F15" s="16" t="inlineStr">
        <is>
          <t>No</t>
        </is>
      </c>
      <c r="G15" s="16" t="inlineStr">
        <is>
          <t>No</t>
        </is>
      </c>
      <c r="H15" s="16" t="n"/>
    </row>
    <row r="16">
      <c r="B16" s="16" t="inlineStr">
        <is>
          <t>Priya Patel</t>
        </is>
      </c>
      <c r="C16" s="16" t="n">
        <v>1</v>
      </c>
      <c r="D16" s="16" t="inlineStr">
        <is>
          <t>Yes</t>
        </is>
      </c>
      <c r="E16" s="16" t="inlineStr">
        <is>
          <t>Beef</t>
        </is>
      </c>
      <c r="F16" s="16" t="inlineStr">
        <is>
          <t>No</t>
        </is>
      </c>
      <c r="G16" s="16" t="inlineStr">
        <is>
          <t>No</t>
        </is>
      </c>
      <c r="H16" s="16" t="n"/>
    </row>
    <row r="17">
      <c r="B17" s="16" t="inlineStr">
        <is>
          <t>Marcus &amp; Dee Lewis</t>
        </is>
      </c>
      <c r="C17" s="16" t="n">
        <v>2</v>
      </c>
      <c r="D17" s="16" t="inlineStr">
        <is>
          <t>No</t>
        </is>
      </c>
      <c r="E17" s="16" t="n"/>
      <c r="F17" s="16" t="inlineStr">
        <is>
          <t>No</t>
        </is>
      </c>
      <c r="G17" s="16" t="inlineStr">
        <is>
          <t>No</t>
        </is>
      </c>
      <c r="H17" s="16" t="n"/>
    </row>
    <row r="18">
      <c r="B18" s="16" t="inlineStr">
        <is>
          <t>Coach Thompson</t>
        </is>
      </c>
      <c r="C18" s="16" t="n">
        <v>1</v>
      </c>
      <c r="D18" s="16" t="inlineStr">
        <is>
          <t>Waiting</t>
        </is>
      </c>
      <c r="E18" s="16" t="n"/>
      <c r="F18" s="16" t="inlineStr">
        <is>
          <t>No</t>
        </is>
      </c>
      <c r="G18" s="16" t="inlineStr">
        <is>
          <t>No</t>
        </is>
      </c>
      <c r="H18" s="16" t="n"/>
    </row>
    <row r="19">
      <c r="B19" s="16" t="inlineStr">
        <is>
          <t>Jules Moreau</t>
        </is>
      </c>
      <c r="C19" s="16" t="n">
        <v>1</v>
      </c>
      <c r="D19" s="16" t="inlineStr">
        <is>
          <t>Yes</t>
        </is>
      </c>
      <c r="E19" s="16" t="inlineStr">
        <is>
          <t>Beef</t>
        </is>
      </c>
      <c r="F19" s="16" t="inlineStr">
        <is>
          <t>Yes</t>
        </is>
      </c>
      <c r="G19" s="16" t="inlineStr">
        <is>
          <t>Yes</t>
        </is>
      </c>
      <c r="H19" s="16" t="n"/>
    </row>
    <row r="20">
      <c r="B20" s="16" t="inlineStr">
        <is>
          <t>The Kims</t>
        </is>
      </c>
      <c r="C20" s="16" t="n">
        <v>3</v>
      </c>
      <c r="D20" s="16" t="inlineStr">
        <is>
          <t>Yes</t>
        </is>
      </c>
      <c r="E20" s="16" t="inlineStr">
        <is>
          <t>Chicken</t>
        </is>
      </c>
      <c r="F20" s="16" t="inlineStr">
        <is>
          <t>No</t>
        </is>
      </c>
      <c r="G20" s="16" t="inlineStr">
        <is>
          <t>No</t>
        </is>
      </c>
      <c r="H20" s="16" t="n"/>
    </row>
    <row r="21">
      <c r="B21" s="16" t="inlineStr">
        <is>
          <t>Aunt Carol &amp; Uncle Ray</t>
        </is>
      </c>
      <c r="C21" s="16" t="n">
        <v>2</v>
      </c>
      <c r="D21" s="16" t="inlineStr">
        <is>
          <t>Waiting</t>
        </is>
      </c>
      <c r="E21" s="16" t="n"/>
      <c r="F21" s="16" t="inlineStr">
        <is>
          <t>No</t>
        </is>
      </c>
      <c r="G21" s="16" t="inlineStr">
        <is>
          <t>No</t>
        </is>
      </c>
      <c r="H21" s="16" t="n"/>
    </row>
    <row r="22">
      <c r="B22" s="16" t="inlineStr">
        <is>
          <t>Devon Brooks</t>
        </is>
      </c>
      <c r="C22" s="16" t="n">
        <v>1</v>
      </c>
      <c r="D22" s="16" t="inlineStr">
        <is>
          <t>No</t>
        </is>
      </c>
      <c r="E22" s="16" t="n"/>
      <c r="F22" s="16" t="inlineStr">
        <is>
          <t>No</t>
        </is>
      </c>
      <c r="G22" s="16" t="inlineStr">
        <is>
          <t>No</t>
        </is>
      </c>
      <c r="H22" s="16" t="n"/>
    </row>
    <row r="23">
      <c r="B23" s="16" t="inlineStr">
        <is>
          <t>Hannah &amp; Theo Ruiz</t>
        </is>
      </c>
      <c r="C23" s="16" t="n">
        <v>2</v>
      </c>
      <c r="D23" s="16" t="inlineStr">
        <is>
          <t>Yes</t>
        </is>
      </c>
      <c r="E23" s="16" t="inlineStr">
        <is>
          <t>Vegetarian</t>
        </is>
      </c>
      <c r="F23" s="16" t="inlineStr">
        <is>
          <t>Yes</t>
        </is>
      </c>
      <c r="G23" s="16" t="inlineStr">
        <is>
          <t>No</t>
        </is>
      </c>
      <c r="H23" s="16" t="n"/>
    </row>
    <row r="24">
      <c r="B24" s="16" t="inlineStr">
        <is>
          <t>Olivia Chen +1</t>
        </is>
      </c>
      <c r="C24" s="16" t="n">
        <v>2</v>
      </c>
      <c r="D24" s="16" t="inlineStr">
        <is>
          <t>Yes</t>
        </is>
      </c>
      <c r="E24" s="16" t="inlineStr">
        <is>
          <t>Beef</t>
        </is>
      </c>
      <c r="F24" s="16" t="inlineStr">
        <is>
          <t>No</t>
        </is>
      </c>
      <c r="G24" s="16" t="inlineStr">
        <is>
          <t>No</t>
        </is>
      </c>
      <c r="H24" s="16" t="n"/>
    </row>
    <row r="25">
      <c r="B25" s="16" t="n"/>
      <c r="C25" s="16" t="n"/>
      <c r="D25" s="16" t="n"/>
      <c r="E25" s="16" t="n"/>
      <c r="F25" s="16" t="n"/>
      <c r="G25" s="16" t="n"/>
      <c r="H25" s="16" t="n"/>
    </row>
    <row r="26">
      <c r="B26" s="16" t="n"/>
      <c r="C26" s="16" t="n"/>
      <c r="D26" s="16" t="n"/>
      <c r="E26" s="16" t="n"/>
      <c r="F26" s="16" t="n"/>
      <c r="G26" s="16" t="n"/>
      <c r="H26" s="16" t="n"/>
    </row>
    <row r="27">
      <c r="B27" s="16" t="n"/>
      <c r="C27" s="16" t="n"/>
      <c r="D27" s="16" t="n"/>
      <c r="E27" s="16" t="n"/>
      <c r="F27" s="16" t="n"/>
      <c r="G27" s="16" t="n"/>
      <c r="H27" s="16" t="n"/>
    </row>
    <row r="28">
      <c r="B28" s="16" t="n"/>
      <c r="C28" s="16" t="n"/>
      <c r="D28" s="16" t="n"/>
      <c r="E28" s="16" t="n"/>
      <c r="F28" s="16" t="n"/>
      <c r="G28" s="16" t="n"/>
      <c r="H28" s="16" t="n"/>
    </row>
    <row r="29">
      <c r="B29" s="16" t="n"/>
      <c r="C29" s="16" t="n"/>
      <c r="D29" s="16" t="n"/>
      <c r="E29" s="16" t="n"/>
      <c r="F29" s="16" t="n"/>
      <c r="G29" s="16" t="n"/>
      <c r="H29" s="16" t="n"/>
    </row>
    <row r="30">
      <c r="B30" s="16" t="n"/>
      <c r="C30" s="16" t="n"/>
      <c r="D30" s="16" t="n"/>
      <c r="E30" s="16" t="n"/>
      <c r="F30" s="16" t="n"/>
      <c r="G30" s="16" t="n"/>
      <c r="H30" s="16" t="n"/>
    </row>
    <row r="31">
      <c r="B31" s="16" t="n"/>
      <c r="C31" s="16" t="n"/>
      <c r="D31" s="16" t="n"/>
      <c r="E31" s="16" t="n"/>
      <c r="F31" s="16" t="n"/>
      <c r="G31" s="16" t="n"/>
      <c r="H31" s="16" t="n"/>
    </row>
    <row r="32">
      <c r="B32" s="16" t="n"/>
      <c r="C32" s="16" t="n"/>
      <c r="D32" s="16" t="n"/>
      <c r="E32" s="16" t="n"/>
      <c r="F32" s="16" t="n"/>
      <c r="G32" s="16" t="n"/>
      <c r="H32" s="16" t="n"/>
    </row>
    <row r="33">
      <c r="B33" s="16" t="n"/>
      <c r="C33" s="16" t="n"/>
      <c r="D33" s="16" t="n"/>
      <c r="E33" s="16" t="n"/>
      <c r="F33" s="16" t="n"/>
      <c r="G33" s="16" t="n"/>
      <c r="H33" s="16" t="n"/>
    </row>
    <row r="34">
      <c r="B34" s="16" t="n"/>
      <c r="C34" s="16" t="n"/>
      <c r="D34" s="16" t="n"/>
      <c r="E34" s="16" t="n"/>
      <c r="F34" s="16" t="n"/>
      <c r="G34" s="16" t="n"/>
      <c r="H34" s="16" t="n"/>
    </row>
    <row r="35">
      <c r="B35" s="16" t="n"/>
      <c r="C35" s="16" t="n"/>
      <c r="D35" s="16" t="n"/>
      <c r="E35" s="16" t="n"/>
      <c r="F35" s="16" t="n"/>
      <c r="G35" s="16" t="n"/>
      <c r="H35" s="16" t="n"/>
    </row>
    <row r="36">
      <c r="B36" s="16" t="n"/>
      <c r="C36" s="16" t="n"/>
      <c r="D36" s="16" t="n"/>
      <c r="E36" s="16" t="n"/>
      <c r="F36" s="16" t="n"/>
      <c r="G36" s="16" t="n"/>
      <c r="H36" s="16" t="n"/>
    </row>
    <row r="37">
      <c r="B37" s="16" t="n"/>
      <c r="C37" s="16" t="n"/>
      <c r="D37" s="16" t="n"/>
      <c r="E37" s="16" t="n"/>
      <c r="F37" s="16" t="n"/>
      <c r="G37" s="16" t="n"/>
      <c r="H37" s="16" t="n"/>
    </row>
    <row r="38">
      <c r="B38" s="16" t="n"/>
      <c r="C38" s="16" t="n"/>
      <c r="D38" s="16" t="n"/>
      <c r="E38" s="16" t="n"/>
      <c r="F38" s="16" t="n"/>
      <c r="G38" s="16" t="n"/>
      <c r="H38" s="16" t="n"/>
    </row>
    <row r="39">
      <c r="B39" s="16" t="n"/>
      <c r="C39" s="16" t="n"/>
      <c r="D39" s="16" t="n"/>
      <c r="E39" s="16" t="n"/>
      <c r="F39" s="16" t="n"/>
      <c r="G39" s="16" t="n"/>
      <c r="H39" s="16" t="n"/>
    </row>
    <row r="40">
      <c r="B40" s="16" t="n"/>
      <c r="C40" s="16" t="n"/>
      <c r="D40" s="16" t="n"/>
      <c r="E40" s="16" t="n"/>
      <c r="F40" s="16" t="n"/>
      <c r="G40" s="16" t="n"/>
      <c r="H40" s="16" t="n"/>
    </row>
    <row r="41">
      <c r="B41" s="16" t="n"/>
      <c r="C41" s="16" t="n"/>
      <c r="D41" s="16" t="n"/>
      <c r="E41" s="16" t="n"/>
      <c r="F41" s="16" t="n"/>
      <c r="G41" s="16" t="n"/>
      <c r="H41" s="16" t="n"/>
    </row>
    <row r="42">
      <c r="B42" s="16" t="n"/>
      <c r="C42" s="16" t="n"/>
      <c r="D42" s="16" t="n"/>
      <c r="E42" s="16" t="n"/>
      <c r="F42" s="16" t="n"/>
      <c r="G42" s="16" t="n"/>
      <c r="H42" s="16" t="n"/>
    </row>
    <row r="43">
      <c r="B43" s="16" t="n"/>
      <c r="C43" s="16" t="n"/>
      <c r="D43" s="16" t="n"/>
      <c r="E43" s="16" t="n"/>
      <c r="F43" s="16" t="n"/>
      <c r="G43" s="16" t="n"/>
      <c r="H43" s="16" t="n"/>
    </row>
    <row r="44">
      <c r="B44" s="16" t="n"/>
      <c r="C44" s="16" t="n"/>
      <c r="D44" s="16" t="n"/>
      <c r="E44" s="16" t="n"/>
      <c r="F44" s="16" t="n"/>
      <c r="G44" s="16" t="n"/>
      <c r="H44" s="16" t="n"/>
    </row>
    <row r="45">
      <c r="B45" s="16" t="n"/>
      <c r="C45" s="16" t="n"/>
      <c r="D45" s="16" t="n"/>
      <c r="E45" s="16" t="n"/>
      <c r="F45" s="16" t="n"/>
      <c r="G45" s="16" t="n"/>
      <c r="H45" s="16" t="n"/>
    </row>
    <row r="46">
      <c r="B46" s="16" t="n"/>
      <c r="C46" s="16" t="n"/>
      <c r="D46" s="16" t="n"/>
      <c r="E46" s="16" t="n"/>
      <c r="F46" s="16" t="n"/>
      <c r="G46" s="16" t="n"/>
      <c r="H46" s="16" t="n"/>
    </row>
    <row r="47">
      <c r="B47" s="16" t="n"/>
      <c r="C47" s="16" t="n"/>
      <c r="D47" s="16" t="n"/>
      <c r="E47" s="16" t="n"/>
      <c r="F47" s="16" t="n"/>
      <c r="G47" s="16" t="n"/>
      <c r="H47" s="16" t="n"/>
    </row>
    <row r="48">
      <c r="B48" s="16" t="n"/>
      <c r="C48" s="16" t="n"/>
      <c r="D48" s="16" t="n"/>
      <c r="E48" s="16" t="n"/>
      <c r="F48" s="16" t="n"/>
      <c r="G48" s="16" t="n"/>
      <c r="H48" s="16" t="n"/>
    </row>
    <row r="49">
      <c r="B49" s="16" t="n"/>
      <c r="C49" s="16" t="n"/>
      <c r="D49" s="16" t="n"/>
      <c r="E49" s="16" t="n"/>
      <c r="F49" s="16" t="n"/>
      <c r="G49" s="16" t="n"/>
      <c r="H49" s="16" t="n"/>
    </row>
    <row r="50">
      <c r="B50" s="16" t="n"/>
      <c r="C50" s="16" t="n"/>
      <c r="D50" s="16" t="n"/>
      <c r="E50" s="16" t="n"/>
      <c r="F50" s="16" t="n"/>
      <c r="G50" s="16" t="n"/>
      <c r="H50" s="16" t="n"/>
    </row>
    <row r="51">
      <c r="B51" s="16" t="n"/>
      <c r="C51" s="16" t="n"/>
      <c r="D51" s="16" t="n"/>
      <c r="E51" s="16" t="n"/>
      <c r="F51" s="16" t="n"/>
      <c r="G51" s="16" t="n"/>
      <c r="H51" s="16" t="n"/>
    </row>
    <row r="52">
      <c r="B52" s="16" t="n"/>
      <c r="C52" s="16" t="n"/>
      <c r="D52" s="16" t="n"/>
      <c r="E52" s="16" t="n"/>
      <c r="F52" s="16" t="n"/>
      <c r="G52" s="16" t="n"/>
      <c r="H52" s="16" t="n"/>
    </row>
    <row r="53">
      <c r="B53" s="16" t="n"/>
      <c r="C53" s="16" t="n"/>
      <c r="D53" s="16" t="n"/>
      <c r="E53" s="16" t="n"/>
      <c r="F53" s="16" t="n"/>
      <c r="G53" s="16" t="n"/>
      <c r="H53" s="16" t="n"/>
    </row>
    <row r="54">
      <c r="B54" s="16" t="n"/>
      <c r="C54" s="16" t="n"/>
      <c r="D54" s="16" t="n"/>
      <c r="E54" s="16" t="n"/>
      <c r="F54" s="16" t="n"/>
      <c r="G54" s="16" t="n"/>
      <c r="H54" s="16" t="n"/>
    </row>
    <row r="55">
      <c r="B55" s="16" t="n"/>
      <c r="C55" s="16" t="n"/>
      <c r="D55" s="16" t="n"/>
      <c r="E55" s="16" t="n"/>
      <c r="F55" s="16" t="n"/>
      <c r="G55" s="16" t="n"/>
      <c r="H55" s="16" t="n"/>
    </row>
    <row r="56">
      <c r="B56" s="16" t="n"/>
      <c r="C56" s="16" t="n"/>
      <c r="D56" s="16" t="n"/>
      <c r="E56" s="16" t="n"/>
      <c r="F56" s="16" t="n"/>
      <c r="G56" s="16" t="n"/>
      <c r="H56" s="16" t="n"/>
    </row>
    <row r="57">
      <c r="B57" s="16" t="n"/>
      <c r="C57" s="16" t="n"/>
      <c r="D57" s="16" t="n"/>
      <c r="E57" s="16" t="n"/>
      <c r="F57" s="16" t="n"/>
      <c r="G57" s="16" t="n"/>
      <c r="H57" s="16" t="n"/>
    </row>
    <row r="58">
      <c r="B58" s="16" t="n"/>
      <c r="C58" s="16" t="n"/>
      <c r="D58" s="16" t="n"/>
      <c r="E58" s="16" t="n"/>
      <c r="F58" s="16" t="n"/>
      <c r="G58" s="16" t="n"/>
      <c r="H58" s="16" t="n"/>
    </row>
    <row r="59">
      <c r="B59" s="16" t="n"/>
      <c r="C59" s="16" t="n"/>
      <c r="D59" s="16" t="n"/>
      <c r="E59" s="16" t="n"/>
      <c r="F59" s="16" t="n"/>
      <c r="G59" s="16" t="n"/>
      <c r="H59" s="16" t="n"/>
    </row>
    <row r="60">
      <c r="B60" s="16" t="n"/>
      <c r="C60" s="16" t="n"/>
      <c r="D60" s="16" t="n"/>
      <c r="E60" s="16" t="n"/>
      <c r="F60" s="16" t="n"/>
      <c r="G60" s="16" t="n"/>
      <c r="H60" s="16" t="n"/>
    </row>
    <row r="61">
      <c r="B61" s="16" t="n"/>
      <c r="C61" s="16" t="n"/>
      <c r="D61" s="16" t="n"/>
      <c r="E61" s="16" t="n"/>
      <c r="F61" s="16" t="n"/>
      <c r="G61" s="16" t="n"/>
      <c r="H61" s="16" t="n"/>
    </row>
    <row r="62">
      <c r="B62" s="16" t="n"/>
      <c r="C62" s="16" t="n"/>
      <c r="D62" s="16" t="n"/>
      <c r="E62" s="16" t="n"/>
      <c r="F62" s="16" t="n"/>
      <c r="G62" s="16" t="n"/>
      <c r="H62" s="16" t="n"/>
    </row>
    <row r="63">
      <c r="B63" s="16" t="n"/>
      <c r="C63" s="16" t="n"/>
      <c r="D63" s="16" t="n"/>
      <c r="E63" s="16" t="n"/>
      <c r="F63" s="16" t="n"/>
      <c r="G63" s="16" t="n"/>
      <c r="H63" s="16" t="n"/>
    </row>
    <row r="64">
      <c r="B64" s="16" t="n"/>
      <c r="C64" s="16" t="n"/>
      <c r="D64" s="16" t="n"/>
      <c r="E64" s="16" t="n"/>
      <c r="F64" s="16" t="n"/>
      <c r="G64" s="16" t="n"/>
      <c r="H64" s="16" t="n"/>
    </row>
    <row r="65">
      <c r="B65" s="16" t="n"/>
      <c r="C65" s="16" t="n"/>
      <c r="D65" s="16" t="n"/>
      <c r="E65" s="16" t="n"/>
      <c r="F65" s="16" t="n"/>
      <c r="G65" s="16" t="n"/>
      <c r="H65" s="16" t="n"/>
    </row>
    <row r="66">
      <c r="B66" s="16" t="n"/>
      <c r="C66" s="16" t="n"/>
      <c r="D66" s="16" t="n"/>
      <c r="E66" s="16" t="n"/>
      <c r="F66" s="16" t="n"/>
      <c r="G66" s="16" t="n"/>
      <c r="H66" s="16" t="n"/>
    </row>
    <row r="67">
      <c r="B67" s="16" t="n"/>
      <c r="C67" s="16" t="n"/>
      <c r="D67" s="16" t="n"/>
      <c r="E67" s="16" t="n"/>
      <c r="F67" s="16" t="n"/>
      <c r="G67" s="16" t="n"/>
      <c r="H67" s="16" t="n"/>
    </row>
    <row r="68">
      <c r="B68" s="16" t="n"/>
      <c r="C68" s="16" t="n"/>
      <c r="D68" s="16" t="n"/>
      <c r="E68" s="16" t="n"/>
      <c r="F68" s="16" t="n"/>
      <c r="G68" s="16" t="n"/>
      <c r="H68" s="16" t="n"/>
    </row>
    <row r="69">
      <c r="B69" s="16" t="n"/>
      <c r="C69" s="16" t="n"/>
      <c r="D69" s="16" t="n"/>
      <c r="E69" s="16" t="n"/>
      <c r="F69" s="16" t="n"/>
      <c r="G69" s="16" t="n"/>
      <c r="H69" s="16" t="n"/>
    </row>
    <row r="70">
      <c r="B70" s="16" t="n"/>
      <c r="C70" s="16" t="n"/>
      <c r="D70" s="16" t="n"/>
      <c r="E70" s="16" t="n"/>
      <c r="F70" s="16" t="n"/>
      <c r="G70" s="16" t="n"/>
      <c r="H70" s="16" t="n"/>
    </row>
    <row r="71">
      <c r="B71" s="16" t="n"/>
      <c r="C71" s="16" t="n"/>
      <c r="D71" s="16" t="n"/>
      <c r="E71" s="16" t="n"/>
      <c r="F71" s="16" t="n"/>
      <c r="G71" s="16" t="n"/>
      <c r="H71" s="16" t="n"/>
    </row>
    <row r="72">
      <c r="B72" s="16" t="n"/>
      <c r="C72" s="16" t="n"/>
      <c r="D72" s="16" t="n"/>
      <c r="E72" s="16" t="n"/>
      <c r="F72" s="16" t="n"/>
      <c r="G72" s="16" t="n"/>
      <c r="H72" s="16" t="n"/>
    </row>
    <row r="73">
      <c r="B73" s="16" t="n"/>
      <c r="C73" s="16" t="n"/>
      <c r="D73" s="16" t="n"/>
      <c r="E73" s="16" t="n"/>
      <c r="F73" s="16" t="n"/>
      <c r="G73" s="16" t="n"/>
      <c r="H73" s="16" t="n"/>
    </row>
    <row r="74">
      <c r="B74" s="16" t="n"/>
      <c r="C74" s="16" t="n"/>
      <c r="D74" s="16" t="n"/>
      <c r="E74" s="16" t="n"/>
      <c r="F74" s="16" t="n"/>
      <c r="G74" s="16" t="n"/>
      <c r="H74" s="16" t="n"/>
    </row>
    <row r="75">
      <c r="B75" s="16" t="n"/>
      <c r="C75" s="16" t="n"/>
      <c r="D75" s="16" t="n"/>
      <c r="E75" s="16" t="n"/>
      <c r="F75" s="16" t="n"/>
      <c r="G75" s="16" t="n"/>
      <c r="H75" s="16" t="n"/>
    </row>
    <row r="76">
      <c r="B76" s="16" t="n"/>
      <c r="C76" s="16" t="n"/>
      <c r="D76" s="16" t="n"/>
      <c r="E76" s="16" t="n"/>
      <c r="F76" s="16" t="n"/>
      <c r="G76" s="16" t="n"/>
      <c r="H76" s="16" t="n"/>
    </row>
    <row r="77">
      <c r="B77" s="16" t="n"/>
      <c r="C77" s="16" t="n"/>
      <c r="D77" s="16" t="n"/>
      <c r="E77" s="16" t="n"/>
      <c r="F77" s="16" t="n"/>
      <c r="G77" s="16" t="n"/>
      <c r="H77" s="16" t="n"/>
    </row>
    <row r="78">
      <c r="B78" s="16" t="n"/>
      <c r="C78" s="16" t="n"/>
      <c r="D78" s="16" t="n"/>
      <c r="E78" s="16" t="n"/>
      <c r="F78" s="16" t="n"/>
      <c r="G78" s="16" t="n"/>
      <c r="H78" s="16" t="n"/>
    </row>
    <row r="79">
      <c r="B79" s="16" t="n"/>
      <c r="C79" s="16" t="n"/>
      <c r="D79" s="16" t="n"/>
      <c r="E79" s="16" t="n"/>
      <c r="F79" s="16" t="n"/>
      <c r="G79" s="16" t="n"/>
      <c r="H79" s="16" t="n"/>
    </row>
    <row r="80">
      <c r="B80" s="16" t="n"/>
      <c r="C80" s="16" t="n"/>
      <c r="D80" s="16" t="n"/>
      <c r="E80" s="16" t="n"/>
      <c r="F80" s="16" t="n"/>
      <c r="G80" s="16" t="n"/>
      <c r="H80" s="16" t="n"/>
    </row>
    <row r="81">
      <c r="B81" s="16" t="n"/>
      <c r="C81" s="16" t="n"/>
      <c r="D81" s="16" t="n"/>
      <c r="E81" s="16" t="n"/>
      <c r="F81" s="16" t="n"/>
      <c r="G81" s="16" t="n"/>
      <c r="H81" s="16" t="n"/>
    </row>
    <row r="82">
      <c r="B82" s="16" t="n"/>
      <c r="C82" s="16" t="n"/>
      <c r="D82" s="16" t="n"/>
      <c r="E82" s="16" t="n"/>
      <c r="F82" s="16" t="n"/>
      <c r="G82" s="16" t="n"/>
      <c r="H82" s="16" t="n"/>
    </row>
    <row r="83">
      <c r="B83" s="16" t="n"/>
      <c r="C83" s="16" t="n"/>
      <c r="D83" s="16" t="n"/>
      <c r="E83" s="16" t="n"/>
      <c r="F83" s="16" t="n"/>
      <c r="G83" s="16" t="n"/>
      <c r="H83" s="16" t="n"/>
    </row>
    <row r="84">
      <c r="B84" s="16" t="n"/>
      <c r="C84" s="16" t="n"/>
      <c r="D84" s="16" t="n"/>
      <c r="E84" s="16" t="n"/>
      <c r="F84" s="16" t="n"/>
      <c r="G84" s="16" t="n"/>
      <c r="H84" s="16" t="n"/>
    </row>
    <row r="85">
      <c r="B85" s="16" t="n"/>
      <c r="C85" s="16" t="n"/>
      <c r="D85" s="16" t="n"/>
      <c r="E85" s="16" t="n"/>
      <c r="F85" s="16" t="n"/>
      <c r="G85" s="16" t="n"/>
      <c r="H85" s="16" t="n"/>
    </row>
    <row r="86">
      <c r="B86" s="16" t="n"/>
      <c r="C86" s="16" t="n"/>
      <c r="D86" s="16" t="n"/>
      <c r="E86" s="16" t="n"/>
      <c r="F86" s="16" t="n"/>
      <c r="G86" s="16" t="n"/>
      <c r="H86" s="16" t="n"/>
    </row>
    <row r="87">
      <c r="B87" s="16" t="n"/>
      <c r="C87" s="16" t="n"/>
      <c r="D87" s="16" t="n"/>
      <c r="E87" s="16" t="n"/>
      <c r="F87" s="16" t="n"/>
      <c r="G87" s="16" t="n"/>
      <c r="H87" s="16" t="n"/>
    </row>
    <row r="88">
      <c r="B88" s="16" t="n"/>
      <c r="C88" s="16" t="n"/>
      <c r="D88" s="16" t="n"/>
      <c r="E88" s="16" t="n"/>
      <c r="F88" s="16" t="n"/>
      <c r="G88" s="16" t="n"/>
      <c r="H88" s="16" t="n"/>
    </row>
    <row r="89">
      <c r="B89" s="16" t="n"/>
      <c r="C89" s="16" t="n"/>
      <c r="D89" s="16" t="n"/>
      <c r="E89" s="16" t="n"/>
      <c r="F89" s="16" t="n"/>
      <c r="G89" s="16" t="n"/>
      <c r="H89" s="16" t="n"/>
    </row>
    <row r="90">
      <c r="B90" s="16" t="n"/>
      <c r="C90" s="16" t="n"/>
      <c r="D90" s="16" t="n"/>
      <c r="E90" s="16" t="n"/>
      <c r="F90" s="16" t="n"/>
      <c r="G90" s="16" t="n"/>
      <c r="H90" s="16" t="n"/>
    </row>
    <row r="91">
      <c r="B91" s="16" t="n"/>
      <c r="C91" s="16" t="n"/>
      <c r="D91" s="16" t="n"/>
      <c r="E91" s="16" t="n"/>
      <c r="F91" s="16" t="n"/>
      <c r="G91" s="16" t="n"/>
      <c r="H91" s="16" t="n"/>
    </row>
    <row r="92">
      <c r="B92" s="16" t="n"/>
      <c r="C92" s="16" t="n"/>
      <c r="D92" s="16" t="n"/>
      <c r="E92" s="16" t="n"/>
      <c r="F92" s="16" t="n"/>
      <c r="G92" s="16" t="n"/>
      <c r="H92" s="16" t="n"/>
    </row>
    <row r="93">
      <c r="B93" s="16" t="n"/>
      <c r="C93" s="16" t="n"/>
      <c r="D93" s="16" t="n"/>
      <c r="E93" s="16" t="n"/>
      <c r="F93" s="16" t="n"/>
      <c r="G93" s="16" t="n"/>
      <c r="H93" s="16" t="n"/>
    </row>
    <row r="94">
      <c r="B94" s="16" t="n"/>
      <c r="C94" s="16" t="n"/>
      <c r="D94" s="16" t="n"/>
      <c r="E94" s="16" t="n"/>
      <c r="F94" s="16" t="n"/>
      <c r="G94" s="16" t="n"/>
      <c r="H94" s="16" t="n"/>
    </row>
    <row r="95">
      <c r="B95" s="16" t="n"/>
      <c r="C95" s="16" t="n"/>
      <c r="D95" s="16" t="n"/>
      <c r="E95" s="16" t="n"/>
      <c r="F95" s="16" t="n"/>
      <c r="G95" s="16" t="n"/>
      <c r="H95" s="16" t="n"/>
    </row>
    <row r="96">
      <c r="B96" s="16" t="n"/>
      <c r="C96" s="16" t="n"/>
      <c r="D96" s="16" t="n"/>
      <c r="E96" s="16" t="n"/>
      <c r="F96" s="16" t="n"/>
      <c r="G96" s="16" t="n"/>
      <c r="H96" s="16" t="n"/>
    </row>
    <row r="97">
      <c r="B97" s="16" t="n"/>
      <c r="C97" s="16" t="n"/>
      <c r="D97" s="16" t="n"/>
      <c r="E97" s="16" t="n"/>
      <c r="F97" s="16" t="n"/>
      <c r="G97" s="16" t="n"/>
      <c r="H97" s="16" t="n"/>
    </row>
    <row r="98">
      <c r="B98" s="16" t="n"/>
      <c r="C98" s="16" t="n"/>
      <c r="D98" s="16" t="n"/>
      <c r="E98" s="16" t="n"/>
      <c r="F98" s="16" t="n"/>
      <c r="G98" s="16" t="n"/>
      <c r="H98" s="16" t="n"/>
    </row>
    <row r="99">
      <c r="B99" s="16" t="n"/>
      <c r="C99" s="16" t="n"/>
      <c r="D99" s="16" t="n"/>
      <c r="E99" s="16" t="n"/>
      <c r="F99" s="16" t="n"/>
      <c r="G99" s="16" t="n"/>
      <c r="H99" s="16" t="n"/>
    </row>
    <row r="100">
      <c r="B100" s="16" t="n"/>
      <c r="C100" s="16" t="n"/>
      <c r="D100" s="16" t="n"/>
      <c r="E100" s="16" t="n"/>
      <c r="F100" s="16" t="n"/>
      <c r="G100" s="16" t="n"/>
      <c r="H100" s="16" t="n"/>
    </row>
    <row r="101">
      <c r="B101" s="16" t="n"/>
      <c r="C101" s="16" t="n"/>
      <c r="D101" s="16" t="n"/>
      <c r="E101" s="16" t="n"/>
      <c r="F101" s="16" t="n"/>
      <c r="G101" s="16" t="n"/>
      <c r="H101" s="16" t="n"/>
    </row>
    <row r="102">
      <c r="B102" s="16" t="n"/>
      <c r="C102" s="16" t="n"/>
      <c r="D102" s="16" t="n"/>
      <c r="E102" s="16" t="n"/>
      <c r="F102" s="16" t="n"/>
      <c r="G102" s="16" t="n"/>
      <c r="H102" s="16" t="n"/>
    </row>
    <row r="103">
      <c r="B103" s="16" t="n"/>
      <c r="C103" s="16" t="n"/>
      <c r="D103" s="16" t="n"/>
      <c r="E103" s="16" t="n"/>
      <c r="F103" s="16" t="n"/>
      <c r="G103" s="16" t="n"/>
      <c r="H103" s="16" t="n"/>
    </row>
    <row r="104">
      <c r="B104" s="16" t="n"/>
      <c r="C104" s="16" t="n"/>
      <c r="D104" s="16" t="n"/>
      <c r="E104" s="16" t="n"/>
      <c r="F104" s="16" t="n"/>
      <c r="G104" s="16" t="n"/>
      <c r="H104" s="16" t="n"/>
    </row>
    <row r="105">
      <c r="B105" s="16" t="n"/>
      <c r="C105" s="16" t="n"/>
      <c r="D105" s="16" t="n"/>
      <c r="E105" s="16" t="n"/>
      <c r="F105" s="16" t="n"/>
      <c r="G105" s="16" t="n"/>
      <c r="H105" s="16" t="n"/>
    </row>
    <row r="106">
      <c r="B106" s="16" t="n"/>
      <c r="C106" s="16" t="n"/>
      <c r="D106" s="16" t="n"/>
      <c r="E106" s="16" t="n"/>
      <c r="F106" s="16" t="n"/>
      <c r="G106" s="16" t="n"/>
      <c r="H106" s="16" t="n"/>
    </row>
    <row r="107">
      <c r="B107" s="16" t="n"/>
      <c r="C107" s="16" t="n"/>
      <c r="D107" s="16" t="n"/>
      <c r="E107" s="16" t="n"/>
      <c r="F107" s="16" t="n"/>
      <c r="G107" s="16" t="n"/>
      <c r="H107" s="16" t="n"/>
    </row>
    <row r="108">
      <c r="B108" s="16" t="n"/>
      <c r="C108" s="16" t="n"/>
      <c r="D108" s="16" t="n"/>
      <c r="E108" s="16" t="n"/>
      <c r="F108" s="16" t="n"/>
      <c r="G108" s="16" t="n"/>
      <c r="H108" s="16" t="n"/>
    </row>
    <row r="109">
      <c r="B109" s="16" t="n"/>
      <c r="C109" s="16" t="n"/>
      <c r="D109" s="16" t="n"/>
      <c r="E109" s="16" t="n"/>
      <c r="F109" s="16" t="n"/>
      <c r="G109" s="16" t="n"/>
      <c r="H109" s="16" t="n"/>
    </row>
    <row r="110">
      <c r="B110" s="16" t="n"/>
      <c r="C110" s="16" t="n"/>
      <c r="D110" s="16" t="n"/>
      <c r="E110" s="16" t="n"/>
      <c r="F110" s="16" t="n"/>
      <c r="G110" s="16" t="n"/>
      <c r="H110" s="16" t="n"/>
    </row>
    <row r="111">
      <c r="B111" s="16" t="n"/>
      <c r="C111" s="16" t="n"/>
      <c r="D111" s="16" t="n"/>
      <c r="E111" s="16" t="n"/>
      <c r="F111" s="16" t="n"/>
      <c r="G111" s="16" t="n"/>
      <c r="H111" s="16" t="n"/>
    </row>
    <row r="112">
      <c r="B112" s="16" t="n"/>
      <c r="C112" s="16" t="n"/>
      <c r="D112" s="16" t="n"/>
      <c r="E112" s="16" t="n"/>
      <c r="F112" s="16" t="n"/>
      <c r="G112" s="16" t="n"/>
      <c r="H112" s="16" t="n"/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1" customWidth="1" min="10" max="10"/>
  </cols>
  <sheetData>
    <row r="2" ht="30" customHeight="1">
      <c r="B2" s="4" t="inlineStr">
        <is>
          <t>VENDOR PAYMENT SCHEDULE</t>
        </is>
      </c>
    </row>
    <row r="4">
      <c r="B4" s="7" t="inlineStr">
        <is>
          <t>One row per vendor. Balance calculates itself. Mark Paid? = Yes as money goes out — the totals below always show what's still owed.</t>
        </is>
      </c>
    </row>
    <row r="6">
      <c r="B6" s="8" t="inlineStr">
        <is>
          <t>Vendor</t>
        </is>
      </c>
      <c r="C6" s="8" t="inlineStr">
        <is>
          <t>Service</t>
        </is>
      </c>
      <c r="D6" s="8" t="inlineStr">
        <is>
          <t>Total contract</t>
        </is>
      </c>
      <c r="E6" s="8" t="inlineStr">
        <is>
          <t>Deposit</t>
        </is>
      </c>
      <c r="F6" s="8" t="inlineStr">
        <is>
          <t>Deposit due</t>
        </is>
      </c>
      <c r="G6" s="8" t="inlineStr">
        <is>
          <t>Deposit paid?</t>
        </is>
      </c>
      <c r="H6" s="8" t="inlineStr">
        <is>
          <t>Balance</t>
        </is>
      </c>
      <c r="I6" s="8" t="inlineStr">
        <is>
          <t>Final due</t>
        </is>
      </c>
      <c r="J6" s="8" t="inlineStr">
        <is>
          <t>Final paid?</t>
        </is>
      </c>
    </row>
    <row r="7">
      <c r="B7" s="16" t="inlineStr">
        <is>
          <t>Willow Creek Venue</t>
        </is>
      </c>
      <c r="C7" s="16" t="inlineStr">
        <is>
          <t>Venue &amp; catering</t>
        </is>
      </c>
      <c r="D7" s="6" t="n">
        <v>9800</v>
      </c>
      <c r="E7" s="6" t="n">
        <v>2500</v>
      </c>
      <c r="F7" s="16" t="inlineStr">
        <is>
          <t>2026-03-01</t>
        </is>
      </c>
      <c r="G7" s="16" t="inlineStr">
        <is>
          <t>Yes</t>
        </is>
      </c>
      <c r="H7" s="11">
        <f>D7-E7</f>
        <v/>
      </c>
      <c r="I7" s="16" t="inlineStr">
        <is>
          <t>2026-09-15</t>
        </is>
      </c>
      <c r="J7" s="16" t="inlineStr">
        <is>
          <t>No</t>
        </is>
      </c>
    </row>
    <row r="8">
      <c r="B8" s="16" t="inlineStr">
        <is>
          <t>J. Alvarez Photography</t>
        </is>
      </c>
      <c r="C8" s="16" t="inlineStr">
        <is>
          <t>Photo + video</t>
        </is>
      </c>
      <c r="D8" s="6" t="n">
        <v>2900</v>
      </c>
      <c r="E8" s="6" t="n">
        <v>900</v>
      </c>
      <c r="F8" s="16" t="inlineStr">
        <is>
          <t>2026-03-20</t>
        </is>
      </c>
      <c r="G8" s="16" t="inlineStr">
        <is>
          <t>Yes</t>
        </is>
      </c>
      <c r="H8" s="11">
        <f>D8-E8</f>
        <v/>
      </c>
      <c r="I8" s="16" t="inlineStr">
        <is>
          <t>2026-09-01</t>
        </is>
      </c>
      <c r="J8" s="16" t="inlineStr">
        <is>
          <t>No</t>
        </is>
      </c>
    </row>
    <row r="9">
      <c r="B9" s="16" t="inlineStr">
        <is>
          <t>Bloom &amp; Stem</t>
        </is>
      </c>
      <c r="C9" s="16" t="inlineStr">
        <is>
          <t>Flowers</t>
        </is>
      </c>
      <c r="D9" s="6" t="n">
        <v>2400</v>
      </c>
      <c r="E9" s="6" t="n">
        <v>600</v>
      </c>
      <c r="F9" s="16" t="inlineStr">
        <is>
          <t>2026-04-10</t>
        </is>
      </c>
      <c r="G9" s="16" t="inlineStr">
        <is>
          <t>Yes</t>
        </is>
      </c>
      <c r="H9" s="11">
        <f>D9-E9</f>
        <v/>
      </c>
      <c r="I9" s="16" t="inlineStr">
        <is>
          <t>2026-09-20</t>
        </is>
      </c>
      <c r="J9" s="16" t="inlineStr">
        <is>
          <t>No</t>
        </is>
      </c>
    </row>
    <row r="10">
      <c r="B10" s="16" t="inlineStr">
        <is>
          <t>DJ Nightowl</t>
        </is>
      </c>
      <c r="C10" s="16" t="inlineStr">
        <is>
          <t>Music</t>
        </is>
      </c>
      <c r="D10" s="6" t="n">
        <v>1700</v>
      </c>
      <c r="E10" s="6" t="n">
        <v>400</v>
      </c>
      <c r="F10" s="16" t="inlineStr">
        <is>
          <t>2026-05-05</t>
        </is>
      </c>
      <c r="G10" s="16" t="inlineStr">
        <is>
          <t>Yes</t>
        </is>
      </c>
      <c r="H10" s="11">
        <f>D10-E10</f>
        <v/>
      </c>
      <c r="I10" s="16" t="inlineStr">
        <is>
          <t>2026-10-01</t>
        </is>
      </c>
      <c r="J10" s="16" t="inlineStr">
        <is>
          <t>No</t>
        </is>
      </c>
    </row>
    <row r="11">
      <c r="B11" s="16" t="inlineStr">
        <is>
          <t>Sweet Layer Bakery</t>
        </is>
      </c>
      <c r="C11" s="16" t="inlineStr">
        <is>
          <t>Cake</t>
        </is>
      </c>
      <c r="D11" s="6" t="n">
        <v>495</v>
      </c>
      <c r="E11" s="6" t="n">
        <v>100</v>
      </c>
      <c r="F11" s="16" t="inlineStr">
        <is>
          <t>2026-06-01</t>
        </is>
      </c>
      <c r="G11" s="16" t="inlineStr">
        <is>
          <t>Yes</t>
        </is>
      </c>
      <c r="H11" s="11">
        <f>D11-E11</f>
        <v/>
      </c>
      <c r="I11" s="16" t="inlineStr">
        <is>
          <t>2026-09-25</t>
        </is>
      </c>
      <c r="J11" s="16" t="inlineStr">
        <is>
          <t>No</t>
        </is>
      </c>
    </row>
    <row r="12">
      <c r="B12" s="16" t="inlineStr">
        <is>
          <t>Rev. Dana Whit</t>
        </is>
      </c>
      <c r="C12" s="16" t="inlineStr">
        <is>
          <t>Officiant</t>
        </is>
      </c>
      <c r="D12" s="6" t="n">
        <v>450</v>
      </c>
      <c r="E12" s="6" t="n">
        <v>0</v>
      </c>
      <c r="F12" s="16" t="n"/>
      <c r="G12" s="16" t="inlineStr">
        <is>
          <t>No</t>
        </is>
      </c>
      <c r="H12" s="11">
        <f>D12-E12</f>
        <v/>
      </c>
      <c r="I12" s="16" t="inlineStr">
        <is>
          <t>2026-10-03</t>
        </is>
      </c>
      <c r="J12" s="16" t="inlineStr">
        <is>
          <t>No</t>
        </is>
      </c>
    </row>
    <row r="13">
      <c r="B13" s="16" t="n"/>
      <c r="C13" s="16" t="n"/>
      <c r="D13" s="6" t="n"/>
      <c r="E13" s="6" t="n"/>
      <c r="F13" s="16" t="n"/>
      <c r="G13" s="16" t="n"/>
      <c r="H13" s="11">
        <f>D13-E13</f>
        <v/>
      </c>
      <c r="I13" s="16" t="n"/>
      <c r="J13" s="16" t="n"/>
    </row>
    <row r="14">
      <c r="B14" s="16" t="n"/>
      <c r="C14" s="16" t="n"/>
      <c r="D14" s="6" t="n"/>
      <c r="E14" s="6" t="n"/>
      <c r="F14" s="16" t="n"/>
      <c r="G14" s="16" t="n"/>
      <c r="H14" s="11">
        <f>D14-E14</f>
        <v/>
      </c>
      <c r="I14" s="16" t="n"/>
      <c r="J14" s="16" t="n"/>
    </row>
    <row r="15">
      <c r="B15" s="16" t="n"/>
      <c r="C15" s="16" t="n"/>
      <c r="D15" s="6" t="n"/>
      <c r="E15" s="6" t="n"/>
      <c r="F15" s="16" t="n"/>
      <c r="G15" s="16" t="n"/>
      <c r="H15" s="11">
        <f>D15-E15</f>
        <v/>
      </c>
      <c r="I15" s="16" t="n"/>
      <c r="J15" s="16" t="n"/>
    </row>
    <row r="16">
      <c r="B16" s="16" t="n"/>
      <c r="C16" s="16" t="n"/>
      <c r="D16" s="6" t="n"/>
      <c r="E16" s="6" t="n"/>
      <c r="F16" s="16" t="n"/>
      <c r="G16" s="16" t="n"/>
      <c r="H16" s="11">
        <f>D16-E16</f>
        <v/>
      </c>
      <c r="I16" s="16" t="n"/>
      <c r="J16" s="16" t="n"/>
    </row>
    <row r="17">
      <c r="B17" s="16" t="n"/>
      <c r="C17" s="16" t="n"/>
      <c r="D17" s="6" t="n"/>
      <c r="E17" s="6" t="n"/>
      <c r="F17" s="16" t="n"/>
      <c r="G17" s="16" t="n"/>
      <c r="H17" s="11">
        <f>D17-E17</f>
        <v/>
      </c>
      <c r="I17" s="16" t="n"/>
      <c r="J17" s="16" t="n"/>
    </row>
    <row r="18">
      <c r="B18" s="16" t="n"/>
      <c r="C18" s="16" t="n"/>
      <c r="D18" s="6" t="n"/>
      <c r="E18" s="6" t="n"/>
      <c r="F18" s="16" t="n"/>
      <c r="G18" s="16" t="n"/>
      <c r="H18" s="11">
        <f>D18-E18</f>
        <v/>
      </c>
      <c r="I18" s="16" t="n"/>
      <c r="J18" s="16" t="n"/>
    </row>
    <row r="19">
      <c r="B19" s="16" t="n"/>
      <c r="C19" s="16" t="n"/>
      <c r="D19" s="6" t="n"/>
      <c r="E19" s="6" t="n"/>
      <c r="F19" s="16" t="n"/>
      <c r="G19" s="16" t="n"/>
      <c r="H19" s="11">
        <f>D19-E19</f>
        <v/>
      </c>
      <c r="I19" s="16" t="n"/>
      <c r="J19" s="16" t="n"/>
    </row>
    <row r="20">
      <c r="B20" s="16" t="n"/>
      <c r="C20" s="16" t="n"/>
      <c r="D20" s="6" t="n"/>
      <c r="E20" s="6" t="n"/>
      <c r="F20" s="16" t="n"/>
      <c r="G20" s="16" t="n"/>
      <c r="H20" s="11">
        <f>D20-E20</f>
        <v/>
      </c>
      <c r="I20" s="16" t="n"/>
      <c r="J20" s="16" t="n"/>
    </row>
    <row r="21">
      <c r="B21" s="16" t="n"/>
      <c r="C21" s="16" t="n"/>
      <c r="D21" s="6" t="n"/>
      <c r="E21" s="6" t="n"/>
      <c r="F21" s="16" t="n"/>
      <c r="G21" s="16" t="n"/>
      <c r="H21" s="11">
        <f>D21-E21</f>
        <v/>
      </c>
      <c r="I21" s="16" t="n"/>
      <c r="J21" s="16" t="n"/>
    </row>
    <row r="22">
      <c r="B22" s="16" t="n"/>
      <c r="C22" s="16" t="n"/>
      <c r="D22" s="6" t="n"/>
      <c r="E22" s="6" t="n"/>
      <c r="F22" s="16" t="n"/>
      <c r="G22" s="16" t="n"/>
      <c r="H22" s="11">
        <f>D22-E22</f>
        <v/>
      </c>
      <c r="I22" s="16" t="n"/>
      <c r="J22" s="16" t="n"/>
    </row>
    <row r="23">
      <c r="B23" s="16" t="n"/>
      <c r="C23" s="16" t="n"/>
      <c r="D23" s="6" t="n"/>
      <c r="E23" s="6" t="n"/>
      <c r="F23" s="16" t="n"/>
      <c r="G23" s="16" t="n"/>
      <c r="H23" s="11">
        <f>D23-E23</f>
        <v/>
      </c>
      <c r="I23" s="16" t="n"/>
      <c r="J23" s="16" t="n"/>
    </row>
    <row r="24">
      <c r="B24" s="16" t="n"/>
      <c r="C24" s="16" t="n"/>
      <c r="D24" s="6" t="n"/>
      <c r="E24" s="6" t="n"/>
      <c r="F24" s="16" t="n"/>
      <c r="G24" s="16" t="n"/>
      <c r="H24" s="11">
        <f>D24-E24</f>
        <v/>
      </c>
      <c r="I24" s="16" t="n"/>
      <c r="J24" s="16" t="n"/>
    </row>
    <row r="25">
      <c r="B25" s="16" t="n"/>
      <c r="C25" s="16" t="n"/>
      <c r="D25" s="6" t="n"/>
      <c r="E25" s="6" t="n"/>
      <c r="F25" s="16" t="n"/>
      <c r="G25" s="16" t="n"/>
      <c r="H25" s="11">
        <f>D25-E25</f>
        <v/>
      </c>
      <c r="I25" s="16" t="n"/>
      <c r="J25" s="16" t="n"/>
    </row>
    <row r="26">
      <c r="B26" s="16" t="n"/>
      <c r="C26" s="16" t="n"/>
      <c r="D26" s="6" t="n"/>
      <c r="E26" s="6" t="n"/>
      <c r="F26" s="16" t="n"/>
      <c r="G26" s="16" t="n"/>
      <c r="H26" s="11">
        <f>D26-E26</f>
        <v/>
      </c>
      <c r="I26" s="16" t="n"/>
      <c r="J26" s="16" t="n"/>
    </row>
    <row r="27">
      <c r="B27" s="8" t="inlineStr">
        <is>
          <t>Total</t>
        </is>
      </c>
      <c r="C27" s="8" t="n"/>
      <c r="D27" s="13">
        <f>SUM(D7:D26)</f>
        <v/>
      </c>
      <c r="E27" s="13">
        <f>SUM(E7:E26)</f>
        <v/>
      </c>
      <c r="F27" s="8" t="n"/>
      <c r="G27" s="8" t="n"/>
      <c r="H27" s="13">
        <f>SUM(H7:H26)</f>
        <v/>
      </c>
      <c r="I27" s="8" t="n"/>
      <c r="J27" s="8" t="n"/>
    </row>
    <row r="29">
      <c r="B29" s="5" t="inlineStr">
        <is>
          <t>Paid so far</t>
        </is>
      </c>
      <c r="D29" s="15">
        <f>SUMIF(G7:G26,"Yes",E7:E26)+SUMIF(J7:J26,"Yes",H7:H26)</f>
        <v/>
      </c>
    </row>
    <row r="30">
      <c r="B30" s="5" t="inlineStr">
        <is>
          <t>Still to pay</t>
        </is>
      </c>
      <c r="D30" s="15">
        <f>D27-D29</f>
        <v/>
      </c>
    </row>
    <row r="32">
      <c r="B32" s="7" t="inlineStr">
        <is>
          <t>Type Yes in the Paid? columns exactly — the 'Paid so far' total counts that word.</t>
        </is>
      </c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2026-08-02T07:01:14Z</dcterms:created>
  <dcterms:modified xsi:type="dcterms:W3CDTF">2026-08-02T07:01:14Z</dcterms:modified>
</cp:coreProperties>
</file>