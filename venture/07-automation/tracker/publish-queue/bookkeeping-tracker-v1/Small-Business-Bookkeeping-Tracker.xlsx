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Income &amp; Expense Ledger" sheetId="2" state="visible" r:id="rId4"/>
    <sheet name="Invoice Tracker" sheetId="3" state="visible" r:id="rId5"/>
    <sheet name="Quarterly Tax Estimate" sheetId="4" state="visible" r:id="rId6"/>
    <sheet name="P&amp;L Dashboard" sheetId="5" state="visible" r:id="rId7"/>
    <sheet name="Mileage 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<sst xmlns="http://schemas.openxmlformats.org/spreadsheetml/2006/main" count="274" uniqueCount="192">
  <si>
    <t xml:space="preserve">SMALL BUSINESS BOOKKEEPING &amp; INVOICE TRACKER</t>
  </si>
  <si>
    <t xml:space="preserve">Welcome! One workbook runs the money side of a solo service business: what comes in, what goes</t>
  </si>
  <si>
    <t xml:space="preserve">out, who still owes you, and roughly what to set aside for taxes.</t>
  </si>
  <si>
    <t xml:space="preserve">HOW TO USE (3 steps)</t>
  </si>
  <si>
    <t xml:space="preserve">1. 'Income &amp; Expense Ledger' tab: log every payment in and every business expense out — date, type,</t>
  </si>
  <si>
    <t xml:space="preserve">    category, amount in the yellow cells. Monthly subtotals and the P&amp;L fill themselves.</t>
  </si>
  <si>
    <t xml:space="preserve">2. 'Invoice Tracker' tab: one row per invoice with sent / due / paid dates. The sheet stamps each one</t>
  </si>
  <si>
    <t xml:space="preserve">    PAID, SENT, or OVERDUE, shows days overdue, and totals what's still owed to you.</t>
  </si>
  <si>
    <t xml:space="preserve">3. Once a month, glance at 'P&amp;L Dashboard'. Once a quarter, open 'Quarterly Tax Estimate' and move</t>
  </si>
  <si>
    <t xml:space="preserve">    the suggested set-aside into savings. Log business drives in 'Mileage Log' as you go.</t>
  </si>
  <si>
    <t xml:space="preserve">THE WORKED EXAMPLE — WALK THROUGH IT</t>
  </si>
  <si>
    <t xml:space="preserve">The numbers already in the sheets are one realistic example business (a part-time solo cleaner):</t>
  </si>
  <si>
    <t xml:space="preserve">• Ledger: 26 entries, Jan–Apr. Money in $4,650.00, money out $725.46, profit so far $3,924.54.</t>
  </si>
  <si>
    <t xml:space="preserve">   The month table on the right shows Jan–Mar profitable (green) and April slightly negative (red).</t>
  </si>
  <si>
    <t xml:space="preserve">• Invoice Tracker: 14 invoices. INV-1012 and INV-1013 are OVERDUE (that's $610.00 to chase);</t>
  </si>
  <si>
    <t xml:space="preserve">   INV-1014 is sent and not yet due. The totals at the top count all of it for you.</t>
  </si>
  <si>
    <t xml:space="preserve">• Mileage Log: 232 business miles at the example $0.70 rate = $162.40 deduction.</t>
  </si>
  <si>
    <t xml:space="preserve">• Quarterly Tax Estimate: the example profit produces a suggested set-aside of roughly 20%.</t>
  </si>
  <si>
    <t xml:space="preserve">Replace the yellow cells with your own business — every total recalculates instantly.</t>
  </si>
  <si>
    <t xml:space="preserve">COLOR LEGEND</t>
  </si>
  <si>
    <t xml:space="preserve">Yellow cells = yours to edit. Everything else calculates automatically — please don't type over it.</t>
  </si>
  <si>
    <t xml:space="preserve">Green / yellow / red = fine / watch / needs attention (profit months, invoice status, overdue days).</t>
  </si>
  <si>
    <t xml:space="preserve">Enter dates as real dates (e.g. 1/6/2026) — statuses and monthly totals read them.</t>
  </si>
  <si>
    <t xml:space="preserve">A FEW HONEST NOTES</t>
  </si>
  <si>
    <t xml:space="preserve">• The Quarterly Tax Estimate is a simplified ESTIMATE to help you set money aside. It is not tax,</t>
  </si>
  <si>
    <t xml:space="preserve">   legal, or accounting advice, and it doesn't know your full situation. Confirm with a tax professional.</t>
  </si>
  <si>
    <t xml:space="preserve">• Mileage: enter the current standard mileage rate yourself in the yellow rate cell (check irs.gov —</t>
  </si>
  <si>
    <t xml:space="preserve">   it changes). If you use the standard-rate deduction, don't also log fuel/repairs for the same</t>
  </si>
  <si>
    <t xml:space="preserve">   vehicle as expenses — it's one or the other. Ask your tax pro.</t>
  </si>
  <si>
    <t xml:space="preserve">GOOGLE SHEETS USERS</t>
  </si>
  <si>
    <t xml:space="preserve">Upload this file to Google Drive, then open it — it converts automatically and all formulas work.</t>
  </si>
  <si>
    <t xml:space="preserve">Questions or a formula acting up? Message us on Etsy any time — we answer fast and we'll fix it.</t>
  </si>
  <si>
    <t xml:space="preserve">INCOME &amp; EXPENSE LEDGER</t>
  </si>
  <si>
    <t xml:space="preserve">Money in (year so far)</t>
  </si>
  <si>
    <t xml:space="preserve">Money out (year so far)</t>
  </si>
  <si>
    <t xml:space="preserve">Net profit (year so far)</t>
  </si>
  <si>
    <t xml:space="preserve">Log one row per transaction. Type must be exactly Income or Expense — the totals count those words. 'Mo.' fills itself from the date.</t>
  </si>
  <si>
    <t xml:space="preserve">Date</t>
  </si>
  <si>
    <t xml:space="preserve">Type</t>
  </si>
  <si>
    <t xml:space="preserve">Category</t>
  </si>
  <si>
    <t xml:space="preserve">Description / client</t>
  </si>
  <si>
    <t xml:space="preserve">Amount</t>
  </si>
  <si>
    <t xml:space="preserve">Mo.</t>
  </si>
  <si>
    <t xml:space="preserve">Month</t>
  </si>
  <si>
    <t xml:space="preserve">Money in</t>
  </si>
  <si>
    <t xml:space="preserve">Money out</t>
  </si>
  <si>
    <t xml:space="preserve">Net</t>
  </si>
  <si>
    <t xml:space="preserve">Income</t>
  </si>
  <si>
    <t xml:space="preserve">Client payment</t>
  </si>
  <si>
    <t xml:space="preserve">INV-1001 — Harbor Dental, weekly office cleaning (Jan)</t>
  </si>
  <si>
    <t xml:space="preserve">Jan</t>
  </si>
  <si>
    <t xml:space="preserve">INV-1002 — Reyes family, one-time deep clean</t>
  </si>
  <si>
    <t xml:space="preserve">Feb</t>
  </si>
  <si>
    <t xml:space="preserve">Expense</t>
  </si>
  <si>
    <t xml:space="preserve">Supplies</t>
  </si>
  <si>
    <t xml:space="preserve">Cleaning supplies restock</t>
  </si>
  <si>
    <t xml:space="preserve">Mar</t>
  </si>
  <si>
    <t xml:space="preserve">Insurance</t>
  </si>
  <si>
    <t xml:space="preserve">Liability insurance (monthly)</t>
  </si>
  <si>
    <t xml:space="preserve">Apr</t>
  </si>
  <si>
    <t xml:space="preserve">INV-1003 — Birchwood Apartments, move-out cleans x2</t>
  </si>
  <si>
    <t xml:space="preserve">May</t>
  </si>
  <si>
    <t xml:space="preserve">Advertising</t>
  </si>
  <si>
    <t xml:space="preserve">Neighborhood flyers + local ad</t>
  </si>
  <si>
    <t xml:space="preserve">Jun</t>
  </si>
  <si>
    <t xml:space="preserve">Software / subscriptions</t>
  </si>
  <si>
    <t xml:space="preserve">Scheduling app (monthly)</t>
  </si>
  <si>
    <t xml:space="preserve">Jul</t>
  </si>
  <si>
    <t xml:space="preserve">INV-1004 — Harbor Dental, carpet + window add-on</t>
  </si>
  <si>
    <t xml:space="preserve">Aug</t>
  </si>
  <si>
    <t xml:space="preserve">INV-1005 — Harbor Dental, weekly office cleaning (Feb)</t>
  </si>
  <si>
    <t xml:space="preserve">Sep</t>
  </si>
  <si>
    <t xml:space="preserve">Vacuum bags + microfiber restock</t>
  </si>
  <si>
    <t xml:space="preserve">Oct</t>
  </si>
  <si>
    <t xml:space="preserve">INV-1006 — Nguyen rental, turnover cleans x4</t>
  </si>
  <si>
    <t xml:space="preserve">Nov</t>
  </si>
  <si>
    <t xml:space="preserve">Dec</t>
  </si>
  <si>
    <t xml:space="preserve">INV-1007 — Reyes family, standard clean</t>
  </si>
  <si>
    <t xml:space="preserve">Year</t>
  </si>
  <si>
    <t xml:space="preserve">Equipment</t>
  </si>
  <si>
    <t xml:space="preserve">Replacement mop system</t>
  </si>
  <si>
    <t xml:space="preserve">INV-1008 — Birchwood Apartments, move-out clean</t>
  </si>
  <si>
    <t xml:space="preserve">INV-1009 — Harbor Dental, weekly office cleaning (Mar)</t>
  </si>
  <si>
    <t xml:space="preserve">INV-1010 — Nguyen rental, turnover cleans x5</t>
  </si>
  <si>
    <t xml:space="preserve">Phone</t>
  </si>
  <si>
    <t xml:space="preserve">Business share of phone plan</t>
  </si>
  <si>
    <t xml:space="preserve">INV-1011 — Ferris &amp; Co., quarterly deep clean</t>
  </si>
  <si>
    <t xml:space="preserve">Bank / card fees</t>
  </si>
  <si>
    <t xml:space="preserve">Card reader fees (Q1)</t>
  </si>
  <si>
    <t xml:space="preserve">The totals read rows 10–209 (200 entries). If you ever fill them all, insert new rows ABOVE the last one and every formula stretches automatically.</t>
  </si>
  <si>
    <t xml:space="preserve">INVOICE TRACKER</t>
  </si>
  <si>
    <t xml:space="preserve">Invoiced (all invoices)</t>
  </si>
  <si>
    <t xml:space="preserve"># paid</t>
  </si>
  <si>
    <t xml:space="preserve">Collected (paid)</t>
  </si>
  <si>
    <t xml:space="preserve"># awaiting</t>
  </si>
  <si>
    <t xml:space="preserve">Outstanding (unpaid)</t>
  </si>
  <si>
    <t xml:space="preserve"># overdue</t>
  </si>
  <si>
    <t xml:space="preserve">Overdue right now</t>
  </si>
  <si>
    <t xml:space="preserve">One row per invoice — yellow cells only, dates as real dates. Status and Days overdue calculate themselves: PAID once a paid date exists, OVERDUE when unpaid past the due date.</t>
  </si>
  <si>
    <t xml:space="preserve">Invoice #</t>
  </si>
  <si>
    <t xml:space="preserve">Client</t>
  </si>
  <si>
    <t xml:space="preserve">What for</t>
  </si>
  <si>
    <t xml:space="preserve">Date sent</t>
  </si>
  <si>
    <t xml:space="preserve">Due date</t>
  </si>
  <si>
    <t xml:space="preserve">Date paid</t>
  </si>
  <si>
    <t xml:space="preserve">Status</t>
  </si>
  <si>
    <t xml:space="preserve">Days overdue</t>
  </si>
  <si>
    <t xml:space="preserve">INV-1001</t>
  </si>
  <si>
    <t xml:space="preserve">Harbor Dental</t>
  </si>
  <si>
    <t xml:space="preserve">Weekly office cleaning — January</t>
  </si>
  <si>
    <t xml:space="preserve">INV-1002</t>
  </si>
  <si>
    <t xml:space="preserve">Reyes family</t>
  </si>
  <si>
    <t xml:space="preserve">One-time deep clean</t>
  </si>
  <si>
    <t xml:space="preserve">INV-1003</t>
  </si>
  <si>
    <t xml:space="preserve">Birchwood Apartments</t>
  </si>
  <si>
    <t xml:space="preserve">Move-out cleans (2 units)</t>
  </si>
  <si>
    <t xml:space="preserve">INV-1004</t>
  </si>
  <si>
    <t xml:space="preserve">Carpet + window add-on</t>
  </si>
  <si>
    <t xml:space="preserve">INV-1005</t>
  </si>
  <si>
    <t xml:space="preserve">Weekly office cleaning — February</t>
  </si>
  <si>
    <t xml:space="preserve">INV-1006</t>
  </si>
  <si>
    <t xml:space="preserve">Nguyen rental</t>
  </si>
  <si>
    <t xml:space="preserve">Turnover cleans (4 stays)</t>
  </si>
  <si>
    <t xml:space="preserve">INV-1007</t>
  </si>
  <si>
    <t xml:space="preserve">Standard clean</t>
  </si>
  <si>
    <t xml:space="preserve">INV-1008</t>
  </si>
  <si>
    <t xml:space="preserve">Move-out clean (1 unit)</t>
  </si>
  <si>
    <t xml:space="preserve">INV-1009</t>
  </si>
  <si>
    <t xml:space="preserve">Weekly office cleaning — March</t>
  </si>
  <si>
    <t xml:space="preserve">INV-1010</t>
  </si>
  <si>
    <t xml:space="preserve">Turnover cleans (5 stays)</t>
  </si>
  <si>
    <t xml:space="preserve">INV-1011</t>
  </si>
  <si>
    <t xml:space="preserve">Ferris &amp; Co.</t>
  </si>
  <si>
    <t xml:space="preserve">Quarterly deep clean</t>
  </si>
  <si>
    <t xml:space="preserve">INV-1012</t>
  </si>
  <si>
    <t xml:space="preserve">INV-1013</t>
  </si>
  <si>
    <t xml:space="preserve">Window + break-room add-on</t>
  </si>
  <si>
    <t xml:space="preserve">INV-1014</t>
  </si>
  <si>
    <t xml:space="preserve">Turnover cleans (3 stays)</t>
  </si>
  <si>
    <t xml:space="preserve">Tip: send the invoice, then set Due date (e.g. sent + 14 days). The totals above always show exactly who owes you money.</t>
  </si>
  <si>
    <t xml:space="preserve">QUARTERLY TAX ESTIMATE</t>
  </si>
  <si>
    <t xml:space="preserve">ESTIMATE ONLY — NOT TAX ADVICE. A simplified math helper for setting money aside.</t>
  </si>
  <si>
    <t xml:space="preserve">Rates change and your situation is unique — confirm with a tax professional or irs.gov before filing anything.</t>
  </si>
  <si>
    <t xml:space="preserve">YOUR YEAR SO FAR (auto — from the other tabs)</t>
  </si>
  <si>
    <t xml:space="preserve">Money in (Ledger)</t>
  </si>
  <si>
    <t xml:space="preserve">Business expenses (Ledger)</t>
  </si>
  <si>
    <t xml:space="preserve">Mileage deduction (Mileage Log)</t>
  </si>
  <si>
    <t xml:space="preserve">Estimated profit (in − expenses − mileage)</t>
  </si>
  <si>
    <t xml:space="preserve">ASSUMPTIONS (yellow — adjust to your situation)</t>
  </si>
  <si>
    <t xml:space="preserve">Share of profit subject to SE tax</t>
  </si>
  <si>
    <t xml:space="preserve">Self-employment tax rate (Social Security + Medicare)</t>
  </si>
  <si>
    <t xml:space="preserve">Estimated income tax rate (your rough bracket)</t>
  </si>
  <si>
    <t xml:space="preserve">Defaults are the widely used federal self-employment figures plus a rough income-tax rate. Rates change — check irs.gov. State tax and the Social Security wage cap are NOT included.</t>
  </si>
  <si>
    <t xml:space="preserve">THE ESTIMATE (year so far)</t>
  </si>
  <si>
    <t xml:space="preserve">Profit subject to SE tax</t>
  </si>
  <si>
    <t xml:space="preserve">Estimated self-employment tax</t>
  </si>
  <si>
    <t xml:space="preserve">Estimated income tax (after half-SE deduction)</t>
  </si>
  <si>
    <t xml:space="preserve">Total estimated tax (year so far)</t>
  </si>
  <si>
    <t xml:space="preserve">Suggested set-aside (share of every dollar in)</t>
  </si>
  <si>
    <t xml:space="preserve">Effective rate on profit (used by the table below)</t>
  </si>
  <si>
    <t xml:space="preserve">QUARTER BY QUARTER</t>
  </si>
  <si>
    <t xml:space="preserve">Quarter</t>
  </si>
  <si>
    <t xml:space="preserve">Profit</t>
  </si>
  <si>
    <t xml:space="preserve">Set aside</t>
  </si>
  <si>
    <t xml:space="preserve">Q1 (Jan–Mar)</t>
  </si>
  <si>
    <t xml:space="preserve">Q2 (Apr–Jun)</t>
  </si>
  <si>
    <t xml:space="preserve">Q3 (Jul–Sep)</t>
  </si>
  <si>
    <t xml:space="preserve">Q4 (Oct–Dec)</t>
  </si>
  <si>
    <t xml:space="preserve">Actual estimated-tax due dates and safe-harbor rules live on IRS Form 1040-ES — this table just splits the year's estimate by when you earned it.</t>
  </si>
  <si>
    <t xml:space="preserve">Set-asides only count profitable quarters, so their total can run a little above the year estimate when a quarter lost money — better to over-save than under.</t>
  </si>
  <si>
    <t xml:space="preserve">Again: this whole tab is an estimate for setting money aside — not tax advice.</t>
  </si>
  <si>
    <t xml:space="preserve">P&amp;L DASHBOARD</t>
  </si>
  <si>
    <t xml:space="preserve">Nothing to type here — every number flows from the Ledger. Green months made money, red months lost it.</t>
  </si>
  <si>
    <t xml:space="preserve">Margin</t>
  </si>
  <si>
    <t xml:space="preserve">Best month (profit)</t>
  </si>
  <si>
    <t xml:space="preserve">Average month (months with income)</t>
  </si>
  <si>
    <t xml:space="preserve">Profit here = money in − money out from the Ledger (a cash view). The mileage deduction is a tax-time figure — see the Quarterly Tax Estimate tab.</t>
  </si>
  <si>
    <t xml:space="preserve">MILEAGE LOG</t>
  </si>
  <si>
    <t xml:space="preserve">Rate per mile:</t>
  </si>
  <si>
    <t xml:space="preserve">← enter the CURRENT standard mileage rate (check irs.gov — it changes most years)</t>
  </si>
  <si>
    <t xml:space="preserve">Total business miles</t>
  </si>
  <si>
    <t xml:space="preserve">Total mileage deduction</t>
  </si>
  <si>
    <t xml:space="preserve">Where / why (client, job)</t>
  </si>
  <si>
    <t xml:space="preserve">Miles</t>
  </si>
  <si>
    <t xml:space="preserve">Deduction</t>
  </si>
  <si>
    <t xml:space="preserve">Harbor Dental — weekly clean</t>
  </si>
  <si>
    <t xml:space="preserve">Reyes family — deep clean</t>
  </si>
  <si>
    <t xml:space="preserve">Birchwood Apartments — move-outs</t>
  </si>
  <si>
    <t xml:space="preserve">Nguyen rental — turnovers</t>
  </si>
  <si>
    <t xml:space="preserve">Birchwood Apartments — move-out</t>
  </si>
  <si>
    <t xml:space="preserve">Ferris &amp; Co. — deep clean</t>
  </si>
  <si>
    <t xml:space="preserve">Standard mileage OR actual vehicle costs — not both for the same vehicle. If you take this standard-rate deduction, don't also log fuel/repairs on the Ledger. Ask your tax pro.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</si>
</sst>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yyyy\-mm\-dd"/>
    <numFmt numFmtId="167" formatCode="General"/>
    <numFmt numFmtId="168" formatCode="0"/>
    <numFmt numFmtId="169" formatCode="0.00%"/>
    <numFmt numFmtId="170" formatCode="0.0%"/>
    <numFmt numFmtId="171" formatCode="\$0.00##"/>
    <numFmt numFmtId="172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9C000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7D6B"/>
        <bgColor rgb="FF008080"/>
      </patternFill>
    </fill>
    <fill>
      <patternFill patternType="solid">
        <fgColor rgb="FFF4F6F8"/>
        <bgColor rgb="FFFFFFFF"/>
      </patternFill>
    </fill>
    <fill>
      <patternFill patternType="solid">
        <fgColor rgb="FFFFF2CC"/>
        <bgColor rgb="FFF4F6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FF2CC"/>
      <rgbColor rgb="FFF4F6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2E7D6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5" min="3" style="0" width="30"/>
  </cols>
  <sheetData>
    <row r="2" customFormat="false" ht="33.75" hidden="false" customHeight="true" outlineLevel="0" collapsed="false">
      <c r="B2" s="1" t="s">
        <v>0</v>
      </c>
      <c r="C2" s="1"/>
      <c r="D2" s="1"/>
      <c r="E2" s="1"/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2" t="s">
        <v>1</v>
      </c>
    </row>
    <row r="6" customFormat="false" ht="15" hidden="false" customHeight="false" outlineLevel="0" collapsed="false">
      <c r="B6" s="2" t="s">
        <v>2</v>
      </c>
    </row>
    <row r="7" customFormat="false" ht="15" hidden="false" customHeight="false" outlineLevel="0" collapsed="false">
      <c r="B7" s="2"/>
    </row>
    <row r="8" customFormat="false" ht="19.5" hidden="false" customHeight="tru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2" t="s">
        <v>4</v>
      </c>
    </row>
    <row r="10" customFormat="false" ht="15" hidden="false" customHeight="false" outlineLevel="0" collapsed="false">
      <c r="B10" s="2" t="s">
        <v>5</v>
      </c>
    </row>
    <row r="11" customFormat="false" ht="15" hidden="false" customHeight="false" outlineLevel="0" collapsed="false">
      <c r="B11" s="2" t="s">
        <v>6</v>
      </c>
    </row>
    <row r="12" customFormat="false" ht="15" hidden="false" customHeight="false" outlineLevel="0" collapsed="false">
      <c r="B12" s="2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/>
    </row>
    <row r="16" customFormat="false" ht="19.5" hidden="false" customHeight="true" outlineLevel="0" collapsed="false">
      <c r="B16" s="3" t="s">
        <v>10</v>
      </c>
      <c r="C16" s="3"/>
      <c r="D16" s="3"/>
      <c r="E16" s="3"/>
    </row>
    <row r="17" customFormat="false" ht="15" hidden="false" customHeight="false" outlineLevel="0" collapsed="false">
      <c r="B17" s="2" t="s">
        <v>11</v>
      </c>
    </row>
    <row r="18" customFormat="false" ht="15" hidden="false" customHeight="false" outlineLevel="0" collapsed="false">
      <c r="B18" s="2" t="s">
        <v>12</v>
      </c>
    </row>
    <row r="19" customFormat="false" ht="15" hidden="false" customHeight="false" outlineLevel="0" collapsed="false">
      <c r="B19" s="2" t="s">
        <v>13</v>
      </c>
    </row>
    <row r="20" customFormat="false" ht="15" hidden="false" customHeight="false" outlineLevel="0" collapsed="false">
      <c r="B20" s="2" t="s">
        <v>14</v>
      </c>
    </row>
    <row r="21" customFormat="false" ht="1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2" t="s">
        <v>16</v>
      </c>
    </row>
    <row r="23" customFormat="false" ht="15" hidden="false" customHeight="false" outlineLevel="0" collapsed="false">
      <c r="B23" s="2" t="s">
        <v>17</v>
      </c>
    </row>
    <row r="24" customFormat="false" ht="15" hidden="false" customHeight="false" outlineLevel="0" collapsed="false">
      <c r="B24" s="2" t="s">
        <v>18</v>
      </c>
    </row>
    <row r="25" customFormat="false" ht="15" hidden="false" customHeight="false" outlineLevel="0" collapsed="false">
      <c r="B25" s="2"/>
    </row>
    <row r="26" customFormat="false" ht="19.5" hidden="false" customHeight="true" outlineLevel="0" collapsed="false">
      <c r="B26" s="3" t="s">
        <v>19</v>
      </c>
      <c r="C26" s="3"/>
      <c r="D26" s="3"/>
      <c r="E26" s="3"/>
    </row>
    <row r="27" customFormat="false" ht="15" hidden="false" customHeight="false" outlineLevel="0" collapsed="false">
      <c r="B27" s="2" t="s">
        <v>20</v>
      </c>
    </row>
    <row r="28" customFormat="false" ht="15" hidden="false" customHeight="false" outlineLevel="0" collapsed="false">
      <c r="B28" s="2" t="s">
        <v>21</v>
      </c>
    </row>
    <row r="29" customFormat="false" ht="15" hidden="false" customHeight="false" outlineLevel="0" collapsed="false">
      <c r="B29" s="2" t="s">
        <v>22</v>
      </c>
    </row>
    <row r="30" customFormat="false" ht="15" hidden="false" customHeight="false" outlineLevel="0" collapsed="false">
      <c r="B30" s="2"/>
    </row>
    <row r="31" customFormat="false" ht="19.5" hidden="false" customHeight="true" outlineLevel="0" collapsed="false">
      <c r="B31" s="3" t="s">
        <v>23</v>
      </c>
      <c r="C31" s="3"/>
      <c r="D31" s="3"/>
      <c r="E31" s="3"/>
    </row>
    <row r="32" customFormat="false" ht="15" hidden="false" customHeight="false" outlineLevel="0" collapsed="false">
      <c r="B32" s="2" t="s">
        <v>24</v>
      </c>
    </row>
    <row r="33" customFormat="false" ht="15" hidden="false" customHeight="false" outlineLevel="0" collapsed="false">
      <c r="B33" s="2" t="s">
        <v>25</v>
      </c>
    </row>
    <row r="34" customFormat="false" ht="15" hidden="false" customHeight="false" outlineLevel="0" collapsed="false">
      <c r="B34" s="2" t="s">
        <v>26</v>
      </c>
    </row>
    <row r="35" customFormat="false" ht="15" hidden="false" customHeight="false" outlineLevel="0" collapsed="false">
      <c r="B35" s="2" t="s">
        <v>27</v>
      </c>
    </row>
    <row r="36" customFormat="false" ht="15" hidden="false" customHeight="false" outlineLevel="0" collapsed="false">
      <c r="B36" s="2" t="s">
        <v>28</v>
      </c>
    </row>
    <row r="37" customFormat="false" ht="15" hidden="false" customHeight="false" outlineLevel="0" collapsed="false">
      <c r="B37" s="2"/>
    </row>
    <row r="38" customFormat="false" ht="19.5" hidden="false" customHeight="true" outlineLevel="0" collapsed="false">
      <c r="B38" s="3" t="s">
        <v>29</v>
      </c>
      <c r="C38" s="3"/>
      <c r="D38" s="3"/>
      <c r="E38" s="3"/>
    </row>
    <row r="39" customFormat="false" ht="15" hidden="false" customHeight="false" outlineLevel="0" collapsed="false">
      <c r="B39" s="2" t="s">
        <v>30</v>
      </c>
    </row>
    <row r="40" customFormat="false" ht="15" hidden="false" customHeight="false" outlineLevel="0" collapsed="false">
      <c r="B40" s="2"/>
    </row>
    <row r="41" customFormat="false" ht="15" hidden="false" customHeight="false" outlineLevel="0" collapsed="false">
      <c r="B41" s="2" t="s">
        <v>31</v>
      </c>
    </row>
  </sheetData>
  <mergeCells count="6">
    <mergeCell ref="B2:E2"/>
    <mergeCell ref="B8:E8"/>
    <mergeCell ref="B16:E16"/>
    <mergeCell ref="B26:E26"/>
    <mergeCell ref="B31:E31"/>
    <mergeCell ref="B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46"/>
    <col collapsed="false" customWidth="true" hidden="false" outlineLevel="0" max="6" min="6" style="0" width="13"/>
    <col collapsed="false" customWidth="true" hidden="false" outlineLevel="0" max="7" min="7" style="0" width="6"/>
    <col collapsed="false" customWidth="true" hidden="false" outlineLevel="0" max="8" min="8" style="0" width="2"/>
    <col collapsed="false" customWidth="true" hidden="false" outlineLevel="0" max="9" min="9" style="0" width="10"/>
    <col collapsed="false" customWidth="true" hidden="false" outlineLevel="0" max="12" min="10" style="0" width="13"/>
  </cols>
  <sheetData>
    <row r="2" customFormat="false" ht="30" hidden="false" customHeight="true" outlineLevel="0" collapsed="false">
      <c r="B2" s="4" t="s">
        <v>32</v>
      </c>
      <c r="C2" s="4"/>
      <c r="D2" s="4"/>
      <c r="E2" s="4"/>
      <c r="F2" s="4"/>
      <c r="G2" s="4"/>
      <c r="H2" s="4"/>
      <c r="I2" s="4"/>
      <c r="J2" s="4"/>
      <c r="K2" s="4"/>
      <c r="L2" s="4"/>
    </row>
    <row r="4" customFormat="false" ht="15" hidden="false" customHeight="false" outlineLevel="0" collapsed="false">
      <c r="B4" s="5" t="s">
        <v>33</v>
      </c>
      <c r="C4" s="6" t="n">
        <f aca="false">SUMIF($C$10:$C$209,"Income",$F$10:$F$209)</f>
        <v>4650</v>
      </c>
    </row>
    <row r="5" customFormat="false" ht="15" hidden="false" customHeight="false" outlineLevel="0" collapsed="false">
      <c r="B5" s="5" t="s">
        <v>34</v>
      </c>
      <c r="C5" s="6" t="n">
        <f aca="false">SUMIF($C$10:$C$209,"Expense",$F$10:$F$209)</f>
        <v>725.46</v>
      </c>
    </row>
    <row r="6" customFormat="false" ht="15" hidden="false" customHeight="false" outlineLevel="0" collapsed="false">
      <c r="B6" s="5" t="s">
        <v>35</v>
      </c>
      <c r="C6" s="6" t="n">
        <f aca="false">C4-C5</f>
        <v>3924.54</v>
      </c>
    </row>
    <row r="8" customFormat="false" ht="15" hidden="false" customHeight="false" outlineLevel="0" collapsed="false">
      <c r="B8" s="7" t="s">
        <v>36</v>
      </c>
    </row>
    <row r="9" customFormat="false" ht="15" hidden="false" customHeight="false" outlineLevel="0" collapsed="false">
      <c r="B9" s="8" t="s">
        <v>37</v>
      </c>
      <c r="C9" s="8" t="s">
        <v>38</v>
      </c>
      <c r="D9" s="8" t="s">
        <v>39</v>
      </c>
      <c r="E9" s="8" t="s">
        <v>40</v>
      </c>
      <c r="F9" s="8" t="s">
        <v>41</v>
      </c>
      <c r="G9" s="8" t="s">
        <v>42</v>
      </c>
      <c r="I9" s="8" t="s">
        <v>43</v>
      </c>
      <c r="J9" s="8" t="s">
        <v>44</v>
      </c>
      <c r="K9" s="8" t="s">
        <v>45</v>
      </c>
      <c r="L9" s="8" t="s">
        <v>46</v>
      </c>
    </row>
    <row r="10" customFormat="false" ht="15" hidden="false" customHeight="false" outlineLevel="0" collapsed="false">
      <c r="B10" s="9" t="n">
        <v>46028</v>
      </c>
      <c r="C10" s="10" t="s">
        <v>47</v>
      </c>
      <c r="D10" s="10" t="s">
        <v>48</v>
      </c>
      <c r="E10" s="10" t="s">
        <v>49</v>
      </c>
      <c r="F10" s="11" t="n">
        <v>480</v>
      </c>
      <c r="G10" s="12" t="n">
        <f aca="false">IF($B10="","",MONTH($B10))</f>
        <v>1</v>
      </c>
      <c r="I10" s="12" t="s">
        <v>50</v>
      </c>
      <c r="J10" s="13" t="n">
        <f aca="false">SUMIFS($F$10:$F$209,$G$10:$G$209,1,$C$10:$C$209,"Income")</f>
        <v>1500</v>
      </c>
      <c r="K10" s="13" t="n">
        <f aca="false">SUMIFS($F$10:$F$209,$G$10:$G$209,1,$C$10:$C$209,"Expense")</f>
        <v>205.63</v>
      </c>
      <c r="L10" s="13" t="n">
        <f aca="false">IF(AND(J10=0,K10=0),"",J10-K10)</f>
        <v>1294.37</v>
      </c>
    </row>
    <row r="11" customFormat="false" ht="15" hidden="false" customHeight="false" outlineLevel="0" collapsed="false">
      <c r="B11" s="9" t="n">
        <v>46031</v>
      </c>
      <c r="C11" s="10" t="s">
        <v>47</v>
      </c>
      <c r="D11" s="10" t="s">
        <v>48</v>
      </c>
      <c r="E11" s="10" t="s">
        <v>51</v>
      </c>
      <c r="F11" s="11" t="n">
        <v>260</v>
      </c>
      <c r="G11" s="12" t="n">
        <f aca="false">IF($B11="","",MONTH($B11))</f>
        <v>1</v>
      </c>
      <c r="I11" s="12" t="s">
        <v>52</v>
      </c>
      <c r="J11" s="13" t="n">
        <f aca="false">SUMIFS($F$10:$F$209,$G$10:$G$209,2,$C$10:$C$209,"Income")</f>
        <v>1520</v>
      </c>
      <c r="K11" s="13" t="n">
        <f aca="false">SUMIFS($F$10:$F$209,$G$10:$G$209,2,$C$10:$C$209,"Expense")</f>
        <v>238.24</v>
      </c>
      <c r="L11" s="13" t="n">
        <f aca="false">IF(AND(J11=0,K11=0),"",J11-K11)</f>
        <v>1281.76</v>
      </c>
    </row>
    <row r="12" customFormat="false" ht="15" hidden="false" customHeight="false" outlineLevel="0" collapsed="false">
      <c r="B12" s="9" t="n">
        <v>46034</v>
      </c>
      <c r="C12" s="10" t="s">
        <v>53</v>
      </c>
      <c r="D12" s="10" t="s">
        <v>54</v>
      </c>
      <c r="E12" s="10" t="s">
        <v>55</v>
      </c>
      <c r="F12" s="11" t="n">
        <v>84.63</v>
      </c>
      <c r="G12" s="12" t="n">
        <f aca="false">IF($B12="","",MONTH($B12))</f>
        <v>1</v>
      </c>
      <c r="I12" s="12" t="s">
        <v>56</v>
      </c>
      <c r="J12" s="13" t="n">
        <f aca="false">SUMIFS($F$10:$F$209,$G$10:$G$209,3,$C$10:$C$209,"Income")</f>
        <v>1630</v>
      </c>
      <c r="K12" s="13" t="n">
        <f aca="false">SUMIFS($F$10:$F$209,$G$10:$G$209,3,$C$10:$C$209,"Expense")</f>
        <v>220.59</v>
      </c>
      <c r="L12" s="13" t="n">
        <f aca="false">IF(AND(J12=0,K12=0),"",J12-K12)</f>
        <v>1409.41</v>
      </c>
    </row>
    <row r="13" customFormat="false" ht="15" hidden="false" customHeight="false" outlineLevel="0" collapsed="false">
      <c r="B13" s="9" t="n">
        <v>46037</v>
      </c>
      <c r="C13" s="10" t="s">
        <v>53</v>
      </c>
      <c r="D13" s="10" t="s">
        <v>57</v>
      </c>
      <c r="E13" s="10" t="s">
        <v>58</v>
      </c>
      <c r="F13" s="11" t="n">
        <v>42</v>
      </c>
      <c r="G13" s="12" t="n">
        <f aca="false">IF($B13="","",MONTH($B13))</f>
        <v>1</v>
      </c>
      <c r="I13" s="12" t="s">
        <v>59</v>
      </c>
      <c r="J13" s="13" t="n">
        <f aca="false">SUMIFS($F$10:$F$209,$G$10:$G$209,4,$C$10:$C$209,"Income")</f>
        <v>0</v>
      </c>
      <c r="K13" s="13" t="n">
        <f aca="false">SUMIFS($F$10:$F$209,$G$10:$G$209,4,$C$10:$C$209,"Expense")</f>
        <v>61</v>
      </c>
      <c r="L13" s="13" t="n">
        <f aca="false">IF(AND(J13=0,K13=0),"",J13-K13)</f>
        <v>-61</v>
      </c>
    </row>
    <row r="14" customFormat="false" ht="15" hidden="false" customHeight="false" outlineLevel="0" collapsed="false">
      <c r="B14" s="9" t="n">
        <v>46042</v>
      </c>
      <c r="C14" s="10" t="s">
        <v>47</v>
      </c>
      <c r="D14" s="10" t="s">
        <v>48</v>
      </c>
      <c r="E14" s="10" t="s">
        <v>60</v>
      </c>
      <c r="F14" s="11" t="n">
        <v>520</v>
      </c>
      <c r="G14" s="12" t="n">
        <f aca="false">IF($B14="","",MONTH($B14))</f>
        <v>1</v>
      </c>
      <c r="I14" s="12" t="s">
        <v>61</v>
      </c>
      <c r="J14" s="13" t="n">
        <f aca="false">SUMIFS($F$10:$F$209,$G$10:$G$209,5,$C$10:$C$209,"Income")</f>
        <v>0</v>
      </c>
      <c r="K14" s="13" t="n">
        <f aca="false">SUMIFS($F$10:$F$209,$G$10:$G$209,5,$C$10:$C$209,"Expense")</f>
        <v>0</v>
      </c>
      <c r="L14" s="13" t="str">
        <f aca="false">IF(AND(J14=0,K14=0),"",J14-K14)</f>
        <v/>
      </c>
    </row>
    <row r="15" customFormat="false" ht="15" hidden="false" customHeight="false" outlineLevel="0" collapsed="false">
      <c r="B15" s="9" t="n">
        <v>46044</v>
      </c>
      <c r="C15" s="10" t="s">
        <v>53</v>
      </c>
      <c r="D15" s="10" t="s">
        <v>62</v>
      </c>
      <c r="E15" s="10" t="s">
        <v>63</v>
      </c>
      <c r="F15" s="11" t="n">
        <v>60</v>
      </c>
      <c r="G15" s="12" t="n">
        <f aca="false">IF($B15="","",MONTH($B15))</f>
        <v>1</v>
      </c>
      <c r="I15" s="12" t="s">
        <v>64</v>
      </c>
      <c r="J15" s="13" t="n">
        <f aca="false">SUMIFS($F$10:$F$209,$G$10:$G$209,6,$C$10:$C$209,"Income")</f>
        <v>0</v>
      </c>
      <c r="K15" s="13" t="n">
        <f aca="false">SUMIFS($F$10:$F$209,$G$10:$G$209,6,$C$10:$C$209,"Expense")</f>
        <v>0</v>
      </c>
      <c r="L15" s="13" t="str">
        <f aca="false">IF(AND(J15=0,K15=0),"",J15-K15)</f>
        <v/>
      </c>
    </row>
    <row r="16" customFormat="false" ht="15" hidden="false" customHeight="false" outlineLevel="0" collapsed="false">
      <c r="B16" s="9" t="n">
        <v>46050</v>
      </c>
      <c r="C16" s="10" t="s">
        <v>53</v>
      </c>
      <c r="D16" s="10" t="s">
        <v>65</v>
      </c>
      <c r="E16" s="10" t="s">
        <v>66</v>
      </c>
      <c r="F16" s="11" t="n">
        <v>19</v>
      </c>
      <c r="G16" s="12" t="n">
        <f aca="false">IF($B16="","",MONTH($B16))</f>
        <v>1</v>
      </c>
      <c r="I16" s="12" t="s">
        <v>67</v>
      </c>
      <c r="J16" s="13" t="n">
        <f aca="false">SUMIFS($F$10:$F$209,$G$10:$G$209,7,$C$10:$C$209,"Income")</f>
        <v>0</v>
      </c>
      <c r="K16" s="13" t="n">
        <f aca="false">SUMIFS($F$10:$F$209,$G$10:$G$209,7,$C$10:$C$209,"Expense")</f>
        <v>0</v>
      </c>
      <c r="L16" s="13" t="str">
        <f aca="false">IF(AND(J16=0,K16=0),"",J16-K16)</f>
        <v/>
      </c>
    </row>
    <row r="17" customFormat="false" ht="15" hidden="false" customHeight="false" outlineLevel="0" collapsed="false">
      <c r="B17" s="9" t="n">
        <v>46052</v>
      </c>
      <c r="C17" s="10" t="s">
        <v>47</v>
      </c>
      <c r="D17" s="10" t="s">
        <v>48</v>
      </c>
      <c r="E17" s="10" t="s">
        <v>68</v>
      </c>
      <c r="F17" s="11" t="n">
        <v>240</v>
      </c>
      <c r="G17" s="12" t="n">
        <f aca="false">IF($B17="","",MONTH($B17))</f>
        <v>1</v>
      </c>
      <c r="I17" s="12" t="s">
        <v>69</v>
      </c>
      <c r="J17" s="13" t="n">
        <f aca="false">SUMIFS($F$10:$F$209,$G$10:$G$209,8,$C$10:$C$209,"Income")</f>
        <v>0</v>
      </c>
      <c r="K17" s="13" t="n">
        <f aca="false">SUMIFS($F$10:$F$209,$G$10:$G$209,8,$C$10:$C$209,"Expense")</f>
        <v>0</v>
      </c>
      <c r="L17" s="13" t="str">
        <f aca="false">IF(AND(J17=0,K17=0),"",J17-K17)</f>
        <v/>
      </c>
    </row>
    <row r="18" customFormat="false" ht="15" hidden="false" customHeight="false" outlineLevel="0" collapsed="false">
      <c r="B18" s="9" t="n">
        <v>46056</v>
      </c>
      <c r="C18" s="10" t="s">
        <v>47</v>
      </c>
      <c r="D18" s="10" t="s">
        <v>48</v>
      </c>
      <c r="E18" s="10" t="s">
        <v>70</v>
      </c>
      <c r="F18" s="11" t="n">
        <v>480</v>
      </c>
      <c r="G18" s="12" t="n">
        <f aca="false">IF($B18="","",MONTH($B18))</f>
        <v>2</v>
      </c>
      <c r="I18" s="12" t="s">
        <v>71</v>
      </c>
      <c r="J18" s="13" t="n">
        <f aca="false">SUMIFS($F$10:$F$209,$G$10:$G$209,9,$C$10:$C$209,"Income")</f>
        <v>0</v>
      </c>
      <c r="K18" s="13" t="n">
        <f aca="false">SUMIFS($F$10:$F$209,$G$10:$G$209,9,$C$10:$C$209,"Expense")</f>
        <v>0</v>
      </c>
      <c r="L18" s="13" t="str">
        <f aca="false">IF(AND(J18=0,K18=0),"",J18-K18)</f>
        <v/>
      </c>
    </row>
    <row r="19" customFormat="false" ht="15" hidden="false" customHeight="false" outlineLevel="0" collapsed="false">
      <c r="B19" s="9" t="n">
        <v>46059</v>
      </c>
      <c r="C19" s="10" t="s">
        <v>53</v>
      </c>
      <c r="D19" s="10" t="s">
        <v>54</v>
      </c>
      <c r="E19" s="10" t="s">
        <v>72</v>
      </c>
      <c r="F19" s="11" t="n">
        <v>47.25</v>
      </c>
      <c r="G19" s="12" t="n">
        <f aca="false">IF($B19="","",MONTH($B19))</f>
        <v>2</v>
      </c>
      <c r="I19" s="12" t="s">
        <v>73</v>
      </c>
      <c r="J19" s="13" t="n">
        <f aca="false">SUMIFS($F$10:$F$209,$G$10:$G$209,10,$C$10:$C$209,"Income")</f>
        <v>0</v>
      </c>
      <c r="K19" s="13" t="n">
        <f aca="false">SUMIFS($F$10:$F$209,$G$10:$G$209,10,$C$10:$C$209,"Expense")</f>
        <v>0</v>
      </c>
      <c r="L19" s="13" t="str">
        <f aca="false">IF(AND(J19=0,K19=0),"",J19-K19)</f>
        <v/>
      </c>
    </row>
    <row r="20" customFormat="false" ht="15" hidden="false" customHeight="false" outlineLevel="0" collapsed="false">
      <c r="B20" s="9" t="n">
        <v>46063</v>
      </c>
      <c r="C20" s="10" t="s">
        <v>47</v>
      </c>
      <c r="D20" s="10" t="s">
        <v>48</v>
      </c>
      <c r="E20" s="10" t="s">
        <v>74</v>
      </c>
      <c r="F20" s="11" t="n">
        <v>640</v>
      </c>
      <c r="G20" s="12" t="n">
        <f aca="false">IF($B20="","",MONTH($B20))</f>
        <v>2</v>
      </c>
      <c r="I20" s="12" t="s">
        <v>75</v>
      </c>
      <c r="J20" s="13" t="n">
        <f aca="false">SUMIFS($F$10:$F$209,$G$10:$G$209,11,$C$10:$C$209,"Income")</f>
        <v>0</v>
      </c>
      <c r="K20" s="13" t="n">
        <f aca="false">SUMIFS($F$10:$F$209,$G$10:$G$209,11,$C$10:$C$209,"Expense")</f>
        <v>0</v>
      </c>
      <c r="L20" s="13" t="str">
        <f aca="false">IF(AND(J20=0,K20=0),"",J20-K20)</f>
        <v/>
      </c>
    </row>
    <row r="21" customFormat="false" ht="15" hidden="false" customHeight="false" outlineLevel="0" collapsed="false">
      <c r="B21" s="9" t="n">
        <v>46067</v>
      </c>
      <c r="C21" s="10" t="s">
        <v>53</v>
      </c>
      <c r="D21" s="10" t="s">
        <v>57</v>
      </c>
      <c r="E21" s="10" t="s">
        <v>58</v>
      </c>
      <c r="F21" s="11" t="n">
        <v>42</v>
      </c>
      <c r="G21" s="12" t="n">
        <f aca="false">IF($B21="","",MONTH($B21))</f>
        <v>2</v>
      </c>
      <c r="I21" s="12" t="s">
        <v>76</v>
      </c>
      <c r="J21" s="13" t="n">
        <f aca="false">SUMIFS($F$10:$F$209,$G$10:$G$209,12,$C$10:$C$209,"Income")</f>
        <v>0</v>
      </c>
      <c r="K21" s="13" t="n">
        <f aca="false">SUMIFS($F$10:$F$209,$G$10:$G$209,12,$C$10:$C$209,"Expense")</f>
        <v>0</v>
      </c>
      <c r="L21" s="13" t="str">
        <f aca="false">IF(AND(J21=0,K21=0),"",J21-K21)</f>
        <v/>
      </c>
    </row>
    <row r="22" customFormat="false" ht="15" hidden="false" customHeight="false" outlineLevel="0" collapsed="false">
      <c r="B22" s="9" t="n">
        <v>46071</v>
      </c>
      <c r="C22" s="10" t="s">
        <v>47</v>
      </c>
      <c r="D22" s="10" t="s">
        <v>48</v>
      </c>
      <c r="E22" s="10" t="s">
        <v>77</v>
      </c>
      <c r="F22" s="11" t="n">
        <v>140</v>
      </c>
      <c r="G22" s="12" t="n">
        <f aca="false">IF($B22="","",MONTH($B22))</f>
        <v>2</v>
      </c>
      <c r="I22" s="8" t="s">
        <v>78</v>
      </c>
      <c r="J22" s="6" t="n">
        <f aca="false">SUM(J10:J21)</f>
        <v>4650</v>
      </c>
      <c r="K22" s="6" t="n">
        <f aca="false">SUM(K10:K21)</f>
        <v>725.46</v>
      </c>
      <c r="L22" s="6" t="n">
        <f aca="false">J22-K22</f>
        <v>3924.54</v>
      </c>
    </row>
    <row r="23" customFormat="false" ht="15" hidden="false" customHeight="false" outlineLevel="0" collapsed="false">
      <c r="B23" s="9" t="n">
        <v>46077</v>
      </c>
      <c r="C23" s="10" t="s">
        <v>53</v>
      </c>
      <c r="D23" s="10" t="s">
        <v>79</v>
      </c>
      <c r="E23" s="10" t="s">
        <v>80</v>
      </c>
      <c r="F23" s="11" t="n">
        <v>129.99</v>
      </c>
      <c r="G23" s="12" t="n">
        <f aca="false">IF($B23="","",MONTH($B23))</f>
        <v>2</v>
      </c>
    </row>
    <row r="24" customFormat="false" ht="15" hidden="false" customHeight="false" outlineLevel="0" collapsed="false">
      <c r="B24" s="9" t="n">
        <v>46079</v>
      </c>
      <c r="C24" s="10" t="s">
        <v>53</v>
      </c>
      <c r="D24" s="10" t="s">
        <v>65</v>
      </c>
      <c r="E24" s="10" t="s">
        <v>66</v>
      </c>
      <c r="F24" s="11" t="n">
        <v>19</v>
      </c>
      <c r="G24" s="12" t="n">
        <f aca="false">IF($B24="","",MONTH($B24))</f>
        <v>2</v>
      </c>
    </row>
    <row r="25" customFormat="false" ht="15" hidden="false" customHeight="false" outlineLevel="0" collapsed="false">
      <c r="B25" s="9" t="n">
        <v>46080</v>
      </c>
      <c r="C25" s="10" t="s">
        <v>47</v>
      </c>
      <c r="D25" s="10" t="s">
        <v>48</v>
      </c>
      <c r="E25" s="10" t="s">
        <v>81</v>
      </c>
      <c r="F25" s="11" t="n">
        <v>260</v>
      </c>
      <c r="G25" s="12" t="n">
        <f aca="false">IF($B25="","",MONTH($B25))</f>
        <v>2</v>
      </c>
    </row>
    <row r="26" customFormat="false" ht="15" hidden="false" customHeight="false" outlineLevel="0" collapsed="false">
      <c r="B26" s="9" t="n">
        <v>46083</v>
      </c>
      <c r="C26" s="10" t="s">
        <v>47</v>
      </c>
      <c r="D26" s="10" t="s">
        <v>48</v>
      </c>
      <c r="E26" s="10" t="s">
        <v>82</v>
      </c>
      <c r="F26" s="11" t="n">
        <v>480</v>
      </c>
      <c r="G26" s="12" t="n">
        <f aca="false">IF($B26="","",MONTH($B26))</f>
        <v>3</v>
      </c>
    </row>
    <row r="27" customFormat="false" ht="15" hidden="false" customHeight="false" outlineLevel="0" collapsed="false">
      <c r="B27" s="9" t="n">
        <v>46086</v>
      </c>
      <c r="C27" s="10" t="s">
        <v>53</v>
      </c>
      <c r="D27" s="10" t="s">
        <v>54</v>
      </c>
      <c r="E27" s="10" t="s">
        <v>55</v>
      </c>
      <c r="F27" s="11" t="n">
        <v>96.12</v>
      </c>
      <c r="G27" s="12" t="n">
        <f aca="false">IF($B27="","",MONTH($B27))</f>
        <v>3</v>
      </c>
    </row>
    <row r="28" customFormat="false" ht="15" hidden="false" customHeight="false" outlineLevel="0" collapsed="false">
      <c r="B28" s="9" t="n">
        <v>46090</v>
      </c>
      <c r="C28" s="10" t="s">
        <v>47</v>
      </c>
      <c r="D28" s="10" t="s">
        <v>48</v>
      </c>
      <c r="E28" s="10" t="s">
        <v>83</v>
      </c>
      <c r="F28" s="11" t="n">
        <v>800</v>
      </c>
      <c r="G28" s="12" t="n">
        <f aca="false">IF($B28="","",MONTH($B28))</f>
        <v>3</v>
      </c>
    </row>
    <row r="29" customFormat="false" ht="15" hidden="false" customHeight="false" outlineLevel="0" collapsed="false">
      <c r="B29" s="9" t="n">
        <v>46094</v>
      </c>
      <c r="C29" s="10" t="s">
        <v>53</v>
      </c>
      <c r="D29" s="10" t="s">
        <v>57</v>
      </c>
      <c r="E29" s="10" t="s">
        <v>58</v>
      </c>
      <c r="F29" s="11" t="n">
        <v>42</v>
      </c>
      <c r="G29" s="12" t="n">
        <f aca="false">IF($B29="","",MONTH($B29))</f>
        <v>3</v>
      </c>
    </row>
    <row r="30" customFormat="false" ht="15" hidden="false" customHeight="false" outlineLevel="0" collapsed="false">
      <c r="B30" s="9" t="n">
        <v>46098</v>
      </c>
      <c r="C30" s="10" t="s">
        <v>53</v>
      </c>
      <c r="D30" s="10" t="s">
        <v>84</v>
      </c>
      <c r="E30" s="10" t="s">
        <v>85</v>
      </c>
      <c r="F30" s="11" t="n">
        <v>35</v>
      </c>
      <c r="G30" s="12" t="n">
        <f aca="false">IF($B30="","",MONTH($B30))</f>
        <v>3</v>
      </c>
    </row>
    <row r="31" customFormat="false" ht="15" hidden="false" customHeight="false" outlineLevel="0" collapsed="false">
      <c r="B31" s="9" t="n">
        <v>46101</v>
      </c>
      <c r="C31" s="10" t="s">
        <v>47</v>
      </c>
      <c r="D31" s="10" t="s">
        <v>48</v>
      </c>
      <c r="E31" s="10" t="s">
        <v>86</v>
      </c>
      <c r="F31" s="11" t="n">
        <v>350</v>
      </c>
      <c r="G31" s="12" t="n">
        <f aca="false">IF($B31="","",MONTH($B31))</f>
        <v>3</v>
      </c>
    </row>
    <row r="32" customFormat="false" ht="15" hidden="false" customHeight="false" outlineLevel="0" collapsed="false">
      <c r="B32" s="9" t="n">
        <v>46106</v>
      </c>
      <c r="C32" s="10" t="s">
        <v>53</v>
      </c>
      <c r="D32" s="10" t="s">
        <v>65</v>
      </c>
      <c r="E32" s="10" t="s">
        <v>66</v>
      </c>
      <c r="F32" s="11" t="n">
        <v>19</v>
      </c>
      <c r="G32" s="12" t="n">
        <f aca="false">IF($B32="","",MONTH($B32))</f>
        <v>3</v>
      </c>
    </row>
    <row r="33" customFormat="false" ht="15" hidden="false" customHeight="false" outlineLevel="0" collapsed="false">
      <c r="B33" s="9" t="n">
        <v>46108</v>
      </c>
      <c r="C33" s="10" t="s">
        <v>53</v>
      </c>
      <c r="D33" s="10" t="s">
        <v>87</v>
      </c>
      <c r="E33" s="10" t="s">
        <v>88</v>
      </c>
      <c r="F33" s="11" t="n">
        <v>28.47</v>
      </c>
      <c r="G33" s="12" t="n">
        <f aca="false">IF($B33="","",MONTH($B33))</f>
        <v>3</v>
      </c>
    </row>
    <row r="34" customFormat="false" ht="15" hidden="false" customHeight="false" outlineLevel="0" collapsed="false">
      <c r="B34" s="9" t="n">
        <v>46125</v>
      </c>
      <c r="C34" s="10" t="s">
        <v>53</v>
      </c>
      <c r="D34" s="10" t="s">
        <v>57</v>
      </c>
      <c r="E34" s="10" t="s">
        <v>58</v>
      </c>
      <c r="F34" s="11" t="n">
        <v>42</v>
      </c>
      <c r="G34" s="12" t="n">
        <f aca="false">IF($B34="","",MONTH($B34))</f>
        <v>4</v>
      </c>
    </row>
    <row r="35" customFormat="false" ht="15" hidden="false" customHeight="false" outlineLevel="0" collapsed="false">
      <c r="B35" s="9" t="n">
        <v>46139</v>
      </c>
      <c r="C35" s="10" t="s">
        <v>53</v>
      </c>
      <c r="D35" s="10" t="s">
        <v>65</v>
      </c>
      <c r="E35" s="10" t="s">
        <v>66</v>
      </c>
      <c r="F35" s="11" t="n">
        <v>19</v>
      </c>
      <c r="G35" s="12" t="n">
        <f aca="false">IF($B35="","",MONTH($B35))</f>
        <v>4</v>
      </c>
    </row>
    <row r="36" customFormat="false" ht="15" hidden="false" customHeight="false" outlineLevel="0" collapsed="false">
      <c r="B36" s="9"/>
      <c r="C36" s="10"/>
      <c r="D36" s="10"/>
      <c r="E36" s="10"/>
      <c r="F36" s="11"/>
      <c r="G36" s="12" t="str">
        <f aca="false">IF($B36="","",MONTH($B36))</f>
        <v/>
      </c>
    </row>
    <row r="37" customFormat="false" ht="15" hidden="false" customHeight="false" outlineLevel="0" collapsed="false">
      <c r="B37" s="9"/>
      <c r="C37" s="10"/>
      <c r="D37" s="10"/>
      <c r="E37" s="10"/>
      <c r="F37" s="11"/>
      <c r="G37" s="12" t="str">
        <f aca="false">IF($B37="","",MONTH($B37))</f>
        <v/>
      </c>
    </row>
    <row r="38" customFormat="false" ht="15" hidden="false" customHeight="false" outlineLevel="0" collapsed="false">
      <c r="B38" s="9"/>
      <c r="C38" s="10"/>
      <c r="D38" s="10"/>
      <c r="E38" s="10"/>
      <c r="F38" s="11"/>
      <c r="G38" s="12" t="str">
        <f aca="false">IF($B38="","",MONTH($B38))</f>
        <v/>
      </c>
    </row>
    <row r="39" customFormat="false" ht="15" hidden="false" customHeight="false" outlineLevel="0" collapsed="false">
      <c r="B39" s="9"/>
      <c r="C39" s="10"/>
      <c r="D39" s="10"/>
      <c r="E39" s="10"/>
      <c r="F39" s="11"/>
      <c r="G39" s="12" t="str">
        <f aca="false">IF($B39="","",MONTH($B39))</f>
        <v/>
      </c>
    </row>
    <row r="40" customFormat="false" ht="15" hidden="false" customHeight="false" outlineLevel="0" collapsed="false">
      <c r="B40" s="9"/>
      <c r="C40" s="10"/>
      <c r="D40" s="10"/>
      <c r="E40" s="10"/>
      <c r="F40" s="11"/>
      <c r="G40" s="12" t="str">
        <f aca="false">IF($B40="","",MONTH($B40))</f>
        <v/>
      </c>
    </row>
    <row r="41" customFormat="false" ht="15" hidden="false" customHeight="false" outlineLevel="0" collapsed="false">
      <c r="B41" s="9"/>
      <c r="C41" s="10"/>
      <c r="D41" s="10"/>
      <c r="E41" s="10"/>
      <c r="F41" s="11"/>
      <c r="G41" s="12" t="str">
        <f aca="false">IF($B41="","",MONTH($B41))</f>
        <v/>
      </c>
    </row>
    <row r="42" customFormat="false" ht="15" hidden="false" customHeight="false" outlineLevel="0" collapsed="false">
      <c r="B42" s="9"/>
      <c r="C42" s="10"/>
      <c r="D42" s="10"/>
      <c r="E42" s="10"/>
      <c r="F42" s="11"/>
      <c r="G42" s="12" t="str">
        <f aca="false">IF($B42="","",MONTH($B42))</f>
        <v/>
      </c>
    </row>
    <row r="43" customFormat="false" ht="15" hidden="false" customHeight="false" outlineLevel="0" collapsed="false">
      <c r="B43" s="9"/>
      <c r="C43" s="10"/>
      <c r="D43" s="10"/>
      <c r="E43" s="10"/>
      <c r="F43" s="11"/>
      <c r="G43" s="12" t="str">
        <f aca="false">IF($B43="","",MONTH($B43))</f>
        <v/>
      </c>
    </row>
    <row r="44" customFormat="false" ht="15" hidden="false" customHeight="false" outlineLevel="0" collapsed="false">
      <c r="B44" s="9"/>
      <c r="C44" s="10"/>
      <c r="D44" s="10"/>
      <c r="E44" s="10"/>
      <c r="F44" s="11"/>
      <c r="G44" s="12" t="str">
        <f aca="false">IF($B44="","",MONTH($B44))</f>
        <v/>
      </c>
    </row>
    <row r="45" customFormat="false" ht="15" hidden="false" customHeight="false" outlineLevel="0" collapsed="false">
      <c r="B45" s="9"/>
      <c r="C45" s="10"/>
      <c r="D45" s="10"/>
      <c r="E45" s="10"/>
      <c r="F45" s="11"/>
      <c r="G45" s="12" t="str">
        <f aca="false">IF($B45="","",MONTH($B45))</f>
        <v/>
      </c>
    </row>
    <row r="46" customFormat="false" ht="15" hidden="false" customHeight="false" outlineLevel="0" collapsed="false">
      <c r="B46" s="9"/>
      <c r="C46" s="10"/>
      <c r="D46" s="10"/>
      <c r="E46" s="10"/>
      <c r="F46" s="11"/>
      <c r="G46" s="12" t="str">
        <f aca="false">IF($B46="","",MONTH($B46))</f>
        <v/>
      </c>
    </row>
    <row r="47" customFormat="false" ht="15" hidden="false" customHeight="false" outlineLevel="0" collapsed="false">
      <c r="B47" s="9"/>
      <c r="C47" s="10"/>
      <c r="D47" s="10"/>
      <c r="E47" s="10"/>
      <c r="F47" s="11"/>
      <c r="G47" s="12" t="str">
        <f aca="false">IF($B47="","",MONTH($B47))</f>
        <v/>
      </c>
    </row>
    <row r="48" customFormat="false" ht="15" hidden="false" customHeight="false" outlineLevel="0" collapsed="false">
      <c r="B48" s="9"/>
      <c r="C48" s="10"/>
      <c r="D48" s="10"/>
      <c r="E48" s="10"/>
      <c r="F48" s="11"/>
      <c r="G48" s="12" t="str">
        <f aca="false">IF($B48="","",MONTH($B48))</f>
        <v/>
      </c>
    </row>
    <row r="49" customFormat="false" ht="15" hidden="false" customHeight="false" outlineLevel="0" collapsed="false">
      <c r="B49" s="9"/>
      <c r="C49" s="10"/>
      <c r="D49" s="10"/>
      <c r="E49" s="10"/>
      <c r="F49" s="11"/>
      <c r="G49" s="12" t="str">
        <f aca="false">IF($B49="","",MONTH($B49))</f>
        <v/>
      </c>
    </row>
    <row r="50" customFormat="false" ht="15" hidden="false" customHeight="false" outlineLevel="0" collapsed="false">
      <c r="B50" s="9"/>
      <c r="C50" s="10"/>
      <c r="D50" s="10"/>
      <c r="E50" s="10"/>
      <c r="F50" s="11"/>
      <c r="G50" s="12" t="str">
        <f aca="false">IF($B50="","",MONTH($B50))</f>
        <v/>
      </c>
    </row>
    <row r="51" customFormat="false" ht="15" hidden="false" customHeight="false" outlineLevel="0" collapsed="false">
      <c r="B51" s="9"/>
      <c r="C51" s="10"/>
      <c r="D51" s="10"/>
      <c r="E51" s="10"/>
      <c r="F51" s="11"/>
      <c r="G51" s="12" t="str">
        <f aca="false">IF($B51="","",MONTH($B51))</f>
        <v/>
      </c>
    </row>
    <row r="52" customFormat="false" ht="15" hidden="false" customHeight="false" outlineLevel="0" collapsed="false">
      <c r="B52" s="9"/>
      <c r="C52" s="10"/>
      <c r="D52" s="10"/>
      <c r="E52" s="10"/>
      <c r="F52" s="11"/>
      <c r="G52" s="12" t="str">
        <f aca="false">IF($B52="","",MONTH($B52))</f>
        <v/>
      </c>
    </row>
    <row r="53" customFormat="false" ht="15" hidden="false" customHeight="false" outlineLevel="0" collapsed="false">
      <c r="B53" s="9"/>
      <c r="C53" s="10"/>
      <c r="D53" s="10"/>
      <c r="E53" s="10"/>
      <c r="F53" s="11"/>
      <c r="G53" s="12" t="str">
        <f aca="false">IF($B53="","",MONTH($B53))</f>
        <v/>
      </c>
    </row>
    <row r="54" customFormat="false" ht="15" hidden="false" customHeight="false" outlineLevel="0" collapsed="false">
      <c r="B54" s="9"/>
      <c r="C54" s="10"/>
      <c r="D54" s="10"/>
      <c r="E54" s="10"/>
      <c r="F54" s="11"/>
      <c r="G54" s="12" t="str">
        <f aca="false">IF($B54="","",MONTH($B54))</f>
        <v/>
      </c>
    </row>
    <row r="55" customFormat="false" ht="15" hidden="false" customHeight="false" outlineLevel="0" collapsed="false">
      <c r="B55" s="9"/>
      <c r="C55" s="10"/>
      <c r="D55" s="10"/>
      <c r="E55" s="10"/>
      <c r="F55" s="11"/>
      <c r="G55" s="12" t="str">
        <f aca="false">IF($B55="","",MONTH($B55))</f>
        <v/>
      </c>
    </row>
    <row r="56" customFormat="false" ht="15" hidden="false" customHeight="false" outlineLevel="0" collapsed="false">
      <c r="B56" s="9"/>
      <c r="C56" s="10"/>
      <c r="D56" s="10"/>
      <c r="E56" s="10"/>
      <c r="F56" s="11"/>
      <c r="G56" s="12" t="str">
        <f aca="false">IF($B56="","",MONTH($B56))</f>
        <v/>
      </c>
    </row>
    <row r="57" customFormat="false" ht="15" hidden="false" customHeight="false" outlineLevel="0" collapsed="false">
      <c r="B57" s="9"/>
      <c r="C57" s="10"/>
      <c r="D57" s="10"/>
      <c r="E57" s="10"/>
      <c r="F57" s="11"/>
      <c r="G57" s="12" t="str">
        <f aca="false">IF($B57="","",MONTH($B57))</f>
        <v/>
      </c>
    </row>
    <row r="58" customFormat="false" ht="15" hidden="false" customHeight="false" outlineLevel="0" collapsed="false">
      <c r="B58" s="9"/>
      <c r="C58" s="10"/>
      <c r="D58" s="10"/>
      <c r="E58" s="10"/>
      <c r="F58" s="11"/>
      <c r="G58" s="12" t="str">
        <f aca="false">IF($B58="","",MONTH($B58))</f>
        <v/>
      </c>
    </row>
    <row r="59" customFormat="false" ht="15" hidden="false" customHeight="false" outlineLevel="0" collapsed="false">
      <c r="B59" s="9"/>
      <c r="C59" s="10"/>
      <c r="D59" s="10"/>
      <c r="E59" s="10"/>
      <c r="F59" s="11"/>
      <c r="G59" s="12" t="str">
        <f aca="false">IF($B59="","",MONTH($B59))</f>
        <v/>
      </c>
    </row>
    <row r="60" customFormat="false" ht="15" hidden="false" customHeight="false" outlineLevel="0" collapsed="false">
      <c r="B60" s="9"/>
      <c r="C60" s="10"/>
      <c r="D60" s="10"/>
      <c r="E60" s="10"/>
      <c r="F60" s="11"/>
      <c r="G60" s="12" t="str">
        <f aca="false">IF($B60="","",MONTH($B60))</f>
        <v/>
      </c>
    </row>
    <row r="61" customFormat="false" ht="15" hidden="false" customHeight="false" outlineLevel="0" collapsed="false">
      <c r="B61" s="9"/>
      <c r="C61" s="10"/>
      <c r="D61" s="10"/>
      <c r="E61" s="10"/>
      <c r="F61" s="11"/>
      <c r="G61" s="12" t="str">
        <f aca="false">IF($B61="","",MONTH($B61))</f>
        <v/>
      </c>
    </row>
    <row r="62" customFormat="false" ht="15" hidden="false" customHeight="false" outlineLevel="0" collapsed="false">
      <c r="B62" s="9"/>
      <c r="C62" s="10"/>
      <c r="D62" s="10"/>
      <c r="E62" s="10"/>
      <c r="F62" s="11"/>
      <c r="G62" s="12" t="str">
        <f aca="false">IF($B62="","",MONTH($B62))</f>
        <v/>
      </c>
    </row>
    <row r="63" customFormat="false" ht="15" hidden="false" customHeight="false" outlineLevel="0" collapsed="false">
      <c r="B63" s="9"/>
      <c r="C63" s="10"/>
      <c r="D63" s="10"/>
      <c r="E63" s="10"/>
      <c r="F63" s="11"/>
      <c r="G63" s="12" t="str">
        <f aca="false">IF($B63="","",MONTH($B63))</f>
        <v/>
      </c>
    </row>
    <row r="64" customFormat="false" ht="15" hidden="false" customHeight="false" outlineLevel="0" collapsed="false">
      <c r="B64" s="9"/>
      <c r="C64" s="10"/>
      <c r="D64" s="10"/>
      <c r="E64" s="10"/>
      <c r="F64" s="11"/>
      <c r="G64" s="12" t="str">
        <f aca="false">IF($B64="","",MONTH($B64))</f>
        <v/>
      </c>
    </row>
    <row r="65" customFormat="false" ht="15" hidden="false" customHeight="false" outlineLevel="0" collapsed="false">
      <c r="B65" s="9"/>
      <c r="C65" s="10"/>
      <c r="D65" s="10"/>
      <c r="E65" s="10"/>
      <c r="F65" s="11"/>
      <c r="G65" s="12" t="str">
        <f aca="false">IF($B65="","",MONTH($B65))</f>
        <v/>
      </c>
    </row>
    <row r="66" customFormat="false" ht="15" hidden="false" customHeight="false" outlineLevel="0" collapsed="false">
      <c r="B66" s="9"/>
      <c r="C66" s="10"/>
      <c r="D66" s="10"/>
      <c r="E66" s="10"/>
      <c r="F66" s="11"/>
      <c r="G66" s="12" t="str">
        <f aca="false">IF($B66="","",MONTH($B66))</f>
        <v/>
      </c>
    </row>
    <row r="67" customFormat="false" ht="15" hidden="false" customHeight="false" outlineLevel="0" collapsed="false">
      <c r="B67" s="9"/>
      <c r="C67" s="10"/>
      <c r="D67" s="10"/>
      <c r="E67" s="10"/>
      <c r="F67" s="11"/>
      <c r="G67" s="12" t="str">
        <f aca="false">IF($B67="","",MONTH($B67))</f>
        <v/>
      </c>
    </row>
    <row r="68" customFormat="false" ht="15" hidden="false" customHeight="false" outlineLevel="0" collapsed="false">
      <c r="B68" s="9"/>
      <c r="C68" s="10"/>
      <c r="D68" s="10"/>
      <c r="E68" s="10"/>
      <c r="F68" s="11"/>
      <c r="G68" s="12" t="str">
        <f aca="false">IF($B68="","",MONTH($B68))</f>
        <v/>
      </c>
    </row>
    <row r="69" customFormat="false" ht="15" hidden="false" customHeight="false" outlineLevel="0" collapsed="false">
      <c r="B69" s="9"/>
      <c r="C69" s="10"/>
      <c r="D69" s="10"/>
      <c r="E69" s="10"/>
      <c r="F69" s="11"/>
      <c r="G69" s="12" t="str">
        <f aca="false">IF($B69="","",MONTH($B69))</f>
        <v/>
      </c>
    </row>
    <row r="70" customFormat="false" ht="15" hidden="false" customHeight="false" outlineLevel="0" collapsed="false">
      <c r="B70" s="9"/>
      <c r="C70" s="10"/>
      <c r="D70" s="10"/>
      <c r="E70" s="10"/>
      <c r="F70" s="11"/>
      <c r="G70" s="12" t="str">
        <f aca="false">IF($B70="","",MONTH($B70))</f>
        <v/>
      </c>
    </row>
    <row r="71" customFormat="false" ht="15" hidden="false" customHeight="false" outlineLevel="0" collapsed="false">
      <c r="B71" s="9"/>
      <c r="C71" s="10"/>
      <c r="D71" s="10"/>
      <c r="E71" s="10"/>
      <c r="F71" s="11"/>
      <c r="G71" s="12" t="str">
        <f aca="false">IF($B71="","",MONTH($B71))</f>
        <v/>
      </c>
    </row>
    <row r="72" customFormat="false" ht="15" hidden="false" customHeight="false" outlineLevel="0" collapsed="false">
      <c r="B72" s="9"/>
      <c r="C72" s="10"/>
      <c r="D72" s="10"/>
      <c r="E72" s="10"/>
      <c r="F72" s="11"/>
      <c r="G72" s="12" t="str">
        <f aca="false">IF($B72="","",MONTH($B72))</f>
        <v/>
      </c>
    </row>
    <row r="73" customFormat="false" ht="15" hidden="false" customHeight="false" outlineLevel="0" collapsed="false">
      <c r="B73" s="9"/>
      <c r="C73" s="10"/>
      <c r="D73" s="10"/>
      <c r="E73" s="10"/>
      <c r="F73" s="11"/>
      <c r="G73" s="12" t="str">
        <f aca="false">IF($B73="","",MONTH($B73))</f>
        <v/>
      </c>
    </row>
    <row r="74" customFormat="false" ht="15" hidden="false" customHeight="false" outlineLevel="0" collapsed="false">
      <c r="B74" s="9"/>
      <c r="C74" s="10"/>
      <c r="D74" s="10"/>
      <c r="E74" s="10"/>
      <c r="F74" s="11"/>
      <c r="G74" s="12" t="str">
        <f aca="false">IF($B74="","",MONTH($B74))</f>
        <v/>
      </c>
    </row>
    <row r="75" customFormat="false" ht="15" hidden="false" customHeight="false" outlineLevel="0" collapsed="false">
      <c r="B75" s="9"/>
      <c r="C75" s="10"/>
      <c r="D75" s="10"/>
      <c r="E75" s="10"/>
      <c r="F75" s="11"/>
      <c r="G75" s="12" t="str">
        <f aca="false">IF($B75="","",MONTH($B75))</f>
        <v/>
      </c>
    </row>
    <row r="76" customFormat="false" ht="15" hidden="false" customHeight="false" outlineLevel="0" collapsed="false">
      <c r="B76" s="9"/>
      <c r="C76" s="10"/>
      <c r="D76" s="10"/>
      <c r="E76" s="10"/>
      <c r="F76" s="11"/>
      <c r="G76" s="12" t="str">
        <f aca="false">IF($B76="","",MONTH($B76))</f>
        <v/>
      </c>
    </row>
    <row r="77" customFormat="false" ht="15" hidden="false" customHeight="false" outlineLevel="0" collapsed="false">
      <c r="B77" s="9"/>
      <c r="C77" s="10"/>
      <c r="D77" s="10"/>
      <c r="E77" s="10"/>
      <c r="F77" s="11"/>
      <c r="G77" s="12" t="str">
        <f aca="false">IF($B77="","",MONTH($B77))</f>
        <v/>
      </c>
    </row>
    <row r="78" customFormat="false" ht="15" hidden="false" customHeight="false" outlineLevel="0" collapsed="false">
      <c r="B78" s="9"/>
      <c r="C78" s="10"/>
      <c r="D78" s="10"/>
      <c r="E78" s="10"/>
      <c r="F78" s="11"/>
      <c r="G78" s="12" t="str">
        <f aca="false">IF($B78="","",MONTH($B78))</f>
        <v/>
      </c>
    </row>
    <row r="79" customFormat="false" ht="15" hidden="false" customHeight="false" outlineLevel="0" collapsed="false">
      <c r="B79" s="9"/>
      <c r="C79" s="10"/>
      <c r="D79" s="10"/>
      <c r="E79" s="10"/>
      <c r="F79" s="11"/>
      <c r="G79" s="12" t="str">
        <f aca="false">IF($B79="","",MONTH($B79))</f>
        <v/>
      </c>
    </row>
    <row r="80" customFormat="false" ht="15" hidden="false" customHeight="false" outlineLevel="0" collapsed="false">
      <c r="B80" s="9"/>
      <c r="C80" s="10"/>
      <c r="D80" s="10"/>
      <c r="E80" s="10"/>
      <c r="F80" s="11"/>
      <c r="G80" s="12" t="str">
        <f aca="false">IF($B80="","",MONTH($B80))</f>
        <v/>
      </c>
    </row>
    <row r="81" customFormat="false" ht="15" hidden="false" customHeight="false" outlineLevel="0" collapsed="false">
      <c r="B81" s="9"/>
      <c r="C81" s="10"/>
      <c r="D81" s="10"/>
      <c r="E81" s="10"/>
      <c r="F81" s="11"/>
      <c r="G81" s="12" t="str">
        <f aca="false">IF($B81="","",MONTH($B81))</f>
        <v/>
      </c>
    </row>
    <row r="82" customFormat="false" ht="15" hidden="false" customHeight="false" outlineLevel="0" collapsed="false">
      <c r="B82" s="9"/>
      <c r="C82" s="10"/>
      <c r="D82" s="10"/>
      <c r="E82" s="10"/>
      <c r="F82" s="11"/>
      <c r="G82" s="12" t="str">
        <f aca="false">IF($B82="","",MONTH($B82))</f>
        <v/>
      </c>
    </row>
    <row r="83" customFormat="false" ht="15" hidden="false" customHeight="false" outlineLevel="0" collapsed="false">
      <c r="B83" s="9"/>
      <c r="C83" s="10"/>
      <c r="D83" s="10"/>
      <c r="E83" s="10"/>
      <c r="F83" s="11"/>
      <c r="G83" s="12" t="str">
        <f aca="false">IF($B83="","",MONTH($B83))</f>
        <v/>
      </c>
    </row>
    <row r="84" customFormat="false" ht="15" hidden="false" customHeight="false" outlineLevel="0" collapsed="false">
      <c r="B84" s="9"/>
      <c r="C84" s="10"/>
      <c r="D84" s="10"/>
      <c r="E84" s="10"/>
      <c r="F84" s="11"/>
      <c r="G84" s="12" t="str">
        <f aca="false">IF($B84="","",MONTH($B84))</f>
        <v/>
      </c>
    </row>
    <row r="85" customFormat="false" ht="15" hidden="false" customHeight="false" outlineLevel="0" collapsed="false">
      <c r="B85" s="9"/>
      <c r="C85" s="10"/>
      <c r="D85" s="10"/>
      <c r="E85" s="10"/>
      <c r="F85" s="11"/>
      <c r="G85" s="12" t="str">
        <f aca="false">IF($B85="","",MONTH($B85))</f>
        <v/>
      </c>
    </row>
    <row r="86" customFormat="false" ht="15" hidden="false" customHeight="false" outlineLevel="0" collapsed="false">
      <c r="B86" s="9"/>
      <c r="C86" s="10"/>
      <c r="D86" s="10"/>
      <c r="E86" s="10"/>
      <c r="F86" s="11"/>
      <c r="G86" s="12" t="str">
        <f aca="false">IF($B86="","",MONTH($B86))</f>
        <v/>
      </c>
    </row>
    <row r="87" customFormat="false" ht="15" hidden="false" customHeight="false" outlineLevel="0" collapsed="false">
      <c r="B87" s="9"/>
      <c r="C87" s="10"/>
      <c r="D87" s="10"/>
      <c r="E87" s="10"/>
      <c r="F87" s="11"/>
      <c r="G87" s="12" t="str">
        <f aca="false">IF($B87="","",MONTH($B87))</f>
        <v/>
      </c>
    </row>
    <row r="88" customFormat="false" ht="15" hidden="false" customHeight="false" outlineLevel="0" collapsed="false">
      <c r="B88" s="9"/>
      <c r="C88" s="10"/>
      <c r="D88" s="10"/>
      <c r="E88" s="10"/>
      <c r="F88" s="11"/>
      <c r="G88" s="12" t="str">
        <f aca="false">IF($B88="","",MONTH($B88))</f>
        <v/>
      </c>
    </row>
    <row r="89" customFormat="false" ht="15" hidden="false" customHeight="false" outlineLevel="0" collapsed="false">
      <c r="B89" s="9"/>
      <c r="C89" s="10"/>
      <c r="D89" s="10"/>
      <c r="E89" s="10"/>
      <c r="F89" s="11"/>
      <c r="G89" s="12" t="str">
        <f aca="false">IF($B89="","",MONTH($B89))</f>
        <v/>
      </c>
    </row>
    <row r="90" customFormat="false" ht="15" hidden="false" customHeight="false" outlineLevel="0" collapsed="false">
      <c r="B90" s="9"/>
      <c r="C90" s="10"/>
      <c r="D90" s="10"/>
      <c r="E90" s="10"/>
      <c r="F90" s="11"/>
      <c r="G90" s="12" t="str">
        <f aca="false">IF($B90="","",MONTH($B90))</f>
        <v/>
      </c>
    </row>
    <row r="91" customFormat="false" ht="15" hidden="false" customHeight="false" outlineLevel="0" collapsed="false">
      <c r="B91" s="9"/>
      <c r="C91" s="10"/>
      <c r="D91" s="10"/>
      <c r="E91" s="10"/>
      <c r="F91" s="11"/>
      <c r="G91" s="12" t="str">
        <f aca="false">IF($B91="","",MONTH($B91))</f>
        <v/>
      </c>
    </row>
    <row r="92" customFormat="false" ht="15" hidden="false" customHeight="false" outlineLevel="0" collapsed="false">
      <c r="B92" s="9"/>
      <c r="C92" s="10"/>
      <c r="D92" s="10"/>
      <c r="E92" s="10"/>
      <c r="F92" s="11"/>
      <c r="G92" s="12" t="str">
        <f aca="false">IF($B92="","",MONTH($B92))</f>
        <v/>
      </c>
    </row>
    <row r="93" customFormat="false" ht="15" hidden="false" customHeight="false" outlineLevel="0" collapsed="false">
      <c r="B93" s="9"/>
      <c r="C93" s="10"/>
      <c r="D93" s="10"/>
      <c r="E93" s="10"/>
      <c r="F93" s="11"/>
      <c r="G93" s="12" t="str">
        <f aca="false">IF($B93="","",MONTH($B93))</f>
        <v/>
      </c>
    </row>
    <row r="94" customFormat="false" ht="15" hidden="false" customHeight="false" outlineLevel="0" collapsed="false">
      <c r="B94" s="9"/>
      <c r="C94" s="10"/>
      <c r="D94" s="10"/>
      <c r="E94" s="10"/>
      <c r="F94" s="11"/>
      <c r="G94" s="12" t="str">
        <f aca="false">IF($B94="","",MONTH($B94))</f>
        <v/>
      </c>
    </row>
    <row r="95" customFormat="false" ht="15" hidden="false" customHeight="false" outlineLevel="0" collapsed="false">
      <c r="B95" s="9"/>
      <c r="C95" s="10"/>
      <c r="D95" s="10"/>
      <c r="E95" s="10"/>
      <c r="F95" s="11"/>
      <c r="G95" s="12" t="str">
        <f aca="false">IF($B95="","",MONTH($B95))</f>
        <v/>
      </c>
    </row>
    <row r="96" customFormat="false" ht="15" hidden="false" customHeight="false" outlineLevel="0" collapsed="false">
      <c r="B96" s="9"/>
      <c r="C96" s="10"/>
      <c r="D96" s="10"/>
      <c r="E96" s="10"/>
      <c r="F96" s="11"/>
      <c r="G96" s="12" t="str">
        <f aca="false">IF($B96="","",MONTH($B96))</f>
        <v/>
      </c>
    </row>
    <row r="97" customFormat="false" ht="15" hidden="false" customHeight="false" outlineLevel="0" collapsed="false">
      <c r="B97" s="9"/>
      <c r="C97" s="10"/>
      <c r="D97" s="10"/>
      <c r="E97" s="10"/>
      <c r="F97" s="11"/>
      <c r="G97" s="12" t="str">
        <f aca="false">IF($B97="","",MONTH($B97))</f>
        <v/>
      </c>
    </row>
    <row r="98" customFormat="false" ht="15" hidden="false" customHeight="false" outlineLevel="0" collapsed="false">
      <c r="B98" s="9"/>
      <c r="C98" s="10"/>
      <c r="D98" s="10"/>
      <c r="E98" s="10"/>
      <c r="F98" s="11"/>
      <c r="G98" s="12" t="str">
        <f aca="false">IF($B98="","",MONTH($B98))</f>
        <v/>
      </c>
    </row>
    <row r="99" customFormat="false" ht="15" hidden="false" customHeight="false" outlineLevel="0" collapsed="false">
      <c r="B99" s="9"/>
      <c r="C99" s="10"/>
      <c r="D99" s="10"/>
      <c r="E99" s="10"/>
      <c r="F99" s="11"/>
      <c r="G99" s="12" t="str">
        <f aca="false">IF($B99="","",MONTH($B99))</f>
        <v/>
      </c>
    </row>
    <row r="100" customFormat="false" ht="15" hidden="false" customHeight="false" outlineLevel="0" collapsed="false">
      <c r="B100" s="9"/>
      <c r="C100" s="10"/>
      <c r="D100" s="10"/>
      <c r="E100" s="10"/>
      <c r="F100" s="11"/>
      <c r="G100" s="12" t="str">
        <f aca="false">IF($B100="","",MONTH($B100))</f>
        <v/>
      </c>
    </row>
    <row r="101" customFormat="false" ht="15" hidden="false" customHeight="false" outlineLevel="0" collapsed="false">
      <c r="B101" s="9"/>
      <c r="C101" s="10"/>
      <c r="D101" s="10"/>
      <c r="E101" s="10"/>
      <c r="F101" s="11"/>
      <c r="G101" s="12" t="str">
        <f aca="false">IF($B101="","",MONTH($B101))</f>
        <v/>
      </c>
    </row>
    <row r="102" customFormat="false" ht="15" hidden="false" customHeight="false" outlineLevel="0" collapsed="false">
      <c r="B102" s="9"/>
      <c r="C102" s="10"/>
      <c r="D102" s="10"/>
      <c r="E102" s="10"/>
      <c r="F102" s="11"/>
      <c r="G102" s="12" t="str">
        <f aca="false">IF($B102="","",MONTH($B102))</f>
        <v/>
      </c>
    </row>
    <row r="103" customFormat="false" ht="15" hidden="false" customHeight="false" outlineLevel="0" collapsed="false">
      <c r="B103" s="9"/>
      <c r="C103" s="10"/>
      <c r="D103" s="10"/>
      <c r="E103" s="10"/>
      <c r="F103" s="11"/>
      <c r="G103" s="12" t="str">
        <f aca="false">IF($B103="","",MONTH($B103))</f>
        <v/>
      </c>
    </row>
    <row r="104" customFormat="false" ht="15" hidden="false" customHeight="false" outlineLevel="0" collapsed="false">
      <c r="B104" s="9"/>
      <c r="C104" s="10"/>
      <c r="D104" s="10"/>
      <c r="E104" s="10"/>
      <c r="F104" s="11"/>
      <c r="G104" s="12" t="str">
        <f aca="false">IF($B104="","",MONTH($B104))</f>
        <v/>
      </c>
    </row>
    <row r="105" customFormat="false" ht="15" hidden="false" customHeight="false" outlineLevel="0" collapsed="false">
      <c r="B105" s="9"/>
      <c r="C105" s="10"/>
      <c r="D105" s="10"/>
      <c r="E105" s="10"/>
      <c r="F105" s="11"/>
      <c r="G105" s="12" t="str">
        <f aca="false">IF($B105="","",MONTH($B105))</f>
        <v/>
      </c>
    </row>
    <row r="106" customFormat="false" ht="15" hidden="false" customHeight="false" outlineLevel="0" collapsed="false">
      <c r="B106" s="9"/>
      <c r="C106" s="10"/>
      <c r="D106" s="10"/>
      <c r="E106" s="10"/>
      <c r="F106" s="11"/>
      <c r="G106" s="12" t="str">
        <f aca="false">IF($B106="","",MONTH($B106))</f>
        <v/>
      </c>
    </row>
    <row r="107" customFormat="false" ht="15" hidden="false" customHeight="false" outlineLevel="0" collapsed="false">
      <c r="B107" s="9"/>
      <c r="C107" s="10"/>
      <c r="D107" s="10"/>
      <c r="E107" s="10"/>
      <c r="F107" s="11"/>
      <c r="G107" s="12" t="str">
        <f aca="false">IF($B107="","",MONTH($B107))</f>
        <v/>
      </c>
    </row>
    <row r="108" customFormat="false" ht="15" hidden="false" customHeight="false" outlineLevel="0" collapsed="false">
      <c r="B108" s="9"/>
      <c r="C108" s="10"/>
      <c r="D108" s="10"/>
      <c r="E108" s="10"/>
      <c r="F108" s="11"/>
      <c r="G108" s="12" t="str">
        <f aca="false">IF($B108="","",MONTH($B108))</f>
        <v/>
      </c>
    </row>
    <row r="109" customFormat="false" ht="15" hidden="false" customHeight="false" outlineLevel="0" collapsed="false">
      <c r="B109" s="9"/>
      <c r="C109" s="10"/>
      <c r="D109" s="10"/>
      <c r="E109" s="10"/>
      <c r="F109" s="11"/>
      <c r="G109" s="12" t="str">
        <f aca="false">IF($B109="","",MONTH($B109))</f>
        <v/>
      </c>
    </row>
    <row r="110" customFormat="false" ht="15" hidden="false" customHeight="false" outlineLevel="0" collapsed="false">
      <c r="B110" s="9"/>
      <c r="C110" s="10"/>
      <c r="D110" s="10"/>
      <c r="E110" s="10"/>
      <c r="F110" s="11"/>
      <c r="G110" s="12" t="str">
        <f aca="false">IF($B110="","",MONTH($B110))</f>
        <v/>
      </c>
    </row>
    <row r="111" customFormat="false" ht="15" hidden="false" customHeight="false" outlineLevel="0" collapsed="false">
      <c r="B111" s="9"/>
      <c r="C111" s="10"/>
      <c r="D111" s="10"/>
      <c r="E111" s="10"/>
      <c r="F111" s="11"/>
      <c r="G111" s="12" t="str">
        <f aca="false">IF($B111="","",MONTH($B111))</f>
        <v/>
      </c>
    </row>
    <row r="112" customFormat="false" ht="15" hidden="false" customHeight="false" outlineLevel="0" collapsed="false">
      <c r="B112" s="9"/>
      <c r="C112" s="10"/>
      <c r="D112" s="10"/>
      <c r="E112" s="10"/>
      <c r="F112" s="11"/>
      <c r="G112" s="12" t="str">
        <f aca="false">IF($B112="","",MONTH($B112))</f>
        <v/>
      </c>
    </row>
    <row r="113" customFormat="false" ht="15" hidden="false" customHeight="false" outlineLevel="0" collapsed="false">
      <c r="B113" s="9"/>
      <c r="C113" s="10"/>
      <c r="D113" s="10"/>
      <c r="E113" s="10"/>
      <c r="F113" s="11"/>
      <c r="G113" s="12" t="str">
        <f aca="false">IF($B113="","",MONTH($B113))</f>
        <v/>
      </c>
    </row>
    <row r="114" customFormat="false" ht="15" hidden="false" customHeight="false" outlineLevel="0" collapsed="false">
      <c r="B114" s="9"/>
      <c r="C114" s="10"/>
      <c r="D114" s="10"/>
      <c r="E114" s="10"/>
      <c r="F114" s="11"/>
      <c r="G114" s="12" t="str">
        <f aca="false">IF($B114="","",MONTH($B114))</f>
        <v/>
      </c>
    </row>
    <row r="115" customFormat="false" ht="15" hidden="false" customHeight="false" outlineLevel="0" collapsed="false">
      <c r="B115" s="9"/>
      <c r="C115" s="10"/>
      <c r="D115" s="10"/>
      <c r="E115" s="10"/>
      <c r="F115" s="11"/>
      <c r="G115" s="12" t="str">
        <f aca="false">IF($B115="","",MONTH($B115))</f>
        <v/>
      </c>
    </row>
    <row r="116" customFormat="false" ht="15" hidden="false" customHeight="false" outlineLevel="0" collapsed="false">
      <c r="B116" s="9"/>
      <c r="C116" s="10"/>
      <c r="D116" s="10"/>
      <c r="E116" s="10"/>
      <c r="F116" s="11"/>
      <c r="G116" s="12" t="str">
        <f aca="false">IF($B116="","",MONTH($B116))</f>
        <v/>
      </c>
    </row>
    <row r="117" customFormat="false" ht="15" hidden="false" customHeight="false" outlineLevel="0" collapsed="false">
      <c r="B117" s="9"/>
      <c r="C117" s="10"/>
      <c r="D117" s="10"/>
      <c r="E117" s="10"/>
      <c r="F117" s="11"/>
      <c r="G117" s="12" t="str">
        <f aca="false">IF($B117="","",MONTH($B117))</f>
        <v/>
      </c>
    </row>
    <row r="118" customFormat="false" ht="15" hidden="false" customHeight="false" outlineLevel="0" collapsed="false">
      <c r="B118" s="9"/>
      <c r="C118" s="10"/>
      <c r="D118" s="10"/>
      <c r="E118" s="10"/>
      <c r="F118" s="11"/>
      <c r="G118" s="12" t="str">
        <f aca="false">IF($B118="","",MONTH($B118))</f>
        <v/>
      </c>
    </row>
    <row r="119" customFormat="false" ht="15" hidden="false" customHeight="false" outlineLevel="0" collapsed="false">
      <c r="B119" s="9"/>
      <c r="C119" s="10"/>
      <c r="D119" s="10"/>
      <c r="E119" s="10"/>
      <c r="F119" s="11"/>
      <c r="G119" s="12" t="str">
        <f aca="false">IF($B119="","",MONTH($B119))</f>
        <v/>
      </c>
    </row>
    <row r="120" customFormat="false" ht="15" hidden="false" customHeight="false" outlineLevel="0" collapsed="false">
      <c r="B120" s="9"/>
      <c r="C120" s="10"/>
      <c r="D120" s="10"/>
      <c r="E120" s="10"/>
      <c r="F120" s="11"/>
      <c r="G120" s="12" t="str">
        <f aca="false">IF($B120="","",MONTH($B120))</f>
        <v/>
      </c>
    </row>
    <row r="121" customFormat="false" ht="15" hidden="false" customHeight="false" outlineLevel="0" collapsed="false">
      <c r="B121" s="9"/>
      <c r="C121" s="10"/>
      <c r="D121" s="10"/>
      <c r="E121" s="10"/>
      <c r="F121" s="11"/>
      <c r="G121" s="12" t="str">
        <f aca="false">IF($B121="","",MONTH($B121))</f>
        <v/>
      </c>
    </row>
    <row r="122" customFormat="false" ht="15" hidden="false" customHeight="false" outlineLevel="0" collapsed="false">
      <c r="B122" s="9"/>
      <c r="C122" s="10"/>
      <c r="D122" s="10"/>
      <c r="E122" s="10"/>
      <c r="F122" s="11"/>
      <c r="G122" s="12" t="str">
        <f aca="false">IF($B122="","",MONTH($B122))</f>
        <v/>
      </c>
    </row>
    <row r="123" customFormat="false" ht="15" hidden="false" customHeight="false" outlineLevel="0" collapsed="false">
      <c r="B123" s="9"/>
      <c r="C123" s="10"/>
      <c r="D123" s="10"/>
      <c r="E123" s="10"/>
      <c r="F123" s="11"/>
      <c r="G123" s="12" t="str">
        <f aca="false">IF($B123="","",MONTH($B123))</f>
        <v/>
      </c>
    </row>
    <row r="124" customFormat="false" ht="15" hidden="false" customHeight="false" outlineLevel="0" collapsed="false">
      <c r="B124" s="9"/>
      <c r="C124" s="10"/>
      <c r="D124" s="10"/>
      <c r="E124" s="10"/>
      <c r="F124" s="11"/>
      <c r="G124" s="12" t="str">
        <f aca="false">IF($B124="","",MONTH($B124))</f>
        <v/>
      </c>
    </row>
    <row r="125" customFormat="false" ht="15" hidden="false" customHeight="false" outlineLevel="0" collapsed="false">
      <c r="B125" s="9"/>
      <c r="C125" s="10"/>
      <c r="D125" s="10"/>
      <c r="E125" s="10"/>
      <c r="F125" s="11"/>
      <c r="G125" s="12" t="str">
        <f aca="false">IF($B125="","",MONTH($B125))</f>
        <v/>
      </c>
    </row>
    <row r="126" customFormat="false" ht="15" hidden="false" customHeight="false" outlineLevel="0" collapsed="false">
      <c r="B126" s="9"/>
      <c r="C126" s="10"/>
      <c r="D126" s="10"/>
      <c r="E126" s="10"/>
      <c r="F126" s="11"/>
      <c r="G126" s="12" t="str">
        <f aca="false">IF($B126="","",MONTH($B126))</f>
        <v/>
      </c>
    </row>
    <row r="127" customFormat="false" ht="15" hidden="false" customHeight="false" outlineLevel="0" collapsed="false">
      <c r="B127" s="9"/>
      <c r="C127" s="10"/>
      <c r="D127" s="10"/>
      <c r="E127" s="10"/>
      <c r="F127" s="11"/>
      <c r="G127" s="12" t="str">
        <f aca="false">IF($B127="","",MONTH($B127))</f>
        <v/>
      </c>
    </row>
    <row r="128" customFormat="false" ht="15" hidden="false" customHeight="false" outlineLevel="0" collapsed="false">
      <c r="B128" s="9"/>
      <c r="C128" s="10"/>
      <c r="D128" s="10"/>
      <c r="E128" s="10"/>
      <c r="F128" s="11"/>
      <c r="G128" s="12" t="str">
        <f aca="false">IF($B128="","",MONTH($B128))</f>
        <v/>
      </c>
    </row>
    <row r="129" customFormat="false" ht="15" hidden="false" customHeight="false" outlineLevel="0" collapsed="false">
      <c r="B129" s="9"/>
      <c r="C129" s="10"/>
      <c r="D129" s="10"/>
      <c r="E129" s="10"/>
      <c r="F129" s="11"/>
      <c r="G129" s="12" t="str">
        <f aca="false">IF($B129="","",MONTH($B129))</f>
        <v/>
      </c>
    </row>
    <row r="130" customFormat="false" ht="15" hidden="false" customHeight="false" outlineLevel="0" collapsed="false">
      <c r="B130" s="9"/>
      <c r="C130" s="10"/>
      <c r="D130" s="10"/>
      <c r="E130" s="10"/>
      <c r="F130" s="11"/>
      <c r="G130" s="12" t="str">
        <f aca="false">IF($B130="","",MONTH($B130))</f>
        <v/>
      </c>
    </row>
    <row r="131" customFormat="false" ht="15" hidden="false" customHeight="false" outlineLevel="0" collapsed="false">
      <c r="B131" s="9"/>
      <c r="C131" s="10"/>
      <c r="D131" s="10"/>
      <c r="E131" s="10"/>
      <c r="F131" s="11"/>
      <c r="G131" s="12" t="str">
        <f aca="false">IF($B131="","",MONTH($B131))</f>
        <v/>
      </c>
    </row>
    <row r="132" customFormat="false" ht="15" hidden="false" customHeight="false" outlineLevel="0" collapsed="false">
      <c r="B132" s="9"/>
      <c r="C132" s="10"/>
      <c r="D132" s="10"/>
      <c r="E132" s="10"/>
      <c r="F132" s="11"/>
      <c r="G132" s="12" t="str">
        <f aca="false">IF($B132="","",MONTH($B132))</f>
        <v/>
      </c>
    </row>
    <row r="133" customFormat="false" ht="15" hidden="false" customHeight="false" outlineLevel="0" collapsed="false">
      <c r="B133" s="9"/>
      <c r="C133" s="10"/>
      <c r="D133" s="10"/>
      <c r="E133" s="10"/>
      <c r="F133" s="11"/>
      <c r="G133" s="12" t="str">
        <f aca="false">IF($B133="","",MONTH($B133))</f>
        <v/>
      </c>
    </row>
    <row r="134" customFormat="false" ht="15" hidden="false" customHeight="false" outlineLevel="0" collapsed="false">
      <c r="B134" s="9"/>
      <c r="C134" s="10"/>
      <c r="D134" s="10"/>
      <c r="E134" s="10"/>
      <c r="F134" s="11"/>
      <c r="G134" s="12" t="str">
        <f aca="false">IF($B134="","",MONTH($B134))</f>
        <v/>
      </c>
    </row>
    <row r="135" customFormat="false" ht="15" hidden="false" customHeight="false" outlineLevel="0" collapsed="false">
      <c r="B135" s="9"/>
      <c r="C135" s="10"/>
      <c r="D135" s="10"/>
      <c r="E135" s="10"/>
      <c r="F135" s="11"/>
      <c r="G135" s="12" t="str">
        <f aca="false">IF($B135="","",MONTH($B135))</f>
        <v/>
      </c>
    </row>
    <row r="136" customFormat="false" ht="15" hidden="false" customHeight="false" outlineLevel="0" collapsed="false">
      <c r="B136" s="9"/>
      <c r="C136" s="10"/>
      <c r="D136" s="10"/>
      <c r="E136" s="10"/>
      <c r="F136" s="11"/>
      <c r="G136" s="12" t="str">
        <f aca="false">IF($B136="","",MONTH($B136))</f>
        <v/>
      </c>
    </row>
    <row r="137" customFormat="false" ht="15" hidden="false" customHeight="false" outlineLevel="0" collapsed="false">
      <c r="B137" s="9"/>
      <c r="C137" s="10"/>
      <c r="D137" s="10"/>
      <c r="E137" s="10"/>
      <c r="F137" s="11"/>
      <c r="G137" s="12" t="str">
        <f aca="false">IF($B137="","",MONTH($B137))</f>
        <v/>
      </c>
    </row>
    <row r="138" customFormat="false" ht="15" hidden="false" customHeight="false" outlineLevel="0" collapsed="false">
      <c r="B138" s="9"/>
      <c r="C138" s="10"/>
      <c r="D138" s="10"/>
      <c r="E138" s="10"/>
      <c r="F138" s="11"/>
      <c r="G138" s="12" t="str">
        <f aca="false">IF($B138="","",MONTH($B138))</f>
        <v/>
      </c>
    </row>
    <row r="139" customFormat="false" ht="15" hidden="false" customHeight="false" outlineLevel="0" collapsed="false">
      <c r="B139" s="9"/>
      <c r="C139" s="10"/>
      <c r="D139" s="10"/>
      <c r="E139" s="10"/>
      <c r="F139" s="11"/>
      <c r="G139" s="12" t="str">
        <f aca="false">IF($B139="","",MONTH($B139))</f>
        <v/>
      </c>
    </row>
    <row r="140" customFormat="false" ht="15" hidden="false" customHeight="false" outlineLevel="0" collapsed="false">
      <c r="B140" s="9"/>
      <c r="C140" s="10"/>
      <c r="D140" s="10"/>
      <c r="E140" s="10"/>
      <c r="F140" s="11"/>
      <c r="G140" s="12" t="str">
        <f aca="false">IF($B140="","",MONTH($B140))</f>
        <v/>
      </c>
    </row>
    <row r="141" customFormat="false" ht="15" hidden="false" customHeight="false" outlineLevel="0" collapsed="false">
      <c r="B141" s="9"/>
      <c r="C141" s="10"/>
      <c r="D141" s="10"/>
      <c r="E141" s="10"/>
      <c r="F141" s="11"/>
      <c r="G141" s="12" t="str">
        <f aca="false">IF($B141="","",MONTH($B141))</f>
        <v/>
      </c>
    </row>
    <row r="142" customFormat="false" ht="15" hidden="false" customHeight="false" outlineLevel="0" collapsed="false">
      <c r="B142" s="9"/>
      <c r="C142" s="10"/>
      <c r="D142" s="10"/>
      <c r="E142" s="10"/>
      <c r="F142" s="11"/>
      <c r="G142" s="12" t="str">
        <f aca="false">IF($B142="","",MONTH($B142))</f>
        <v/>
      </c>
    </row>
    <row r="143" customFormat="false" ht="15" hidden="false" customHeight="false" outlineLevel="0" collapsed="false">
      <c r="B143" s="9"/>
      <c r="C143" s="10"/>
      <c r="D143" s="10"/>
      <c r="E143" s="10"/>
      <c r="F143" s="11"/>
      <c r="G143" s="12" t="str">
        <f aca="false">IF($B143="","",MONTH($B143))</f>
        <v/>
      </c>
    </row>
    <row r="144" customFormat="false" ht="15" hidden="false" customHeight="false" outlineLevel="0" collapsed="false">
      <c r="B144" s="9"/>
      <c r="C144" s="10"/>
      <c r="D144" s="10"/>
      <c r="E144" s="10"/>
      <c r="F144" s="11"/>
      <c r="G144" s="12" t="str">
        <f aca="false">IF($B144="","",MONTH($B144))</f>
        <v/>
      </c>
    </row>
    <row r="145" customFormat="false" ht="15" hidden="false" customHeight="false" outlineLevel="0" collapsed="false">
      <c r="B145" s="9"/>
      <c r="C145" s="10"/>
      <c r="D145" s="10"/>
      <c r="E145" s="10"/>
      <c r="F145" s="11"/>
      <c r="G145" s="12" t="str">
        <f aca="false">IF($B145="","",MONTH($B145))</f>
        <v/>
      </c>
    </row>
    <row r="146" customFormat="false" ht="15" hidden="false" customHeight="false" outlineLevel="0" collapsed="false">
      <c r="B146" s="9"/>
      <c r="C146" s="10"/>
      <c r="D146" s="10"/>
      <c r="E146" s="10"/>
      <c r="F146" s="11"/>
      <c r="G146" s="12" t="str">
        <f aca="false">IF($B146="","",MONTH($B146))</f>
        <v/>
      </c>
    </row>
    <row r="147" customFormat="false" ht="15" hidden="false" customHeight="false" outlineLevel="0" collapsed="false">
      <c r="B147" s="9"/>
      <c r="C147" s="10"/>
      <c r="D147" s="10"/>
      <c r="E147" s="10"/>
      <c r="F147" s="11"/>
      <c r="G147" s="12" t="str">
        <f aca="false">IF($B147="","",MONTH($B147))</f>
        <v/>
      </c>
    </row>
    <row r="148" customFormat="false" ht="15" hidden="false" customHeight="false" outlineLevel="0" collapsed="false">
      <c r="B148" s="9"/>
      <c r="C148" s="10"/>
      <c r="D148" s="10"/>
      <c r="E148" s="10"/>
      <c r="F148" s="11"/>
      <c r="G148" s="12" t="str">
        <f aca="false">IF($B148="","",MONTH($B148))</f>
        <v/>
      </c>
    </row>
    <row r="149" customFormat="false" ht="15" hidden="false" customHeight="false" outlineLevel="0" collapsed="false">
      <c r="B149" s="9"/>
      <c r="C149" s="10"/>
      <c r="D149" s="10"/>
      <c r="E149" s="10"/>
      <c r="F149" s="11"/>
      <c r="G149" s="12" t="str">
        <f aca="false">IF($B149="","",MONTH($B149))</f>
        <v/>
      </c>
    </row>
    <row r="150" customFormat="false" ht="15" hidden="false" customHeight="false" outlineLevel="0" collapsed="false">
      <c r="B150" s="9"/>
      <c r="C150" s="10"/>
      <c r="D150" s="10"/>
      <c r="E150" s="10"/>
      <c r="F150" s="11"/>
      <c r="G150" s="12" t="str">
        <f aca="false">IF($B150="","",MONTH($B150))</f>
        <v/>
      </c>
    </row>
    <row r="151" customFormat="false" ht="15" hidden="false" customHeight="false" outlineLevel="0" collapsed="false">
      <c r="B151" s="9"/>
      <c r="C151" s="10"/>
      <c r="D151" s="10"/>
      <c r="E151" s="10"/>
      <c r="F151" s="11"/>
      <c r="G151" s="12" t="str">
        <f aca="false">IF($B151="","",MONTH($B151))</f>
        <v/>
      </c>
    </row>
    <row r="152" customFormat="false" ht="15" hidden="false" customHeight="false" outlineLevel="0" collapsed="false">
      <c r="B152" s="9"/>
      <c r="C152" s="10"/>
      <c r="D152" s="10"/>
      <c r="E152" s="10"/>
      <c r="F152" s="11"/>
      <c r="G152" s="12" t="str">
        <f aca="false">IF($B152="","",MONTH($B152))</f>
        <v/>
      </c>
    </row>
    <row r="153" customFormat="false" ht="15" hidden="false" customHeight="false" outlineLevel="0" collapsed="false">
      <c r="B153" s="9"/>
      <c r="C153" s="10"/>
      <c r="D153" s="10"/>
      <c r="E153" s="10"/>
      <c r="F153" s="11"/>
      <c r="G153" s="12" t="str">
        <f aca="false">IF($B153="","",MONTH($B153))</f>
        <v/>
      </c>
    </row>
    <row r="154" customFormat="false" ht="15" hidden="false" customHeight="false" outlineLevel="0" collapsed="false">
      <c r="B154" s="9"/>
      <c r="C154" s="10"/>
      <c r="D154" s="10"/>
      <c r="E154" s="10"/>
      <c r="F154" s="11"/>
      <c r="G154" s="12" t="str">
        <f aca="false">IF($B154="","",MONTH($B154))</f>
        <v/>
      </c>
    </row>
    <row r="155" customFormat="false" ht="15" hidden="false" customHeight="false" outlineLevel="0" collapsed="false">
      <c r="B155" s="9"/>
      <c r="C155" s="10"/>
      <c r="D155" s="10"/>
      <c r="E155" s="10"/>
      <c r="F155" s="11"/>
      <c r="G155" s="12" t="str">
        <f aca="false">IF($B155="","",MONTH($B155))</f>
        <v/>
      </c>
    </row>
    <row r="156" customFormat="false" ht="15" hidden="false" customHeight="false" outlineLevel="0" collapsed="false">
      <c r="B156" s="9"/>
      <c r="C156" s="10"/>
      <c r="D156" s="10"/>
      <c r="E156" s="10"/>
      <c r="F156" s="11"/>
      <c r="G156" s="12" t="str">
        <f aca="false">IF($B156="","",MONTH($B156))</f>
        <v/>
      </c>
    </row>
    <row r="157" customFormat="false" ht="15" hidden="false" customHeight="false" outlineLevel="0" collapsed="false">
      <c r="B157" s="9"/>
      <c r="C157" s="10"/>
      <c r="D157" s="10"/>
      <c r="E157" s="10"/>
      <c r="F157" s="11"/>
      <c r="G157" s="12" t="str">
        <f aca="false">IF($B157="","",MONTH($B157))</f>
        <v/>
      </c>
    </row>
    <row r="158" customFormat="false" ht="15" hidden="false" customHeight="false" outlineLevel="0" collapsed="false">
      <c r="B158" s="9"/>
      <c r="C158" s="10"/>
      <c r="D158" s="10"/>
      <c r="E158" s="10"/>
      <c r="F158" s="11"/>
      <c r="G158" s="12" t="str">
        <f aca="false">IF($B158="","",MONTH($B158))</f>
        <v/>
      </c>
    </row>
    <row r="159" customFormat="false" ht="15" hidden="false" customHeight="false" outlineLevel="0" collapsed="false">
      <c r="B159" s="9"/>
      <c r="C159" s="10"/>
      <c r="D159" s="10"/>
      <c r="E159" s="10"/>
      <c r="F159" s="11"/>
      <c r="G159" s="12" t="str">
        <f aca="false">IF($B159="","",MONTH($B159))</f>
        <v/>
      </c>
    </row>
    <row r="160" customFormat="false" ht="15" hidden="false" customHeight="false" outlineLevel="0" collapsed="false">
      <c r="B160" s="9"/>
      <c r="C160" s="10"/>
      <c r="D160" s="10"/>
      <c r="E160" s="10"/>
      <c r="F160" s="11"/>
      <c r="G160" s="12" t="str">
        <f aca="false">IF($B160="","",MONTH($B160))</f>
        <v/>
      </c>
    </row>
    <row r="161" customFormat="false" ht="15" hidden="false" customHeight="false" outlineLevel="0" collapsed="false">
      <c r="B161" s="9"/>
      <c r="C161" s="10"/>
      <c r="D161" s="10"/>
      <c r="E161" s="10"/>
      <c r="F161" s="11"/>
      <c r="G161" s="12" t="str">
        <f aca="false">IF($B161="","",MONTH($B161))</f>
        <v/>
      </c>
    </row>
    <row r="162" customFormat="false" ht="15" hidden="false" customHeight="false" outlineLevel="0" collapsed="false">
      <c r="B162" s="9"/>
      <c r="C162" s="10"/>
      <c r="D162" s="10"/>
      <c r="E162" s="10"/>
      <c r="F162" s="11"/>
      <c r="G162" s="12" t="str">
        <f aca="false">IF($B162="","",MONTH($B162))</f>
        <v/>
      </c>
    </row>
    <row r="163" customFormat="false" ht="15" hidden="false" customHeight="false" outlineLevel="0" collapsed="false">
      <c r="B163" s="9"/>
      <c r="C163" s="10"/>
      <c r="D163" s="10"/>
      <c r="E163" s="10"/>
      <c r="F163" s="11"/>
      <c r="G163" s="12" t="str">
        <f aca="false">IF($B163="","",MONTH($B163))</f>
        <v/>
      </c>
    </row>
    <row r="164" customFormat="false" ht="15" hidden="false" customHeight="false" outlineLevel="0" collapsed="false">
      <c r="B164" s="9"/>
      <c r="C164" s="10"/>
      <c r="D164" s="10"/>
      <c r="E164" s="10"/>
      <c r="F164" s="11"/>
      <c r="G164" s="12" t="str">
        <f aca="false">IF($B164="","",MONTH($B164))</f>
        <v/>
      </c>
    </row>
    <row r="165" customFormat="false" ht="15" hidden="false" customHeight="false" outlineLevel="0" collapsed="false">
      <c r="B165" s="9"/>
      <c r="C165" s="10"/>
      <c r="D165" s="10"/>
      <c r="E165" s="10"/>
      <c r="F165" s="11"/>
      <c r="G165" s="12" t="str">
        <f aca="false">IF($B165="","",MONTH($B165))</f>
        <v/>
      </c>
    </row>
    <row r="166" customFormat="false" ht="15" hidden="false" customHeight="false" outlineLevel="0" collapsed="false">
      <c r="B166" s="9"/>
      <c r="C166" s="10"/>
      <c r="D166" s="10"/>
      <c r="E166" s="10"/>
      <c r="F166" s="11"/>
      <c r="G166" s="12" t="str">
        <f aca="false">IF($B166="","",MONTH($B166))</f>
        <v/>
      </c>
    </row>
    <row r="167" customFormat="false" ht="15" hidden="false" customHeight="false" outlineLevel="0" collapsed="false">
      <c r="B167" s="9"/>
      <c r="C167" s="10"/>
      <c r="D167" s="10"/>
      <c r="E167" s="10"/>
      <c r="F167" s="11"/>
      <c r="G167" s="12" t="str">
        <f aca="false">IF($B167="","",MONTH($B167))</f>
        <v/>
      </c>
    </row>
    <row r="168" customFormat="false" ht="15" hidden="false" customHeight="false" outlineLevel="0" collapsed="false">
      <c r="B168" s="9"/>
      <c r="C168" s="10"/>
      <c r="D168" s="10"/>
      <c r="E168" s="10"/>
      <c r="F168" s="11"/>
      <c r="G168" s="12" t="str">
        <f aca="false">IF($B168="","",MONTH($B168))</f>
        <v/>
      </c>
    </row>
    <row r="169" customFormat="false" ht="15" hidden="false" customHeight="false" outlineLevel="0" collapsed="false">
      <c r="B169" s="9"/>
      <c r="C169" s="10"/>
      <c r="D169" s="10"/>
      <c r="E169" s="10"/>
      <c r="F169" s="11"/>
      <c r="G169" s="12" t="str">
        <f aca="false">IF($B169="","",MONTH($B169))</f>
        <v/>
      </c>
    </row>
    <row r="170" customFormat="false" ht="15" hidden="false" customHeight="false" outlineLevel="0" collapsed="false">
      <c r="B170" s="9"/>
      <c r="C170" s="10"/>
      <c r="D170" s="10"/>
      <c r="E170" s="10"/>
      <c r="F170" s="11"/>
      <c r="G170" s="12" t="str">
        <f aca="false">IF($B170="","",MONTH($B170))</f>
        <v/>
      </c>
    </row>
    <row r="171" customFormat="false" ht="15" hidden="false" customHeight="false" outlineLevel="0" collapsed="false">
      <c r="B171" s="9"/>
      <c r="C171" s="10"/>
      <c r="D171" s="10"/>
      <c r="E171" s="10"/>
      <c r="F171" s="11"/>
      <c r="G171" s="12" t="str">
        <f aca="false">IF($B171="","",MONTH($B171))</f>
        <v/>
      </c>
    </row>
    <row r="172" customFormat="false" ht="15" hidden="false" customHeight="false" outlineLevel="0" collapsed="false">
      <c r="B172" s="9"/>
      <c r="C172" s="10"/>
      <c r="D172" s="10"/>
      <c r="E172" s="10"/>
      <c r="F172" s="11"/>
      <c r="G172" s="12" t="str">
        <f aca="false">IF($B172="","",MONTH($B172))</f>
        <v/>
      </c>
    </row>
    <row r="173" customFormat="false" ht="15" hidden="false" customHeight="false" outlineLevel="0" collapsed="false">
      <c r="B173" s="9"/>
      <c r="C173" s="10"/>
      <c r="D173" s="10"/>
      <c r="E173" s="10"/>
      <c r="F173" s="11"/>
      <c r="G173" s="12" t="str">
        <f aca="false">IF($B173="","",MONTH($B173))</f>
        <v/>
      </c>
    </row>
    <row r="174" customFormat="false" ht="15" hidden="false" customHeight="false" outlineLevel="0" collapsed="false">
      <c r="B174" s="9"/>
      <c r="C174" s="10"/>
      <c r="D174" s="10"/>
      <c r="E174" s="10"/>
      <c r="F174" s="11"/>
      <c r="G174" s="12" t="str">
        <f aca="false">IF($B174="","",MONTH($B174))</f>
        <v/>
      </c>
    </row>
    <row r="175" customFormat="false" ht="15" hidden="false" customHeight="false" outlineLevel="0" collapsed="false">
      <c r="B175" s="9"/>
      <c r="C175" s="10"/>
      <c r="D175" s="10"/>
      <c r="E175" s="10"/>
      <c r="F175" s="11"/>
      <c r="G175" s="12" t="str">
        <f aca="false">IF($B175="","",MONTH($B175))</f>
        <v/>
      </c>
    </row>
    <row r="176" customFormat="false" ht="15" hidden="false" customHeight="false" outlineLevel="0" collapsed="false">
      <c r="B176" s="9"/>
      <c r="C176" s="10"/>
      <c r="D176" s="10"/>
      <c r="E176" s="10"/>
      <c r="F176" s="11"/>
      <c r="G176" s="12" t="str">
        <f aca="false">IF($B176="","",MONTH($B176))</f>
        <v/>
      </c>
    </row>
    <row r="177" customFormat="false" ht="15" hidden="false" customHeight="false" outlineLevel="0" collapsed="false">
      <c r="B177" s="9"/>
      <c r="C177" s="10"/>
      <c r="D177" s="10"/>
      <c r="E177" s="10"/>
      <c r="F177" s="11"/>
      <c r="G177" s="12" t="str">
        <f aca="false">IF($B177="","",MONTH($B177))</f>
        <v/>
      </c>
    </row>
    <row r="178" customFormat="false" ht="15" hidden="false" customHeight="false" outlineLevel="0" collapsed="false">
      <c r="B178" s="9"/>
      <c r="C178" s="10"/>
      <c r="D178" s="10"/>
      <c r="E178" s="10"/>
      <c r="F178" s="11"/>
      <c r="G178" s="12" t="str">
        <f aca="false">IF($B178="","",MONTH($B178))</f>
        <v/>
      </c>
    </row>
    <row r="179" customFormat="false" ht="15" hidden="false" customHeight="false" outlineLevel="0" collapsed="false">
      <c r="B179" s="9"/>
      <c r="C179" s="10"/>
      <c r="D179" s="10"/>
      <c r="E179" s="10"/>
      <c r="F179" s="11"/>
      <c r="G179" s="12" t="str">
        <f aca="false">IF($B179="","",MONTH($B179))</f>
        <v/>
      </c>
    </row>
    <row r="180" customFormat="false" ht="15" hidden="false" customHeight="false" outlineLevel="0" collapsed="false">
      <c r="B180" s="9"/>
      <c r="C180" s="10"/>
      <c r="D180" s="10"/>
      <c r="E180" s="10"/>
      <c r="F180" s="11"/>
      <c r="G180" s="12" t="str">
        <f aca="false">IF($B180="","",MONTH($B180))</f>
        <v/>
      </c>
    </row>
    <row r="181" customFormat="false" ht="15" hidden="false" customHeight="false" outlineLevel="0" collapsed="false">
      <c r="B181" s="9"/>
      <c r="C181" s="10"/>
      <c r="D181" s="10"/>
      <c r="E181" s="10"/>
      <c r="F181" s="11"/>
      <c r="G181" s="12" t="str">
        <f aca="false">IF($B181="","",MONTH($B181))</f>
        <v/>
      </c>
    </row>
    <row r="182" customFormat="false" ht="15" hidden="false" customHeight="false" outlineLevel="0" collapsed="false">
      <c r="B182" s="9"/>
      <c r="C182" s="10"/>
      <c r="D182" s="10"/>
      <c r="E182" s="10"/>
      <c r="F182" s="11"/>
      <c r="G182" s="12" t="str">
        <f aca="false">IF($B182="","",MONTH($B182))</f>
        <v/>
      </c>
    </row>
    <row r="183" customFormat="false" ht="15" hidden="false" customHeight="false" outlineLevel="0" collapsed="false">
      <c r="B183" s="9"/>
      <c r="C183" s="10"/>
      <c r="D183" s="10"/>
      <c r="E183" s="10"/>
      <c r="F183" s="11"/>
      <c r="G183" s="12" t="str">
        <f aca="false">IF($B183="","",MONTH($B183))</f>
        <v/>
      </c>
    </row>
    <row r="184" customFormat="false" ht="15" hidden="false" customHeight="false" outlineLevel="0" collapsed="false">
      <c r="B184" s="9"/>
      <c r="C184" s="10"/>
      <c r="D184" s="10"/>
      <c r="E184" s="10"/>
      <c r="F184" s="11"/>
      <c r="G184" s="12" t="str">
        <f aca="false">IF($B184="","",MONTH($B184))</f>
        <v/>
      </c>
    </row>
    <row r="185" customFormat="false" ht="15" hidden="false" customHeight="false" outlineLevel="0" collapsed="false">
      <c r="B185" s="9"/>
      <c r="C185" s="10"/>
      <c r="D185" s="10"/>
      <c r="E185" s="10"/>
      <c r="F185" s="11"/>
      <c r="G185" s="12" t="str">
        <f aca="false">IF($B185="","",MONTH($B185))</f>
        <v/>
      </c>
    </row>
    <row r="186" customFormat="false" ht="15" hidden="false" customHeight="false" outlineLevel="0" collapsed="false">
      <c r="B186" s="9"/>
      <c r="C186" s="10"/>
      <c r="D186" s="10"/>
      <c r="E186" s="10"/>
      <c r="F186" s="11"/>
      <c r="G186" s="12" t="str">
        <f aca="false">IF($B186="","",MONTH($B186))</f>
        <v/>
      </c>
    </row>
    <row r="187" customFormat="false" ht="15" hidden="false" customHeight="false" outlineLevel="0" collapsed="false">
      <c r="B187" s="9"/>
      <c r="C187" s="10"/>
      <c r="D187" s="10"/>
      <c r="E187" s="10"/>
      <c r="F187" s="11"/>
      <c r="G187" s="12" t="str">
        <f aca="false">IF($B187="","",MONTH($B187))</f>
        <v/>
      </c>
    </row>
    <row r="188" customFormat="false" ht="15" hidden="false" customHeight="false" outlineLevel="0" collapsed="false">
      <c r="B188" s="9"/>
      <c r="C188" s="10"/>
      <c r="D188" s="10"/>
      <c r="E188" s="10"/>
      <c r="F188" s="11"/>
      <c r="G188" s="12" t="str">
        <f aca="false">IF($B188="","",MONTH($B188))</f>
        <v/>
      </c>
    </row>
    <row r="189" customFormat="false" ht="15" hidden="false" customHeight="false" outlineLevel="0" collapsed="false">
      <c r="B189" s="9"/>
      <c r="C189" s="10"/>
      <c r="D189" s="10"/>
      <c r="E189" s="10"/>
      <c r="F189" s="11"/>
      <c r="G189" s="12" t="str">
        <f aca="false">IF($B189="","",MONTH($B189))</f>
        <v/>
      </c>
    </row>
    <row r="190" customFormat="false" ht="15" hidden="false" customHeight="false" outlineLevel="0" collapsed="false">
      <c r="B190" s="9"/>
      <c r="C190" s="10"/>
      <c r="D190" s="10"/>
      <c r="E190" s="10"/>
      <c r="F190" s="11"/>
      <c r="G190" s="12" t="str">
        <f aca="false">IF($B190="","",MONTH($B190))</f>
        <v/>
      </c>
    </row>
    <row r="191" customFormat="false" ht="15" hidden="false" customHeight="false" outlineLevel="0" collapsed="false">
      <c r="B191" s="9"/>
      <c r="C191" s="10"/>
      <c r="D191" s="10"/>
      <c r="E191" s="10"/>
      <c r="F191" s="11"/>
      <c r="G191" s="12" t="str">
        <f aca="false">IF($B191="","",MONTH($B191))</f>
        <v/>
      </c>
    </row>
    <row r="192" customFormat="false" ht="15" hidden="false" customHeight="false" outlineLevel="0" collapsed="false">
      <c r="B192" s="9"/>
      <c r="C192" s="10"/>
      <c r="D192" s="10"/>
      <c r="E192" s="10"/>
      <c r="F192" s="11"/>
      <c r="G192" s="12" t="str">
        <f aca="false">IF($B192="","",MONTH($B192))</f>
        <v/>
      </c>
    </row>
    <row r="193" customFormat="false" ht="15" hidden="false" customHeight="false" outlineLevel="0" collapsed="false">
      <c r="B193" s="9"/>
      <c r="C193" s="10"/>
      <c r="D193" s="10"/>
      <c r="E193" s="10"/>
      <c r="F193" s="11"/>
      <c r="G193" s="12" t="str">
        <f aca="false">IF($B193="","",MONTH($B193))</f>
        <v/>
      </c>
    </row>
    <row r="194" customFormat="false" ht="15" hidden="false" customHeight="false" outlineLevel="0" collapsed="false">
      <c r="B194" s="9"/>
      <c r="C194" s="10"/>
      <c r="D194" s="10"/>
      <c r="E194" s="10"/>
      <c r="F194" s="11"/>
      <c r="G194" s="12" t="str">
        <f aca="false">IF($B194="","",MONTH($B194))</f>
        <v/>
      </c>
    </row>
    <row r="195" customFormat="false" ht="15" hidden="false" customHeight="false" outlineLevel="0" collapsed="false">
      <c r="B195" s="9"/>
      <c r="C195" s="10"/>
      <c r="D195" s="10"/>
      <c r="E195" s="10"/>
      <c r="F195" s="11"/>
      <c r="G195" s="12" t="str">
        <f aca="false">IF($B195="","",MONTH($B195))</f>
        <v/>
      </c>
    </row>
    <row r="196" customFormat="false" ht="15" hidden="false" customHeight="false" outlineLevel="0" collapsed="false">
      <c r="B196" s="9"/>
      <c r="C196" s="10"/>
      <c r="D196" s="10"/>
      <c r="E196" s="10"/>
      <c r="F196" s="11"/>
      <c r="G196" s="12" t="str">
        <f aca="false">IF($B196="","",MONTH($B196))</f>
        <v/>
      </c>
    </row>
    <row r="197" customFormat="false" ht="15" hidden="false" customHeight="false" outlineLevel="0" collapsed="false">
      <c r="B197" s="9"/>
      <c r="C197" s="10"/>
      <c r="D197" s="10"/>
      <c r="E197" s="10"/>
      <c r="F197" s="11"/>
      <c r="G197" s="12" t="str">
        <f aca="false">IF($B197="","",MONTH($B197))</f>
        <v/>
      </c>
    </row>
    <row r="198" customFormat="false" ht="15" hidden="false" customHeight="false" outlineLevel="0" collapsed="false">
      <c r="B198" s="9"/>
      <c r="C198" s="10"/>
      <c r="D198" s="10"/>
      <c r="E198" s="10"/>
      <c r="F198" s="11"/>
      <c r="G198" s="12" t="str">
        <f aca="false">IF($B198="","",MONTH($B198))</f>
        <v/>
      </c>
    </row>
    <row r="199" customFormat="false" ht="15" hidden="false" customHeight="false" outlineLevel="0" collapsed="false">
      <c r="B199" s="9"/>
      <c r="C199" s="10"/>
      <c r="D199" s="10"/>
      <c r="E199" s="10"/>
      <c r="F199" s="11"/>
      <c r="G199" s="12" t="str">
        <f aca="false">IF($B199="","",MONTH($B199))</f>
        <v/>
      </c>
    </row>
    <row r="200" customFormat="false" ht="15" hidden="false" customHeight="false" outlineLevel="0" collapsed="false">
      <c r="B200" s="9"/>
      <c r="C200" s="10"/>
      <c r="D200" s="10"/>
      <c r="E200" s="10"/>
      <c r="F200" s="11"/>
      <c r="G200" s="12" t="str">
        <f aca="false">IF($B200="","",MONTH($B200))</f>
        <v/>
      </c>
    </row>
    <row r="201" customFormat="false" ht="15" hidden="false" customHeight="false" outlineLevel="0" collapsed="false">
      <c r="B201" s="9"/>
      <c r="C201" s="10"/>
      <c r="D201" s="10"/>
      <c r="E201" s="10"/>
      <c r="F201" s="11"/>
      <c r="G201" s="12" t="str">
        <f aca="false">IF($B201="","",MONTH($B201))</f>
        <v/>
      </c>
    </row>
    <row r="202" customFormat="false" ht="15" hidden="false" customHeight="false" outlineLevel="0" collapsed="false">
      <c r="B202" s="9"/>
      <c r="C202" s="10"/>
      <c r="D202" s="10"/>
      <c r="E202" s="10"/>
      <c r="F202" s="11"/>
      <c r="G202" s="12" t="str">
        <f aca="false">IF($B202="","",MONTH($B202))</f>
        <v/>
      </c>
    </row>
    <row r="203" customFormat="false" ht="15" hidden="false" customHeight="false" outlineLevel="0" collapsed="false">
      <c r="B203" s="9"/>
      <c r="C203" s="10"/>
      <c r="D203" s="10"/>
      <c r="E203" s="10"/>
      <c r="F203" s="11"/>
      <c r="G203" s="12" t="str">
        <f aca="false">IF($B203="","",MONTH($B203))</f>
        <v/>
      </c>
    </row>
    <row r="204" customFormat="false" ht="15" hidden="false" customHeight="false" outlineLevel="0" collapsed="false">
      <c r="B204" s="9"/>
      <c r="C204" s="10"/>
      <c r="D204" s="10"/>
      <c r="E204" s="10"/>
      <c r="F204" s="11"/>
      <c r="G204" s="12" t="str">
        <f aca="false">IF($B204="","",MONTH($B204))</f>
        <v/>
      </c>
    </row>
    <row r="205" customFormat="false" ht="15" hidden="false" customHeight="false" outlineLevel="0" collapsed="false">
      <c r="B205" s="9"/>
      <c r="C205" s="10"/>
      <c r="D205" s="10"/>
      <c r="E205" s="10"/>
      <c r="F205" s="11"/>
      <c r="G205" s="12" t="str">
        <f aca="false">IF($B205="","",MONTH($B205))</f>
        <v/>
      </c>
    </row>
    <row r="206" customFormat="false" ht="15" hidden="false" customHeight="false" outlineLevel="0" collapsed="false">
      <c r="B206" s="9"/>
      <c r="C206" s="10"/>
      <c r="D206" s="10"/>
      <c r="E206" s="10"/>
      <c r="F206" s="11"/>
      <c r="G206" s="12" t="str">
        <f aca="false">IF($B206="","",MONTH($B206))</f>
        <v/>
      </c>
    </row>
    <row r="207" customFormat="false" ht="15" hidden="false" customHeight="false" outlineLevel="0" collapsed="false">
      <c r="B207" s="9"/>
      <c r="C207" s="10"/>
      <c r="D207" s="10"/>
      <c r="E207" s="10"/>
      <c r="F207" s="11"/>
      <c r="G207" s="12" t="str">
        <f aca="false">IF($B207="","",MONTH($B207))</f>
        <v/>
      </c>
    </row>
    <row r="208" customFormat="false" ht="15" hidden="false" customHeight="false" outlineLevel="0" collapsed="false">
      <c r="B208" s="9"/>
      <c r="C208" s="10"/>
      <c r="D208" s="10"/>
      <c r="E208" s="10"/>
      <c r="F208" s="11"/>
      <c r="G208" s="12" t="str">
        <f aca="false">IF($B208="","",MONTH($B208))</f>
        <v/>
      </c>
    </row>
    <row r="209" customFormat="false" ht="15" hidden="false" customHeight="false" outlineLevel="0" collapsed="false">
      <c r="B209" s="9"/>
      <c r="C209" s="10"/>
      <c r="D209" s="10"/>
      <c r="E209" s="10"/>
      <c r="F209" s="11"/>
      <c r="G209" s="12" t="str">
        <f aca="false">IF($B209="","",MONTH($B209))</f>
        <v/>
      </c>
    </row>
    <row r="211" customFormat="false" ht="15" hidden="false" customHeight="false" outlineLevel="0" collapsed="false">
      <c r="B211" s="7" t="s">
        <v>89</v>
      </c>
    </row>
  </sheetData>
  <mergeCells count="1">
    <mergeCell ref="B2:L2"/>
  </mergeCells>
  <conditionalFormatting sqref="L10:L21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  <cfRule type="cellIs" priority="4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8" min="5" style="0" width="12"/>
    <col collapsed="false" customWidth="true" hidden="false" outlineLevel="0" max="9" min="9" style="0" width="11"/>
    <col collapsed="false" customWidth="true" hidden="false" outlineLevel="0" max="10" min="10" style="0" width="13"/>
  </cols>
  <sheetData>
    <row r="2" customFormat="false" ht="30" hidden="false" customHeight="true" outlineLevel="0" collapsed="false">
      <c r="B2" s="4" t="s">
        <v>90</v>
      </c>
      <c r="C2" s="4"/>
      <c r="D2" s="4"/>
      <c r="E2" s="4"/>
      <c r="F2" s="4"/>
      <c r="G2" s="4"/>
      <c r="H2" s="4"/>
      <c r="I2" s="4"/>
      <c r="J2" s="4"/>
    </row>
    <row r="4" customFormat="false" ht="15" hidden="false" customHeight="false" outlineLevel="0" collapsed="false">
      <c r="B4" s="5" t="s">
        <v>91</v>
      </c>
      <c r="E4" s="6" t="n">
        <f aca="false">SUM($E$11:$E$110)</f>
        <v>5740</v>
      </c>
      <c r="G4" s="5" t="s">
        <v>92</v>
      </c>
      <c r="H4" s="8" t="n">
        <f aca="false">COUNTIF($I$11:$I$110,"PAID")</f>
        <v>11</v>
      </c>
    </row>
    <row r="5" customFormat="false" ht="15" hidden="false" customHeight="false" outlineLevel="0" collapsed="false">
      <c r="B5" s="5" t="s">
        <v>93</v>
      </c>
      <c r="E5" s="6" t="n">
        <f aca="false">SUMIF($I$11:$I$110,"PAID",$E$11:$E$110)</f>
        <v>4650</v>
      </c>
      <c r="G5" s="5" t="s">
        <v>94</v>
      </c>
      <c r="H5" s="8" t="n">
        <f aca="false">COUNTIF($I$11:$I$110,"SENT")</f>
        <v>1</v>
      </c>
    </row>
    <row r="6" customFormat="false" ht="15" hidden="false" customHeight="false" outlineLevel="0" collapsed="false">
      <c r="B6" s="5" t="s">
        <v>95</v>
      </c>
      <c r="E6" s="6" t="n">
        <f aca="false">E4-E5</f>
        <v>1090</v>
      </c>
      <c r="G6" s="5" t="s">
        <v>96</v>
      </c>
      <c r="H6" s="8" t="n">
        <f aca="false">COUNTIF($I$11:$I$110,"OVERDUE")</f>
        <v>2</v>
      </c>
    </row>
    <row r="7" customFormat="false" ht="15" hidden="false" customHeight="false" outlineLevel="0" collapsed="false">
      <c r="B7" s="5" t="s">
        <v>97</v>
      </c>
      <c r="E7" s="6" t="n">
        <f aca="false">SUMIF($I$11:$I$110,"OVERDUE",$E$11:$E$110)</f>
        <v>610</v>
      </c>
    </row>
    <row r="9" customFormat="false" ht="15" hidden="false" customHeight="false" outlineLevel="0" collapsed="false">
      <c r="B9" s="7" t="s">
        <v>98</v>
      </c>
    </row>
    <row r="10" customFormat="false" ht="15" hidden="false" customHeight="false" outlineLevel="0" collapsed="false">
      <c r="B10" s="8" t="s">
        <v>99</v>
      </c>
      <c r="C10" s="8" t="s">
        <v>100</v>
      </c>
      <c r="D10" s="8" t="s">
        <v>101</v>
      </c>
      <c r="E10" s="8" t="s">
        <v>41</v>
      </c>
      <c r="F10" s="8" t="s">
        <v>102</v>
      </c>
      <c r="G10" s="8" t="s">
        <v>103</v>
      </c>
      <c r="H10" s="8" t="s">
        <v>104</v>
      </c>
      <c r="I10" s="8" t="s">
        <v>105</v>
      </c>
      <c r="J10" s="8" t="s">
        <v>106</v>
      </c>
    </row>
    <row r="11" customFormat="false" ht="15" hidden="false" customHeight="false" outlineLevel="0" collapsed="false">
      <c r="B11" s="10" t="s">
        <v>107</v>
      </c>
      <c r="C11" s="10" t="s">
        <v>108</v>
      </c>
      <c r="D11" s="10" t="s">
        <v>109</v>
      </c>
      <c r="E11" s="11" t="n">
        <v>480</v>
      </c>
      <c r="F11" s="9" t="n">
        <v>46024</v>
      </c>
      <c r="G11" s="9" t="n">
        <v>46038</v>
      </c>
      <c r="H11" s="9" t="n">
        <v>46028</v>
      </c>
      <c r="I11" s="14" t="str">
        <f aca="true">IF($B11="","",IF($H11&lt;&gt;"","PAID",IF($G11="","SENT",IF(TODAY()&gt;$G11,"OVERDUE","SENT"))))</f>
        <v>PAID</v>
      </c>
      <c r="J11" s="15" t="str">
        <f aca="true">IF($I11="OVERDUE",TODAY()-$G11,"")</f>
        <v/>
      </c>
    </row>
    <row r="12" customFormat="false" ht="15" hidden="false" customHeight="false" outlineLevel="0" collapsed="false">
      <c r="B12" s="10" t="s">
        <v>110</v>
      </c>
      <c r="C12" s="10" t="s">
        <v>111</v>
      </c>
      <c r="D12" s="10" t="s">
        <v>112</v>
      </c>
      <c r="E12" s="11" t="n">
        <v>260</v>
      </c>
      <c r="F12" s="9" t="n">
        <v>46027</v>
      </c>
      <c r="G12" s="9" t="n">
        <v>46041</v>
      </c>
      <c r="H12" s="9" t="n">
        <v>46031</v>
      </c>
      <c r="I12" s="14" t="str">
        <f aca="true">IF($B12="","",IF($H12&lt;&gt;"","PAID",IF($G12="","SENT",IF(TODAY()&gt;$G12,"OVERDUE","SENT"))))</f>
        <v>PAID</v>
      </c>
      <c r="J12" s="15" t="str">
        <f aca="true">IF($I12="OVERDUE",TODAY()-$G12,"")</f>
        <v/>
      </c>
    </row>
    <row r="13" customFormat="false" ht="15" hidden="false" customHeight="false" outlineLevel="0" collapsed="false">
      <c r="B13" s="10" t="s">
        <v>113</v>
      </c>
      <c r="C13" s="10" t="s">
        <v>114</v>
      </c>
      <c r="D13" s="10" t="s">
        <v>115</v>
      </c>
      <c r="E13" s="11" t="n">
        <v>520</v>
      </c>
      <c r="F13" s="9" t="n">
        <v>46035</v>
      </c>
      <c r="G13" s="9" t="n">
        <v>46049</v>
      </c>
      <c r="H13" s="9" t="n">
        <v>46042</v>
      </c>
      <c r="I13" s="14" t="str">
        <f aca="true">IF($B13="","",IF($H13&lt;&gt;"","PAID",IF($G13="","SENT",IF(TODAY()&gt;$G13,"OVERDUE","SENT"))))</f>
        <v>PAID</v>
      </c>
      <c r="J13" s="15" t="str">
        <f aca="true">IF($I13="OVERDUE",TODAY()-$G13,"")</f>
        <v/>
      </c>
    </row>
    <row r="14" customFormat="false" ht="15" hidden="false" customHeight="false" outlineLevel="0" collapsed="false">
      <c r="B14" s="10" t="s">
        <v>116</v>
      </c>
      <c r="C14" s="10" t="s">
        <v>108</v>
      </c>
      <c r="D14" s="10" t="s">
        <v>117</v>
      </c>
      <c r="E14" s="11" t="n">
        <v>240</v>
      </c>
      <c r="F14" s="9" t="n">
        <v>46048</v>
      </c>
      <c r="G14" s="9" t="n">
        <v>46062</v>
      </c>
      <c r="H14" s="9" t="n">
        <v>46052</v>
      </c>
      <c r="I14" s="14" t="str">
        <f aca="true">IF($B14="","",IF($H14&lt;&gt;"","PAID",IF($G14="","SENT",IF(TODAY()&gt;$G14,"OVERDUE","SENT"))))</f>
        <v>PAID</v>
      </c>
      <c r="J14" s="15" t="str">
        <f aca="true">IF($I14="OVERDUE",TODAY()-$G14,"")</f>
        <v/>
      </c>
    </row>
    <row r="15" customFormat="false" ht="15" hidden="false" customHeight="false" outlineLevel="0" collapsed="false">
      <c r="B15" s="10" t="s">
        <v>118</v>
      </c>
      <c r="C15" s="10" t="s">
        <v>108</v>
      </c>
      <c r="D15" s="10" t="s">
        <v>119</v>
      </c>
      <c r="E15" s="11" t="n">
        <v>480</v>
      </c>
      <c r="F15" s="9" t="n">
        <v>46054</v>
      </c>
      <c r="G15" s="9" t="n">
        <v>46068</v>
      </c>
      <c r="H15" s="9" t="n">
        <v>46056</v>
      </c>
      <c r="I15" s="14" t="str">
        <f aca="true">IF($B15="","",IF($H15&lt;&gt;"","PAID",IF($G15="","SENT",IF(TODAY()&gt;$G15,"OVERDUE","SENT"))))</f>
        <v>PAID</v>
      </c>
      <c r="J15" s="15" t="str">
        <f aca="true">IF($I15="OVERDUE",TODAY()-$G15,"")</f>
        <v/>
      </c>
    </row>
    <row r="16" customFormat="false" ht="15" hidden="false" customHeight="false" outlineLevel="0" collapsed="false">
      <c r="B16" s="10" t="s">
        <v>120</v>
      </c>
      <c r="C16" s="10" t="s">
        <v>121</v>
      </c>
      <c r="D16" s="10" t="s">
        <v>122</v>
      </c>
      <c r="E16" s="11" t="n">
        <v>640</v>
      </c>
      <c r="F16" s="9" t="n">
        <v>46057</v>
      </c>
      <c r="G16" s="9" t="n">
        <v>46071</v>
      </c>
      <c r="H16" s="9" t="n">
        <v>46063</v>
      </c>
      <c r="I16" s="14" t="str">
        <f aca="true">IF($B16="","",IF($H16&lt;&gt;"","PAID",IF($G16="","SENT",IF(TODAY()&gt;$G16,"OVERDUE","SENT"))))</f>
        <v>PAID</v>
      </c>
      <c r="J16" s="15" t="str">
        <f aca="true">IF($I16="OVERDUE",TODAY()-$G16,"")</f>
        <v/>
      </c>
    </row>
    <row r="17" customFormat="false" ht="15" hidden="false" customHeight="false" outlineLevel="0" collapsed="false">
      <c r="B17" s="10" t="s">
        <v>123</v>
      </c>
      <c r="C17" s="10" t="s">
        <v>111</v>
      </c>
      <c r="D17" s="10" t="s">
        <v>124</v>
      </c>
      <c r="E17" s="11" t="n">
        <v>140</v>
      </c>
      <c r="F17" s="9" t="n">
        <v>46069</v>
      </c>
      <c r="G17" s="9" t="n">
        <v>46083</v>
      </c>
      <c r="H17" s="9" t="n">
        <v>46071</v>
      </c>
      <c r="I17" s="14" t="str">
        <f aca="true">IF($B17="","",IF($H17&lt;&gt;"","PAID",IF($G17="","SENT",IF(TODAY()&gt;$G17,"OVERDUE","SENT"))))</f>
        <v>PAID</v>
      </c>
      <c r="J17" s="15" t="str">
        <f aca="true">IF($I17="OVERDUE",TODAY()-$G17,"")</f>
        <v/>
      </c>
    </row>
    <row r="18" customFormat="false" ht="15" hidden="false" customHeight="false" outlineLevel="0" collapsed="false">
      <c r="B18" s="10" t="s">
        <v>125</v>
      </c>
      <c r="C18" s="10" t="s">
        <v>114</v>
      </c>
      <c r="D18" s="10" t="s">
        <v>126</v>
      </c>
      <c r="E18" s="11" t="n">
        <v>260</v>
      </c>
      <c r="F18" s="9" t="n">
        <v>46076</v>
      </c>
      <c r="G18" s="9" t="n">
        <v>46090</v>
      </c>
      <c r="H18" s="9" t="n">
        <v>46080</v>
      </c>
      <c r="I18" s="14" t="str">
        <f aca="true">IF($B18="","",IF($H18&lt;&gt;"","PAID",IF($G18="","SENT",IF(TODAY()&gt;$G18,"OVERDUE","SENT"))))</f>
        <v>PAID</v>
      </c>
      <c r="J18" s="15" t="str">
        <f aca="true">IF($I18="OVERDUE",TODAY()-$G18,"")</f>
        <v/>
      </c>
    </row>
    <row r="19" customFormat="false" ht="15" hidden="false" customHeight="false" outlineLevel="0" collapsed="false">
      <c r="B19" s="10" t="s">
        <v>127</v>
      </c>
      <c r="C19" s="10" t="s">
        <v>108</v>
      </c>
      <c r="D19" s="10" t="s">
        <v>128</v>
      </c>
      <c r="E19" s="11" t="n">
        <v>480</v>
      </c>
      <c r="F19" s="9" t="n">
        <v>46082</v>
      </c>
      <c r="G19" s="9" t="n">
        <v>46096</v>
      </c>
      <c r="H19" s="9" t="n">
        <v>46083</v>
      </c>
      <c r="I19" s="14" t="str">
        <f aca="true">IF($B19="","",IF($H19&lt;&gt;"","PAID",IF($G19="","SENT",IF(TODAY()&gt;$G19,"OVERDUE","SENT"))))</f>
        <v>PAID</v>
      </c>
      <c r="J19" s="15" t="str">
        <f aca="true">IF($I19="OVERDUE",TODAY()-$G19,"")</f>
        <v/>
      </c>
    </row>
    <row r="20" customFormat="false" ht="15" hidden="false" customHeight="false" outlineLevel="0" collapsed="false">
      <c r="B20" s="10" t="s">
        <v>129</v>
      </c>
      <c r="C20" s="10" t="s">
        <v>121</v>
      </c>
      <c r="D20" s="10" t="s">
        <v>130</v>
      </c>
      <c r="E20" s="11" t="n">
        <v>800</v>
      </c>
      <c r="F20" s="9" t="n">
        <v>46087</v>
      </c>
      <c r="G20" s="9" t="n">
        <v>46101</v>
      </c>
      <c r="H20" s="9" t="n">
        <v>46090</v>
      </c>
      <c r="I20" s="14" t="str">
        <f aca="true">IF($B20="","",IF($H20&lt;&gt;"","PAID",IF($G20="","SENT",IF(TODAY()&gt;$G20,"OVERDUE","SENT"))))</f>
        <v>PAID</v>
      </c>
      <c r="J20" s="15" t="str">
        <f aca="true">IF($I20="OVERDUE",TODAY()-$G20,"")</f>
        <v/>
      </c>
    </row>
    <row r="21" customFormat="false" ht="15" hidden="false" customHeight="false" outlineLevel="0" collapsed="false">
      <c r="B21" s="10" t="s">
        <v>131</v>
      </c>
      <c r="C21" s="10" t="s">
        <v>132</v>
      </c>
      <c r="D21" s="10" t="s">
        <v>133</v>
      </c>
      <c r="E21" s="11" t="n">
        <v>350</v>
      </c>
      <c r="F21" s="9" t="n">
        <v>46097</v>
      </c>
      <c r="G21" s="9" t="n">
        <v>46111</v>
      </c>
      <c r="H21" s="9" t="n">
        <v>46101</v>
      </c>
      <c r="I21" s="14" t="str">
        <f aca="true">IF($B21="","",IF($H21&lt;&gt;"","PAID",IF($G21="","SENT",IF(TODAY()&gt;$G21,"OVERDUE","SENT"))))</f>
        <v>PAID</v>
      </c>
      <c r="J21" s="15" t="str">
        <f aca="true">IF($I21="OVERDUE",TODAY()-$G21,"")</f>
        <v/>
      </c>
    </row>
    <row r="22" customFormat="false" ht="15" hidden="false" customHeight="false" outlineLevel="0" collapsed="false">
      <c r="B22" s="10" t="s">
        <v>134</v>
      </c>
      <c r="C22" s="10" t="s">
        <v>114</v>
      </c>
      <c r="D22" s="10" t="s">
        <v>126</v>
      </c>
      <c r="E22" s="11" t="n">
        <v>260</v>
      </c>
      <c r="F22" s="9" t="n">
        <v>46111</v>
      </c>
      <c r="G22" s="9" t="n">
        <v>46126</v>
      </c>
      <c r="H22" s="9"/>
      <c r="I22" s="14" t="str">
        <f aca="true">IF($B22="","",IF($H22&lt;&gt;"","PAID",IF($G22="","SENT",IF(TODAY()&gt;$G22,"OVERDUE","SENT"))))</f>
        <v>OVERDUE</v>
      </c>
      <c r="J22" s="15" t="n">
        <f aca="true">IF($I22="OVERDUE",TODAY()-$G22,"")</f>
        <v>111</v>
      </c>
    </row>
    <row r="23" customFormat="false" ht="15" hidden="false" customHeight="false" outlineLevel="0" collapsed="false">
      <c r="B23" s="10" t="s">
        <v>135</v>
      </c>
      <c r="C23" s="10" t="s">
        <v>132</v>
      </c>
      <c r="D23" s="10" t="s">
        <v>136</v>
      </c>
      <c r="E23" s="11" t="n">
        <v>350</v>
      </c>
      <c r="F23" s="9" t="n">
        <v>46203</v>
      </c>
      <c r="G23" s="9" t="n">
        <v>46218</v>
      </c>
      <c r="H23" s="9"/>
      <c r="I23" s="14" t="str">
        <f aca="true">IF($B23="","",IF($H23&lt;&gt;"","PAID",IF($G23="","SENT",IF(TODAY()&gt;$G23,"OVERDUE","SENT"))))</f>
        <v>OVERDUE</v>
      </c>
      <c r="J23" s="15" t="n">
        <f aca="true">IF($I23="OVERDUE",TODAY()-$G23,"")</f>
        <v>19</v>
      </c>
    </row>
    <row r="24" customFormat="false" ht="15" hidden="false" customHeight="false" outlineLevel="0" collapsed="false">
      <c r="B24" s="10" t="s">
        <v>137</v>
      </c>
      <c r="C24" s="10" t="s">
        <v>121</v>
      </c>
      <c r="D24" s="10" t="s">
        <v>138</v>
      </c>
      <c r="E24" s="11" t="n">
        <v>480</v>
      </c>
      <c r="F24" s="9" t="n">
        <v>46227</v>
      </c>
      <c r="G24" s="9" t="n">
        <v>46257</v>
      </c>
      <c r="H24" s="9"/>
      <c r="I24" s="14" t="str">
        <f aca="true">IF($B24="","",IF($H24&lt;&gt;"","PAID",IF($G24="","SENT",IF(TODAY()&gt;$G24,"OVERDUE","SENT"))))</f>
        <v>SENT</v>
      </c>
      <c r="J24" s="15" t="str">
        <f aca="true">IF($I24="OVERDUE",TODAY()-$G24,"")</f>
        <v/>
      </c>
    </row>
    <row r="25" customFormat="false" ht="15" hidden="false" customHeight="false" outlineLevel="0" collapsed="false">
      <c r="B25" s="10"/>
      <c r="C25" s="10"/>
      <c r="D25" s="10"/>
      <c r="E25" s="11"/>
      <c r="F25" s="9"/>
      <c r="G25" s="9"/>
      <c r="H25" s="9"/>
      <c r="I25" s="14" t="str">
        <f aca="true">IF($B25="","",IF($H25&lt;&gt;"","PAID",IF($G25="","SENT",IF(TODAY()&gt;$G25,"OVERDUE","SENT"))))</f>
        <v/>
      </c>
      <c r="J25" s="15" t="str">
        <f aca="true">IF($I25="OVERDUE",TODAY()-$G25,"")</f>
        <v/>
      </c>
    </row>
    <row r="26" customFormat="false" ht="15" hidden="false" customHeight="false" outlineLevel="0" collapsed="false">
      <c r="B26" s="10"/>
      <c r="C26" s="10"/>
      <c r="D26" s="10"/>
      <c r="E26" s="11"/>
      <c r="F26" s="9"/>
      <c r="G26" s="9"/>
      <c r="H26" s="9"/>
      <c r="I26" s="14" t="str">
        <f aca="true">IF($B26="","",IF($H26&lt;&gt;"","PAID",IF($G26="","SENT",IF(TODAY()&gt;$G26,"OVERDUE","SENT"))))</f>
        <v/>
      </c>
      <c r="J26" s="15" t="str">
        <f aca="true">IF($I26="OVERDUE",TODAY()-$G26,"")</f>
        <v/>
      </c>
    </row>
    <row r="27" customFormat="false" ht="15" hidden="false" customHeight="false" outlineLevel="0" collapsed="false">
      <c r="B27" s="10"/>
      <c r="C27" s="10"/>
      <c r="D27" s="10"/>
      <c r="E27" s="11"/>
      <c r="F27" s="9"/>
      <c r="G27" s="9"/>
      <c r="H27" s="9"/>
      <c r="I27" s="14" t="str">
        <f aca="true">IF($B27="","",IF($H27&lt;&gt;"","PAID",IF($G27="","SENT",IF(TODAY()&gt;$G27,"OVERDUE","SENT"))))</f>
        <v/>
      </c>
      <c r="J27" s="15" t="str">
        <f aca="true">IF($I27="OVERDUE",TODAY()-$G27,"")</f>
        <v/>
      </c>
    </row>
    <row r="28" customFormat="false" ht="15" hidden="false" customHeight="false" outlineLevel="0" collapsed="false">
      <c r="B28" s="10"/>
      <c r="C28" s="10"/>
      <c r="D28" s="10"/>
      <c r="E28" s="11"/>
      <c r="F28" s="9"/>
      <c r="G28" s="9"/>
      <c r="H28" s="9"/>
      <c r="I28" s="14" t="str">
        <f aca="true">IF($B28="","",IF($H28&lt;&gt;"","PAID",IF($G28="","SENT",IF(TODAY()&gt;$G28,"OVERDUE","SENT"))))</f>
        <v/>
      </c>
      <c r="J28" s="15" t="str">
        <f aca="true">IF($I28="OVERDUE",TODAY()-$G28,"")</f>
        <v/>
      </c>
    </row>
    <row r="29" customFormat="false" ht="15" hidden="false" customHeight="false" outlineLevel="0" collapsed="false">
      <c r="B29" s="10"/>
      <c r="C29" s="10"/>
      <c r="D29" s="10"/>
      <c r="E29" s="11"/>
      <c r="F29" s="9"/>
      <c r="G29" s="9"/>
      <c r="H29" s="9"/>
      <c r="I29" s="14" t="str">
        <f aca="true">IF($B29="","",IF($H29&lt;&gt;"","PAID",IF($G29="","SENT",IF(TODAY()&gt;$G29,"OVERDUE","SENT"))))</f>
        <v/>
      </c>
      <c r="J29" s="15" t="str">
        <f aca="true">IF($I29="OVERDUE",TODAY()-$G29,"")</f>
        <v/>
      </c>
    </row>
    <row r="30" customFormat="false" ht="15" hidden="false" customHeight="false" outlineLevel="0" collapsed="false">
      <c r="B30" s="10"/>
      <c r="C30" s="10"/>
      <c r="D30" s="10"/>
      <c r="E30" s="11"/>
      <c r="F30" s="9"/>
      <c r="G30" s="9"/>
      <c r="H30" s="9"/>
      <c r="I30" s="14" t="str">
        <f aca="true">IF($B30="","",IF($H30&lt;&gt;"","PAID",IF($G30="","SENT",IF(TODAY()&gt;$G30,"OVERDUE","SENT"))))</f>
        <v/>
      </c>
      <c r="J30" s="15" t="str">
        <f aca="true">IF($I30="OVERDUE",TODAY()-$G30,"")</f>
        <v/>
      </c>
    </row>
    <row r="31" customFormat="false" ht="15" hidden="false" customHeight="false" outlineLevel="0" collapsed="false">
      <c r="B31" s="10"/>
      <c r="C31" s="10"/>
      <c r="D31" s="10"/>
      <c r="E31" s="11"/>
      <c r="F31" s="9"/>
      <c r="G31" s="9"/>
      <c r="H31" s="9"/>
      <c r="I31" s="14" t="str">
        <f aca="true">IF($B31="","",IF($H31&lt;&gt;"","PAID",IF($G31="","SENT",IF(TODAY()&gt;$G31,"OVERDUE","SENT"))))</f>
        <v/>
      </c>
      <c r="J31" s="15" t="str">
        <f aca="true">IF($I31="OVERDUE",TODAY()-$G31,"")</f>
        <v/>
      </c>
    </row>
    <row r="32" customFormat="false" ht="15" hidden="false" customHeight="false" outlineLevel="0" collapsed="false">
      <c r="B32" s="10"/>
      <c r="C32" s="10"/>
      <c r="D32" s="10"/>
      <c r="E32" s="11"/>
      <c r="F32" s="9"/>
      <c r="G32" s="9"/>
      <c r="H32" s="9"/>
      <c r="I32" s="14" t="str">
        <f aca="true">IF($B32="","",IF($H32&lt;&gt;"","PAID",IF($G32="","SENT",IF(TODAY()&gt;$G32,"OVERDUE","SENT"))))</f>
        <v/>
      </c>
      <c r="J32" s="15" t="str">
        <f aca="true">IF($I32="OVERDUE",TODAY()-$G32,"")</f>
        <v/>
      </c>
    </row>
    <row r="33" customFormat="false" ht="15" hidden="false" customHeight="false" outlineLevel="0" collapsed="false">
      <c r="B33" s="10"/>
      <c r="C33" s="10"/>
      <c r="D33" s="10"/>
      <c r="E33" s="11"/>
      <c r="F33" s="9"/>
      <c r="G33" s="9"/>
      <c r="H33" s="9"/>
      <c r="I33" s="14" t="str">
        <f aca="true">IF($B33="","",IF($H33&lt;&gt;"","PAID",IF($G33="","SENT",IF(TODAY()&gt;$G33,"OVERDUE","SENT"))))</f>
        <v/>
      </c>
      <c r="J33" s="15" t="str">
        <f aca="true">IF($I33="OVERDUE",TODAY()-$G33,"")</f>
        <v/>
      </c>
    </row>
    <row r="34" customFormat="false" ht="15" hidden="false" customHeight="false" outlineLevel="0" collapsed="false">
      <c r="B34" s="10"/>
      <c r="C34" s="10"/>
      <c r="D34" s="10"/>
      <c r="E34" s="11"/>
      <c r="F34" s="9"/>
      <c r="G34" s="9"/>
      <c r="H34" s="9"/>
      <c r="I34" s="14" t="str">
        <f aca="true">IF($B34="","",IF($H34&lt;&gt;"","PAID",IF($G34="","SENT",IF(TODAY()&gt;$G34,"OVERDUE","SENT"))))</f>
        <v/>
      </c>
      <c r="J34" s="15" t="str">
        <f aca="true">IF($I34="OVERDUE",TODAY()-$G34,"")</f>
        <v/>
      </c>
    </row>
    <row r="35" customFormat="false" ht="15" hidden="false" customHeight="false" outlineLevel="0" collapsed="false">
      <c r="B35" s="10"/>
      <c r="C35" s="10"/>
      <c r="D35" s="10"/>
      <c r="E35" s="11"/>
      <c r="F35" s="9"/>
      <c r="G35" s="9"/>
      <c r="H35" s="9"/>
      <c r="I35" s="14" t="str">
        <f aca="true">IF($B35="","",IF($H35&lt;&gt;"","PAID",IF($G35="","SENT",IF(TODAY()&gt;$G35,"OVERDUE","SENT"))))</f>
        <v/>
      </c>
      <c r="J35" s="15" t="str">
        <f aca="true">IF($I35="OVERDUE",TODAY()-$G35,"")</f>
        <v/>
      </c>
    </row>
    <row r="36" customFormat="false" ht="15" hidden="false" customHeight="false" outlineLevel="0" collapsed="false">
      <c r="B36" s="10"/>
      <c r="C36" s="10"/>
      <c r="D36" s="10"/>
      <c r="E36" s="11"/>
      <c r="F36" s="9"/>
      <c r="G36" s="9"/>
      <c r="H36" s="9"/>
      <c r="I36" s="14" t="str">
        <f aca="true">IF($B36="","",IF($H36&lt;&gt;"","PAID",IF($G36="","SENT",IF(TODAY()&gt;$G36,"OVERDUE","SENT"))))</f>
        <v/>
      </c>
      <c r="J36" s="15" t="str">
        <f aca="true">IF($I36="OVERDUE",TODAY()-$G36,"")</f>
        <v/>
      </c>
    </row>
    <row r="37" customFormat="false" ht="15" hidden="false" customHeight="false" outlineLevel="0" collapsed="false">
      <c r="B37" s="10"/>
      <c r="C37" s="10"/>
      <c r="D37" s="10"/>
      <c r="E37" s="11"/>
      <c r="F37" s="9"/>
      <c r="G37" s="9"/>
      <c r="H37" s="9"/>
      <c r="I37" s="14" t="str">
        <f aca="true">IF($B37="","",IF($H37&lt;&gt;"","PAID",IF($G37="","SENT",IF(TODAY()&gt;$G37,"OVERDUE","SENT"))))</f>
        <v/>
      </c>
      <c r="J37" s="15" t="str">
        <f aca="true">IF($I37="OVERDUE",TODAY()-$G37,"")</f>
        <v/>
      </c>
    </row>
    <row r="38" customFormat="false" ht="15" hidden="false" customHeight="false" outlineLevel="0" collapsed="false">
      <c r="B38" s="10"/>
      <c r="C38" s="10"/>
      <c r="D38" s="10"/>
      <c r="E38" s="11"/>
      <c r="F38" s="9"/>
      <c r="G38" s="9"/>
      <c r="H38" s="9"/>
      <c r="I38" s="14" t="str">
        <f aca="true">IF($B38="","",IF($H38&lt;&gt;"","PAID",IF($G38="","SENT",IF(TODAY()&gt;$G38,"OVERDUE","SENT"))))</f>
        <v/>
      </c>
      <c r="J38" s="15" t="str">
        <f aca="true">IF($I38="OVERDUE",TODAY()-$G38,"")</f>
        <v/>
      </c>
    </row>
    <row r="39" customFormat="false" ht="15" hidden="false" customHeight="false" outlineLevel="0" collapsed="false">
      <c r="B39" s="10"/>
      <c r="C39" s="10"/>
      <c r="D39" s="10"/>
      <c r="E39" s="11"/>
      <c r="F39" s="9"/>
      <c r="G39" s="9"/>
      <c r="H39" s="9"/>
      <c r="I39" s="14" t="str">
        <f aca="true">IF($B39="","",IF($H39&lt;&gt;"","PAID",IF($G39="","SENT",IF(TODAY()&gt;$G39,"OVERDUE","SENT"))))</f>
        <v/>
      </c>
      <c r="J39" s="15" t="str">
        <f aca="true">IF($I39="OVERDUE",TODAY()-$G39,"")</f>
        <v/>
      </c>
    </row>
    <row r="40" customFormat="false" ht="15" hidden="false" customHeight="false" outlineLevel="0" collapsed="false">
      <c r="B40" s="10"/>
      <c r="C40" s="10"/>
      <c r="D40" s="10"/>
      <c r="E40" s="11"/>
      <c r="F40" s="9"/>
      <c r="G40" s="9"/>
      <c r="H40" s="9"/>
      <c r="I40" s="14" t="str">
        <f aca="true">IF($B40="","",IF($H40&lt;&gt;"","PAID",IF($G40="","SENT",IF(TODAY()&gt;$G40,"OVERDUE","SENT"))))</f>
        <v/>
      </c>
      <c r="J40" s="15" t="str">
        <f aca="true">IF($I40="OVERDUE",TODAY()-$G40,"")</f>
        <v/>
      </c>
    </row>
    <row r="41" customFormat="false" ht="15" hidden="false" customHeight="false" outlineLevel="0" collapsed="false">
      <c r="B41" s="10"/>
      <c r="C41" s="10"/>
      <c r="D41" s="10"/>
      <c r="E41" s="11"/>
      <c r="F41" s="9"/>
      <c r="G41" s="9"/>
      <c r="H41" s="9"/>
      <c r="I41" s="14" t="str">
        <f aca="true">IF($B41="","",IF($H41&lt;&gt;"","PAID",IF($G41="","SENT",IF(TODAY()&gt;$G41,"OVERDUE","SENT"))))</f>
        <v/>
      </c>
      <c r="J41" s="15" t="str">
        <f aca="true">IF($I41="OVERDUE",TODAY()-$G41,"")</f>
        <v/>
      </c>
    </row>
    <row r="42" customFormat="false" ht="15" hidden="false" customHeight="false" outlineLevel="0" collapsed="false">
      <c r="B42" s="10"/>
      <c r="C42" s="10"/>
      <c r="D42" s="10"/>
      <c r="E42" s="11"/>
      <c r="F42" s="9"/>
      <c r="G42" s="9"/>
      <c r="H42" s="9"/>
      <c r="I42" s="14" t="str">
        <f aca="true">IF($B42="","",IF($H42&lt;&gt;"","PAID",IF($G42="","SENT",IF(TODAY()&gt;$G42,"OVERDUE","SENT"))))</f>
        <v/>
      </c>
      <c r="J42" s="15" t="str">
        <f aca="true">IF($I42="OVERDUE",TODAY()-$G42,"")</f>
        <v/>
      </c>
    </row>
    <row r="43" customFormat="false" ht="15" hidden="false" customHeight="false" outlineLevel="0" collapsed="false">
      <c r="B43" s="10"/>
      <c r="C43" s="10"/>
      <c r="D43" s="10"/>
      <c r="E43" s="11"/>
      <c r="F43" s="9"/>
      <c r="G43" s="9"/>
      <c r="H43" s="9"/>
      <c r="I43" s="14" t="str">
        <f aca="true">IF($B43="","",IF($H43&lt;&gt;"","PAID",IF($G43="","SENT",IF(TODAY()&gt;$G43,"OVERDUE","SENT"))))</f>
        <v/>
      </c>
      <c r="J43" s="15" t="str">
        <f aca="true">IF($I43="OVERDUE",TODAY()-$G43,"")</f>
        <v/>
      </c>
    </row>
    <row r="44" customFormat="false" ht="15" hidden="false" customHeight="false" outlineLevel="0" collapsed="false">
      <c r="B44" s="10"/>
      <c r="C44" s="10"/>
      <c r="D44" s="10"/>
      <c r="E44" s="11"/>
      <c r="F44" s="9"/>
      <c r="G44" s="9"/>
      <c r="H44" s="9"/>
      <c r="I44" s="14" t="str">
        <f aca="true">IF($B44="","",IF($H44&lt;&gt;"","PAID",IF($G44="","SENT",IF(TODAY()&gt;$G44,"OVERDUE","SENT"))))</f>
        <v/>
      </c>
      <c r="J44" s="15" t="str">
        <f aca="true">IF($I44="OVERDUE",TODAY()-$G44,"")</f>
        <v/>
      </c>
    </row>
    <row r="45" customFormat="false" ht="15" hidden="false" customHeight="false" outlineLevel="0" collapsed="false">
      <c r="B45" s="10"/>
      <c r="C45" s="10"/>
      <c r="D45" s="10"/>
      <c r="E45" s="11"/>
      <c r="F45" s="9"/>
      <c r="G45" s="9"/>
      <c r="H45" s="9"/>
      <c r="I45" s="14" t="str">
        <f aca="true">IF($B45="","",IF($H45&lt;&gt;"","PAID",IF($G45="","SENT",IF(TODAY()&gt;$G45,"OVERDUE","SENT"))))</f>
        <v/>
      </c>
      <c r="J45" s="15" t="str">
        <f aca="true">IF($I45="OVERDUE",TODAY()-$G45,"")</f>
        <v/>
      </c>
    </row>
    <row r="46" customFormat="false" ht="15" hidden="false" customHeight="false" outlineLevel="0" collapsed="false">
      <c r="B46" s="10"/>
      <c r="C46" s="10"/>
      <c r="D46" s="10"/>
      <c r="E46" s="11"/>
      <c r="F46" s="9"/>
      <c r="G46" s="9"/>
      <c r="H46" s="9"/>
      <c r="I46" s="14" t="str">
        <f aca="true">IF($B46="","",IF($H46&lt;&gt;"","PAID",IF($G46="","SENT",IF(TODAY()&gt;$G46,"OVERDUE","SENT"))))</f>
        <v/>
      </c>
      <c r="J46" s="15" t="str">
        <f aca="true">IF($I46="OVERDUE",TODAY()-$G46,"")</f>
        <v/>
      </c>
    </row>
    <row r="47" customFormat="false" ht="15" hidden="false" customHeight="false" outlineLevel="0" collapsed="false">
      <c r="B47" s="10"/>
      <c r="C47" s="10"/>
      <c r="D47" s="10"/>
      <c r="E47" s="11"/>
      <c r="F47" s="9"/>
      <c r="G47" s="9"/>
      <c r="H47" s="9"/>
      <c r="I47" s="14" t="str">
        <f aca="true">IF($B47="","",IF($H47&lt;&gt;"","PAID",IF($G47="","SENT",IF(TODAY()&gt;$G47,"OVERDUE","SENT"))))</f>
        <v/>
      </c>
      <c r="J47" s="15" t="str">
        <f aca="true">IF($I47="OVERDUE",TODAY()-$G47,"")</f>
        <v/>
      </c>
    </row>
    <row r="48" customFormat="false" ht="15" hidden="false" customHeight="false" outlineLevel="0" collapsed="false">
      <c r="B48" s="10"/>
      <c r="C48" s="10"/>
      <c r="D48" s="10"/>
      <c r="E48" s="11"/>
      <c r="F48" s="9"/>
      <c r="G48" s="9"/>
      <c r="H48" s="9"/>
      <c r="I48" s="14" t="str">
        <f aca="true">IF($B48="","",IF($H48&lt;&gt;"","PAID",IF($G48="","SENT",IF(TODAY()&gt;$G48,"OVERDUE","SENT"))))</f>
        <v/>
      </c>
      <c r="J48" s="15" t="str">
        <f aca="true">IF($I48="OVERDUE",TODAY()-$G48,"")</f>
        <v/>
      </c>
    </row>
    <row r="49" customFormat="false" ht="15" hidden="false" customHeight="false" outlineLevel="0" collapsed="false">
      <c r="B49" s="10"/>
      <c r="C49" s="10"/>
      <c r="D49" s="10"/>
      <c r="E49" s="11"/>
      <c r="F49" s="9"/>
      <c r="G49" s="9"/>
      <c r="H49" s="9"/>
      <c r="I49" s="14" t="str">
        <f aca="true">IF($B49="","",IF($H49&lt;&gt;"","PAID",IF($G49="","SENT",IF(TODAY()&gt;$G49,"OVERDUE","SENT"))))</f>
        <v/>
      </c>
      <c r="J49" s="15" t="str">
        <f aca="true">IF($I49="OVERDUE",TODAY()-$G49,"")</f>
        <v/>
      </c>
    </row>
    <row r="50" customFormat="false" ht="15" hidden="false" customHeight="false" outlineLevel="0" collapsed="false">
      <c r="B50" s="10"/>
      <c r="C50" s="10"/>
      <c r="D50" s="10"/>
      <c r="E50" s="11"/>
      <c r="F50" s="9"/>
      <c r="G50" s="9"/>
      <c r="H50" s="9"/>
      <c r="I50" s="14" t="str">
        <f aca="true">IF($B50="","",IF($H50&lt;&gt;"","PAID",IF($G50="","SENT",IF(TODAY()&gt;$G50,"OVERDUE","SENT"))))</f>
        <v/>
      </c>
      <c r="J50" s="15" t="str">
        <f aca="true">IF($I50="OVERDUE",TODAY()-$G50,"")</f>
        <v/>
      </c>
    </row>
    <row r="51" customFormat="false" ht="15" hidden="false" customHeight="false" outlineLevel="0" collapsed="false">
      <c r="B51" s="10"/>
      <c r="C51" s="10"/>
      <c r="D51" s="10"/>
      <c r="E51" s="11"/>
      <c r="F51" s="9"/>
      <c r="G51" s="9"/>
      <c r="H51" s="9"/>
      <c r="I51" s="14" t="str">
        <f aca="true">IF($B51="","",IF($H51&lt;&gt;"","PAID",IF($G51="","SENT",IF(TODAY()&gt;$G51,"OVERDUE","SENT"))))</f>
        <v/>
      </c>
      <c r="J51" s="15" t="str">
        <f aca="true">IF($I51="OVERDUE",TODAY()-$G51,"")</f>
        <v/>
      </c>
    </row>
    <row r="52" customFormat="false" ht="15" hidden="false" customHeight="false" outlineLevel="0" collapsed="false">
      <c r="B52" s="10"/>
      <c r="C52" s="10"/>
      <c r="D52" s="10"/>
      <c r="E52" s="11"/>
      <c r="F52" s="9"/>
      <c r="G52" s="9"/>
      <c r="H52" s="9"/>
      <c r="I52" s="14" t="str">
        <f aca="true">IF($B52="","",IF($H52&lt;&gt;"","PAID",IF($G52="","SENT",IF(TODAY()&gt;$G52,"OVERDUE","SENT"))))</f>
        <v/>
      </c>
      <c r="J52" s="15" t="str">
        <f aca="true">IF($I52="OVERDUE",TODAY()-$G52,"")</f>
        <v/>
      </c>
    </row>
    <row r="53" customFormat="false" ht="15" hidden="false" customHeight="false" outlineLevel="0" collapsed="false">
      <c r="B53" s="10"/>
      <c r="C53" s="10"/>
      <c r="D53" s="10"/>
      <c r="E53" s="11"/>
      <c r="F53" s="9"/>
      <c r="G53" s="9"/>
      <c r="H53" s="9"/>
      <c r="I53" s="14" t="str">
        <f aca="true">IF($B53="","",IF($H53&lt;&gt;"","PAID",IF($G53="","SENT",IF(TODAY()&gt;$G53,"OVERDUE","SENT"))))</f>
        <v/>
      </c>
      <c r="J53" s="15" t="str">
        <f aca="true">IF($I53="OVERDUE",TODAY()-$G53,"")</f>
        <v/>
      </c>
    </row>
    <row r="54" customFormat="false" ht="15" hidden="false" customHeight="false" outlineLevel="0" collapsed="false">
      <c r="B54" s="10"/>
      <c r="C54" s="10"/>
      <c r="D54" s="10"/>
      <c r="E54" s="11"/>
      <c r="F54" s="9"/>
      <c r="G54" s="9"/>
      <c r="H54" s="9"/>
      <c r="I54" s="14" t="str">
        <f aca="true">IF($B54="","",IF($H54&lt;&gt;"","PAID",IF($G54="","SENT",IF(TODAY()&gt;$G54,"OVERDUE","SENT"))))</f>
        <v/>
      </c>
      <c r="J54" s="15" t="str">
        <f aca="true">IF($I54="OVERDUE",TODAY()-$G54,"")</f>
        <v/>
      </c>
    </row>
    <row r="55" customFormat="false" ht="15" hidden="false" customHeight="false" outlineLevel="0" collapsed="false">
      <c r="B55" s="10"/>
      <c r="C55" s="10"/>
      <c r="D55" s="10"/>
      <c r="E55" s="11"/>
      <c r="F55" s="9"/>
      <c r="G55" s="9"/>
      <c r="H55" s="9"/>
      <c r="I55" s="14" t="str">
        <f aca="true">IF($B55="","",IF($H55&lt;&gt;"","PAID",IF($G55="","SENT",IF(TODAY()&gt;$G55,"OVERDUE","SENT"))))</f>
        <v/>
      </c>
      <c r="J55" s="15" t="str">
        <f aca="true">IF($I55="OVERDUE",TODAY()-$G55,"")</f>
        <v/>
      </c>
    </row>
    <row r="56" customFormat="false" ht="15" hidden="false" customHeight="false" outlineLevel="0" collapsed="false">
      <c r="B56" s="10"/>
      <c r="C56" s="10"/>
      <c r="D56" s="10"/>
      <c r="E56" s="11"/>
      <c r="F56" s="9"/>
      <c r="G56" s="9"/>
      <c r="H56" s="9"/>
      <c r="I56" s="14" t="str">
        <f aca="true">IF($B56="","",IF($H56&lt;&gt;"","PAID",IF($G56="","SENT",IF(TODAY()&gt;$G56,"OVERDUE","SENT"))))</f>
        <v/>
      </c>
      <c r="J56" s="15" t="str">
        <f aca="true">IF($I56="OVERDUE",TODAY()-$G56,"")</f>
        <v/>
      </c>
    </row>
    <row r="57" customFormat="false" ht="15" hidden="false" customHeight="false" outlineLevel="0" collapsed="false">
      <c r="B57" s="10"/>
      <c r="C57" s="10"/>
      <c r="D57" s="10"/>
      <c r="E57" s="11"/>
      <c r="F57" s="9"/>
      <c r="G57" s="9"/>
      <c r="H57" s="9"/>
      <c r="I57" s="14" t="str">
        <f aca="true">IF($B57="","",IF($H57&lt;&gt;"","PAID",IF($G57="","SENT",IF(TODAY()&gt;$G57,"OVERDUE","SENT"))))</f>
        <v/>
      </c>
      <c r="J57" s="15" t="str">
        <f aca="true">IF($I57="OVERDUE",TODAY()-$G57,"")</f>
        <v/>
      </c>
    </row>
    <row r="58" customFormat="false" ht="15" hidden="false" customHeight="false" outlineLevel="0" collapsed="false">
      <c r="B58" s="10"/>
      <c r="C58" s="10"/>
      <c r="D58" s="10"/>
      <c r="E58" s="11"/>
      <c r="F58" s="9"/>
      <c r="G58" s="9"/>
      <c r="H58" s="9"/>
      <c r="I58" s="14" t="str">
        <f aca="true">IF($B58="","",IF($H58&lt;&gt;"","PAID",IF($G58="","SENT",IF(TODAY()&gt;$G58,"OVERDUE","SENT"))))</f>
        <v/>
      </c>
      <c r="J58" s="15" t="str">
        <f aca="true">IF($I58="OVERDUE",TODAY()-$G58,"")</f>
        <v/>
      </c>
    </row>
    <row r="59" customFormat="false" ht="15" hidden="false" customHeight="false" outlineLevel="0" collapsed="false">
      <c r="B59" s="10"/>
      <c r="C59" s="10"/>
      <c r="D59" s="10"/>
      <c r="E59" s="11"/>
      <c r="F59" s="9"/>
      <c r="G59" s="9"/>
      <c r="H59" s="9"/>
      <c r="I59" s="14" t="str">
        <f aca="true">IF($B59="","",IF($H59&lt;&gt;"","PAID",IF($G59="","SENT",IF(TODAY()&gt;$G59,"OVERDUE","SENT"))))</f>
        <v/>
      </c>
      <c r="J59" s="15" t="str">
        <f aca="true">IF($I59="OVERDUE",TODAY()-$G59,"")</f>
        <v/>
      </c>
    </row>
    <row r="60" customFormat="false" ht="15" hidden="false" customHeight="false" outlineLevel="0" collapsed="false">
      <c r="B60" s="10"/>
      <c r="C60" s="10"/>
      <c r="D60" s="10"/>
      <c r="E60" s="11"/>
      <c r="F60" s="9"/>
      <c r="G60" s="9"/>
      <c r="H60" s="9"/>
      <c r="I60" s="14" t="str">
        <f aca="true">IF($B60="","",IF($H60&lt;&gt;"","PAID",IF($G60="","SENT",IF(TODAY()&gt;$G60,"OVERDUE","SENT"))))</f>
        <v/>
      </c>
      <c r="J60" s="15" t="str">
        <f aca="true">IF($I60="OVERDUE",TODAY()-$G60,"")</f>
        <v/>
      </c>
    </row>
    <row r="61" customFormat="false" ht="15" hidden="false" customHeight="false" outlineLevel="0" collapsed="false">
      <c r="B61" s="10"/>
      <c r="C61" s="10"/>
      <c r="D61" s="10"/>
      <c r="E61" s="11"/>
      <c r="F61" s="9"/>
      <c r="G61" s="9"/>
      <c r="H61" s="9"/>
      <c r="I61" s="14" t="str">
        <f aca="true">IF($B61="","",IF($H61&lt;&gt;"","PAID",IF($G61="","SENT",IF(TODAY()&gt;$G61,"OVERDUE","SENT"))))</f>
        <v/>
      </c>
      <c r="J61" s="15" t="str">
        <f aca="true">IF($I61="OVERDUE",TODAY()-$G61,"")</f>
        <v/>
      </c>
    </row>
    <row r="62" customFormat="false" ht="15" hidden="false" customHeight="false" outlineLevel="0" collapsed="false">
      <c r="B62" s="10"/>
      <c r="C62" s="10"/>
      <c r="D62" s="10"/>
      <c r="E62" s="11"/>
      <c r="F62" s="9"/>
      <c r="G62" s="9"/>
      <c r="H62" s="9"/>
      <c r="I62" s="14" t="str">
        <f aca="true">IF($B62="","",IF($H62&lt;&gt;"","PAID",IF($G62="","SENT",IF(TODAY()&gt;$G62,"OVERDUE","SENT"))))</f>
        <v/>
      </c>
      <c r="J62" s="15" t="str">
        <f aca="true">IF($I62="OVERDUE",TODAY()-$G62,"")</f>
        <v/>
      </c>
    </row>
    <row r="63" customFormat="false" ht="15" hidden="false" customHeight="false" outlineLevel="0" collapsed="false">
      <c r="B63" s="10"/>
      <c r="C63" s="10"/>
      <c r="D63" s="10"/>
      <c r="E63" s="11"/>
      <c r="F63" s="9"/>
      <c r="G63" s="9"/>
      <c r="H63" s="9"/>
      <c r="I63" s="14" t="str">
        <f aca="true">IF($B63="","",IF($H63&lt;&gt;"","PAID",IF($G63="","SENT",IF(TODAY()&gt;$G63,"OVERDUE","SENT"))))</f>
        <v/>
      </c>
      <c r="J63" s="15" t="str">
        <f aca="true">IF($I63="OVERDUE",TODAY()-$G63,"")</f>
        <v/>
      </c>
    </row>
    <row r="64" customFormat="false" ht="15" hidden="false" customHeight="false" outlineLevel="0" collapsed="false">
      <c r="B64" s="10"/>
      <c r="C64" s="10"/>
      <c r="D64" s="10"/>
      <c r="E64" s="11"/>
      <c r="F64" s="9"/>
      <c r="G64" s="9"/>
      <c r="H64" s="9"/>
      <c r="I64" s="14" t="str">
        <f aca="true">IF($B64="","",IF($H64&lt;&gt;"","PAID",IF($G64="","SENT",IF(TODAY()&gt;$G64,"OVERDUE","SENT"))))</f>
        <v/>
      </c>
      <c r="J64" s="15" t="str">
        <f aca="true">IF($I64="OVERDUE",TODAY()-$G64,"")</f>
        <v/>
      </c>
    </row>
    <row r="65" customFormat="false" ht="15" hidden="false" customHeight="false" outlineLevel="0" collapsed="false">
      <c r="B65" s="10"/>
      <c r="C65" s="10"/>
      <c r="D65" s="10"/>
      <c r="E65" s="11"/>
      <c r="F65" s="9"/>
      <c r="G65" s="9"/>
      <c r="H65" s="9"/>
      <c r="I65" s="14" t="str">
        <f aca="true">IF($B65="","",IF($H65&lt;&gt;"","PAID",IF($G65="","SENT",IF(TODAY()&gt;$G65,"OVERDUE","SENT"))))</f>
        <v/>
      </c>
      <c r="J65" s="15" t="str">
        <f aca="true">IF($I65="OVERDUE",TODAY()-$G65,"")</f>
        <v/>
      </c>
    </row>
    <row r="66" customFormat="false" ht="15" hidden="false" customHeight="false" outlineLevel="0" collapsed="false">
      <c r="B66" s="10"/>
      <c r="C66" s="10"/>
      <c r="D66" s="10"/>
      <c r="E66" s="11"/>
      <c r="F66" s="9"/>
      <c r="G66" s="9"/>
      <c r="H66" s="9"/>
      <c r="I66" s="14" t="str">
        <f aca="true">IF($B66="","",IF($H66&lt;&gt;"","PAID",IF($G66="","SENT",IF(TODAY()&gt;$G66,"OVERDUE","SENT"))))</f>
        <v/>
      </c>
      <c r="J66" s="15" t="str">
        <f aca="true">IF($I66="OVERDUE",TODAY()-$G66,"")</f>
        <v/>
      </c>
    </row>
    <row r="67" customFormat="false" ht="15" hidden="false" customHeight="false" outlineLevel="0" collapsed="false">
      <c r="B67" s="10"/>
      <c r="C67" s="10"/>
      <c r="D67" s="10"/>
      <c r="E67" s="11"/>
      <c r="F67" s="9"/>
      <c r="G67" s="9"/>
      <c r="H67" s="9"/>
      <c r="I67" s="14" t="str">
        <f aca="true">IF($B67="","",IF($H67&lt;&gt;"","PAID",IF($G67="","SENT",IF(TODAY()&gt;$G67,"OVERDUE","SENT"))))</f>
        <v/>
      </c>
      <c r="J67" s="15" t="str">
        <f aca="true">IF($I67="OVERDUE",TODAY()-$G67,"")</f>
        <v/>
      </c>
    </row>
    <row r="68" customFormat="false" ht="15" hidden="false" customHeight="false" outlineLevel="0" collapsed="false">
      <c r="B68" s="10"/>
      <c r="C68" s="10"/>
      <c r="D68" s="10"/>
      <c r="E68" s="11"/>
      <c r="F68" s="9"/>
      <c r="G68" s="9"/>
      <c r="H68" s="9"/>
      <c r="I68" s="14" t="str">
        <f aca="true">IF($B68="","",IF($H68&lt;&gt;"","PAID",IF($G68="","SENT",IF(TODAY()&gt;$G68,"OVERDUE","SENT"))))</f>
        <v/>
      </c>
      <c r="J68" s="15" t="str">
        <f aca="true">IF($I68="OVERDUE",TODAY()-$G68,"")</f>
        <v/>
      </c>
    </row>
    <row r="69" customFormat="false" ht="15" hidden="false" customHeight="false" outlineLevel="0" collapsed="false">
      <c r="B69" s="10"/>
      <c r="C69" s="10"/>
      <c r="D69" s="10"/>
      <c r="E69" s="11"/>
      <c r="F69" s="9"/>
      <c r="G69" s="9"/>
      <c r="H69" s="9"/>
      <c r="I69" s="14" t="str">
        <f aca="true">IF($B69="","",IF($H69&lt;&gt;"","PAID",IF($G69="","SENT",IF(TODAY()&gt;$G69,"OVERDUE","SENT"))))</f>
        <v/>
      </c>
      <c r="J69" s="15" t="str">
        <f aca="true">IF($I69="OVERDUE",TODAY()-$G69,"")</f>
        <v/>
      </c>
    </row>
    <row r="70" customFormat="false" ht="15" hidden="false" customHeight="false" outlineLevel="0" collapsed="false">
      <c r="B70" s="10"/>
      <c r="C70" s="10"/>
      <c r="D70" s="10"/>
      <c r="E70" s="11"/>
      <c r="F70" s="9"/>
      <c r="G70" s="9"/>
      <c r="H70" s="9"/>
      <c r="I70" s="14" t="str">
        <f aca="true">IF($B70="","",IF($H70&lt;&gt;"","PAID",IF($G70="","SENT",IF(TODAY()&gt;$G70,"OVERDUE","SENT"))))</f>
        <v/>
      </c>
      <c r="J70" s="15" t="str">
        <f aca="true">IF($I70="OVERDUE",TODAY()-$G70,"")</f>
        <v/>
      </c>
    </row>
    <row r="71" customFormat="false" ht="15" hidden="false" customHeight="false" outlineLevel="0" collapsed="false">
      <c r="B71" s="10"/>
      <c r="C71" s="10"/>
      <c r="D71" s="10"/>
      <c r="E71" s="11"/>
      <c r="F71" s="9"/>
      <c r="G71" s="9"/>
      <c r="H71" s="9"/>
      <c r="I71" s="14" t="str">
        <f aca="true">IF($B71="","",IF($H71&lt;&gt;"","PAID",IF($G71="","SENT",IF(TODAY()&gt;$G71,"OVERDUE","SENT"))))</f>
        <v/>
      </c>
      <c r="J71" s="15" t="str">
        <f aca="true">IF($I71="OVERDUE",TODAY()-$G71,"")</f>
        <v/>
      </c>
    </row>
    <row r="72" customFormat="false" ht="15" hidden="false" customHeight="false" outlineLevel="0" collapsed="false">
      <c r="B72" s="10"/>
      <c r="C72" s="10"/>
      <c r="D72" s="10"/>
      <c r="E72" s="11"/>
      <c r="F72" s="9"/>
      <c r="G72" s="9"/>
      <c r="H72" s="9"/>
      <c r="I72" s="14" t="str">
        <f aca="true">IF($B72="","",IF($H72&lt;&gt;"","PAID",IF($G72="","SENT",IF(TODAY()&gt;$G72,"OVERDUE","SENT"))))</f>
        <v/>
      </c>
      <c r="J72" s="15" t="str">
        <f aca="true">IF($I72="OVERDUE",TODAY()-$G72,"")</f>
        <v/>
      </c>
    </row>
    <row r="73" customFormat="false" ht="15" hidden="false" customHeight="false" outlineLevel="0" collapsed="false">
      <c r="B73" s="10"/>
      <c r="C73" s="10"/>
      <c r="D73" s="10"/>
      <c r="E73" s="11"/>
      <c r="F73" s="9"/>
      <c r="G73" s="9"/>
      <c r="H73" s="9"/>
      <c r="I73" s="14" t="str">
        <f aca="true">IF($B73="","",IF($H73&lt;&gt;"","PAID",IF($G73="","SENT",IF(TODAY()&gt;$G73,"OVERDUE","SENT"))))</f>
        <v/>
      </c>
      <c r="J73" s="15" t="str">
        <f aca="true">IF($I73="OVERDUE",TODAY()-$G73,"")</f>
        <v/>
      </c>
    </row>
    <row r="74" customFormat="false" ht="15" hidden="false" customHeight="false" outlineLevel="0" collapsed="false">
      <c r="B74" s="10"/>
      <c r="C74" s="10"/>
      <c r="D74" s="10"/>
      <c r="E74" s="11"/>
      <c r="F74" s="9"/>
      <c r="G74" s="9"/>
      <c r="H74" s="9"/>
      <c r="I74" s="14" t="str">
        <f aca="true">IF($B74="","",IF($H74&lt;&gt;"","PAID",IF($G74="","SENT",IF(TODAY()&gt;$G74,"OVERDUE","SENT"))))</f>
        <v/>
      </c>
      <c r="J74" s="15" t="str">
        <f aca="true">IF($I74="OVERDUE",TODAY()-$G74,"")</f>
        <v/>
      </c>
    </row>
    <row r="75" customFormat="false" ht="15" hidden="false" customHeight="false" outlineLevel="0" collapsed="false">
      <c r="B75" s="10"/>
      <c r="C75" s="10"/>
      <c r="D75" s="10"/>
      <c r="E75" s="11"/>
      <c r="F75" s="9"/>
      <c r="G75" s="9"/>
      <c r="H75" s="9"/>
      <c r="I75" s="14" t="str">
        <f aca="true">IF($B75="","",IF($H75&lt;&gt;"","PAID",IF($G75="","SENT",IF(TODAY()&gt;$G75,"OVERDUE","SENT"))))</f>
        <v/>
      </c>
      <c r="J75" s="15" t="str">
        <f aca="true">IF($I75="OVERDUE",TODAY()-$G75,"")</f>
        <v/>
      </c>
    </row>
    <row r="76" customFormat="false" ht="15" hidden="false" customHeight="false" outlineLevel="0" collapsed="false">
      <c r="B76" s="10"/>
      <c r="C76" s="10"/>
      <c r="D76" s="10"/>
      <c r="E76" s="11"/>
      <c r="F76" s="9"/>
      <c r="G76" s="9"/>
      <c r="H76" s="9"/>
      <c r="I76" s="14" t="str">
        <f aca="true">IF($B76="","",IF($H76&lt;&gt;"","PAID",IF($G76="","SENT",IF(TODAY()&gt;$G76,"OVERDUE","SENT"))))</f>
        <v/>
      </c>
      <c r="J76" s="15" t="str">
        <f aca="true">IF($I76="OVERDUE",TODAY()-$G76,"")</f>
        <v/>
      </c>
    </row>
    <row r="77" customFormat="false" ht="15" hidden="false" customHeight="false" outlineLevel="0" collapsed="false">
      <c r="B77" s="10"/>
      <c r="C77" s="10"/>
      <c r="D77" s="10"/>
      <c r="E77" s="11"/>
      <c r="F77" s="9"/>
      <c r="G77" s="9"/>
      <c r="H77" s="9"/>
      <c r="I77" s="14" t="str">
        <f aca="true">IF($B77="","",IF($H77&lt;&gt;"","PAID",IF($G77="","SENT",IF(TODAY()&gt;$G77,"OVERDUE","SENT"))))</f>
        <v/>
      </c>
      <c r="J77" s="15" t="str">
        <f aca="true">IF($I77="OVERDUE",TODAY()-$G77,"")</f>
        <v/>
      </c>
    </row>
    <row r="78" customFormat="false" ht="15" hidden="false" customHeight="false" outlineLevel="0" collapsed="false">
      <c r="B78" s="10"/>
      <c r="C78" s="10"/>
      <c r="D78" s="10"/>
      <c r="E78" s="11"/>
      <c r="F78" s="9"/>
      <c r="G78" s="9"/>
      <c r="H78" s="9"/>
      <c r="I78" s="14" t="str">
        <f aca="true">IF($B78="","",IF($H78&lt;&gt;"","PAID",IF($G78="","SENT",IF(TODAY()&gt;$G78,"OVERDUE","SENT"))))</f>
        <v/>
      </c>
      <c r="J78" s="15" t="str">
        <f aca="true">IF($I78="OVERDUE",TODAY()-$G78,"")</f>
        <v/>
      </c>
    </row>
    <row r="79" customFormat="false" ht="15" hidden="false" customHeight="false" outlineLevel="0" collapsed="false">
      <c r="B79" s="10"/>
      <c r="C79" s="10"/>
      <c r="D79" s="10"/>
      <c r="E79" s="11"/>
      <c r="F79" s="9"/>
      <c r="G79" s="9"/>
      <c r="H79" s="9"/>
      <c r="I79" s="14" t="str">
        <f aca="true">IF($B79="","",IF($H79&lt;&gt;"","PAID",IF($G79="","SENT",IF(TODAY()&gt;$G79,"OVERDUE","SENT"))))</f>
        <v/>
      </c>
      <c r="J79" s="15" t="str">
        <f aca="true">IF($I79="OVERDUE",TODAY()-$G79,"")</f>
        <v/>
      </c>
    </row>
    <row r="80" customFormat="false" ht="15" hidden="false" customHeight="false" outlineLevel="0" collapsed="false">
      <c r="B80" s="10"/>
      <c r="C80" s="10"/>
      <c r="D80" s="10"/>
      <c r="E80" s="11"/>
      <c r="F80" s="9"/>
      <c r="G80" s="9"/>
      <c r="H80" s="9"/>
      <c r="I80" s="14" t="str">
        <f aca="true">IF($B80="","",IF($H80&lt;&gt;"","PAID",IF($G80="","SENT",IF(TODAY()&gt;$G80,"OVERDUE","SENT"))))</f>
        <v/>
      </c>
      <c r="J80" s="15" t="str">
        <f aca="true">IF($I80="OVERDUE",TODAY()-$G80,"")</f>
        <v/>
      </c>
    </row>
    <row r="81" customFormat="false" ht="15" hidden="false" customHeight="false" outlineLevel="0" collapsed="false">
      <c r="B81" s="10"/>
      <c r="C81" s="10"/>
      <c r="D81" s="10"/>
      <c r="E81" s="11"/>
      <c r="F81" s="9"/>
      <c r="G81" s="9"/>
      <c r="H81" s="9"/>
      <c r="I81" s="14" t="str">
        <f aca="true">IF($B81="","",IF($H81&lt;&gt;"","PAID",IF($G81="","SENT",IF(TODAY()&gt;$G81,"OVERDUE","SENT"))))</f>
        <v/>
      </c>
      <c r="J81" s="15" t="str">
        <f aca="true">IF($I81="OVERDUE",TODAY()-$G81,"")</f>
        <v/>
      </c>
    </row>
    <row r="82" customFormat="false" ht="15" hidden="false" customHeight="false" outlineLevel="0" collapsed="false">
      <c r="B82" s="10"/>
      <c r="C82" s="10"/>
      <c r="D82" s="10"/>
      <c r="E82" s="11"/>
      <c r="F82" s="9"/>
      <c r="G82" s="9"/>
      <c r="H82" s="9"/>
      <c r="I82" s="14" t="str">
        <f aca="true">IF($B82="","",IF($H82&lt;&gt;"","PAID",IF($G82="","SENT",IF(TODAY()&gt;$G82,"OVERDUE","SENT"))))</f>
        <v/>
      </c>
      <c r="J82" s="15" t="str">
        <f aca="true">IF($I82="OVERDUE",TODAY()-$G82,"")</f>
        <v/>
      </c>
    </row>
    <row r="83" customFormat="false" ht="15" hidden="false" customHeight="false" outlineLevel="0" collapsed="false">
      <c r="B83" s="10"/>
      <c r="C83" s="10"/>
      <c r="D83" s="10"/>
      <c r="E83" s="11"/>
      <c r="F83" s="9"/>
      <c r="G83" s="9"/>
      <c r="H83" s="9"/>
      <c r="I83" s="14" t="str">
        <f aca="true">IF($B83="","",IF($H83&lt;&gt;"","PAID",IF($G83="","SENT",IF(TODAY()&gt;$G83,"OVERDUE","SENT"))))</f>
        <v/>
      </c>
      <c r="J83" s="15" t="str">
        <f aca="true">IF($I83="OVERDUE",TODAY()-$G83,"")</f>
        <v/>
      </c>
    </row>
    <row r="84" customFormat="false" ht="15" hidden="false" customHeight="false" outlineLevel="0" collapsed="false">
      <c r="B84" s="10"/>
      <c r="C84" s="10"/>
      <c r="D84" s="10"/>
      <c r="E84" s="11"/>
      <c r="F84" s="9"/>
      <c r="G84" s="9"/>
      <c r="H84" s="9"/>
      <c r="I84" s="14" t="str">
        <f aca="true">IF($B84="","",IF($H84&lt;&gt;"","PAID",IF($G84="","SENT",IF(TODAY()&gt;$G84,"OVERDUE","SENT"))))</f>
        <v/>
      </c>
      <c r="J84" s="15" t="str">
        <f aca="true">IF($I84="OVERDUE",TODAY()-$G84,"")</f>
        <v/>
      </c>
    </row>
    <row r="85" customFormat="false" ht="15" hidden="false" customHeight="false" outlineLevel="0" collapsed="false">
      <c r="B85" s="10"/>
      <c r="C85" s="10"/>
      <c r="D85" s="10"/>
      <c r="E85" s="11"/>
      <c r="F85" s="9"/>
      <c r="G85" s="9"/>
      <c r="H85" s="9"/>
      <c r="I85" s="14" t="str">
        <f aca="true">IF($B85="","",IF($H85&lt;&gt;"","PAID",IF($G85="","SENT",IF(TODAY()&gt;$G85,"OVERDUE","SENT"))))</f>
        <v/>
      </c>
      <c r="J85" s="15" t="str">
        <f aca="true">IF($I85="OVERDUE",TODAY()-$G85,"")</f>
        <v/>
      </c>
    </row>
    <row r="86" customFormat="false" ht="15" hidden="false" customHeight="false" outlineLevel="0" collapsed="false">
      <c r="B86" s="10"/>
      <c r="C86" s="10"/>
      <c r="D86" s="10"/>
      <c r="E86" s="11"/>
      <c r="F86" s="9"/>
      <c r="G86" s="9"/>
      <c r="H86" s="9"/>
      <c r="I86" s="14" t="str">
        <f aca="true">IF($B86="","",IF($H86&lt;&gt;"","PAID",IF($G86="","SENT",IF(TODAY()&gt;$G86,"OVERDUE","SENT"))))</f>
        <v/>
      </c>
      <c r="J86" s="15" t="str">
        <f aca="true">IF($I86="OVERDUE",TODAY()-$G86,"")</f>
        <v/>
      </c>
    </row>
    <row r="87" customFormat="false" ht="15" hidden="false" customHeight="false" outlineLevel="0" collapsed="false">
      <c r="B87" s="10"/>
      <c r="C87" s="10"/>
      <c r="D87" s="10"/>
      <c r="E87" s="11"/>
      <c r="F87" s="9"/>
      <c r="G87" s="9"/>
      <c r="H87" s="9"/>
      <c r="I87" s="14" t="str">
        <f aca="true">IF($B87="","",IF($H87&lt;&gt;"","PAID",IF($G87="","SENT",IF(TODAY()&gt;$G87,"OVERDUE","SENT"))))</f>
        <v/>
      </c>
      <c r="J87" s="15" t="str">
        <f aca="true">IF($I87="OVERDUE",TODAY()-$G87,"")</f>
        <v/>
      </c>
    </row>
    <row r="88" customFormat="false" ht="15" hidden="false" customHeight="false" outlineLevel="0" collapsed="false">
      <c r="B88" s="10"/>
      <c r="C88" s="10"/>
      <c r="D88" s="10"/>
      <c r="E88" s="11"/>
      <c r="F88" s="9"/>
      <c r="G88" s="9"/>
      <c r="H88" s="9"/>
      <c r="I88" s="14" t="str">
        <f aca="true">IF($B88="","",IF($H88&lt;&gt;"","PAID",IF($G88="","SENT",IF(TODAY()&gt;$G88,"OVERDUE","SENT"))))</f>
        <v/>
      </c>
      <c r="J88" s="15" t="str">
        <f aca="true">IF($I88="OVERDUE",TODAY()-$G88,"")</f>
        <v/>
      </c>
    </row>
    <row r="89" customFormat="false" ht="15" hidden="false" customHeight="false" outlineLevel="0" collapsed="false">
      <c r="B89" s="10"/>
      <c r="C89" s="10"/>
      <c r="D89" s="10"/>
      <c r="E89" s="11"/>
      <c r="F89" s="9"/>
      <c r="G89" s="9"/>
      <c r="H89" s="9"/>
      <c r="I89" s="14" t="str">
        <f aca="true">IF($B89="","",IF($H89&lt;&gt;"","PAID",IF($G89="","SENT",IF(TODAY()&gt;$G89,"OVERDUE","SENT"))))</f>
        <v/>
      </c>
      <c r="J89" s="15" t="str">
        <f aca="true">IF($I89="OVERDUE",TODAY()-$G89,"")</f>
        <v/>
      </c>
    </row>
    <row r="90" customFormat="false" ht="15" hidden="false" customHeight="false" outlineLevel="0" collapsed="false">
      <c r="B90" s="10"/>
      <c r="C90" s="10"/>
      <c r="D90" s="10"/>
      <c r="E90" s="11"/>
      <c r="F90" s="9"/>
      <c r="G90" s="9"/>
      <c r="H90" s="9"/>
      <c r="I90" s="14" t="str">
        <f aca="true">IF($B90="","",IF($H90&lt;&gt;"","PAID",IF($G90="","SENT",IF(TODAY()&gt;$G90,"OVERDUE","SENT"))))</f>
        <v/>
      </c>
      <c r="J90" s="15" t="str">
        <f aca="true">IF($I90="OVERDUE",TODAY()-$G90,"")</f>
        <v/>
      </c>
    </row>
    <row r="91" customFormat="false" ht="15" hidden="false" customHeight="false" outlineLevel="0" collapsed="false">
      <c r="B91" s="10"/>
      <c r="C91" s="10"/>
      <c r="D91" s="10"/>
      <c r="E91" s="11"/>
      <c r="F91" s="9"/>
      <c r="G91" s="9"/>
      <c r="H91" s="9"/>
      <c r="I91" s="14" t="str">
        <f aca="true">IF($B91="","",IF($H91&lt;&gt;"","PAID",IF($G91="","SENT",IF(TODAY()&gt;$G91,"OVERDUE","SENT"))))</f>
        <v/>
      </c>
      <c r="J91" s="15" t="str">
        <f aca="true">IF($I91="OVERDUE",TODAY()-$G91,"")</f>
        <v/>
      </c>
    </row>
    <row r="92" customFormat="false" ht="15" hidden="false" customHeight="false" outlineLevel="0" collapsed="false">
      <c r="B92" s="10"/>
      <c r="C92" s="10"/>
      <c r="D92" s="10"/>
      <c r="E92" s="11"/>
      <c r="F92" s="9"/>
      <c r="G92" s="9"/>
      <c r="H92" s="9"/>
      <c r="I92" s="14" t="str">
        <f aca="true">IF($B92="","",IF($H92&lt;&gt;"","PAID",IF($G92="","SENT",IF(TODAY()&gt;$G92,"OVERDUE","SENT"))))</f>
        <v/>
      </c>
      <c r="J92" s="15" t="str">
        <f aca="true">IF($I92="OVERDUE",TODAY()-$G92,"")</f>
        <v/>
      </c>
    </row>
    <row r="93" customFormat="false" ht="15" hidden="false" customHeight="false" outlineLevel="0" collapsed="false">
      <c r="B93" s="10"/>
      <c r="C93" s="10"/>
      <c r="D93" s="10"/>
      <c r="E93" s="11"/>
      <c r="F93" s="9"/>
      <c r="G93" s="9"/>
      <c r="H93" s="9"/>
      <c r="I93" s="14" t="str">
        <f aca="true">IF($B93="","",IF($H93&lt;&gt;"","PAID",IF($G93="","SENT",IF(TODAY()&gt;$G93,"OVERDUE","SENT"))))</f>
        <v/>
      </c>
      <c r="J93" s="15" t="str">
        <f aca="true">IF($I93="OVERDUE",TODAY()-$G93,"")</f>
        <v/>
      </c>
    </row>
    <row r="94" customFormat="false" ht="15" hidden="false" customHeight="false" outlineLevel="0" collapsed="false">
      <c r="B94" s="10"/>
      <c r="C94" s="10"/>
      <c r="D94" s="10"/>
      <c r="E94" s="11"/>
      <c r="F94" s="9"/>
      <c r="G94" s="9"/>
      <c r="H94" s="9"/>
      <c r="I94" s="14" t="str">
        <f aca="true">IF($B94="","",IF($H94&lt;&gt;"","PAID",IF($G94="","SENT",IF(TODAY()&gt;$G94,"OVERDUE","SENT"))))</f>
        <v/>
      </c>
      <c r="J94" s="15" t="str">
        <f aca="true">IF($I94="OVERDUE",TODAY()-$G94,"")</f>
        <v/>
      </c>
    </row>
    <row r="95" customFormat="false" ht="15" hidden="false" customHeight="false" outlineLevel="0" collapsed="false">
      <c r="B95" s="10"/>
      <c r="C95" s="10"/>
      <c r="D95" s="10"/>
      <c r="E95" s="11"/>
      <c r="F95" s="9"/>
      <c r="G95" s="9"/>
      <c r="H95" s="9"/>
      <c r="I95" s="14" t="str">
        <f aca="true">IF($B95="","",IF($H95&lt;&gt;"","PAID",IF($G95="","SENT",IF(TODAY()&gt;$G95,"OVERDUE","SENT"))))</f>
        <v/>
      </c>
      <c r="J95" s="15" t="str">
        <f aca="true">IF($I95="OVERDUE",TODAY()-$G95,"")</f>
        <v/>
      </c>
    </row>
    <row r="96" customFormat="false" ht="15" hidden="false" customHeight="false" outlineLevel="0" collapsed="false">
      <c r="B96" s="10"/>
      <c r="C96" s="10"/>
      <c r="D96" s="10"/>
      <c r="E96" s="11"/>
      <c r="F96" s="9"/>
      <c r="G96" s="9"/>
      <c r="H96" s="9"/>
      <c r="I96" s="14" t="str">
        <f aca="true">IF($B96="","",IF($H96&lt;&gt;"","PAID",IF($G96="","SENT",IF(TODAY()&gt;$G96,"OVERDUE","SENT"))))</f>
        <v/>
      </c>
      <c r="J96" s="15" t="str">
        <f aca="true">IF($I96="OVERDUE",TODAY()-$G96,"")</f>
        <v/>
      </c>
    </row>
    <row r="97" customFormat="false" ht="15" hidden="false" customHeight="false" outlineLevel="0" collapsed="false">
      <c r="B97" s="10"/>
      <c r="C97" s="10"/>
      <c r="D97" s="10"/>
      <c r="E97" s="11"/>
      <c r="F97" s="9"/>
      <c r="G97" s="9"/>
      <c r="H97" s="9"/>
      <c r="I97" s="14" t="str">
        <f aca="true">IF($B97="","",IF($H97&lt;&gt;"","PAID",IF($G97="","SENT",IF(TODAY()&gt;$G97,"OVERDUE","SENT"))))</f>
        <v/>
      </c>
      <c r="J97" s="15" t="str">
        <f aca="true">IF($I97="OVERDUE",TODAY()-$G97,"")</f>
        <v/>
      </c>
    </row>
    <row r="98" customFormat="false" ht="15" hidden="false" customHeight="false" outlineLevel="0" collapsed="false">
      <c r="B98" s="10"/>
      <c r="C98" s="10"/>
      <c r="D98" s="10"/>
      <c r="E98" s="11"/>
      <c r="F98" s="9"/>
      <c r="G98" s="9"/>
      <c r="H98" s="9"/>
      <c r="I98" s="14" t="str">
        <f aca="true">IF($B98="","",IF($H98&lt;&gt;"","PAID",IF($G98="","SENT",IF(TODAY()&gt;$G98,"OVERDUE","SENT"))))</f>
        <v/>
      </c>
      <c r="J98" s="15" t="str">
        <f aca="true">IF($I98="OVERDUE",TODAY()-$G98,"")</f>
        <v/>
      </c>
    </row>
    <row r="99" customFormat="false" ht="15" hidden="false" customHeight="false" outlineLevel="0" collapsed="false">
      <c r="B99" s="10"/>
      <c r="C99" s="10"/>
      <c r="D99" s="10"/>
      <c r="E99" s="11"/>
      <c r="F99" s="9"/>
      <c r="G99" s="9"/>
      <c r="H99" s="9"/>
      <c r="I99" s="14" t="str">
        <f aca="true">IF($B99="","",IF($H99&lt;&gt;"","PAID",IF($G99="","SENT",IF(TODAY()&gt;$G99,"OVERDUE","SENT"))))</f>
        <v/>
      </c>
      <c r="J99" s="15" t="str">
        <f aca="true">IF($I99="OVERDUE",TODAY()-$G99,"")</f>
        <v/>
      </c>
    </row>
    <row r="100" customFormat="false" ht="15" hidden="false" customHeight="false" outlineLevel="0" collapsed="false">
      <c r="B100" s="10"/>
      <c r="C100" s="10"/>
      <c r="D100" s="10"/>
      <c r="E100" s="11"/>
      <c r="F100" s="9"/>
      <c r="G100" s="9"/>
      <c r="H100" s="9"/>
      <c r="I100" s="14" t="str">
        <f aca="true">IF($B100="","",IF($H100&lt;&gt;"","PAID",IF($G100="","SENT",IF(TODAY()&gt;$G100,"OVERDUE","SENT"))))</f>
        <v/>
      </c>
      <c r="J100" s="15" t="str">
        <f aca="true">IF($I100="OVERDUE",TODAY()-$G100,"")</f>
        <v/>
      </c>
    </row>
    <row r="101" customFormat="false" ht="15" hidden="false" customHeight="false" outlineLevel="0" collapsed="false">
      <c r="B101" s="10"/>
      <c r="C101" s="10"/>
      <c r="D101" s="10"/>
      <c r="E101" s="11"/>
      <c r="F101" s="9"/>
      <c r="G101" s="9"/>
      <c r="H101" s="9"/>
      <c r="I101" s="14" t="str">
        <f aca="true">IF($B101="","",IF($H101&lt;&gt;"","PAID",IF($G101="","SENT",IF(TODAY()&gt;$G101,"OVERDUE","SENT"))))</f>
        <v/>
      </c>
      <c r="J101" s="15" t="str">
        <f aca="true">IF($I101="OVERDUE",TODAY()-$G101,"")</f>
        <v/>
      </c>
    </row>
    <row r="102" customFormat="false" ht="15" hidden="false" customHeight="false" outlineLevel="0" collapsed="false">
      <c r="B102" s="10"/>
      <c r="C102" s="10"/>
      <c r="D102" s="10"/>
      <c r="E102" s="11"/>
      <c r="F102" s="9"/>
      <c r="G102" s="9"/>
      <c r="H102" s="9"/>
      <c r="I102" s="14" t="str">
        <f aca="true">IF($B102="","",IF($H102&lt;&gt;"","PAID",IF($G102="","SENT",IF(TODAY()&gt;$G102,"OVERDUE","SENT"))))</f>
        <v/>
      </c>
      <c r="J102" s="15" t="str">
        <f aca="true">IF($I102="OVERDUE",TODAY()-$G102,"")</f>
        <v/>
      </c>
    </row>
    <row r="103" customFormat="false" ht="15" hidden="false" customHeight="false" outlineLevel="0" collapsed="false">
      <c r="B103" s="10"/>
      <c r="C103" s="10"/>
      <c r="D103" s="10"/>
      <c r="E103" s="11"/>
      <c r="F103" s="9"/>
      <c r="G103" s="9"/>
      <c r="H103" s="9"/>
      <c r="I103" s="14" t="str">
        <f aca="true">IF($B103="","",IF($H103&lt;&gt;"","PAID",IF($G103="","SENT",IF(TODAY()&gt;$G103,"OVERDUE","SENT"))))</f>
        <v/>
      </c>
      <c r="J103" s="15" t="str">
        <f aca="true">IF($I103="OVERDUE",TODAY()-$G103,"")</f>
        <v/>
      </c>
    </row>
    <row r="104" customFormat="false" ht="15" hidden="false" customHeight="false" outlineLevel="0" collapsed="false">
      <c r="B104" s="10"/>
      <c r="C104" s="10"/>
      <c r="D104" s="10"/>
      <c r="E104" s="11"/>
      <c r="F104" s="9"/>
      <c r="G104" s="9"/>
      <c r="H104" s="9"/>
      <c r="I104" s="14" t="str">
        <f aca="true">IF($B104="","",IF($H104&lt;&gt;"","PAID",IF($G104="","SENT",IF(TODAY()&gt;$G104,"OVERDUE","SENT"))))</f>
        <v/>
      </c>
      <c r="J104" s="15" t="str">
        <f aca="true">IF($I104="OVERDUE",TODAY()-$G104,"")</f>
        <v/>
      </c>
    </row>
    <row r="105" customFormat="false" ht="15" hidden="false" customHeight="false" outlineLevel="0" collapsed="false">
      <c r="B105" s="10"/>
      <c r="C105" s="10"/>
      <c r="D105" s="10"/>
      <c r="E105" s="11"/>
      <c r="F105" s="9"/>
      <c r="G105" s="9"/>
      <c r="H105" s="9"/>
      <c r="I105" s="14" t="str">
        <f aca="true">IF($B105="","",IF($H105&lt;&gt;"","PAID",IF($G105="","SENT",IF(TODAY()&gt;$G105,"OVERDUE","SENT"))))</f>
        <v/>
      </c>
      <c r="J105" s="15" t="str">
        <f aca="true">IF($I105="OVERDUE",TODAY()-$G105,"")</f>
        <v/>
      </c>
    </row>
    <row r="106" customFormat="false" ht="15" hidden="false" customHeight="false" outlineLevel="0" collapsed="false">
      <c r="B106" s="10"/>
      <c r="C106" s="10"/>
      <c r="D106" s="10"/>
      <c r="E106" s="11"/>
      <c r="F106" s="9"/>
      <c r="G106" s="9"/>
      <c r="H106" s="9"/>
      <c r="I106" s="14" t="str">
        <f aca="true">IF($B106="","",IF($H106&lt;&gt;"","PAID",IF($G106="","SENT",IF(TODAY()&gt;$G106,"OVERDUE","SENT"))))</f>
        <v/>
      </c>
      <c r="J106" s="15" t="str">
        <f aca="true">IF($I106="OVERDUE",TODAY()-$G106,"")</f>
        <v/>
      </c>
    </row>
    <row r="107" customFormat="false" ht="15" hidden="false" customHeight="false" outlineLevel="0" collapsed="false">
      <c r="B107" s="10"/>
      <c r="C107" s="10"/>
      <c r="D107" s="10"/>
      <c r="E107" s="11"/>
      <c r="F107" s="9"/>
      <c r="G107" s="9"/>
      <c r="H107" s="9"/>
      <c r="I107" s="14" t="str">
        <f aca="true">IF($B107="","",IF($H107&lt;&gt;"","PAID",IF($G107="","SENT",IF(TODAY()&gt;$G107,"OVERDUE","SENT"))))</f>
        <v/>
      </c>
      <c r="J107" s="15" t="str">
        <f aca="true">IF($I107="OVERDUE",TODAY()-$G107,"")</f>
        <v/>
      </c>
    </row>
    <row r="108" customFormat="false" ht="15" hidden="false" customHeight="false" outlineLevel="0" collapsed="false">
      <c r="B108" s="10"/>
      <c r="C108" s="10"/>
      <c r="D108" s="10"/>
      <c r="E108" s="11"/>
      <c r="F108" s="9"/>
      <c r="G108" s="9"/>
      <c r="H108" s="9"/>
      <c r="I108" s="14" t="str">
        <f aca="true">IF($B108="","",IF($H108&lt;&gt;"","PAID",IF($G108="","SENT",IF(TODAY()&gt;$G108,"OVERDUE","SENT"))))</f>
        <v/>
      </c>
      <c r="J108" s="15" t="str">
        <f aca="true">IF($I108="OVERDUE",TODAY()-$G108,"")</f>
        <v/>
      </c>
    </row>
    <row r="109" customFormat="false" ht="15" hidden="false" customHeight="false" outlineLevel="0" collapsed="false">
      <c r="B109" s="10"/>
      <c r="C109" s="10"/>
      <c r="D109" s="10"/>
      <c r="E109" s="11"/>
      <c r="F109" s="9"/>
      <c r="G109" s="9"/>
      <c r="H109" s="9"/>
      <c r="I109" s="14" t="str">
        <f aca="true">IF($B109="","",IF($H109&lt;&gt;"","PAID",IF($G109="","SENT",IF(TODAY()&gt;$G109,"OVERDUE","SENT"))))</f>
        <v/>
      </c>
      <c r="J109" s="15" t="str">
        <f aca="true">IF($I109="OVERDUE",TODAY()-$G109,"")</f>
        <v/>
      </c>
    </row>
    <row r="110" customFormat="false" ht="15" hidden="false" customHeight="false" outlineLevel="0" collapsed="false">
      <c r="B110" s="10"/>
      <c r="C110" s="10"/>
      <c r="D110" s="10"/>
      <c r="E110" s="11"/>
      <c r="F110" s="9"/>
      <c r="G110" s="9"/>
      <c r="H110" s="9"/>
      <c r="I110" s="14" t="str">
        <f aca="true">IF($B110="","",IF($H110&lt;&gt;"","PAID",IF($G110="","SENT",IF(TODAY()&gt;$G110,"OVERDUE","SENT"))))</f>
        <v/>
      </c>
      <c r="J110" s="15" t="str">
        <f aca="true">IF($I110="OVERDUE",TODAY()-$G110,"")</f>
        <v/>
      </c>
    </row>
    <row r="112" customFormat="false" ht="15" hidden="false" customHeight="false" outlineLevel="0" collapsed="false">
      <c r="B112" s="7" t="s">
        <v>139</v>
      </c>
    </row>
  </sheetData>
  <mergeCells count="1">
    <mergeCell ref="B2:J2"/>
  </mergeCells>
  <conditionalFormatting sqref="I11:I110">
    <cfRule type="cellIs" priority="2" operator="equal" aboveAverage="0" equalAverage="0" bottom="0" percent="0" rank="0" text="" dxfId="0">
      <formula>"PAID"</formula>
    </cfRule>
    <cfRule type="cellIs" priority="3" operator="equal" aboveAverage="0" equalAverage="0" bottom="0" percent="0" rank="0" text="" dxfId="1">
      <formula>"SENT"</formula>
    </cfRule>
    <cfRule type="cellIs" priority="4" operator="equal" aboveAverage="0" equalAverage="0" bottom="0" percent="0" rank="0" text="" dxfId="2">
      <formula>"OVERDUE"</formula>
    </cfRule>
  </conditionalFormatting>
  <conditionalFormatting sqref="J11:J110">
    <cfRule type="cellIs" priority="5" operator="between" aboveAverage="0" equalAverage="0" bottom="0" percent="0" rank="0" text="" dxfId="1">
      <formula>1</formula>
      <formula>30</formula>
    </cfRule>
    <cfRule type="cellIs" priority="6" operator="greaterThan" aboveAverage="0" equalAverage="0" bottom="0" percent="0" rank="0" text="" dxfId="2">
      <formula>30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24"/>
  </cols>
  <sheetData>
    <row r="2" customFormat="false" ht="30" hidden="false" customHeight="true" outlineLevel="0" collapsed="false">
      <c r="B2" s="4" t="s">
        <v>140</v>
      </c>
      <c r="C2" s="4"/>
      <c r="D2" s="4"/>
      <c r="E2" s="4"/>
    </row>
    <row r="4" customFormat="false" ht="15" hidden="false" customHeight="false" outlineLevel="0" collapsed="false">
      <c r="B4" s="16" t="s">
        <v>141</v>
      </c>
    </row>
    <row r="5" customFormat="false" ht="15" hidden="false" customHeight="false" outlineLevel="0" collapsed="false">
      <c r="B5" s="7" t="s">
        <v>142</v>
      </c>
    </row>
    <row r="7" customFormat="false" ht="19.5" hidden="false" customHeight="true" outlineLevel="0" collapsed="false">
      <c r="B7" s="3" t="s">
        <v>143</v>
      </c>
      <c r="C7" s="3"/>
      <c r="D7" s="3"/>
      <c r="E7" s="3"/>
    </row>
    <row r="8" customFormat="false" ht="15" hidden="false" customHeight="false" outlineLevel="0" collapsed="false">
      <c r="B8" s="5" t="s">
        <v>144</v>
      </c>
      <c r="C8" s="6" t="n">
        <f aca="false">'Income &amp; Expense Ledger'!C4</f>
        <v>4650</v>
      </c>
    </row>
    <row r="9" customFormat="false" ht="15" hidden="false" customHeight="false" outlineLevel="0" collapsed="false">
      <c r="B9" s="5" t="s">
        <v>145</v>
      </c>
      <c r="C9" s="6" t="n">
        <f aca="false">'Income &amp; Expense Ledger'!C5</f>
        <v>725.46</v>
      </c>
    </row>
    <row r="10" customFormat="false" ht="15" hidden="false" customHeight="false" outlineLevel="0" collapsed="false">
      <c r="B10" s="5" t="s">
        <v>146</v>
      </c>
      <c r="C10" s="6" t="n">
        <f aca="false">'Mileage Log'!C6</f>
        <v>162.4</v>
      </c>
    </row>
    <row r="11" customFormat="false" ht="15" hidden="false" customHeight="false" outlineLevel="0" collapsed="false">
      <c r="B11" s="5" t="s">
        <v>147</v>
      </c>
      <c r="C11" s="6" t="n">
        <f aca="false">C8-C9-C10</f>
        <v>3762.14</v>
      </c>
    </row>
    <row r="13" customFormat="false" ht="19.5" hidden="false" customHeight="true" outlineLevel="0" collapsed="false">
      <c r="B13" s="3" t="s">
        <v>148</v>
      </c>
      <c r="C13" s="3"/>
      <c r="D13" s="3"/>
      <c r="E13" s="3"/>
    </row>
    <row r="14" customFormat="false" ht="15" hidden="false" customHeight="false" outlineLevel="0" collapsed="false">
      <c r="B14" s="5" t="s">
        <v>149</v>
      </c>
      <c r="C14" s="17" t="n">
        <v>0.9235</v>
      </c>
    </row>
    <row r="15" customFormat="false" ht="15" hidden="false" customHeight="false" outlineLevel="0" collapsed="false">
      <c r="B15" s="5" t="s">
        <v>150</v>
      </c>
      <c r="C15" s="17" t="n">
        <v>0.153</v>
      </c>
    </row>
    <row r="16" customFormat="false" ht="15" hidden="false" customHeight="false" outlineLevel="0" collapsed="false">
      <c r="B16" s="5" t="s">
        <v>151</v>
      </c>
      <c r="C16" s="17" t="n">
        <v>0.12</v>
      </c>
    </row>
    <row r="17" customFormat="false" ht="15" hidden="false" customHeight="false" outlineLevel="0" collapsed="false">
      <c r="B17" s="7" t="s">
        <v>152</v>
      </c>
    </row>
    <row r="19" customFormat="false" ht="19.5" hidden="false" customHeight="true" outlineLevel="0" collapsed="false">
      <c r="B19" s="3" t="s">
        <v>153</v>
      </c>
      <c r="C19" s="3"/>
      <c r="D19" s="3"/>
      <c r="E19" s="3"/>
    </row>
    <row r="20" customFormat="false" ht="15" hidden="false" customHeight="false" outlineLevel="0" collapsed="false">
      <c r="B20" s="5" t="s">
        <v>154</v>
      </c>
      <c r="C20" s="18" t="n">
        <f aca="false">MAX(0,$C$11)*$C$14</f>
        <v>3474.33629</v>
      </c>
    </row>
    <row r="21" customFormat="false" ht="15" hidden="false" customHeight="false" outlineLevel="0" collapsed="false">
      <c r="B21" s="5" t="s">
        <v>155</v>
      </c>
      <c r="C21" s="18" t="n">
        <f aca="false">$C$20*$C$15</f>
        <v>531.57345237</v>
      </c>
    </row>
    <row r="22" customFormat="false" ht="15" hidden="false" customHeight="false" outlineLevel="0" collapsed="false">
      <c r="B22" s="5" t="s">
        <v>156</v>
      </c>
      <c r="C22" s="18" t="n">
        <f aca="false">MAX(0,$C$11-$C$21/2)*$C$16</f>
        <v>419.5623928578</v>
      </c>
    </row>
    <row r="23" customFormat="false" ht="15" hidden="false" customHeight="false" outlineLevel="0" collapsed="false">
      <c r="B23" s="5" t="s">
        <v>157</v>
      </c>
      <c r="C23" s="6" t="n">
        <f aca="false">$C$21+$C$22</f>
        <v>951.1358452278</v>
      </c>
    </row>
    <row r="24" customFormat="false" ht="15" hidden="false" customHeight="false" outlineLevel="0" collapsed="false">
      <c r="B24" s="5" t="s">
        <v>158</v>
      </c>
      <c r="C24" s="19" t="n">
        <f aca="false">IFERROR($C$23/$C$8,0)</f>
        <v>0.204545343059742</v>
      </c>
    </row>
    <row r="25" customFormat="false" ht="15" hidden="false" customHeight="false" outlineLevel="0" collapsed="false">
      <c r="B25" s="5" t="s">
        <v>159</v>
      </c>
      <c r="C25" s="20" t="n">
        <f aca="false">IF($C$11&lt;=0,0,$C$23/$C$11)</f>
        <v>0.25281777</v>
      </c>
    </row>
    <row r="27" customFormat="false" ht="19.5" hidden="false" customHeight="true" outlineLevel="0" collapsed="false">
      <c r="B27" s="3" t="s">
        <v>160</v>
      </c>
      <c r="C27" s="3"/>
      <c r="D27" s="3"/>
      <c r="E27" s="3"/>
    </row>
    <row r="28" customFormat="false" ht="15" hidden="false" customHeight="false" outlineLevel="0" collapsed="false">
      <c r="B28" s="8" t="s">
        <v>161</v>
      </c>
      <c r="C28" s="8" t="s">
        <v>162</v>
      </c>
      <c r="D28" s="8" t="s">
        <v>163</v>
      </c>
    </row>
    <row r="29" customFormat="false" ht="15" hidden="false" customHeight="false" outlineLevel="0" collapsed="false">
      <c r="B29" s="12" t="s">
        <v>164</v>
      </c>
      <c r="C29" s="13" t="n">
        <f aca="false">SUMIFS('Income &amp; Expense Ledger'!$F$10:$F$209,'Income &amp; Expense Ledger'!$G$10:$G$209,"&gt;=1",'Income &amp; Expense Ledger'!$G$10:$G$209,"&lt;=3",'Income &amp; Expense Ledger'!$C$10:$C$209,"Income")-SUMIFS('Income &amp; Expense Ledger'!$F$10:$F$209,'Income &amp; Expense Ledger'!$G$10:$G$209,"&gt;=1",'Income &amp; Expense Ledger'!$G$10:$G$209,"&lt;=3",'Income &amp; Expense Ledger'!$C$10:$C$209,"Expense")-SUMIFS('Mileage Log'!$E$9:$E$208,'Mileage Log'!$F$9:$F$208,"&gt;=1",'Mileage Log'!$F$9:$F$208,"&lt;=3")</f>
        <v>3823.14</v>
      </c>
      <c r="D29" s="13" t="n">
        <f aca="false">MAX(0,$C29)*$C$25</f>
        <v>966.5577291978</v>
      </c>
    </row>
    <row r="30" customFormat="false" ht="15" hidden="false" customHeight="false" outlineLevel="0" collapsed="false">
      <c r="B30" s="12" t="s">
        <v>165</v>
      </c>
      <c r="C30" s="13" t="n">
        <f aca="false">SUMIFS('Income &amp; Expense Ledger'!$F$10:$F$209,'Income &amp; Expense Ledger'!$G$10:$G$209,"&gt;=4",'Income &amp; Expense Ledger'!$G$10:$G$209,"&lt;=6",'Income &amp; Expense Ledger'!$C$10:$C$209,"Income")-SUMIFS('Income &amp; Expense Ledger'!$F$10:$F$209,'Income &amp; Expense Ledger'!$G$10:$G$209,"&gt;=4",'Income &amp; Expense Ledger'!$G$10:$G$209,"&lt;=6",'Income &amp; Expense Ledger'!$C$10:$C$209,"Expense")-SUMIFS('Mileage Log'!$E$9:$E$208,'Mileage Log'!$F$9:$F$208,"&gt;=4",'Mileage Log'!$F$9:$F$208,"&lt;=6")</f>
        <v>-61</v>
      </c>
      <c r="D30" s="13" t="n">
        <f aca="false">MAX(0,$C30)*$C$25</f>
        <v>0</v>
      </c>
    </row>
    <row r="31" customFormat="false" ht="15" hidden="false" customHeight="false" outlineLevel="0" collapsed="false">
      <c r="B31" s="12" t="s">
        <v>166</v>
      </c>
      <c r="C31" s="13" t="n">
        <f aca="false">SUMIFS('Income &amp; Expense Ledger'!$F$10:$F$209,'Income &amp; Expense Ledger'!$G$10:$G$209,"&gt;=7",'Income &amp; Expense Ledger'!$G$10:$G$209,"&lt;=9",'Income &amp; Expense Ledger'!$C$10:$C$209,"Income")-SUMIFS('Income &amp; Expense Ledger'!$F$10:$F$209,'Income &amp; Expense Ledger'!$G$10:$G$209,"&gt;=7",'Income &amp; Expense Ledger'!$G$10:$G$209,"&lt;=9",'Income &amp; Expense Ledger'!$C$10:$C$209,"Expense")-SUMIFS('Mileage Log'!$E$9:$E$208,'Mileage Log'!$F$9:$F$208,"&gt;=7",'Mileage Log'!$F$9:$F$208,"&lt;=9")</f>
        <v>0</v>
      </c>
      <c r="D31" s="13" t="n">
        <f aca="false">MAX(0,$C31)*$C$25</f>
        <v>0</v>
      </c>
    </row>
    <row r="32" customFormat="false" ht="15" hidden="false" customHeight="false" outlineLevel="0" collapsed="false">
      <c r="B32" s="12" t="s">
        <v>167</v>
      </c>
      <c r="C32" s="13" t="n">
        <f aca="false">SUMIFS('Income &amp; Expense Ledger'!$F$10:$F$209,'Income &amp; Expense Ledger'!$G$10:$G$209,"&gt;=10",'Income &amp; Expense Ledger'!$G$10:$G$209,"&lt;=12",'Income &amp; Expense Ledger'!$C$10:$C$209,"Income")-SUMIFS('Income &amp; Expense Ledger'!$F$10:$F$209,'Income &amp; Expense Ledger'!$G$10:$G$209,"&gt;=10",'Income &amp; Expense Ledger'!$G$10:$G$209,"&lt;=12",'Income &amp; Expense Ledger'!$C$10:$C$209,"Expense")-SUMIFS('Mileage Log'!$E$9:$E$208,'Mileage Log'!$F$9:$F$208,"&gt;=10",'Mileage Log'!$F$9:$F$208,"&lt;=12")</f>
        <v>0</v>
      </c>
      <c r="D32" s="13" t="n">
        <f aca="false">MAX(0,$C32)*$C$25</f>
        <v>0</v>
      </c>
    </row>
    <row r="33" customFormat="false" ht="15" hidden="false" customHeight="false" outlineLevel="0" collapsed="false">
      <c r="B33" s="8" t="s">
        <v>78</v>
      </c>
      <c r="C33" s="6" t="n">
        <f aca="false">SUM(C29:C32)</f>
        <v>3762.14</v>
      </c>
      <c r="D33" s="6" t="n">
        <f aca="false">SUM(D29:D32)</f>
        <v>966.5577291978</v>
      </c>
    </row>
    <row r="35" customFormat="false" ht="15" hidden="false" customHeight="false" outlineLevel="0" collapsed="false">
      <c r="B35" s="7" t="s">
        <v>168</v>
      </c>
    </row>
    <row r="36" customFormat="false" ht="15" hidden="false" customHeight="false" outlineLevel="0" collapsed="false">
      <c r="B36" s="7" t="s">
        <v>169</v>
      </c>
    </row>
    <row r="38" customFormat="false" ht="15" hidden="false" customHeight="false" outlineLevel="0" collapsed="false">
      <c r="B38" s="16" t="s">
        <v>170</v>
      </c>
    </row>
  </sheetData>
  <mergeCells count="5">
    <mergeCell ref="B2:E2"/>
    <mergeCell ref="B7:E7"/>
    <mergeCell ref="B13:E13"/>
    <mergeCell ref="B19:E19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5" min="3" style="0" width="14"/>
    <col collapsed="false" customWidth="true" hidden="false" outlineLevel="0" max="6" min="6" style="0" width="11"/>
  </cols>
  <sheetData>
    <row r="2" customFormat="false" ht="30" hidden="false" customHeight="true" outlineLevel="0" collapsed="false">
      <c r="B2" s="4" t="s">
        <v>171</v>
      </c>
      <c r="C2" s="4"/>
      <c r="D2" s="4"/>
      <c r="E2" s="4"/>
      <c r="F2" s="4"/>
    </row>
    <row r="4" customFormat="false" ht="15" hidden="false" customHeight="false" outlineLevel="0" collapsed="false">
      <c r="B4" s="7" t="s">
        <v>172</v>
      </c>
    </row>
    <row r="6" customFormat="false" ht="15" hidden="false" customHeight="false" outlineLevel="0" collapsed="false">
      <c r="B6" s="8" t="s">
        <v>43</v>
      </c>
      <c r="C6" s="8" t="s">
        <v>44</v>
      </c>
      <c r="D6" s="8" t="s">
        <v>45</v>
      </c>
      <c r="E6" s="8" t="s">
        <v>162</v>
      </c>
      <c r="F6" s="8" t="s">
        <v>173</v>
      </c>
    </row>
    <row r="7" customFormat="false" ht="15" hidden="false" customHeight="false" outlineLevel="0" collapsed="false">
      <c r="B7" s="12" t="s">
        <v>50</v>
      </c>
      <c r="C7" s="13" t="n">
        <f aca="false">'Income &amp; Expense Ledger'!J10</f>
        <v>1500</v>
      </c>
      <c r="D7" s="13" t="n">
        <f aca="false">'Income &amp; Expense Ledger'!K10</f>
        <v>205.63</v>
      </c>
      <c r="E7" s="13" t="n">
        <f aca="false">IF(AND(C7=0,D7=0),"",C7-D7)</f>
        <v>1294.37</v>
      </c>
      <c r="F7" s="21" t="n">
        <f aca="false">IF(OR(C7=0,E7=""),"",E7/C7)</f>
        <v>0.862913333333333</v>
      </c>
    </row>
    <row r="8" customFormat="false" ht="15" hidden="false" customHeight="false" outlineLevel="0" collapsed="false">
      <c r="B8" s="12" t="s">
        <v>52</v>
      </c>
      <c r="C8" s="13" t="n">
        <f aca="false">'Income &amp; Expense Ledger'!J11</f>
        <v>1520</v>
      </c>
      <c r="D8" s="13" t="n">
        <f aca="false">'Income &amp; Expense Ledger'!K11</f>
        <v>238.24</v>
      </c>
      <c r="E8" s="13" t="n">
        <f aca="false">IF(AND(C8=0,D8=0),"",C8-D8)</f>
        <v>1281.76</v>
      </c>
      <c r="F8" s="21" t="n">
        <f aca="false">IF(OR(C8=0,E8=""),"",E8/C8)</f>
        <v>0.843263157894737</v>
      </c>
    </row>
    <row r="9" customFormat="false" ht="15" hidden="false" customHeight="false" outlineLevel="0" collapsed="false">
      <c r="B9" s="12" t="s">
        <v>56</v>
      </c>
      <c r="C9" s="13" t="n">
        <f aca="false">'Income &amp; Expense Ledger'!J12</f>
        <v>1630</v>
      </c>
      <c r="D9" s="13" t="n">
        <f aca="false">'Income &amp; Expense Ledger'!K12</f>
        <v>220.59</v>
      </c>
      <c r="E9" s="13" t="n">
        <f aca="false">IF(AND(C9=0,D9=0),"",C9-D9)</f>
        <v>1409.41</v>
      </c>
      <c r="F9" s="21" t="n">
        <f aca="false">IF(OR(C9=0,E9=""),"",E9/C9)</f>
        <v>0.864668711656442</v>
      </c>
    </row>
    <row r="10" customFormat="false" ht="15" hidden="false" customHeight="false" outlineLevel="0" collapsed="false">
      <c r="B10" s="12" t="s">
        <v>59</v>
      </c>
      <c r="C10" s="13" t="n">
        <f aca="false">'Income &amp; Expense Ledger'!J13</f>
        <v>0</v>
      </c>
      <c r="D10" s="13" t="n">
        <f aca="false">'Income &amp; Expense Ledger'!K13</f>
        <v>61</v>
      </c>
      <c r="E10" s="13" t="n">
        <f aca="false">IF(AND(C10=0,D10=0),"",C10-D10)</f>
        <v>-61</v>
      </c>
      <c r="F10" s="21" t="str">
        <f aca="false">IF(OR(C10=0,E10=""),"",E10/C10)</f>
        <v/>
      </c>
    </row>
    <row r="11" customFormat="false" ht="15" hidden="false" customHeight="false" outlineLevel="0" collapsed="false">
      <c r="B11" s="12" t="s">
        <v>61</v>
      </c>
      <c r="C11" s="13" t="n">
        <f aca="false">'Income &amp; Expense Ledger'!J14</f>
        <v>0</v>
      </c>
      <c r="D11" s="13" t="n">
        <f aca="false">'Income &amp; Expense Ledger'!K14</f>
        <v>0</v>
      </c>
      <c r="E11" s="13" t="str">
        <f aca="false">IF(AND(C11=0,D11=0),"",C11-D11)</f>
        <v/>
      </c>
      <c r="F11" s="21" t="str">
        <f aca="false">IF(OR(C11=0,E11=""),"",E11/C11)</f>
        <v/>
      </c>
    </row>
    <row r="12" customFormat="false" ht="15" hidden="false" customHeight="false" outlineLevel="0" collapsed="false">
      <c r="B12" s="12" t="s">
        <v>64</v>
      </c>
      <c r="C12" s="13" t="n">
        <f aca="false">'Income &amp; Expense Ledger'!J15</f>
        <v>0</v>
      </c>
      <c r="D12" s="13" t="n">
        <f aca="false">'Income &amp; Expense Ledger'!K15</f>
        <v>0</v>
      </c>
      <c r="E12" s="13" t="str">
        <f aca="false">IF(AND(C12=0,D12=0),"",C12-D12)</f>
        <v/>
      </c>
      <c r="F12" s="21" t="str">
        <f aca="false">IF(OR(C12=0,E12=""),"",E12/C12)</f>
        <v/>
      </c>
    </row>
    <row r="13" customFormat="false" ht="15" hidden="false" customHeight="false" outlineLevel="0" collapsed="false">
      <c r="B13" s="12" t="s">
        <v>67</v>
      </c>
      <c r="C13" s="13" t="n">
        <f aca="false">'Income &amp; Expense Ledger'!J16</f>
        <v>0</v>
      </c>
      <c r="D13" s="13" t="n">
        <f aca="false">'Income &amp; Expense Ledger'!K16</f>
        <v>0</v>
      </c>
      <c r="E13" s="13" t="str">
        <f aca="false">IF(AND(C13=0,D13=0),"",C13-D13)</f>
        <v/>
      </c>
      <c r="F13" s="21" t="str">
        <f aca="false">IF(OR(C13=0,E13=""),"",E13/C13)</f>
        <v/>
      </c>
    </row>
    <row r="14" customFormat="false" ht="15" hidden="false" customHeight="false" outlineLevel="0" collapsed="false">
      <c r="B14" s="12" t="s">
        <v>69</v>
      </c>
      <c r="C14" s="13" t="n">
        <f aca="false">'Income &amp; Expense Ledger'!J17</f>
        <v>0</v>
      </c>
      <c r="D14" s="13" t="n">
        <f aca="false">'Income &amp; Expense Ledger'!K17</f>
        <v>0</v>
      </c>
      <c r="E14" s="13" t="str">
        <f aca="false">IF(AND(C14=0,D14=0),"",C14-D14)</f>
        <v/>
      </c>
      <c r="F14" s="21" t="str">
        <f aca="false">IF(OR(C14=0,E14=""),"",E14/C14)</f>
        <v/>
      </c>
    </row>
    <row r="15" customFormat="false" ht="15" hidden="false" customHeight="false" outlineLevel="0" collapsed="false">
      <c r="B15" s="12" t="s">
        <v>71</v>
      </c>
      <c r="C15" s="13" t="n">
        <f aca="false">'Income &amp; Expense Ledger'!J18</f>
        <v>0</v>
      </c>
      <c r="D15" s="13" t="n">
        <f aca="false">'Income &amp; Expense Ledger'!K18</f>
        <v>0</v>
      </c>
      <c r="E15" s="13" t="str">
        <f aca="false">IF(AND(C15=0,D15=0),"",C15-D15)</f>
        <v/>
      </c>
      <c r="F15" s="21" t="str">
        <f aca="false">IF(OR(C15=0,E15=""),"",E15/C15)</f>
        <v/>
      </c>
    </row>
    <row r="16" customFormat="false" ht="15" hidden="false" customHeight="false" outlineLevel="0" collapsed="false">
      <c r="B16" s="12" t="s">
        <v>73</v>
      </c>
      <c r="C16" s="13" t="n">
        <f aca="false">'Income &amp; Expense Ledger'!J19</f>
        <v>0</v>
      </c>
      <c r="D16" s="13" t="n">
        <f aca="false">'Income &amp; Expense Ledger'!K19</f>
        <v>0</v>
      </c>
      <c r="E16" s="13" t="str">
        <f aca="false">IF(AND(C16=0,D16=0),"",C16-D16)</f>
        <v/>
      </c>
      <c r="F16" s="21" t="str">
        <f aca="false">IF(OR(C16=0,E16=""),"",E16/C16)</f>
        <v/>
      </c>
    </row>
    <row r="17" customFormat="false" ht="15" hidden="false" customHeight="false" outlineLevel="0" collapsed="false">
      <c r="B17" s="12" t="s">
        <v>75</v>
      </c>
      <c r="C17" s="13" t="n">
        <f aca="false">'Income &amp; Expense Ledger'!J20</f>
        <v>0</v>
      </c>
      <c r="D17" s="13" t="n">
        <f aca="false">'Income &amp; Expense Ledger'!K20</f>
        <v>0</v>
      </c>
      <c r="E17" s="13" t="str">
        <f aca="false">IF(AND(C17=0,D17=0),"",C17-D17)</f>
        <v/>
      </c>
      <c r="F17" s="21" t="str">
        <f aca="false">IF(OR(C17=0,E17=""),"",E17/C17)</f>
        <v/>
      </c>
    </row>
    <row r="18" customFormat="false" ht="15" hidden="false" customHeight="false" outlineLevel="0" collapsed="false">
      <c r="B18" s="12" t="s">
        <v>76</v>
      </c>
      <c r="C18" s="13" t="n">
        <f aca="false">'Income &amp; Expense Ledger'!J21</f>
        <v>0</v>
      </c>
      <c r="D18" s="13" t="n">
        <f aca="false">'Income &amp; Expense Ledger'!K21</f>
        <v>0</v>
      </c>
      <c r="E18" s="13" t="str">
        <f aca="false">IF(AND(C18=0,D18=0),"",C18-D18)</f>
        <v/>
      </c>
      <c r="F18" s="21" t="str">
        <f aca="false">IF(OR(C18=0,E18=""),"",E18/C18)</f>
        <v/>
      </c>
    </row>
    <row r="19" customFormat="false" ht="15" hidden="false" customHeight="false" outlineLevel="0" collapsed="false">
      <c r="B19" s="8" t="s">
        <v>78</v>
      </c>
      <c r="C19" s="6" t="n">
        <f aca="false">SUM(C7:C18)</f>
        <v>4650</v>
      </c>
      <c r="D19" s="6" t="n">
        <f aca="false">SUM(D7:D18)</f>
        <v>725.46</v>
      </c>
      <c r="E19" s="6" t="n">
        <f aca="false">C19-D19</f>
        <v>3924.54</v>
      </c>
      <c r="F19" s="19" t="n">
        <f aca="false">IF(C19=0,"",E19/C19)</f>
        <v>0.843987096774194</v>
      </c>
    </row>
    <row r="21" customFormat="false" ht="15" hidden="false" customHeight="false" outlineLevel="0" collapsed="false">
      <c r="B21" s="5" t="s">
        <v>174</v>
      </c>
      <c r="C21" s="6" t="n">
        <f aca="false">MAX(E7:E18)</f>
        <v>1409.41</v>
      </c>
    </row>
    <row r="22" customFormat="false" ht="15" hidden="false" customHeight="false" outlineLevel="0" collapsed="false">
      <c r="B22" s="5" t="s">
        <v>175</v>
      </c>
      <c r="C22" s="6" t="n">
        <f aca="false">IFERROR(AVERAGEIF(C7:C18,"&gt;0",E7:E18),0)</f>
        <v>1328.51333333333</v>
      </c>
    </row>
    <row r="24" customFormat="false" ht="15" hidden="false" customHeight="false" outlineLevel="0" collapsed="false">
      <c r="B24" s="7" t="s">
        <v>176</v>
      </c>
    </row>
  </sheetData>
  <mergeCells count="1">
    <mergeCell ref="B2:F2"/>
  </mergeCells>
  <conditionalFormatting sqref="E7:E19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  <cfRule type="cellIs" priority="4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6"/>
  </cols>
  <sheetData>
    <row r="2" customFormat="false" ht="30" hidden="false" customHeight="true" outlineLevel="0" collapsed="false">
      <c r="B2" s="4" t="s">
        <v>177</v>
      </c>
      <c r="C2" s="4"/>
      <c r="D2" s="4"/>
      <c r="E2" s="4"/>
      <c r="F2" s="4"/>
    </row>
    <row r="4" customFormat="false" ht="15" hidden="false" customHeight="false" outlineLevel="0" collapsed="false">
      <c r="B4" s="5" t="s">
        <v>178</v>
      </c>
      <c r="C4" s="22" t="n">
        <v>0.7</v>
      </c>
      <c r="D4" s="7" t="s">
        <v>179</v>
      </c>
    </row>
    <row r="5" customFormat="false" ht="15" hidden="false" customHeight="false" outlineLevel="0" collapsed="false">
      <c r="B5" s="5" t="s">
        <v>180</v>
      </c>
      <c r="C5" s="23" t="n">
        <f aca="false">SUM($D$9:$D$208)</f>
        <v>232</v>
      </c>
    </row>
    <row r="6" customFormat="false" ht="15" hidden="false" customHeight="false" outlineLevel="0" collapsed="false">
      <c r="B6" s="5" t="s">
        <v>181</v>
      </c>
      <c r="C6" s="6" t="n">
        <f aca="false">SUM($E$9:$E$208)</f>
        <v>162.4</v>
      </c>
    </row>
    <row r="8" customFormat="false" ht="15" hidden="false" customHeight="false" outlineLevel="0" collapsed="false">
      <c r="B8" s="8" t="s">
        <v>37</v>
      </c>
      <c r="C8" s="8" t="s">
        <v>182</v>
      </c>
      <c r="D8" s="8" t="s">
        <v>183</v>
      </c>
      <c r="E8" s="8" t="s">
        <v>184</v>
      </c>
      <c r="F8" s="8" t="s">
        <v>42</v>
      </c>
    </row>
    <row r="9" customFormat="false" ht="15" hidden="false" customHeight="false" outlineLevel="0" collapsed="false">
      <c r="B9" s="9" t="n">
        <v>46028</v>
      </c>
      <c r="C9" s="10" t="s">
        <v>185</v>
      </c>
      <c r="D9" s="24" t="n">
        <v>18</v>
      </c>
      <c r="E9" s="13" t="n">
        <f aca="false">IF($D9="","",ROUND($D9*$C$4,2))</f>
        <v>12.6</v>
      </c>
      <c r="F9" s="12" t="n">
        <f aca="false">IF($B9="","",MONTH($B9))</f>
        <v>1</v>
      </c>
    </row>
    <row r="10" customFormat="false" ht="15" hidden="false" customHeight="false" outlineLevel="0" collapsed="false">
      <c r="B10" s="9" t="n">
        <v>46031</v>
      </c>
      <c r="C10" s="10" t="s">
        <v>186</v>
      </c>
      <c r="D10" s="24" t="n">
        <v>24</v>
      </c>
      <c r="E10" s="13" t="n">
        <f aca="false">IF($D10="","",ROUND($D10*$C$4,2))</f>
        <v>16.8</v>
      </c>
      <c r="F10" s="12" t="n">
        <f aca="false">IF($B10="","",MONTH($B10))</f>
        <v>1</v>
      </c>
    </row>
    <row r="11" customFormat="false" ht="15" hidden="false" customHeight="false" outlineLevel="0" collapsed="false">
      <c r="B11" s="9" t="n">
        <v>46042</v>
      </c>
      <c r="C11" s="10" t="s">
        <v>187</v>
      </c>
      <c r="D11" s="24" t="n">
        <v>31</v>
      </c>
      <c r="E11" s="13" t="n">
        <f aca="false">IF($D11="","",ROUND($D11*$C$4,2))</f>
        <v>21.7</v>
      </c>
      <c r="F11" s="12" t="n">
        <f aca="false">IF($B11="","",MONTH($B11))</f>
        <v>1</v>
      </c>
    </row>
    <row r="12" customFormat="false" ht="15" hidden="false" customHeight="false" outlineLevel="0" collapsed="false">
      <c r="B12" s="9" t="n">
        <v>46056</v>
      </c>
      <c r="C12" s="10" t="s">
        <v>185</v>
      </c>
      <c r="D12" s="24" t="n">
        <v>18</v>
      </c>
      <c r="E12" s="13" t="n">
        <f aca="false">IF($D12="","",ROUND($D12*$C$4,2))</f>
        <v>12.6</v>
      </c>
      <c r="F12" s="12" t="n">
        <f aca="false">IF($B12="","",MONTH($B12))</f>
        <v>2</v>
      </c>
    </row>
    <row r="13" customFormat="false" ht="15" hidden="false" customHeight="false" outlineLevel="0" collapsed="false">
      <c r="B13" s="9" t="n">
        <v>46063</v>
      </c>
      <c r="C13" s="10" t="s">
        <v>188</v>
      </c>
      <c r="D13" s="24" t="n">
        <v>42</v>
      </c>
      <c r="E13" s="13" t="n">
        <f aca="false">IF($D13="","",ROUND($D13*$C$4,2))</f>
        <v>29.4</v>
      </c>
      <c r="F13" s="12" t="n">
        <f aca="false">IF($B13="","",MONTH($B13))</f>
        <v>2</v>
      </c>
    </row>
    <row r="14" customFormat="false" ht="15" hidden="false" customHeight="false" outlineLevel="0" collapsed="false">
      <c r="B14" s="9" t="n">
        <v>46080</v>
      </c>
      <c r="C14" s="10" t="s">
        <v>189</v>
      </c>
      <c r="D14" s="24" t="n">
        <v>31</v>
      </c>
      <c r="E14" s="13" t="n">
        <f aca="false">IF($D14="","",ROUND($D14*$C$4,2))</f>
        <v>21.7</v>
      </c>
      <c r="F14" s="12" t="n">
        <f aca="false">IF($B14="","",MONTH($B14))</f>
        <v>2</v>
      </c>
    </row>
    <row r="15" customFormat="false" ht="15" hidden="false" customHeight="false" outlineLevel="0" collapsed="false">
      <c r="B15" s="9" t="n">
        <v>46090</v>
      </c>
      <c r="C15" s="10" t="s">
        <v>188</v>
      </c>
      <c r="D15" s="24" t="n">
        <v>42</v>
      </c>
      <c r="E15" s="13" t="n">
        <f aca="false">IF($D15="","",ROUND($D15*$C$4,2))</f>
        <v>29.4</v>
      </c>
      <c r="F15" s="12" t="n">
        <f aca="false">IF($B15="","",MONTH($B15))</f>
        <v>3</v>
      </c>
    </row>
    <row r="16" customFormat="false" ht="15" hidden="false" customHeight="false" outlineLevel="0" collapsed="false">
      <c r="B16" s="9" t="n">
        <v>46101</v>
      </c>
      <c r="C16" s="10" t="s">
        <v>190</v>
      </c>
      <c r="D16" s="24" t="n">
        <v>26</v>
      </c>
      <c r="E16" s="13" t="n">
        <f aca="false">IF($D16="","",ROUND($D16*$C$4,2))</f>
        <v>18.2</v>
      </c>
      <c r="F16" s="12" t="n">
        <f aca="false">IF($B16="","",MONTH($B16))</f>
        <v>3</v>
      </c>
    </row>
    <row r="17" customFormat="false" ht="15" hidden="false" customHeight="false" outlineLevel="0" collapsed="false">
      <c r="B17" s="9"/>
      <c r="C17" s="10"/>
      <c r="D17" s="24"/>
      <c r="E17" s="13" t="str">
        <f aca="false">IF($D17="","",ROUND($D17*$C$4,2))</f>
        <v/>
      </c>
      <c r="F17" s="12" t="str">
        <f aca="false">IF($B17="","",MONTH($B17))</f>
        <v/>
      </c>
    </row>
    <row r="18" customFormat="false" ht="15" hidden="false" customHeight="false" outlineLevel="0" collapsed="false">
      <c r="B18" s="9"/>
      <c r="C18" s="10"/>
      <c r="D18" s="24"/>
      <c r="E18" s="13" t="str">
        <f aca="false">IF($D18="","",ROUND($D18*$C$4,2))</f>
        <v/>
      </c>
      <c r="F18" s="12" t="str">
        <f aca="false">IF($B18="","",MONTH($B18))</f>
        <v/>
      </c>
    </row>
    <row r="19" customFormat="false" ht="15" hidden="false" customHeight="false" outlineLevel="0" collapsed="false">
      <c r="B19" s="9"/>
      <c r="C19" s="10"/>
      <c r="D19" s="24"/>
      <c r="E19" s="13" t="str">
        <f aca="false">IF($D19="","",ROUND($D19*$C$4,2))</f>
        <v/>
      </c>
      <c r="F19" s="12" t="str">
        <f aca="false">IF($B19="","",MONTH($B19))</f>
        <v/>
      </c>
    </row>
    <row r="20" customFormat="false" ht="15" hidden="false" customHeight="false" outlineLevel="0" collapsed="false">
      <c r="B20" s="9"/>
      <c r="C20" s="10"/>
      <c r="D20" s="24"/>
      <c r="E20" s="13" t="str">
        <f aca="false">IF($D20="","",ROUND($D20*$C$4,2))</f>
        <v/>
      </c>
      <c r="F20" s="12" t="str">
        <f aca="false">IF($B20="","",MONTH($B20))</f>
        <v/>
      </c>
    </row>
    <row r="21" customFormat="false" ht="15" hidden="false" customHeight="false" outlineLevel="0" collapsed="false">
      <c r="B21" s="9"/>
      <c r="C21" s="10"/>
      <c r="D21" s="24"/>
      <c r="E21" s="13" t="str">
        <f aca="false">IF($D21="","",ROUND($D21*$C$4,2))</f>
        <v/>
      </c>
      <c r="F21" s="12" t="str">
        <f aca="false">IF($B21="","",MONTH($B21))</f>
        <v/>
      </c>
    </row>
    <row r="22" customFormat="false" ht="15" hidden="false" customHeight="false" outlineLevel="0" collapsed="false">
      <c r="B22" s="9"/>
      <c r="C22" s="10"/>
      <c r="D22" s="24"/>
      <c r="E22" s="13" t="str">
        <f aca="false">IF($D22="","",ROUND($D22*$C$4,2))</f>
        <v/>
      </c>
      <c r="F22" s="12" t="str">
        <f aca="false">IF($B22="","",MONTH($B22))</f>
        <v/>
      </c>
    </row>
    <row r="23" customFormat="false" ht="15" hidden="false" customHeight="false" outlineLevel="0" collapsed="false">
      <c r="B23" s="9"/>
      <c r="C23" s="10"/>
      <c r="D23" s="24"/>
      <c r="E23" s="13" t="str">
        <f aca="false">IF($D23="","",ROUND($D23*$C$4,2))</f>
        <v/>
      </c>
      <c r="F23" s="12" t="str">
        <f aca="false">IF($B23="","",MONTH($B23))</f>
        <v/>
      </c>
    </row>
    <row r="24" customFormat="false" ht="15" hidden="false" customHeight="false" outlineLevel="0" collapsed="false">
      <c r="B24" s="9"/>
      <c r="C24" s="10"/>
      <c r="D24" s="24"/>
      <c r="E24" s="13" t="str">
        <f aca="false">IF($D24="","",ROUND($D24*$C$4,2))</f>
        <v/>
      </c>
      <c r="F24" s="12" t="str">
        <f aca="false">IF($B24="","",MONTH($B24))</f>
        <v/>
      </c>
    </row>
    <row r="25" customFormat="false" ht="15" hidden="false" customHeight="false" outlineLevel="0" collapsed="false">
      <c r="B25" s="9"/>
      <c r="C25" s="10"/>
      <c r="D25" s="24"/>
      <c r="E25" s="13" t="str">
        <f aca="false">IF($D25="","",ROUND($D25*$C$4,2))</f>
        <v/>
      </c>
      <c r="F25" s="12" t="str">
        <f aca="false">IF($B25="","",MONTH($B25))</f>
        <v/>
      </c>
    </row>
    <row r="26" customFormat="false" ht="15" hidden="false" customHeight="false" outlineLevel="0" collapsed="false">
      <c r="B26" s="9"/>
      <c r="C26" s="10"/>
      <c r="D26" s="24"/>
      <c r="E26" s="13" t="str">
        <f aca="false">IF($D26="","",ROUND($D26*$C$4,2))</f>
        <v/>
      </c>
      <c r="F26" s="12" t="str">
        <f aca="false">IF($B26="","",MONTH($B26))</f>
        <v/>
      </c>
    </row>
    <row r="27" customFormat="false" ht="15" hidden="false" customHeight="false" outlineLevel="0" collapsed="false">
      <c r="B27" s="9"/>
      <c r="C27" s="10"/>
      <c r="D27" s="24"/>
      <c r="E27" s="13" t="str">
        <f aca="false">IF($D27="","",ROUND($D27*$C$4,2))</f>
        <v/>
      </c>
      <c r="F27" s="12" t="str">
        <f aca="false">IF($B27="","",MONTH($B27))</f>
        <v/>
      </c>
    </row>
    <row r="28" customFormat="false" ht="15" hidden="false" customHeight="false" outlineLevel="0" collapsed="false">
      <c r="B28" s="9"/>
      <c r="C28" s="10"/>
      <c r="D28" s="24"/>
      <c r="E28" s="13" t="str">
        <f aca="false">IF($D28="","",ROUND($D28*$C$4,2))</f>
        <v/>
      </c>
      <c r="F28" s="12" t="str">
        <f aca="false">IF($B28="","",MONTH($B28))</f>
        <v/>
      </c>
    </row>
    <row r="29" customFormat="false" ht="15" hidden="false" customHeight="false" outlineLevel="0" collapsed="false">
      <c r="B29" s="9"/>
      <c r="C29" s="10"/>
      <c r="D29" s="24"/>
      <c r="E29" s="13" t="str">
        <f aca="false">IF($D29="","",ROUND($D29*$C$4,2))</f>
        <v/>
      </c>
      <c r="F29" s="12" t="str">
        <f aca="false">IF($B29="","",MONTH($B29))</f>
        <v/>
      </c>
    </row>
    <row r="30" customFormat="false" ht="15" hidden="false" customHeight="false" outlineLevel="0" collapsed="false">
      <c r="B30" s="9"/>
      <c r="C30" s="10"/>
      <c r="D30" s="24"/>
      <c r="E30" s="13" t="str">
        <f aca="false">IF($D30="","",ROUND($D30*$C$4,2))</f>
        <v/>
      </c>
      <c r="F30" s="12" t="str">
        <f aca="false">IF($B30="","",MONTH($B30))</f>
        <v/>
      </c>
    </row>
    <row r="31" customFormat="false" ht="15" hidden="false" customHeight="false" outlineLevel="0" collapsed="false">
      <c r="B31" s="9"/>
      <c r="C31" s="10"/>
      <c r="D31" s="24"/>
      <c r="E31" s="13" t="str">
        <f aca="false">IF($D31="","",ROUND($D31*$C$4,2))</f>
        <v/>
      </c>
      <c r="F31" s="12" t="str">
        <f aca="false">IF($B31="","",MONTH($B31))</f>
        <v/>
      </c>
    </row>
    <row r="32" customFormat="false" ht="15" hidden="false" customHeight="false" outlineLevel="0" collapsed="false">
      <c r="B32" s="9"/>
      <c r="C32" s="10"/>
      <c r="D32" s="24"/>
      <c r="E32" s="13" t="str">
        <f aca="false">IF($D32="","",ROUND($D32*$C$4,2))</f>
        <v/>
      </c>
      <c r="F32" s="12" t="str">
        <f aca="false">IF($B32="","",MONTH($B32))</f>
        <v/>
      </c>
    </row>
    <row r="33" customFormat="false" ht="15" hidden="false" customHeight="false" outlineLevel="0" collapsed="false">
      <c r="B33" s="9"/>
      <c r="C33" s="10"/>
      <c r="D33" s="24"/>
      <c r="E33" s="13" t="str">
        <f aca="false">IF($D33="","",ROUND($D33*$C$4,2))</f>
        <v/>
      </c>
      <c r="F33" s="12" t="str">
        <f aca="false">IF($B33="","",MONTH($B33))</f>
        <v/>
      </c>
    </row>
    <row r="34" customFormat="false" ht="15" hidden="false" customHeight="false" outlineLevel="0" collapsed="false">
      <c r="B34" s="9"/>
      <c r="C34" s="10"/>
      <c r="D34" s="24"/>
      <c r="E34" s="13" t="str">
        <f aca="false">IF($D34="","",ROUND($D34*$C$4,2))</f>
        <v/>
      </c>
      <c r="F34" s="12" t="str">
        <f aca="false">IF($B34="","",MONTH($B34))</f>
        <v/>
      </c>
    </row>
    <row r="35" customFormat="false" ht="15" hidden="false" customHeight="false" outlineLevel="0" collapsed="false">
      <c r="B35" s="9"/>
      <c r="C35" s="10"/>
      <c r="D35" s="24"/>
      <c r="E35" s="13" t="str">
        <f aca="false">IF($D35="","",ROUND($D35*$C$4,2))</f>
        <v/>
      </c>
      <c r="F35" s="12" t="str">
        <f aca="false">IF($B35="","",MONTH($B35))</f>
        <v/>
      </c>
    </row>
    <row r="36" customFormat="false" ht="15" hidden="false" customHeight="false" outlineLevel="0" collapsed="false">
      <c r="B36" s="9"/>
      <c r="C36" s="10"/>
      <c r="D36" s="24"/>
      <c r="E36" s="13" t="str">
        <f aca="false">IF($D36="","",ROUND($D36*$C$4,2))</f>
        <v/>
      </c>
      <c r="F36" s="12" t="str">
        <f aca="false">IF($B36="","",MONTH($B36))</f>
        <v/>
      </c>
    </row>
    <row r="37" customFormat="false" ht="15" hidden="false" customHeight="false" outlineLevel="0" collapsed="false">
      <c r="B37" s="9"/>
      <c r="C37" s="10"/>
      <c r="D37" s="24"/>
      <c r="E37" s="13" t="str">
        <f aca="false">IF($D37="","",ROUND($D37*$C$4,2))</f>
        <v/>
      </c>
      <c r="F37" s="12" t="str">
        <f aca="false">IF($B37="","",MONTH($B37))</f>
        <v/>
      </c>
    </row>
    <row r="38" customFormat="false" ht="15" hidden="false" customHeight="false" outlineLevel="0" collapsed="false">
      <c r="B38" s="9"/>
      <c r="C38" s="10"/>
      <c r="D38" s="24"/>
      <c r="E38" s="13" t="str">
        <f aca="false">IF($D38="","",ROUND($D38*$C$4,2))</f>
        <v/>
      </c>
      <c r="F38" s="12" t="str">
        <f aca="false">IF($B38="","",MONTH($B38))</f>
        <v/>
      </c>
    </row>
    <row r="39" customFormat="false" ht="15" hidden="false" customHeight="false" outlineLevel="0" collapsed="false">
      <c r="B39" s="9"/>
      <c r="C39" s="10"/>
      <c r="D39" s="24"/>
      <c r="E39" s="13" t="str">
        <f aca="false">IF($D39="","",ROUND($D39*$C$4,2))</f>
        <v/>
      </c>
      <c r="F39" s="12" t="str">
        <f aca="false">IF($B39="","",MONTH($B39))</f>
        <v/>
      </c>
    </row>
    <row r="40" customFormat="false" ht="15" hidden="false" customHeight="false" outlineLevel="0" collapsed="false">
      <c r="B40" s="9"/>
      <c r="C40" s="10"/>
      <c r="D40" s="24"/>
      <c r="E40" s="13" t="str">
        <f aca="false">IF($D40="","",ROUND($D40*$C$4,2))</f>
        <v/>
      </c>
      <c r="F40" s="12" t="str">
        <f aca="false">IF($B40="","",MONTH($B40))</f>
        <v/>
      </c>
    </row>
    <row r="41" customFormat="false" ht="15" hidden="false" customHeight="false" outlineLevel="0" collapsed="false">
      <c r="B41" s="9"/>
      <c r="C41" s="10"/>
      <c r="D41" s="24"/>
      <c r="E41" s="13" t="str">
        <f aca="false">IF($D41="","",ROUND($D41*$C$4,2))</f>
        <v/>
      </c>
      <c r="F41" s="12" t="str">
        <f aca="false">IF($B41="","",MONTH($B41))</f>
        <v/>
      </c>
    </row>
    <row r="42" customFormat="false" ht="15" hidden="false" customHeight="false" outlineLevel="0" collapsed="false">
      <c r="B42" s="9"/>
      <c r="C42" s="10"/>
      <c r="D42" s="24"/>
      <c r="E42" s="13" t="str">
        <f aca="false">IF($D42="","",ROUND($D42*$C$4,2))</f>
        <v/>
      </c>
      <c r="F42" s="12" t="str">
        <f aca="false">IF($B42="","",MONTH($B42))</f>
        <v/>
      </c>
    </row>
    <row r="43" customFormat="false" ht="15" hidden="false" customHeight="false" outlineLevel="0" collapsed="false">
      <c r="B43" s="9"/>
      <c r="C43" s="10"/>
      <c r="D43" s="24"/>
      <c r="E43" s="13" t="str">
        <f aca="false">IF($D43="","",ROUND($D43*$C$4,2))</f>
        <v/>
      </c>
      <c r="F43" s="12" t="str">
        <f aca="false">IF($B43="","",MONTH($B43))</f>
        <v/>
      </c>
    </row>
    <row r="44" customFormat="false" ht="15" hidden="false" customHeight="false" outlineLevel="0" collapsed="false">
      <c r="B44" s="9"/>
      <c r="C44" s="10"/>
      <c r="D44" s="24"/>
      <c r="E44" s="13" t="str">
        <f aca="false">IF($D44="","",ROUND($D44*$C$4,2))</f>
        <v/>
      </c>
      <c r="F44" s="12" t="str">
        <f aca="false">IF($B44="","",MONTH($B44))</f>
        <v/>
      </c>
    </row>
    <row r="45" customFormat="false" ht="15" hidden="false" customHeight="false" outlineLevel="0" collapsed="false">
      <c r="B45" s="9"/>
      <c r="C45" s="10"/>
      <c r="D45" s="24"/>
      <c r="E45" s="13" t="str">
        <f aca="false">IF($D45="","",ROUND($D45*$C$4,2))</f>
        <v/>
      </c>
      <c r="F45" s="12" t="str">
        <f aca="false">IF($B45="","",MONTH($B45))</f>
        <v/>
      </c>
    </row>
    <row r="46" customFormat="false" ht="15" hidden="false" customHeight="false" outlineLevel="0" collapsed="false">
      <c r="B46" s="9"/>
      <c r="C46" s="10"/>
      <c r="D46" s="24"/>
      <c r="E46" s="13" t="str">
        <f aca="false">IF($D46="","",ROUND($D46*$C$4,2))</f>
        <v/>
      </c>
      <c r="F46" s="12" t="str">
        <f aca="false">IF($B46="","",MONTH($B46))</f>
        <v/>
      </c>
    </row>
    <row r="47" customFormat="false" ht="15" hidden="false" customHeight="false" outlineLevel="0" collapsed="false">
      <c r="B47" s="9"/>
      <c r="C47" s="10"/>
      <c r="D47" s="24"/>
      <c r="E47" s="13" t="str">
        <f aca="false">IF($D47="","",ROUND($D47*$C$4,2))</f>
        <v/>
      </c>
      <c r="F47" s="12" t="str">
        <f aca="false">IF($B47="","",MONTH($B47))</f>
        <v/>
      </c>
    </row>
    <row r="48" customFormat="false" ht="15" hidden="false" customHeight="false" outlineLevel="0" collapsed="false">
      <c r="B48" s="9"/>
      <c r="C48" s="10"/>
      <c r="D48" s="24"/>
      <c r="E48" s="13" t="str">
        <f aca="false">IF($D48="","",ROUND($D48*$C$4,2))</f>
        <v/>
      </c>
      <c r="F48" s="12" t="str">
        <f aca="false">IF($B48="","",MONTH($B48))</f>
        <v/>
      </c>
    </row>
    <row r="49" customFormat="false" ht="15" hidden="false" customHeight="false" outlineLevel="0" collapsed="false">
      <c r="B49" s="9"/>
      <c r="C49" s="10"/>
      <c r="D49" s="24"/>
      <c r="E49" s="13" t="str">
        <f aca="false">IF($D49="","",ROUND($D49*$C$4,2))</f>
        <v/>
      </c>
      <c r="F49" s="12" t="str">
        <f aca="false">IF($B49="","",MONTH($B49))</f>
        <v/>
      </c>
    </row>
    <row r="50" customFormat="false" ht="15" hidden="false" customHeight="false" outlineLevel="0" collapsed="false">
      <c r="B50" s="9"/>
      <c r="C50" s="10"/>
      <c r="D50" s="24"/>
      <c r="E50" s="13" t="str">
        <f aca="false">IF($D50="","",ROUND($D50*$C$4,2))</f>
        <v/>
      </c>
      <c r="F50" s="12" t="str">
        <f aca="false">IF($B50="","",MONTH($B50))</f>
        <v/>
      </c>
    </row>
    <row r="51" customFormat="false" ht="15" hidden="false" customHeight="false" outlineLevel="0" collapsed="false">
      <c r="B51" s="9"/>
      <c r="C51" s="10"/>
      <c r="D51" s="24"/>
      <c r="E51" s="13" t="str">
        <f aca="false">IF($D51="","",ROUND($D51*$C$4,2))</f>
        <v/>
      </c>
      <c r="F51" s="12" t="str">
        <f aca="false">IF($B51="","",MONTH($B51))</f>
        <v/>
      </c>
    </row>
    <row r="52" customFormat="false" ht="15" hidden="false" customHeight="false" outlineLevel="0" collapsed="false">
      <c r="B52" s="9"/>
      <c r="C52" s="10"/>
      <c r="D52" s="24"/>
      <c r="E52" s="13" t="str">
        <f aca="false">IF($D52="","",ROUND($D52*$C$4,2))</f>
        <v/>
      </c>
      <c r="F52" s="12" t="str">
        <f aca="false">IF($B52="","",MONTH($B52))</f>
        <v/>
      </c>
    </row>
    <row r="53" customFormat="false" ht="15" hidden="false" customHeight="false" outlineLevel="0" collapsed="false">
      <c r="B53" s="9"/>
      <c r="C53" s="10"/>
      <c r="D53" s="24"/>
      <c r="E53" s="13" t="str">
        <f aca="false">IF($D53="","",ROUND($D53*$C$4,2))</f>
        <v/>
      </c>
      <c r="F53" s="12" t="str">
        <f aca="false">IF($B53="","",MONTH($B53))</f>
        <v/>
      </c>
    </row>
    <row r="54" customFormat="false" ht="15" hidden="false" customHeight="false" outlineLevel="0" collapsed="false">
      <c r="B54" s="9"/>
      <c r="C54" s="10"/>
      <c r="D54" s="24"/>
      <c r="E54" s="13" t="str">
        <f aca="false">IF($D54="","",ROUND($D54*$C$4,2))</f>
        <v/>
      </c>
      <c r="F54" s="12" t="str">
        <f aca="false">IF($B54="","",MONTH($B54))</f>
        <v/>
      </c>
    </row>
    <row r="55" customFormat="false" ht="15" hidden="false" customHeight="false" outlineLevel="0" collapsed="false">
      <c r="B55" s="9"/>
      <c r="C55" s="10"/>
      <c r="D55" s="24"/>
      <c r="E55" s="13" t="str">
        <f aca="false">IF($D55="","",ROUND($D55*$C$4,2))</f>
        <v/>
      </c>
      <c r="F55" s="12" t="str">
        <f aca="false">IF($B55="","",MONTH($B55))</f>
        <v/>
      </c>
    </row>
    <row r="56" customFormat="false" ht="15" hidden="false" customHeight="false" outlineLevel="0" collapsed="false">
      <c r="B56" s="9"/>
      <c r="C56" s="10"/>
      <c r="D56" s="24"/>
      <c r="E56" s="13" t="str">
        <f aca="false">IF($D56="","",ROUND($D56*$C$4,2))</f>
        <v/>
      </c>
      <c r="F56" s="12" t="str">
        <f aca="false">IF($B56="","",MONTH($B56))</f>
        <v/>
      </c>
    </row>
    <row r="57" customFormat="false" ht="15" hidden="false" customHeight="false" outlineLevel="0" collapsed="false">
      <c r="B57" s="9"/>
      <c r="C57" s="10"/>
      <c r="D57" s="24"/>
      <c r="E57" s="13" t="str">
        <f aca="false">IF($D57="","",ROUND($D57*$C$4,2))</f>
        <v/>
      </c>
      <c r="F57" s="12" t="str">
        <f aca="false">IF($B57="","",MONTH($B57))</f>
        <v/>
      </c>
    </row>
    <row r="58" customFormat="false" ht="15" hidden="false" customHeight="false" outlineLevel="0" collapsed="false">
      <c r="B58" s="9"/>
      <c r="C58" s="10"/>
      <c r="D58" s="24"/>
      <c r="E58" s="13" t="str">
        <f aca="false">IF($D58="","",ROUND($D58*$C$4,2))</f>
        <v/>
      </c>
      <c r="F58" s="12" t="str">
        <f aca="false">IF($B58="","",MONTH($B58))</f>
        <v/>
      </c>
    </row>
    <row r="59" customFormat="false" ht="15" hidden="false" customHeight="false" outlineLevel="0" collapsed="false">
      <c r="B59" s="9"/>
      <c r="C59" s="10"/>
      <c r="D59" s="24"/>
      <c r="E59" s="13" t="str">
        <f aca="false">IF($D59="","",ROUND($D59*$C$4,2))</f>
        <v/>
      </c>
      <c r="F59" s="12" t="str">
        <f aca="false">IF($B59="","",MONTH($B59))</f>
        <v/>
      </c>
    </row>
    <row r="60" customFormat="false" ht="15" hidden="false" customHeight="false" outlineLevel="0" collapsed="false">
      <c r="B60" s="9"/>
      <c r="C60" s="10"/>
      <c r="D60" s="24"/>
      <c r="E60" s="13" t="str">
        <f aca="false">IF($D60="","",ROUND($D60*$C$4,2))</f>
        <v/>
      </c>
      <c r="F60" s="12" t="str">
        <f aca="false">IF($B60="","",MONTH($B60))</f>
        <v/>
      </c>
    </row>
    <row r="61" customFormat="false" ht="15" hidden="false" customHeight="false" outlineLevel="0" collapsed="false">
      <c r="B61" s="9"/>
      <c r="C61" s="10"/>
      <c r="D61" s="24"/>
      <c r="E61" s="13" t="str">
        <f aca="false">IF($D61="","",ROUND($D61*$C$4,2))</f>
        <v/>
      </c>
      <c r="F61" s="12" t="str">
        <f aca="false">IF($B61="","",MONTH($B61))</f>
        <v/>
      </c>
    </row>
    <row r="62" customFormat="false" ht="15" hidden="false" customHeight="false" outlineLevel="0" collapsed="false">
      <c r="B62" s="9"/>
      <c r="C62" s="10"/>
      <c r="D62" s="24"/>
      <c r="E62" s="13" t="str">
        <f aca="false">IF($D62="","",ROUND($D62*$C$4,2))</f>
        <v/>
      </c>
      <c r="F62" s="12" t="str">
        <f aca="false">IF($B62="","",MONTH($B62))</f>
        <v/>
      </c>
    </row>
    <row r="63" customFormat="false" ht="15" hidden="false" customHeight="false" outlineLevel="0" collapsed="false">
      <c r="B63" s="9"/>
      <c r="C63" s="10"/>
      <c r="D63" s="24"/>
      <c r="E63" s="13" t="str">
        <f aca="false">IF($D63="","",ROUND($D63*$C$4,2))</f>
        <v/>
      </c>
      <c r="F63" s="12" t="str">
        <f aca="false">IF($B63="","",MONTH($B63))</f>
        <v/>
      </c>
    </row>
    <row r="64" customFormat="false" ht="15" hidden="false" customHeight="false" outlineLevel="0" collapsed="false">
      <c r="B64" s="9"/>
      <c r="C64" s="10"/>
      <c r="D64" s="24"/>
      <c r="E64" s="13" t="str">
        <f aca="false">IF($D64="","",ROUND($D64*$C$4,2))</f>
        <v/>
      </c>
      <c r="F64" s="12" t="str">
        <f aca="false">IF($B64="","",MONTH($B64))</f>
        <v/>
      </c>
    </row>
    <row r="65" customFormat="false" ht="15" hidden="false" customHeight="false" outlineLevel="0" collapsed="false">
      <c r="B65" s="9"/>
      <c r="C65" s="10"/>
      <c r="D65" s="24"/>
      <c r="E65" s="13" t="str">
        <f aca="false">IF($D65="","",ROUND($D65*$C$4,2))</f>
        <v/>
      </c>
      <c r="F65" s="12" t="str">
        <f aca="false">IF($B65="","",MONTH($B65))</f>
        <v/>
      </c>
    </row>
    <row r="66" customFormat="false" ht="15" hidden="false" customHeight="false" outlineLevel="0" collapsed="false">
      <c r="B66" s="9"/>
      <c r="C66" s="10"/>
      <c r="D66" s="24"/>
      <c r="E66" s="13" t="str">
        <f aca="false">IF($D66="","",ROUND($D66*$C$4,2))</f>
        <v/>
      </c>
      <c r="F66" s="12" t="str">
        <f aca="false">IF($B66="","",MONTH($B66))</f>
        <v/>
      </c>
    </row>
    <row r="67" customFormat="false" ht="15" hidden="false" customHeight="false" outlineLevel="0" collapsed="false">
      <c r="B67" s="9"/>
      <c r="C67" s="10"/>
      <c r="D67" s="24"/>
      <c r="E67" s="13" t="str">
        <f aca="false">IF($D67="","",ROUND($D67*$C$4,2))</f>
        <v/>
      </c>
      <c r="F67" s="12" t="str">
        <f aca="false">IF($B67="","",MONTH($B67))</f>
        <v/>
      </c>
    </row>
    <row r="68" customFormat="false" ht="15" hidden="false" customHeight="false" outlineLevel="0" collapsed="false">
      <c r="B68" s="9"/>
      <c r="C68" s="10"/>
      <c r="D68" s="24"/>
      <c r="E68" s="13" t="str">
        <f aca="false">IF($D68="","",ROUND($D68*$C$4,2))</f>
        <v/>
      </c>
      <c r="F68" s="12" t="str">
        <f aca="false">IF($B68="","",MONTH($B68))</f>
        <v/>
      </c>
    </row>
    <row r="69" customFormat="false" ht="15" hidden="false" customHeight="false" outlineLevel="0" collapsed="false">
      <c r="B69" s="9"/>
      <c r="C69" s="10"/>
      <c r="D69" s="24"/>
      <c r="E69" s="13" t="str">
        <f aca="false">IF($D69="","",ROUND($D69*$C$4,2))</f>
        <v/>
      </c>
      <c r="F69" s="12" t="str">
        <f aca="false">IF($B69="","",MONTH($B69))</f>
        <v/>
      </c>
    </row>
    <row r="70" customFormat="false" ht="15" hidden="false" customHeight="false" outlineLevel="0" collapsed="false">
      <c r="B70" s="9"/>
      <c r="C70" s="10"/>
      <c r="D70" s="24"/>
      <c r="E70" s="13" t="str">
        <f aca="false">IF($D70="","",ROUND($D70*$C$4,2))</f>
        <v/>
      </c>
      <c r="F70" s="12" t="str">
        <f aca="false">IF($B70="","",MONTH($B70))</f>
        <v/>
      </c>
    </row>
    <row r="71" customFormat="false" ht="15" hidden="false" customHeight="false" outlineLevel="0" collapsed="false">
      <c r="B71" s="9"/>
      <c r="C71" s="10"/>
      <c r="D71" s="24"/>
      <c r="E71" s="13" t="str">
        <f aca="false">IF($D71="","",ROUND($D71*$C$4,2))</f>
        <v/>
      </c>
      <c r="F71" s="12" t="str">
        <f aca="false">IF($B71="","",MONTH($B71))</f>
        <v/>
      </c>
    </row>
    <row r="72" customFormat="false" ht="15" hidden="false" customHeight="false" outlineLevel="0" collapsed="false">
      <c r="B72" s="9"/>
      <c r="C72" s="10"/>
      <c r="D72" s="24"/>
      <c r="E72" s="13" t="str">
        <f aca="false">IF($D72="","",ROUND($D72*$C$4,2))</f>
        <v/>
      </c>
      <c r="F72" s="12" t="str">
        <f aca="false">IF($B72="","",MONTH($B72))</f>
        <v/>
      </c>
    </row>
    <row r="73" customFormat="false" ht="15" hidden="false" customHeight="false" outlineLevel="0" collapsed="false">
      <c r="B73" s="9"/>
      <c r="C73" s="10"/>
      <c r="D73" s="24"/>
      <c r="E73" s="13" t="str">
        <f aca="false">IF($D73="","",ROUND($D73*$C$4,2))</f>
        <v/>
      </c>
      <c r="F73" s="12" t="str">
        <f aca="false">IF($B73="","",MONTH($B73))</f>
        <v/>
      </c>
    </row>
    <row r="74" customFormat="false" ht="15" hidden="false" customHeight="false" outlineLevel="0" collapsed="false">
      <c r="B74" s="9"/>
      <c r="C74" s="10"/>
      <c r="D74" s="24"/>
      <c r="E74" s="13" t="str">
        <f aca="false">IF($D74="","",ROUND($D74*$C$4,2))</f>
        <v/>
      </c>
      <c r="F74" s="12" t="str">
        <f aca="false">IF($B74="","",MONTH($B74))</f>
        <v/>
      </c>
    </row>
    <row r="75" customFormat="false" ht="15" hidden="false" customHeight="false" outlineLevel="0" collapsed="false">
      <c r="B75" s="9"/>
      <c r="C75" s="10"/>
      <c r="D75" s="24"/>
      <c r="E75" s="13" t="str">
        <f aca="false">IF($D75="","",ROUND($D75*$C$4,2))</f>
        <v/>
      </c>
      <c r="F75" s="12" t="str">
        <f aca="false">IF($B75="","",MONTH($B75))</f>
        <v/>
      </c>
    </row>
    <row r="76" customFormat="false" ht="15" hidden="false" customHeight="false" outlineLevel="0" collapsed="false">
      <c r="B76" s="9"/>
      <c r="C76" s="10"/>
      <c r="D76" s="24"/>
      <c r="E76" s="13" t="str">
        <f aca="false">IF($D76="","",ROUND($D76*$C$4,2))</f>
        <v/>
      </c>
      <c r="F76" s="12" t="str">
        <f aca="false">IF($B76="","",MONTH($B76))</f>
        <v/>
      </c>
    </row>
    <row r="77" customFormat="false" ht="15" hidden="false" customHeight="false" outlineLevel="0" collapsed="false">
      <c r="B77" s="9"/>
      <c r="C77" s="10"/>
      <c r="D77" s="24"/>
      <c r="E77" s="13" t="str">
        <f aca="false">IF($D77="","",ROUND($D77*$C$4,2))</f>
        <v/>
      </c>
      <c r="F77" s="12" t="str">
        <f aca="false">IF($B77="","",MONTH($B77))</f>
        <v/>
      </c>
    </row>
    <row r="78" customFormat="false" ht="15" hidden="false" customHeight="false" outlineLevel="0" collapsed="false">
      <c r="B78" s="9"/>
      <c r="C78" s="10"/>
      <c r="D78" s="24"/>
      <c r="E78" s="13" t="str">
        <f aca="false">IF($D78="","",ROUND($D78*$C$4,2))</f>
        <v/>
      </c>
      <c r="F78" s="12" t="str">
        <f aca="false">IF($B78="","",MONTH($B78))</f>
        <v/>
      </c>
    </row>
    <row r="79" customFormat="false" ht="15" hidden="false" customHeight="false" outlineLevel="0" collapsed="false">
      <c r="B79" s="9"/>
      <c r="C79" s="10"/>
      <c r="D79" s="24"/>
      <c r="E79" s="13" t="str">
        <f aca="false">IF($D79="","",ROUND($D79*$C$4,2))</f>
        <v/>
      </c>
      <c r="F79" s="12" t="str">
        <f aca="false">IF($B79="","",MONTH($B79))</f>
        <v/>
      </c>
    </row>
    <row r="80" customFormat="false" ht="15" hidden="false" customHeight="false" outlineLevel="0" collapsed="false">
      <c r="B80" s="9"/>
      <c r="C80" s="10"/>
      <c r="D80" s="24"/>
      <c r="E80" s="13" t="str">
        <f aca="false">IF($D80="","",ROUND($D80*$C$4,2))</f>
        <v/>
      </c>
      <c r="F80" s="12" t="str">
        <f aca="false">IF($B80="","",MONTH($B80))</f>
        <v/>
      </c>
    </row>
    <row r="81" customFormat="false" ht="15" hidden="false" customHeight="false" outlineLevel="0" collapsed="false">
      <c r="B81" s="9"/>
      <c r="C81" s="10"/>
      <c r="D81" s="24"/>
      <c r="E81" s="13" t="str">
        <f aca="false">IF($D81="","",ROUND($D81*$C$4,2))</f>
        <v/>
      </c>
      <c r="F81" s="12" t="str">
        <f aca="false">IF($B81="","",MONTH($B81))</f>
        <v/>
      </c>
    </row>
    <row r="82" customFormat="false" ht="15" hidden="false" customHeight="false" outlineLevel="0" collapsed="false">
      <c r="B82" s="9"/>
      <c r="C82" s="10"/>
      <c r="D82" s="24"/>
      <c r="E82" s="13" t="str">
        <f aca="false">IF($D82="","",ROUND($D82*$C$4,2))</f>
        <v/>
      </c>
      <c r="F82" s="12" t="str">
        <f aca="false">IF($B82="","",MONTH($B82))</f>
        <v/>
      </c>
    </row>
    <row r="83" customFormat="false" ht="15" hidden="false" customHeight="false" outlineLevel="0" collapsed="false">
      <c r="B83" s="9"/>
      <c r="C83" s="10"/>
      <c r="D83" s="24"/>
      <c r="E83" s="13" t="str">
        <f aca="false">IF($D83="","",ROUND($D83*$C$4,2))</f>
        <v/>
      </c>
      <c r="F83" s="12" t="str">
        <f aca="false">IF($B83="","",MONTH($B83))</f>
        <v/>
      </c>
    </row>
    <row r="84" customFormat="false" ht="15" hidden="false" customHeight="false" outlineLevel="0" collapsed="false">
      <c r="B84" s="9"/>
      <c r="C84" s="10"/>
      <c r="D84" s="24"/>
      <c r="E84" s="13" t="str">
        <f aca="false">IF($D84="","",ROUND($D84*$C$4,2))</f>
        <v/>
      </c>
      <c r="F84" s="12" t="str">
        <f aca="false">IF($B84="","",MONTH($B84))</f>
        <v/>
      </c>
    </row>
    <row r="85" customFormat="false" ht="15" hidden="false" customHeight="false" outlineLevel="0" collapsed="false">
      <c r="B85" s="9"/>
      <c r="C85" s="10"/>
      <c r="D85" s="24"/>
      <c r="E85" s="13" t="str">
        <f aca="false">IF($D85="","",ROUND($D85*$C$4,2))</f>
        <v/>
      </c>
      <c r="F85" s="12" t="str">
        <f aca="false">IF($B85="","",MONTH($B85))</f>
        <v/>
      </c>
    </row>
    <row r="86" customFormat="false" ht="15" hidden="false" customHeight="false" outlineLevel="0" collapsed="false">
      <c r="B86" s="9"/>
      <c r="C86" s="10"/>
      <c r="D86" s="24"/>
      <c r="E86" s="13" t="str">
        <f aca="false">IF($D86="","",ROUND($D86*$C$4,2))</f>
        <v/>
      </c>
      <c r="F86" s="12" t="str">
        <f aca="false">IF($B86="","",MONTH($B86))</f>
        <v/>
      </c>
    </row>
    <row r="87" customFormat="false" ht="15" hidden="false" customHeight="false" outlineLevel="0" collapsed="false">
      <c r="B87" s="9"/>
      <c r="C87" s="10"/>
      <c r="D87" s="24"/>
      <c r="E87" s="13" t="str">
        <f aca="false">IF($D87="","",ROUND($D87*$C$4,2))</f>
        <v/>
      </c>
      <c r="F87" s="12" t="str">
        <f aca="false">IF($B87="","",MONTH($B87))</f>
        <v/>
      </c>
    </row>
    <row r="88" customFormat="false" ht="15" hidden="false" customHeight="false" outlineLevel="0" collapsed="false">
      <c r="B88" s="9"/>
      <c r="C88" s="10"/>
      <c r="D88" s="24"/>
      <c r="E88" s="13" t="str">
        <f aca="false">IF($D88="","",ROUND($D88*$C$4,2))</f>
        <v/>
      </c>
      <c r="F88" s="12" t="str">
        <f aca="false">IF($B88="","",MONTH($B88))</f>
        <v/>
      </c>
    </row>
    <row r="89" customFormat="false" ht="15" hidden="false" customHeight="false" outlineLevel="0" collapsed="false">
      <c r="B89" s="9"/>
      <c r="C89" s="10"/>
      <c r="D89" s="24"/>
      <c r="E89" s="13" t="str">
        <f aca="false">IF($D89="","",ROUND($D89*$C$4,2))</f>
        <v/>
      </c>
      <c r="F89" s="12" t="str">
        <f aca="false">IF($B89="","",MONTH($B89))</f>
        <v/>
      </c>
    </row>
    <row r="90" customFormat="false" ht="15" hidden="false" customHeight="false" outlineLevel="0" collapsed="false">
      <c r="B90" s="9"/>
      <c r="C90" s="10"/>
      <c r="D90" s="24"/>
      <c r="E90" s="13" t="str">
        <f aca="false">IF($D90="","",ROUND($D90*$C$4,2))</f>
        <v/>
      </c>
      <c r="F90" s="12" t="str">
        <f aca="false">IF($B90="","",MONTH($B90))</f>
        <v/>
      </c>
    </row>
    <row r="91" customFormat="false" ht="15" hidden="false" customHeight="false" outlineLevel="0" collapsed="false">
      <c r="B91" s="9"/>
      <c r="C91" s="10"/>
      <c r="D91" s="24"/>
      <c r="E91" s="13" t="str">
        <f aca="false">IF($D91="","",ROUND($D91*$C$4,2))</f>
        <v/>
      </c>
      <c r="F91" s="12" t="str">
        <f aca="false">IF($B91="","",MONTH($B91))</f>
        <v/>
      </c>
    </row>
    <row r="92" customFormat="false" ht="15" hidden="false" customHeight="false" outlineLevel="0" collapsed="false">
      <c r="B92" s="9"/>
      <c r="C92" s="10"/>
      <c r="D92" s="24"/>
      <c r="E92" s="13" t="str">
        <f aca="false">IF($D92="","",ROUND($D92*$C$4,2))</f>
        <v/>
      </c>
      <c r="F92" s="12" t="str">
        <f aca="false">IF($B92="","",MONTH($B92))</f>
        <v/>
      </c>
    </row>
    <row r="93" customFormat="false" ht="15" hidden="false" customHeight="false" outlineLevel="0" collapsed="false">
      <c r="B93" s="9"/>
      <c r="C93" s="10"/>
      <c r="D93" s="24"/>
      <c r="E93" s="13" t="str">
        <f aca="false">IF($D93="","",ROUND($D93*$C$4,2))</f>
        <v/>
      </c>
      <c r="F93" s="12" t="str">
        <f aca="false">IF($B93="","",MONTH($B93))</f>
        <v/>
      </c>
    </row>
    <row r="94" customFormat="false" ht="15" hidden="false" customHeight="false" outlineLevel="0" collapsed="false">
      <c r="B94" s="9"/>
      <c r="C94" s="10"/>
      <c r="D94" s="24"/>
      <c r="E94" s="13" t="str">
        <f aca="false">IF($D94="","",ROUND($D94*$C$4,2))</f>
        <v/>
      </c>
      <c r="F94" s="12" t="str">
        <f aca="false">IF($B94="","",MONTH($B94))</f>
        <v/>
      </c>
    </row>
    <row r="95" customFormat="false" ht="15" hidden="false" customHeight="false" outlineLevel="0" collapsed="false">
      <c r="B95" s="9"/>
      <c r="C95" s="10"/>
      <c r="D95" s="24"/>
      <c r="E95" s="13" t="str">
        <f aca="false">IF($D95="","",ROUND($D95*$C$4,2))</f>
        <v/>
      </c>
      <c r="F95" s="12" t="str">
        <f aca="false">IF($B95="","",MONTH($B95))</f>
        <v/>
      </c>
    </row>
    <row r="96" customFormat="false" ht="15" hidden="false" customHeight="false" outlineLevel="0" collapsed="false">
      <c r="B96" s="9"/>
      <c r="C96" s="10"/>
      <c r="D96" s="24"/>
      <c r="E96" s="13" t="str">
        <f aca="false">IF($D96="","",ROUND($D96*$C$4,2))</f>
        <v/>
      </c>
      <c r="F96" s="12" t="str">
        <f aca="false">IF($B96="","",MONTH($B96))</f>
        <v/>
      </c>
    </row>
    <row r="97" customFormat="false" ht="15" hidden="false" customHeight="false" outlineLevel="0" collapsed="false">
      <c r="B97" s="9"/>
      <c r="C97" s="10"/>
      <c r="D97" s="24"/>
      <c r="E97" s="13" t="str">
        <f aca="false">IF($D97="","",ROUND($D97*$C$4,2))</f>
        <v/>
      </c>
      <c r="F97" s="12" t="str">
        <f aca="false">IF($B97="","",MONTH($B97))</f>
        <v/>
      </c>
    </row>
    <row r="98" customFormat="false" ht="15" hidden="false" customHeight="false" outlineLevel="0" collapsed="false">
      <c r="B98" s="9"/>
      <c r="C98" s="10"/>
      <c r="D98" s="24"/>
      <c r="E98" s="13" t="str">
        <f aca="false">IF($D98="","",ROUND($D98*$C$4,2))</f>
        <v/>
      </c>
      <c r="F98" s="12" t="str">
        <f aca="false">IF($B98="","",MONTH($B98))</f>
        <v/>
      </c>
    </row>
    <row r="99" customFormat="false" ht="15" hidden="false" customHeight="false" outlineLevel="0" collapsed="false">
      <c r="B99" s="9"/>
      <c r="C99" s="10"/>
      <c r="D99" s="24"/>
      <c r="E99" s="13" t="str">
        <f aca="false">IF($D99="","",ROUND($D99*$C$4,2))</f>
        <v/>
      </c>
      <c r="F99" s="12" t="str">
        <f aca="false">IF($B99="","",MONTH($B99))</f>
        <v/>
      </c>
    </row>
    <row r="100" customFormat="false" ht="15" hidden="false" customHeight="false" outlineLevel="0" collapsed="false">
      <c r="B100" s="9"/>
      <c r="C100" s="10"/>
      <c r="D100" s="24"/>
      <c r="E100" s="13" t="str">
        <f aca="false">IF($D100="","",ROUND($D100*$C$4,2))</f>
        <v/>
      </c>
      <c r="F100" s="12" t="str">
        <f aca="false">IF($B100="","",MONTH($B100))</f>
        <v/>
      </c>
    </row>
    <row r="101" customFormat="false" ht="15" hidden="false" customHeight="false" outlineLevel="0" collapsed="false">
      <c r="B101" s="9"/>
      <c r="C101" s="10"/>
      <c r="D101" s="24"/>
      <c r="E101" s="13" t="str">
        <f aca="false">IF($D101="","",ROUND($D101*$C$4,2))</f>
        <v/>
      </c>
      <c r="F101" s="12" t="str">
        <f aca="false">IF($B101="","",MONTH($B101))</f>
        <v/>
      </c>
    </row>
    <row r="102" customFormat="false" ht="15" hidden="false" customHeight="false" outlineLevel="0" collapsed="false">
      <c r="B102" s="9"/>
      <c r="C102" s="10"/>
      <c r="D102" s="24"/>
      <c r="E102" s="13" t="str">
        <f aca="false">IF($D102="","",ROUND($D102*$C$4,2))</f>
        <v/>
      </c>
      <c r="F102" s="12" t="str">
        <f aca="false">IF($B102="","",MONTH($B102))</f>
        <v/>
      </c>
    </row>
    <row r="103" customFormat="false" ht="15" hidden="false" customHeight="false" outlineLevel="0" collapsed="false">
      <c r="B103" s="9"/>
      <c r="C103" s="10"/>
      <c r="D103" s="24"/>
      <c r="E103" s="13" t="str">
        <f aca="false">IF($D103="","",ROUND($D103*$C$4,2))</f>
        <v/>
      </c>
      <c r="F103" s="12" t="str">
        <f aca="false">IF($B103="","",MONTH($B103))</f>
        <v/>
      </c>
    </row>
    <row r="104" customFormat="false" ht="15" hidden="false" customHeight="false" outlineLevel="0" collapsed="false">
      <c r="B104" s="9"/>
      <c r="C104" s="10"/>
      <c r="D104" s="24"/>
      <c r="E104" s="13" t="str">
        <f aca="false">IF($D104="","",ROUND($D104*$C$4,2))</f>
        <v/>
      </c>
      <c r="F104" s="12" t="str">
        <f aca="false">IF($B104="","",MONTH($B104))</f>
        <v/>
      </c>
    </row>
    <row r="105" customFormat="false" ht="15" hidden="false" customHeight="false" outlineLevel="0" collapsed="false">
      <c r="B105" s="9"/>
      <c r="C105" s="10"/>
      <c r="D105" s="24"/>
      <c r="E105" s="13" t="str">
        <f aca="false">IF($D105="","",ROUND($D105*$C$4,2))</f>
        <v/>
      </c>
      <c r="F105" s="12" t="str">
        <f aca="false">IF($B105="","",MONTH($B105))</f>
        <v/>
      </c>
    </row>
    <row r="106" customFormat="false" ht="15" hidden="false" customHeight="false" outlineLevel="0" collapsed="false">
      <c r="B106" s="9"/>
      <c r="C106" s="10"/>
      <c r="D106" s="24"/>
      <c r="E106" s="13" t="str">
        <f aca="false">IF($D106="","",ROUND($D106*$C$4,2))</f>
        <v/>
      </c>
      <c r="F106" s="12" t="str">
        <f aca="false">IF($B106="","",MONTH($B106))</f>
        <v/>
      </c>
    </row>
    <row r="107" customFormat="false" ht="15" hidden="false" customHeight="false" outlineLevel="0" collapsed="false">
      <c r="B107" s="9"/>
      <c r="C107" s="10"/>
      <c r="D107" s="24"/>
      <c r="E107" s="13" t="str">
        <f aca="false">IF($D107="","",ROUND($D107*$C$4,2))</f>
        <v/>
      </c>
      <c r="F107" s="12" t="str">
        <f aca="false">IF($B107="","",MONTH($B107))</f>
        <v/>
      </c>
    </row>
    <row r="108" customFormat="false" ht="15" hidden="false" customHeight="false" outlineLevel="0" collapsed="false">
      <c r="B108" s="9"/>
      <c r="C108" s="10"/>
      <c r="D108" s="24"/>
      <c r="E108" s="13" t="str">
        <f aca="false">IF($D108="","",ROUND($D108*$C$4,2))</f>
        <v/>
      </c>
      <c r="F108" s="12" t="str">
        <f aca="false">IF($B108="","",MONTH($B108))</f>
        <v/>
      </c>
    </row>
    <row r="109" customFormat="false" ht="15" hidden="false" customHeight="false" outlineLevel="0" collapsed="false">
      <c r="B109" s="9"/>
      <c r="C109" s="10"/>
      <c r="D109" s="24"/>
      <c r="E109" s="13" t="str">
        <f aca="false">IF($D109="","",ROUND($D109*$C$4,2))</f>
        <v/>
      </c>
      <c r="F109" s="12" t="str">
        <f aca="false">IF($B109="","",MONTH($B109))</f>
        <v/>
      </c>
    </row>
    <row r="110" customFormat="false" ht="15" hidden="false" customHeight="false" outlineLevel="0" collapsed="false">
      <c r="B110" s="9"/>
      <c r="C110" s="10"/>
      <c r="D110" s="24"/>
      <c r="E110" s="13" t="str">
        <f aca="false">IF($D110="","",ROUND($D110*$C$4,2))</f>
        <v/>
      </c>
      <c r="F110" s="12" t="str">
        <f aca="false">IF($B110="","",MONTH($B110))</f>
        <v/>
      </c>
    </row>
    <row r="111" customFormat="false" ht="15" hidden="false" customHeight="false" outlineLevel="0" collapsed="false">
      <c r="B111" s="9"/>
      <c r="C111" s="10"/>
      <c r="D111" s="24"/>
      <c r="E111" s="13" t="str">
        <f aca="false">IF($D111="","",ROUND($D111*$C$4,2))</f>
        <v/>
      </c>
      <c r="F111" s="12" t="str">
        <f aca="false">IF($B111="","",MONTH($B111))</f>
        <v/>
      </c>
    </row>
    <row r="112" customFormat="false" ht="15" hidden="false" customHeight="false" outlineLevel="0" collapsed="false">
      <c r="B112" s="9"/>
      <c r="C112" s="10"/>
      <c r="D112" s="24"/>
      <c r="E112" s="13" t="str">
        <f aca="false">IF($D112="","",ROUND($D112*$C$4,2))</f>
        <v/>
      </c>
      <c r="F112" s="12" t="str">
        <f aca="false">IF($B112="","",MONTH($B112))</f>
        <v/>
      </c>
    </row>
    <row r="113" customFormat="false" ht="15" hidden="false" customHeight="false" outlineLevel="0" collapsed="false">
      <c r="B113" s="9"/>
      <c r="C113" s="10"/>
      <c r="D113" s="24"/>
      <c r="E113" s="13" t="str">
        <f aca="false">IF($D113="","",ROUND($D113*$C$4,2))</f>
        <v/>
      </c>
      <c r="F113" s="12" t="str">
        <f aca="false">IF($B113="","",MONTH($B113))</f>
        <v/>
      </c>
    </row>
    <row r="114" customFormat="false" ht="15" hidden="false" customHeight="false" outlineLevel="0" collapsed="false">
      <c r="B114" s="9"/>
      <c r="C114" s="10"/>
      <c r="D114" s="24"/>
      <c r="E114" s="13" t="str">
        <f aca="false">IF($D114="","",ROUND($D114*$C$4,2))</f>
        <v/>
      </c>
      <c r="F114" s="12" t="str">
        <f aca="false">IF($B114="","",MONTH($B114))</f>
        <v/>
      </c>
    </row>
    <row r="115" customFormat="false" ht="15" hidden="false" customHeight="false" outlineLevel="0" collapsed="false">
      <c r="B115" s="9"/>
      <c r="C115" s="10"/>
      <c r="D115" s="24"/>
      <c r="E115" s="13" t="str">
        <f aca="false">IF($D115="","",ROUND($D115*$C$4,2))</f>
        <v/>
      </c>
      <c r="F115" s="12" t="str">
        <f aca="false">IF($B115="","",MONTH($B115))</f>
        <v/>
      </c>
    </row>
    <row r="116" customFormat="false" ht="15" hidden="false" customHeight="false" outlineLevel="0" collapsed="false">
      <c r="B116" s="9"/>
      <c r="C116" s="10"/>
      <c r="D116" s="24"/>
      <c r="E116" s="13" t="str">
        <f aca="false">IF($D116="","",ROUND($D116*$C$4,2))</f>
        <v/>
      </c>
      <c r="F116" s="12" t="str">
        <f aca="false">IF($B116="","",MONTH($B116))</f>
        <v/>
      </c>
    </row>
    <row r="117" customFormat="false" ht="15" hidden="false" customHeight="false" outlineLevel="0" collapsed="false">
      <c r="B117" s="9"/>
      <c r="C117" s="10"/>
      <c r="D117" s="24"/>
      <c r="E117" s="13" t="str">
        <f aca="false">IF($D117="","",ROUND($D117*$C$4,2))</f>
        <v/>
      </c>
      <c r="F117" s="12" t="str">
        <f aca="false">IF($B117="","",MONTH($B117))</f>
        <v/>
      </c>
    </row>
    <row r="118" customFormat="false" ht="15" hidden="false" customHeight="false" outlineLevel="0" collapsed="false">
      <c r="B118" s="9"/>
      <c r="C118" s="10"/>
      <c r="D118" s="24"/>
      <c r="E118" s="13" t="str">
        <f aca="false">IF($D118="","",ROUND($D118*$C$4,2))</f>
        <v/>
      </c>
      <c r="F118" s="12" t="str">
        <f aca="false">IF($B118="","",MONTH($B118))</f>
        <v/>
      </c>
    </row>
    <row r="119" customFormat="false" ht="15" hidden="false" customHeight="false" outlineLevel="0" collapsed="false">
      <c r="B119" s="9"/>
      <c r="C119" s="10"/>
      <c r="D119" s="24"/>
      <c r="E119" s="13" t="str">
        <f aca="false">IF($D119="","",ROUND($D119*$C$4,2))</f>
        <v/>
      </c>
      <c r="F119" s="12" t="str">
        <f aca="false">IF($B119="","",MONTH($B119))</f>
        <v/>
      </c>
    </row>
    <row r="120" customFormat="false" ht="15" hidden="false" customHeight="false" outlineLevel="0" collapsed="false">
      <c r="B120" s="9"/>
      <c r="C120" s="10"/>
      <c r="D120" s="24"/>
      <c r="E120" s="13" t="str">
        <f aca="false">IF($D120="","",ROUND($D120*$C$4,2))</f>
        <v/>
      </c>
      <c r="F120" s="12" t="str">
        <f aca="false">IF($B120="","",MONTH($B120))</f>
        <v/>
      </c>
    </row>
    <row r="121" customFormat="false" ht="15" hidden="false" customHeight="false" outlineLevel="0" collapsed="false">
      <c r="B121" s="9"/>
      <c r="C121" s="10"/>
      <c r="D121" s="24"/>
      <c r="E121" s="13" t="str">
        <f aca="false">IF($D121="","",ROUND($D121*$C$4,2))</f>
        <v/>
      </c>
      <c r="F121" s="12" t="str">
        <f aca="false">IF($B121="","",MONTH($B121))</f>
        <v/>
      </c>
    </row>
    <row r="122" customFormat="false" ht="15" hidden="false" customHeight="false" outlineLevel="0" collapsed="false">
      <c r="B122" s="9"/>
      <c r="C122" s="10"/>
      <c r="D122" s="24"/>
      <c r="E122" s="13" t="str">
        <f aca="false">IF($D122="","",ROUND($D122*$C$4,2))</f>
        <v/>
      </c>
      <c r="F122" s="12" t="str">
        <f aca="false">IF($B122="","",MONTH($B122))</f>
        <v/>
      </c>
    </row>
    <row r="123" customFormat="false" ht="15" hidden="false" customHeight="false" outlineLevel="0" collapsed="false">
      <c r="B123" s="9"/>
      <c r="C123" s="10"/>
      <c r="D123" s="24"/>
      <c r="E123" s="13" t="str">
        <f aca="false">IF($D123="","",ROUND($D123*$C$4,2))</f>
        <v/>
      </c>
      <c r="F123" s="12" t="str">
        <f aca="false">IF($B123="","",MONTH($B123))</f>
        <v/>
      </c>
    </row>
    <row r="124" customFormat="false" ht="15" hidden="false" customHeight="false" outlineLevel="0" collapsed="false">
      <c r="B124" s="9"/>
      <c r="C124" s="10"/>
      <c r="D124" s="24"/>
      <c r="E124" s="13" t="str">
        <f aca="false">IF($D124="","",ROUND($D124*$C$4,2))</f>
        <v/>
      </c>
      <c r="F124" s="12" t="str">
        <f aca="false">IF($B124="","",MONTH($B124))</f>
        <v/>
      </c>
    </row>
    <row r="125" customFormat="false" ht="15" hidden="false" customHeight="false" outlineLevel="0" collapsed="false">
      <c r="B125" s="9"/>
      <c r="C125" s="10"/>
      <c r="D125" s="24"/>
      <c r="E125" s="13" t="str">
        <f aca="false">IF($D125="","",ROUND($D125*$C$4,2))</f>
        <v/>
      </c>
      <c r="F125" s="12" t="str">
        <f aca="false">IF($B125="","",MONTH($B125))</f>
        <v/>
      </c>
    </row>
    <row r="126" customFormat="false" ht="15" hidden="false" customHeight="false" outlineLevel="0" collapsed="false">
      <c r="B126" s="9"/>
      <c r="C126" s="10"/>
      <c r="D126" s="24"/>
      <c r="E126" s="13" t="str">
        <f aca="false">IF($D126="","",ROUND($D126*$C$4,2))</f>
        <v/>
      </c>
      <c r="F126" s="12" t="str">
        <f aca="false">IF($B126="","",MONTH($B126))</f>
        <v/>
      </c>
    </row>
    <row r="127" customFormat="false" ht="15" hidden="false" customHeight="false" outlineLevel="0" collapsed="false">
      <c r="B127" s="9"/>
      <c r="C127" s="10"/>
      <c r="D127" s="24"/>
      <c r="E127" s="13" t="str">
        <f aca="false">IF($D127="","",ROUND($D127*$C$4,2))</f>
        <v/>
      </c>
      <c r="F127" s="12" t="str">
        <f aca="false">IF($B127="","",MONTH($B127))</f>
        <v/>
      </c>
    </row>
    <row r="128" customFormat="false" ht="15" hidden="false" customHeight="false" outlineLevel="0" collapsed="false">
      <c r="B128" s="9"/>
      <c r="C128" s="10"/>
      <c r="D128" s="24"/>
      <c r="E128" s="13" t="str">
        <f aca="false">IF($D128="","",ROUND($D128*$C$4,2))</f>
        <v/>
      </c>
      <c r="F128" s="12" t="str">
        <f aca="false">IF($B128="","",MONTH($B128))</f>
        <v/>
      </c>
    </row>
    <row r="129" customFormat="false" ht="15" hidden="false" customHeight="false" outlineLevel="0" collapsed="false">
      <c r="B129" s="9"/>
      <c r="C129" s="10"/>
      <c r="D129" s="24"/>
      <c r="E129" s="13" t="str">
        <f aca="false">IF($D129="","",ROUND($D129*$C$4,2))</f>
        <v/>
      </c>
      <c r="F129" s="12" t="str">
        <f aca="false">IF($B129="","",MONTH($B129))</f>
        <v/>
      </c>
    </row>
    <row r="130" customFormat="false" ht="15" hidden="false" customHeight="false" outlineLevel="0" collapsed="false">
      <c r="B130" s="9"/>
      <c r="C130" s="10"/>
      <c r="D130" s="24"/>
      <c r="E130" s="13" t="str">
        <f aca="false">IF($D130="","",ROUND($D130*$C$4,2))</f>
        <v/>
      </c>
      <c r="F130" s="12" t="str">
        <f aca="false">IF($B130="","",MONTH($B130))</f>
        <v/>
      </c>
    </row>
    <row r="131" customFormat="false" ht="15" hidden="false" customHeight="false" outlineLevel="0" collapsed="false">
      <c r="B131" s="9"/>
      <c r="C131" s="10"/>
      <c r="D131" s="24"/>
      <c r="E131" s="13" t="str">
        <f aca="false">IF($D131="","",ROUND($D131*$C$4,2))</f>
        <v/>
      </c>
      <c r="F131" s="12" t="str">
        <f aca="false">IF($B131="","",MONTH($B131))</f>
        <v/>
      </c>
    </row>
    <row r="132" customFormat="false" ht="15" hidden="false" customHeight="false" outlineLevel="0" collapsed="false">
      <c r="B132" s="9"/>
      <c r="C132" s="10"/>
      <c r="D132" s="24"/>
      <c r="E132" s="13" t="str">
        <f aca="false">IF($D132="","",ROUND($D132*$C$4,2))</f>
        <v/>
      </c>
      <c r="F132" s="12" t="str">
        <f aca="false">IF($B132="","",MONTH($B132))</f>
        <v/>
      </c>
    </row>
    <row r="133" customFormat="false" ht="15" hidden="false" customHeight="false" outlineLevel="0" collapsed="false">
      <c r="B133" s="9"/>
      <c r="C133" s="10"/>
      <c r="D133" s="24"/>
      <c r="E133" s="13" t="str">
        <f aca="false">IF($D133="","",ROUND($D133*$C$4,2))</f>
        <v/>
      </c>
      <c r="F133" s="12" t="str">
        <f aca="false">IF($B133="","",MONTH($B133))</f>
        <v/>
      </c>
    </row>
    <row r="134" customFormat="false" ht="15" hidden="false" customHeight="false" outlineLevel="0" collapsed="false">
      <c r="B134" s="9"/>
      <c r="C134" s="10"/>
      <c r="D134" s="24"/>
      <c r="E134" s="13" t="str">
        <f aca="false">IF($D134="","",ROUND($D134*$C$4,2))</f>
        <v/>
      </c>
      <c r="F134" s="12" t="str">
        <f aca="false">IF($B134="","",MONTH($B134))</f>
        <v/>
      </c>
    </row>
    <row r="135" customFormat="false" ht="15" hidden="false" customHeight="false" outlineLevel="0" collapsed="false">
      <c r="B135" s="9"/>
      <c r="C135" s="10"/>
      <c r="D135" s="24"/>
      <c r="E135" s="13" t="str">
        <f aca="false">IF($D135="","",ROUND($D135*$C$4,2))</f>
        <v/>
      </c>
      <c r="F135" s="12" t="str">
        <f aca="false">IF($B135="","",MONTH($B135))</f>
        <v/>
      </c>
    </row>
    <row r="136" customFormat="false" ht="15" hidden="false" customHeight="false" outlineLevel="0" collapsed="false">
      <c r="B136" s="9"/>
      <c r="C136" s="10"/>
      <c r="D136" s="24"/>
      <c r="E136" s="13" t="str">
        <f aca="false">IF($D136="","",ROUND($D136*$C$4,2))</f>
        <v/>
      </c>
      <c r="F136" s="12" t="str">
        <f aca="false">IF($B136="","",MONTH($B136))</f>
        <v/>
      </c>
    </row>
    <row r="137" customFormat="false" ht="15" hidden="false" customHeight="false" outlineLevel="0" collapsed="false">
      <c r="B137" s="9"/>
      <c r="C137" s="10"/>
      <c r="D137" s="24"/>
      <c r="E137" s="13" t="str">
        <f aca="false">IF($D137="","",ROUND($D137*$C$4,2))</f>
        <v/>
      </c>
      <c r="F137" s="12" t="str">
        <f aca="false">IF($B137="","",MONTH($B137))</f>
        <v/>
      </c>
    </row>
    <row r="138" customFormat="false" ht="15" hidden="false" customHeight="false" outlineLevel="0" collapsed="false">
      <c r="B138" s="9"/>
      <c r="C138" s="10"/>
      <c r="D138" s="24"/>
      <c r="E138" s="13" t="str">
        <f aca="false">IF($D138="","",ROUND($D138*$C$4,2))</f>
        <v/>
      </c>
      <c r="F138" s="12" t="str">
        <f aca="false">IF($B138="","",MONTH($B138))</f>
        <v/>
      </c>
    </row>
    <row r="139" customFormat="false" ht="15" hidden="false" customHeight="false" outlineLevel="0" collapsed="false">
      <c r="B139" s="9"/>
      <c r="C139" s="10"/>
      <c r="D139" s="24"/>
      <c r="E139" s="13" t="str">
        <f aca="false">IF($D139="","",ROUND($D139*$C$4,2))</f>
        <v/>
      </c>
      <c r="F139" s="12" t="str">
        <f aca="false">IF($B139="","",MONTH($B139))</f>
        <v/>
      </c>
    </row>
    <row r="140" customFormat="false" ht="15" hidden="false" customHeight="false" outlineLevel="0" collapsed="false">
      <c r="B140" s="9"/>
      <c r="C140" s="10"/>
      <c r="D140" s="24"/>
      <c r="E140" s="13" t="str">
        <f aca="false">IF($D140="","",ROUND($D140*$C$4,2))</f>
        <v/>
      </c>
      <c r="F140" s="12" t="str">
        <f aca="false">IF($B140="","",MONTH($B140))</f>
        <v/>
      </c>
    </row>
    <row r="141" customFormat="false" ht="15" hidden="false" customHeight="false" outlineLevel="0" collapsed="false">
      <c r="B141" s="9"/>
      <c r="C141" s="10"/>
      <c r="D141" s="24"/>
      <c r="E141" s="13" t="str">
        <f aca="false">IF($D141="","",ROUND($D141*$C$4,2))</f>
        <v/>
      </c>
      <c r="F141" s="12" t="str">
        <f aca="false">IF($B141="","",MONTH($B141))</f>
        <v/>
      </c>
    </row>
    <row r="142" customFormat="false" ht="15" hidden="false" customHeight="false" outlineLevel="0" collapsed="false">
      <c r="B142" s="9"/>
      <c r="C142" s="10"/>
      <c r="D142" s="24"/>
      <c r="E142" s="13" t="str">
        <f aca="false">IF($D142="","",ROUND($D142*$C$4,2))</f>
        <v/>
      </c>
      <c r="F142" s="12" t="str">
        <f aca="false">IF($B142="","",MONTH($B142))</f>
        <v/>
      </c>
    </row>
    <row r="143" customFormat="false" ht="15" hidden="false" customHeight="false" outlineLevel="0" collapsed="false">
      <c r="B143" s="9"/>
      <c r="C143" s="10"/>
      <c r="D143" s="24"/>
      <c r="E143" s="13" t="str">
        <f aca="false">IF($D143="","",ROUND($D143*$C$4,2))</f>
        <v/>
      </c>
      <c r="F143" s="12" t="str">
        <f aca="false">IF($B143="","",MONTH($B143))</f>
        <v/>
      </c>
    </row>
    <row r="144" customFormat="false" ht="15" hidden="false" customHeight="false" outlineLevel="0" collapsed="false">
      <c r="B144" s="9"/>
      <c r="C144" s="10"/>
      <c r="D144" s="24"/>
      <c r="E144" s="13" t="str">
        <f aca="false">IF($D144="","",ROUND($D144*$C$4,2))</f>
        <v/>
      </c>
      <c r="F144" s="12" t="str">
        <f aca="false">IF($B144="","",MONTH($B144))</f>
        <v/>
      </c>
    </row>
    <row r="145" customFormat="false" ht="15" hidden="false" customHeight="false" outlineLevel="0" collapsed="false">
      <c r="B145" s="9"/>
      <c r="C145" s="10"/>
      <c r="D145" s="24"/>
      <c r="E145" s="13" t="str">
        <f aca="false">IF($D145="","",ROUND($D145*$C$4,2))</f>
        <v/>
      </c>
      <c r="F145" s="12" t="str">
        <f aca="false">IF($B145="","",MONTH($B145))</f>
        <v/>
      </c>
    </row>
    <row r="146" customFormat="false" ht="15" hidden="false" customHeight="false" outlineLevel="0" collapsed="false">
      <c r="B146" s="9"/>
      <c r="C146" s="10"/>
      <c r="D146" s="24"/>
      <c r="E146" s="13" t="str">
        <f aca="false">IF($D146="","",ROUND($D146*$C$4,2))</f>
        <v/>
      </c>
      <c r="F146" s="12" t="str">
        <f aca="false">IF($B146="","",MONTH($B146))</f>
        <v/>
      </c>
    </row>
    <row r="147" customFormat="false" ht="15" hidden="false" customHeight="false" outlineLevel="0" collapsed="false">
      <c r="B147" s="9"/>
      <c r="C147" s="10"/>
      <c r="D147" s="24"/>
      <c r="E147" s="13" t="str">
        <f aca="false">IF($D147="","",ROUND($D147*$C$4,2))</f>
        <v/>
      </c>
      <c r="F147" s="12" t="str">
        <f aca="false">IF($B147="","",MONTH($B147))</f>
        <v/>
      </c>
    </row>
    <row r="148" customFormat="false" ht="15" hidden="false" customHeight="false" outlineLevel="0" collapsed="false">
      <c r="B148" s="9"/>
      <c r="C148" s="10"/>
      <c r="D148" s="24"/>
      <c r="E148" s="13" t="str">
        <f aca="false">IF($D148="","",ROUND($D148*$C$4,2))</f>
        <v/>
      </c>
      <c r="F148" s="12" t="str">
        <f aca="false">IF($B148="","",MONTH($B148))</f>
        <v/>
      </c>
    </row>
    <row r="149" customFormat="false" ht="15" hidden="false" customHeight="false" outlineLevel="0" collapsed="false">
      <c r="B149" s="9"/>
      <c r="C149" s="10"/>
      <c r="D149" s="24"/>
      <c r="E149" s="13" t="str">
        <f aca="false">IF($D149="","",ROUND($D149*$C$4,2))</f>
        <v/>
      </c>
      <c r="F149" s="12" t="str">
        <f aca="false">IF($B149="","",MONTH($B149))</f>
        <v/>
      </c>
    </row>
    <row r="150" customFormat="false" ht="15" hidden="false" customHeight="false" outlineLevel="0" collapsed="false">
      <c r="B150" s="9"/>
      <c r="C150" s="10"/>
      <c r="D150" s="24"/>
      <c r="E150" s="13" t="str">
        <f aca="false">IF($D150="","",ROUND($D150*$C$4,2))</f>
        <v/>
      </c>
      <c r="F150" s="12" t="str">
        <f aca="false">IF($B150="","",MONTH($B150))</f>
        <v/>
      </c>
    </row>
    <row r="151" customFormat="false" ht="15" hidden="false" customHeight="false" outlineLevel="0" collapsed="false">
      <c r="B151" s="9"/>
      <c r="C151" s="10"/>
      <c r="D151" s="24"/>
      <c r="E151" s="13" t="str">
        <f aca="false">IF($D151="","",ROUND($D151*$C$4,2))</f>
        <v/>
      </c>
      <c r="F151" s="12" t="str">
        <f aca="false">IF($B151="","",MONTH($B151))</f>
        <v/>
      </c>
    </row>
    <row r="152" customFormat="false" ht="15" hidden="false" customHeight="false" outlineLevel="0" collapsed="false">
      <c r="B152" s="9"/>
      <c r="C152" s="10"/>
      <c r="D152" s="24"/>
      <c r="E152" s="13" t="str">
        <f aca="false">IF($D152="","",ROUND($D152*$C$4,2))</f>
        <v/>
      </c>
      <c r="F152" s="12" t="str">
        <f aca="false">IF($B152="","",MONTH($B152))</f>
        <v/>
      </c>
    </row>
    <row r="153" customFormat="false" ht="15" hidden="false" customHeight="false" outlineLevel="0" collapsed="false">
      <c r="B153" s="9"/>
      <c r="C153" s="10"/>
      <c r="D153" s="24"/>
      <c r="E153" s="13" t="str">
        <f aca="false">IF($D153="","",ROUND($D153*$C$4,2))</f>
        <v/>
      </c>
      <c r="F153" s="12" t="str">
        <f aca="false">IF($B153="","",MONTH($B153))</f>
        <v/>
      </c>
    </row>
    <row r="154" customFormat="false" ht="15" hidden="false" customHeight="false" outlineLevel="0" collapsed="false">
      <c r="B154" s="9"/>
      <c r="C154" s="10"/>
      <c r="D154" s="24"/>
      <c r="E154" s="13" t="str">
        <f aca="false">IF($D154="","",ROUND($D154*$C$4,2))</f>
        <v/>
      </c>
      <c r="F154" s="12" t="str">
        <f aca="false">IF($B154="","",MONTH($B154))</f>
        <v/>
      </c>
    </row>
    <row r="155" customFormat="false" ht="15" hidden="false" customHeight="false" outlineLevel="0" collapsed="false">
      <c r="B155" s="9"/>
      <c r="C155" s="10"/>
      <c r="D155" s="24"/>
      <c r="E155" s="13" t="str">
        <f aca="false">IF($D155="","",ROUND($D155*$C$4,2))</f>
        <v/>
      </c>
      <c r="F155" s="12" t="str">
        <f aca="false">IF($B155="","",MONTH($B155))</f>
        <v/>
      </c>
    </row>
    <row r="156" customFormat="false" ht="15" hidden="false" customHeight="false" outlineLevel="0" collapsed="false">
      <c r="B156" s="9"/>
      <c r="C156" s="10"/>
      <c r="D156" s="24"/>
      <c r="E156" s="13" t="str">
        <f aca="false">IF($D156="","",ROUND($D156*$C$4,2))</f>
        <v/>
      </c>
      <c r="F156" s="12" t="str">
        <f aca="false">IF($B156="","",MONTH($B156))</f>
        <v/>
      </c>
    </row>
    <row r="157" customFormat="false" ht="15" hidden="false" customHeight="false" outlineLevel="0" collapsed="false">
      <c r="B157" s="9"/>
      <c r="C157" s="10"/>
      <c r="D157" s="24"/>
      <c r="E157" s="13" t="str">
        <f aca="false">IF($D157="","",ROUND($D157*$C$4,2))</f>
        <v/>
      </c>
      <c r="F157" s="12" t="str">
        <f aca="false">IF($B157="","",MONTH($B157))</f>
        <v/>
      </c>
    </row>
    <row r="158" customFormat="false" ht="15" hidden="false" customHeight="false" outlineLevel="0" collapsed="false">
      <c r="B158" s="9"/>
      <c r="C158" s="10"/>
      <c r="D158" s="24"/>
      <c r="E158" s="13" t="str">
        <f aca="false">IF($D158="","",ROUND($D158*$C$4,2))</f>
        <v/>
      </c>
      <c r="F158" s="12" t="str">
        <f aca="false">IF($B158="","",MONTH($B158))</f>
        <v/>
      </c>
    </row>
    <row r="159" customFormat="false" ht="15" hidden="false" customHeight="false" outlineLevel="0" collapsed="false">
      <c r="B159" s="9"/>
      <c r="C159" s="10"/>
      <c r="D159" s="24"/>
      <c r="E159" s="13" t="str">
        <f aca="false">IF($D159="","",ROUND($D159*$C$4,2))</f>
        <v/>
      </c>
      <c r="F159" s="12" t="str">
        <f aca="false">IF($B159="","",MONTH($B159))</f>
        <v/>
      </c>
    </row>
    <row r="160" customFormat="false" ht="15" hidden="false" customHeight="false" outlineLevel="0" collapsed="false">
      <c r="B160" s="9"/>
      <c r="C160" s="10"/>
      <c r="D160" s="24"/>
      <c r="E160" s="13" t="str">
        <f aca="false">IF($D160="","",ROUND($D160*$C$4,2))</f>
        <v/>
      </c>
      <c r="F160" s="12" t="str">
        <f aca="false">IF($B160="","",MONTH($B160))</f>
        <v/>
      </c>
    </row>
    <row r="161" customFormat="false" ht="15" hidden="false" customHeight="false" outlineLevel="0" collapsed="false">
      <c r="B161" s="9"/>
      <c r="C161" s="10"/>
      <c r="D161" s="24"/>
      <c r="E161" s="13" t="str">
        <f aca="false">IF($D161="","",ROUND($D161*$C$4,2))</f>
        <v/>
      </c>
      <c r="F161" s="12" t="str">
        <f aca="false">IF($B161="","",MONTH($B161))</f>
        <v/>
      </c>
    </row>
    <row r="162" customFormat="false" ht="15" hidden="false" customHeight="false" outlineLevel="0" collapsed="false">
      <c r="B162" s="9"/>
      <c r="C162" s="10"/>
      <c r="D162" s="24"/>
      <c r="E162" s="13" t="str">
        <f aca="false">IF($D162="","",ROUND($D162*$C$4,2))</f>
        <v/>
      </c>
      <c r="F162" s="12" t="str">
        <f aca="false">IF($B162="","",MONTH($B162))</f>
        <v/>
      </c>
    </row>
    <row r="163" customFormat="false" ht="15" hidden="false" customHeight="false" outlineLevel="0" collapsed="false">
      <c r="B163" s="9"/>
      <c r="C163" s="10"/>
      <c r="D163" s="24"/>
      <c r="E163" s="13" t="str">
        <f aca="false">IF($D163="","",ROUND($D163*$C$4,2))</f>
        <v/>
      </c>
      <c r="F163" s="12" t="str">
        <f aca="false">IF($B163="","",MONTH($B163))</f>
        <v/>
      </c>
    </row>
    <row r="164" customFormat="false" ht="15" hidden="false" customHeight="false" outlineLevel="0" collapsed="false">
      <c r="B164" s="9"/>
      <c r="C164" s="10"/>
      <c r="D164" s="24"/>
      <c r="E164" s="13" t="str">
        <f aca="false">IF($D164="","",ROUND($D164*$C$4,2))</f>
        <v/>
      </c>
      <c r="F164" s="12" t="str">
        <f aca="false">IF($B164="","",MONTH($B164))</f>
        <v/>
      </c>
    </row>
    <row r="165" customFormat="false" ht="15" hidden="false" customHeight="false" outlineLevel="0" collapsed="false">
      <c r="B165" s="9"/>
      <c r="C165" s="10"/>
      <c r="D165" s="24"/>
      <c r="E165" s="13" t="str">
        <f aca="false">IF($D165="","",ROUND($D165*$C$4,2))</f>
        <v/>
      </c>
      <c r="F165" s="12" t="str">
        <f aca="false">IF($B165="","",MONTH($B165))</f>
        <v/>
      </c>
    </row>
    <row r="166" customFormat="false" ht="15" hidden="false" customHeight="false" outlineLevel="0" collapsed="false">
      <c r="B166" s="9"/>
      <c r="C166" s="10"/>
      <c r="D166" s="24"/>
      <c r="E166" s="13" t="str">
        <f aca="false">IF($D166="","",ROUND($D166*$C$4,2))</f>
        <v/>
      </c>
      <c r="F166" s="12" t="str">
        <f aca="false">IF($B166="","",MONTH($B166))</f>
        <v/>
      </c>
    </row>
    <row r="167" customFormat="false" ht="15" hidden="false" customHeight="false" outlineLevel="0" collapsed="false">
      <c r="B167" s="9"/>
      <c r="C167" s="10"/>
      <c r="D167" s="24"/>
      <c r="E167" s="13" t="str">
        <f aca="false">IF($D167="","",ROUND($D167*$C$4,2))</f>
        <v/>
      </c>
      <c r="F167" s="12" t="str">
        <f aca="false">IF($B167="","",MONTH($B167))</f>
        <v/>
      </c>
    </row>
    <row r="168" customFormat="false" ht="15" hidden="false" customHeight="false" outlineLevel="0" collapsed="false">
      <c r="B168" s="9"/>
      <c r="C168" s="10"/>
      <c r="D168" s="24"/>
      <c r="E168" s="13" t="str">
        <f aca="false">IF($D168="","",ROUND($D168*$C$4,2))</f>
        <v/>
      </c>
      <c r="F168" s="12" t="str">
        <f aca="false">IF($B168="","",MONTH($B168))</f>
        <v/>
      </c>
    </row>
    <row r="169" customFormat="false" ht="15" hidden="false" customHeight="false" outlineLevel="0" collapsed="false">
      <c r="B169" s="9"/>
      <c r="C169" s="10"/>
      <c r="D169" s="24"/>
      <c r="E169" s="13" t="str">
        <f aca="false">IF($D169="","",ROUND($D169*$C$4,2))</f>
        <v/>
      </c>
      <c r="F169" s="12" t="str">
        <f aca="false">IF($B169="","",MONTH($B169))</f>
        <v/>
      </c>
    </row>
    <row r="170" customFormat="false" ht="15" hidden="false" customHeight="false" outlineLevel="0" collapsed="false">
      <c r="B170" s="9"/>
      <c r="C170" s="10"/>
      <c r="D170" s="24"/>
      <c r="E170" s="13" t="str">
        <f aca="false">IF($D170="","",ROUND($D170*$C$4,2))</f>
        <v/>
      </c>
      <c r="F170" s="12" t="str">
        <f aca="false">IF($B170="","",MONTH($B170))</f>
        <v/>
      </c>
    </row>
    <row r="171" customFormat="false" ht="15" hidden="false" customHeight="false" outlineLevel="0" collapsed="false">
      <c r="B171" s="9"/>
      <c r="C171" s="10"/>
      <c r="D171" s="24"/>
      <c r="E171" s="13" t="str">
        <f aca="false">IF($D171="","",ROUND($D171*$C$4,2))</f>
        <v/>
      </c>
      <c r="F171" s="12" t="str">
        <f aca="false">IF($B171="","",MONTH($B171))</f>
        <v/>
      </c>
    </row>
    <row r="172" customFormat="false" ht="15" hidden="false" customHeight="false" outlineLevel="0" collapsed="false">
      <c r="B172" s="9"/>
      <c r="C172" s="10"/>
      <c r="D172" s="24"/>
      <c r="E172" s="13" t="str">
        <f aca="false">IF($D172="","",ROUND($D172*$C$4,2))</f>
        <v/>
      </c>
      <c r="F172" s="12" t="str">
        <f aca="false">IF($B172="","",MONTH($B172))</f>
        <v/>
      </c>
    </row>
    <row r="173" customFormat="false" ht="15" hidden="false" customHeight="false" outlineLevel="0" collapsed="false">
      <c r="B173" s="9"/>
      <c r="C173" s="10"/>
      <c r="D173" s="24"/>
      <c r="E173" s="13" t="str">
        <f aca="false">IF($D173="","",ROUND($D173*$C$4,2))</f>
        <v/>
      </c>
      <c r="F173" s="12" t="str">
        <f aca="false">IF($B173="","",MONTH($B173))</f>
        <v/>
      </c>
    </row>
    <row r="174" customFormat="false" ht="15" hidden="false" customHeight="false" outlineLevel="0" collapsed="false">
      <c r="B174" s="9"/>
      <c r="C174" s="10"/>
      <c r="D174" s="24"/>
      <c r="E174" s="13" t="str">
        <f aca="false">IF($D174="","",ROUND($D174*$C$4,2))</f>
        <v/>
      </c>
      <c r="F174" s="12" t="str">
        <f aca="false">IF($B174="","",MONTH($B174))</f>
        <v/>
      </c>
    </row>
    <row r="175" customFormat="false" ht="15" hidden="false" customHeight="false" outlineLevel="0" collapsed="false">
      <c r="B175" s="9"/>
      <c r="C175" s="10"/>
      <c r="D175" s="24"/>
      <c r="E175" s="13" t="str">
        <f aca="false">IF($D175="","",ROUND($D175*$C$4,2))</f>
        <v/>
      </c>
      <c r="F175" s="12" t="str">
        <f aca="false">IF($B175="","",MONTH($B175))</f>
        <v/>
      </c>
    </row>
    <row r="176" customFormat="false" ht="15" hidden="false" customHeight="false" outlineLevel="0" collapsed="false">
      <c r="B176" s="9"/>
      <c r="C176" s="10"/>
      <c r="D176" s="24"/>
      <c r="E176" s="13" t="str">
        <f aca="false">IF($D176="","",ROUND($D176*$C$4,2))</f>
        <v/>
      </c>
      <c r="F176" s="12" t="str">
        <f aca="false">IF($B176="","",MONTH($B176))</f>
        <v/>
      </c>
    </row>
    <row r="177" customFormat="false" ht="15" hidden="false" customHeight="false" outlineLevel="0" collapsed="false">
      <c r="B177" s="9"/>
      <c r="C177" s="10"/>
      <c r="D177" s="24"/>
      <c r="E177" s="13" t="str">
        <f aca="false">IF($D177="","",ROUND($D177*$C$4,2))</f>
        <v/>
      </c>
      <c r="F177" s="12" t="str">
        <f aca="false">IF($B177="","",MONTH($B177))</f>
        <v/>
      </c>
    </row>
    <row r="178" customFormat="false" ht="15" hidden="false" customHeight="false" outlineLevel="0" collapsed="false">
      <c r="B178" s="9"/>
      <c r="C178" s="10"/>
      <c r="D178" s="24"/>
      <c r="E178" s="13" t="str">
        <f aca="false">IF($D178="","",ROUND($D178*$C$4,2))</f>
        <v/>
      </c>
      <c r="F178" s="12" t="str">
        <f aca="false">IF($B178="","",MONTH($B178))</f>
        <v/>
      </c>
    </row>
    <row r="179" customFormat="false" ht="15" hidden="false" customHeight="false" outlineLevel="0" collapsed="false">
      <c r="B179" s="9"/>
      <c r="C179" s="10"/>
      <c r="D179" s="24"/>
      <c r="E179" s="13" t="str">
        <f aca="false">IF($D179="","",ROUND($D179*$C$4,2))</f>
        <v/>
      </c>
      <c r="F179" s="12" t="str">
        <f aca="false">IF($B179="","",MONTH($B179))</f>
        <v/>
      </c>
    </row>
    <row r="180" customFormat="false" ht="15" hidden="false" customHeight="false" outlineLevel="0" collapsed="false">
      <c r="B180" s="9"/>
      <c r="C180" s="10"/>
      <c r="D180" s="24"/>
      <c r="E180" s="13" t="str">
        <f aca="false">IF($D180="","",ROUND($D180*$C$4,2))</f>
        <v/>
      </c>
      <c r="F180" s="12" t="str">
        <f aca="false">IF($B180="","",MONTH($B180))</f>
        <v/>
      </c>
    </row>
    <row r="181" customFormat="false" ht="15" hidden="false" customHeight="false" outlineLevel="0" collapsed="false">
      <c r="B181" s="9"/>
      <c r="C181" s="10"/>
      <c r="D181" s="24"/>
      <c r="E181" s="13" t="str">
        <f aca="false">IF($D181="","",ROUND($D181*$C$4,2))</f>
        <v/>
      </c>
      <c r="F181" s="12" t="str">
        <f aca="false">IF($B181="","",MONTH($B181))</f>
        <v/>
      </c>
    </row>
    <row r="182" customFormat="false" ht="15" hidden="false" customHeight="false" outlineLevel="0" collapsed="false">
      <c r="B182" s="9"/>
      <c r="C182" s="10"/>
      <c r="D182" s="24"/>
      <c r="E182" s="13" t="str">
        <f aca="false">IF($D182="","",ROUND($D182*$C$4,2))</f>
        <v/>
      </c>
      <c r="F182" s="12" t="str">
        <f aca="false">IF($B182="","",MONTH($B182))</f>
        <v/>
      </c>
    </row>
    <row r="183" customFormat="false" ht="15" hidden="false" customHeight="false" outlineLevel="0" collapsed="false">
      <c r="B183" s="9"/>
      <c r="C183" s="10"/>
      <c r="D183" s="24"/>
      <c r="E183" s="13" t="str">
        <f aca="false">IF($D183="","",ROUND($D183*$C$4,2))</f>
        <v/>
      </c>
      <c r="F183" s="12" t="str">
        <f aca="false">IF($B183="","",MONTH($B183))</f>
        <v/>
      </c>
    </row>
    <row r="184" customFormat="false" ht="15" hidden="false" customHeight="false" outlineLevel="0" collapsed="false">
      <c r="B184" s="9"/>
      <c r="C184" s="10"/>
      <c r="D184" s="24"/>
      <c r="E184" s="13" t="str">
        <f aca="false">IF($D184="","",ROUND($D184*$C$4,2))</f>
        <v/>
      </c>
      <c r="F184" s="12" t="str">
        <f aca="false">IF($B184="","",MONTH($B184))</f>
        <v/>
      </c>
    </row>
    <row r="185" customFormat="false" ht="15" hidden="false" customHeight="false" outlineLevel="0" collapsed="false">
      <c r="B185" s="9"/>
      <c r="C185" s="10"/>
      <c r="D185" s="24"/>
      <c r="E185" s="13" t="str">
        <f aca="false">IF($D185="","",ROUND($D185*$C$4,2))</f>
        <v/>
      </c>
      <c r="F185" s="12" t="str">
        <f aca="false">IF($B185="","",MONTH($B185))</f>
        <v/>
      </c>
    </row>
    <row r="186" customFormat="false" ht="15" hidden="false" customHeight="false" outlineLevel="0" collapsed="false">
      <c r="B186" s="9"/>
      <c r="C186" s="10"/>
      <c r="D186" s="24"/>
      <c r="E186" s="13" t="str">
        <f aca="false">IF($D186="","",ROUND($D186*$C$4,2))</f>
        <v/>
      </c>
      <c r="F186" s="12" t="str">
        <f aca="false">IF($B186="","",MONTH($B186))</f>
        <v/>
      </c>
    </row>
    <row r="187" customFormat="false" ht="15" hidden="false" customHeight="false" outlineLevel="0" collapsed="false">
      <c r="B187" s="9"/>
      <c r="C187" s="10"/>
      <c r="D187" s="24"/>
      <c r="E187" s="13" t="str">
        <f aca="false">IF($D187="","",ROUND($D187*$C$4,2))</f>
        <v/>
      </c>
      <c r="F187" s="12" t="str">
        <f aca="false">IF($B187="","",MONTH($B187))</f>
        <v/>
      </c>
    </row>
    <row r="188" customFormat="false" ht="15" hidden="false" customHeight="false" outlineLevel="0" collapsed="false">
      <c r="B188" s="9"/>
      <c r="C188" s="10"/>
      <c r="D188" s="24"/>
      <c r="E188" s="13" t="str">
        <f aca="false">IF($D188="","",ROUND($D188*$C$4,2))</f>
        <v/>
      </c>
      <c r="F188" s="12" t="str">
        <f aca="false">IF($B188="","",MONTH($B188))</f>
        <v/>
      </c>
    </row>
    <row r="189" customFormat="false" ht="15" hidden="false" customHeight="false" outlineLevel="0" collapsed="false">
      <c r="B189" s="9"/>
      <c r="C189" s="10"/>
      <c r="D189" s="24"/>
      <c r="E189" s="13" t="str">
        <f aca="false">IF($D189="","",ROUND($D189*$C$4,2))</f>
        <v/>
      </c>
      <c r="F189" s="12" t="str">
        <f aca="false">IF($B189="","",MONTH($B189))</f>
        <v/>
      </c>
    </row>
    <row r="190" customFormat="false" ht="15" hidden="false" customHeight="false" outlineLevel="0" collapsed="false">
      <c r="B190" s="9"/>
      <c r="C190" s="10"/>
      <c r="D190" s="24"/>
      <c r="E190" s="13" t="str">
        <f aca="false">IF($D190="","",ROUND($D190*$C$4,2))</f>
        <v/>
      </c>
      <c r="F190" s="12" t="str">
        <f aca="false">IF($B190="","",MONTH($B190))</f>
        <v/>
      </c>
    </row>
    <row r="191" customFormat="false" ht="15" hidden="false" customHeight="false" outlineLevel="0" collapsed="false">
      <c r="B191" s="9"/>
      <c r="C191" s="10"/>
      <c r="D191" s="24"/>
      <c r="E191" s="13" t="str">
        <f aca="false">IF($D191="","",ROUND($D191*$C$4,2))</f>
        <v/>
      </c>
      <c r="F191" s="12" t="str">
        <f aca="false">IF($B191="","",MONTH($B191))</f>
        <v/>
      </c>
    </row>
    <row r="192" customFormat="false" ht="15" hidden="false" customHeight="false" outlineLevel="0" collapsed="false">
      <c r="B192" s="9"/>
      <c r="C192" s="10"/>
      <c r="D192" s="24"/>
      <c r="E192" s="13" t="str">
        <f aca="false">IF($D192="","",ROUND($D192*$C$4,2))</f>
        <v/>
      </c>
      <c r="F192" s="12" t="str">
        <f aca="false">IF($B192="","",MONTH($B192))</f>
        <v/>
      </c>
    </row>
    <row r="193" customFormat="false" ht="15" hidden="false" customHeight="false" outlineLevel="0" collapsed="false">
      <c r="B193" s="9"/>
      <c r="C193" s="10"/>
      <c r="D193" s="24"/>
      <c r="E193" s="13" t="str">
        <f aca="false">IF($D193="","",ROUND($D193*$C$4,2))</f>
        <v/>
      </c>
      <c r="F193" s="12" t="str">
        <f aca="false">IF($B193="","",MONTH($B193))</f>
        <v/>
      </c>
    </row>
    <row r="194" customFormat="false" ht="15" hidden="false" customHeight="false" outlineLevel="0" collapsed="false">
      <c r="B194" s="9"/>
      <c r="C194" s="10"/>
      <c r="D194" s="24"/>
      <c r="E194" s="13" t="str">
        <f aca="false">IF($D194="","",ROUND($D194*$C$4,2))</f>
        <v/>
      </c>
      <c r="F194" s="12" t="str">
        <f aca="false">IF($B194="","",MONTH($B194))</f>
        <v/>
      </c>
    </row>
    <row r="195" customFormat="false" ht="15" hidden="false" customHeight="false" outlineLevel="0" collapsed="false">
      <c r="B195" s="9"/>
      <c r="C195" s="10"/>
      <c r="D195" s="24"/>
      <c r="E195" s="13" t="str">
        <f aca="false">IF($D195="","",ROUND($D195*$C$4,2))</f>
        <v/>
      </c>
      <c r="F195" s="12" t="str">
        <f aca="false">IF($B195="","",MONTH($B195))</f>
        <v/>
      </c>
    </row>
    <row r="196" customFormat="false" ht="15" hidden="false" customHeight="false" outlineLevel="0" collapsed="false">
      <c r="B196" s="9"/>
      <c r="C196" s="10"/>
      <c r="D196" s="24"/>
      <c r="E196" s="13" t="str">
        <f aca="false">IF($D196="","",ROUND($D196*$C$4,2))</f>
        <v/>
      </c>
      <c r="F196" s="12" t="str">
        <f aca="false">IF($B196="","",MONTH($B196))</f>
        <v/>
      </c>
    </row>
    <row r="197" customFormat="false" ht="15" hidden="false" customHeight="false" outlineLevel="0" collapsed="false">
      <c r="B197" s="9"/>
      <c r="C197" s="10"/>
      <c r="D197" s="24"/>
      <c r="E197" s="13" t="str">
        <f aca="false">IF($D197="","",ROUND($D197*$C$4,2))</f>
        <v/>
      </c>
      <c r="F197" s="12" t="str">
        <f aca="false">IF($B197="","",MONTH($B197))</f>
        <v/>
      </c>
    </row>
    <row r="198" customFormat="false" ht="15" hidden="false" customHeight="false" outlineLevel="0" collapsed="false">
      <c r="B198" s="9"/>
      <c r="C198" s="10"/>
      <c r="D198" s="24"/>
      <c r="E198" s="13" t="str">
        <f aca="false">IF($D198="","",ROUND($D198*$C$4,2))</f>
        <v/>
      </c>
      <c r="F198" s="12" t="str">
        <f aca="false">IF($B198="","",MONTH($B198))</f>
        <v/>
      </c>
    </row>
    <row r="199" customFormat="false" ht="15" hidden="false" customHeight="false" outlineLevel="0" collapsed="false">
      <c r="B199" s="9"/>
      <c r="C199" s="10"/>
      <c r="D199" s="24"/>
      <c r="E199" s="13" t="str">
        <f aca="false">IF($D199="","",ROUND($D199*$C$4,2))</f>
        <v/>
      </c>
      <c r="F199" s="12" t="str">
        <f aca="false">IF($B199="","",MONTH($B199))</f>
        <v/>
      </c>
    </row>
    <row r="200" customFormat="false" ht="15" hidden="false" customHeight="false" outlineLevel="0" collapsed="false">
      <c r="B200" s="9"/>
      <c r="C200" s="10"/>
      <c r="D200" s="24"/>
      <c r="E200" s="13" t="str">
        <f aca="false">IF($D200="","",ROUND($D200*$C$4,2))</f>
        <v/>
      </c>
      <c r="F200" s="12" t="str">
        <f aca="false">IF($B200="","",MONTH($B200))</f>
        <v/>
      </c>
    </row>
    <row r="201" customFormat="false" ht="15" hidden="false" customHeight="false" outlineLevel="0" collapsed="false">
      <c r="B201" s="9"/>
      <c r="C201" s="10"/>
      <c r="D201" s="24"/>
      <c r="E201" s="13" t="str">
        <f aca="false">IF($D201="","",ROUND($D201*$C$4,2))</f>
        <v/>
      </c>
      <c r="F201" s="12" t="str">
        <f aca="false">IF($B201="","",MONTH($B201))</f>
        <v/>
      </c>
    </row>
    <row r="202" customFormat="false" ht="15" hidden="false" customHeight="false" outlineLevel="0" collapsed="false">
      <c r="B202" s="9"/>
      <c r="C202" s="10"/>
      <c r="D202" s="24"/>
      <c r="E202" s="13" t="str">
        <f aca="false">IF($D202="","",ROUND($D202*$C$4,2))</f>
        <v/>
      </c>
      <c r="F202" s="12" t="str">
        <f aca="false">IF($B202="","",MONTH($B202))</f>
        <v/>
      </c>
    </row>
    <row r="203" customFormat="false" ht="15" hidden="false" customHeight="false" outlineLevel="0" collapsed="false">
      <c r="B203" s="9"/>
      <c r="C203" s="10"/>
      <c r="D203" s="24"/>
      <c r="E203" s="13" t="str">
        <f aca="false">IF($D203="","",ROUND($D203*$C$4,2))</f>
        <v/>
      </c>
      <c r="F203" s="12" t="str">
        <f aca="false">IF($B203="","",MONTH($B203))</f>
        <v/>
      </c>
    </row>
    <row r="204" customFormat="false" ht="15" hidden="false" customHeight="false" outlineLevel="0" collapsed="false">
      <c r="B204" s="9"/>
      <c r="C204" s="10"/>
      <c r="D204" s="24"/>
      <c r="E204" s="13" t="str">
        <f aca="false">IF($D204="","",ROUND($D204*$C$4,2))</f>
        <v/>
      </c>
      <c r="F204" s="12" t="str">
        <f aca="false">IF($B204="","",MONTH($B204))</f>
        <v/>
      </c>
    </row>
    <row r="205" customFormat="false" ht="15" hidden="false" customHeight="false" outlineLevel="0" collapsed="false">
      <c r="B205" s="9"/>
      <c r="C205" s="10"/>
      <c r="D205" s="24"/>
      <c r="E205" s="13" t="str">
        <f aca="false">IF($D205="","",ROUND($D205*$C$4,2))</f>
        <v/>
      </c>
      <c r="F205" s="12" t="str">
        <f aca="false">IF($B205="","",MONTH($B205))</f>
        <v/>
      </c>
    </row>
    <row r="206" customFormat="false" ht="15" hidden="false" customHeight="false" outlineLevel="0" collapsed="false">
      <c r="B206" s="9"/>
      <c r="C206" s="10"/>
      <c r="D206" s="24"/>
      <c r="E206" s="13" t="str">
        <f aca="false">IF($D206="","",ROUND($D206*$C$4,2))</f>
        <v/>
      </c>
      <c r="F206" s="12" t="str">
        <f aca="false">IF($B206="","",MONTH($B206))</f>
        <v/>
      </c>
    </row>
    <row r="207" customFormat="false" ht="15" hidden="false" customHeight="false" outlineLevel="0" collapsed="false">
      <c r="B207" s="9"/>
      <c r="C207" s="10"/>
      <c r="D207" s="24"/>
      <c r="E207" s="13" t="str">
        <f aca="false">IF($D207="","",ROUND($D207*$C$4,2))</f>
        <v/>
      </c>
      <c r="F207" s="12" t="str">
        <f aca="false">IF($B207="","",MONTH($B207))</f>
        <v/>
      </c>
    </row>
    <row r="208" customFormat="false" ht="15" hidden="false" customHeight="false" outlineLevel="0" collapsed="false">
      <c r="B208" s="9"/>
      <c r="C208" s="10"/>
      <c r="D208" s="24"/>
      <c r="E208" s="13" t="str">
        <f aca="false">IF($D208="","",ROUND($D208*$C$4,2))</f>
        <v/>
      </c>
      <c r="F208" s="12" t="str">
        <f aca="false">IF($B208="","",MONTH($B208))</f>
        <v/>
      </c>
    </row>
    <row r="210" customFormat="false" ht="15" hidden="false" customHeight="false" outlineLevel="0" collapsed="false">
      <c r="B210" s="7" t="s">
        <v>191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2026-08-03T16:22:33Z</dcterms:created>
  <dc:creator>openpyxl</dc:creator>
  <dc:description/>
  <dc:language>en-US</dc:language>
  <cp:lastModifiedBy/>
  <dcterms:modified xsi:type="dcterms:W3CDTF">2026-08-03T16:22:33Z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