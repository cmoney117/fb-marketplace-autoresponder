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Weekly Meal Plan" sheetId="2" state="visible" r:id="rId4"/>
    <sheet name="Grocery List Builder" sheetId="3" state="visible" r:id="rId5"/>
    <sheet name="Price Book" sheetId="4" state="visible" r:id="rId6"/>
    <sheet name="Monthly Grocery Budget" sheetId="5" state="visible" r:id="rId7"/>
    <sheet name="Pantry Invento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<sst xmlns="http://schemas.openxmlformats.org/spreadsheetml/2006/main" count="262" uniqueCount="196">
  <si>
    <t xml:space="preserve">MEAL PLAN &amp; GROCERY BUDGET PLANNER</t>
  </si>
  <si>
    <t xml:space="preserve">Welcome! The cheapest groceries are the ones you planned. This planner runs the weekly loop that</t>
  </si>
  <si>
    <t xml:space="preserve">shrinks a grocery bill: check the pantry, plan the meals, price the list, then shop with a number in mind.</t>
  </si>
  <si>
    <t xml:space="preserve">HOW TO USE (4 steps)</t>
  </si>
  <si>
    <t xml:space="preserve">1. 'Pantry Inventory' — flag Use first? = Yes on anything that should get eaten soon.</t>
  </si>
  <si>
    <t xml:space="preserve">2. 'Weekly Meal Plan' — plan 7 days around those use-first items. Dinners first; Week 1 is a full example.</t>
  </si>
  <si>
    <t xml:space="preserve">3. 'Grocery List Builder' — set your weekly budget in the yellow cell, list what you need with estimated</t>
  </si>
  <si>
    <t xml:space="preserve">    prices, and watch 'Left vs budget'. If it goes red, swap or cut items BEFORE you're in the store.</t>
  </si>
  <si>
    <t xml:space="preserve">4. 'Monthly Grocery Budget' — after each week's shop, log what you really spent. The month view shows</t>
  </si>
  <si>
    <t xml:space="preserve">    budget left and how the month compares to last month.</t>
  </si>
  <si>
    <t xml:space="preserve">THE OTHER TAB</t>
  </si>
  <si>
    <t xml:space="preserve">• Price Book — jot prices for your 20 staples across 3 stores (rename the yellow store headers).</t>
  </si>
  <si>
    <t xml:space="preserve">   The cheapest price lights up green, so you learn where each staple genuinely costs less —</t>
  </si>
  <si>
    <t xml:space="preserve">   and you can tell a real sale from a shelf sign that just says SALE.</t>
  </si>
  <si>
    <t xml:space="preserve">THE WORKED EXAMPLE (already in the sheet — replace it with your own)</t>
  </si>
  <si>
    <t xml:space="preserve">One real week for a family of four: a $150 weekly budget, a fully planned Week 1, and a priced</t>
  </si>
  <si>
    <t xml:space="preserve">grocery list that comes to $134.86 — so 'Left vs budget' shows $15.14 green before you leave the house.</t>
  </si>
  <si>
    <t xml:space="preserve">The monthly tab shows $583.17 spent of a $600 budget, $71.83 less than the month before.</t>
  </si>
  <si>
    <t xml:space="preserve">COLOR LEGEND</t>
  </si>
  <si>
    <t xml:space="preserve">Yellow cells = yours to edit.  Everything else calculates automatically — please don't type over it.</t>
  </si>
  <si>
    <t xml:space="preserve">Traffic lights: green = under budget (or cheapest price) · amber = right at it (or use-first) · red = over.</t>
  </si>
  <si>
    <t xml:space="preserve">GOOGLE SHEETS USERS</t>
  </si>
  <si>
    <t xml:space="preserve">Upload this file to Google Drive, then open it — it converts automatically and all formulas work.</t>
  </si>
  <si>
    <t xml:space="preserve">Questions or a formula acting up? Message us on Etsy any time — we answer fast and we'll fix it.</t>
  </si>
  <si>
    <t xml:space="preserve">WEEKLY MEAL PLAN — 4 WEEKS</t>
  </si>
  <si>
    <t xml:space="preserve">Week 1 is a full worked example — clear it and plan yours. Start with dinners (the budget-buster meal) and build them around Pantry Inventory 'use first' flags.</t>
  </si>
  <si>
    <t xml:space="preserve">WEEK 1</t>
  </si>
  <si>
    <t xml:space="preserve">Meal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</si>
  <si>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</si>
  <si>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</si>
  <si>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</si>
  <si>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</si>
  <si>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</si>
  <si>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</si>
  <si>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</si>
  <si>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Breakfast</t>
  </si>
  <si>
    <t xml:space="preserve">Oatmeal + fruit</t>
  </si>
  <si>
    <t xml:space="preserve">Eggs &amp; toast</t>
  </si>
  <si>
    <t xml:space="preserve">Yogurt parfaits</t>
  </si>
  <si>
    <t xml:space="preserve">Smoothies</t>
  </si>
  <si>
    <t xml:space="preserve">Pancakes</t>
  </si>
  <si>
    <t xml:space="preserve">Egg scramble</t>
  </si>
  <si>
    <t xml:space="preserve">Lunch</t>
  </si>
  <si>
    <t xml:space="preserve">Turkey wraps</t>
  </si>
  <si>
    <t xml:space="preserve">Leftover chili</t>
  </si>
  <si>
    <t xml:space="preserve">PB&amp;J + apples</t>
  </si>
  <si>
    <t xml:space="preserve">Tuna melts</t>
  </si>
  <si>
    <t xml:space="preserve">Leftover stir-fry</t>
  </si>
  <si>
    <t xml:space="preserve">Grilled cheese + soup</t>
  </si>
  <si>
    <t xml:space="preserve">Deli sandwiches</t>
  </si>
  <si>
    <t xml:space="preserve">Dinner</t>
  </si>
  <si>
    <t xml:space="preserve">Sheet-pan chicken &amp; veg</t>
  </si>
  <si>
    <t xml:space="preserve">Big-batch chili</t>
  </si>
  <si>
    <t xml:space="preserve">Taco night</t>
  </si>
  <si>
    <t xml:space="preserve">Pasta marinara</t>
  </si>
  <si>
    <t xml:space="preserve">Chicken stir-fry</t>
  </si>
  <si>
    <t xml:space="preserve">Homemade pizza</t>
  </si>
  <si>
    <t xml:space="preserve">Leftovers night</t>
  </si>
  <si>
    <t xml:space="preserve">Snack</t>
  </si>
  <si>
    <t xml:space="preserve">Apples + peanut butter</t>
  </si>
  <si>
    <t xml:space="preserve">Popcorn</t>
  </si>
  <si>
    <t xml:space="preserve">Carrots + hummus</t>
  </si>
  <si>
    <t xml:space="preserve">Cheese &amp; crackers</t>
  </si>
  <si>
    <t xml:space="preserve">Bananas</t>
  </si>
  <si>
    <t xml:space="preserve">Trail mix</t>
  </si>
  <si>
    <t xml:space="preserve">Frozen berry yogurt</t>
  </si>
  <si>
    <t xml:space="preserve">Meals planned (of 28):</t>
  </si>
  <si>
    <t xml:space="preserve">WEEK 2</t>
  </si>
  <si>
    <t xml:space="preserve">WEEK 3</t>
  </si>
  <si>
    <t xml:space="preserve">WEEK 4</t>
  </si>
  <si>
    <t xml:space="preserve">GROCERY LIST BUILDER</t>
  </si>
  <si>
    <t xml:space="preserve">Weekly grocery budget:</t>
  </si>
  <si>
    <t xml:space="preserve">Build the list from your meal plan. If 'Left vs budget' goes red, swap or cut items BEFORE the store — that's the whole trick.</t>
  </si>
  <si>
    <t xml:space="preserve">Grocery list total (est.):</t>
  </si>
  <si>
    <t xml:space="preserve">Left vs budget:</t>
  </si>
  <si>
    <t xml:space="preserve">In cart so far (marked Yes):</t>
  </si>
  <si>
    <t xml:space="preserve">Mark Got it? = Yes as you shop — 'In cart so far' keeps a running total. Type Yes exactly.</t>
  </si>
  <si>
    <t xml:space="preserve">Item</t>
  </si>
  <si>
    <t xml:space="preserve">Est. price</t>
  </si>
  <si>
    <t xml:space="preserve">Got it?</t>
  </si>
  <si>
    <t xml:space="preserve">Notes</t>
  </si>
  <si>
    <t xml:space="preserve">PRODUCE</t>
  </si>
  <si>
    <t xml:space="preserve">Yes</t>
  </si>
  <si>
    <t xml:space="preserve">Apples (3 lb bag)</t>
  </si>
  <si>
    <t xml:space="preserve">Carrots (2 lb)</t>
  </si>
  <si>
    <t xml:space="preserve">Salad mix</t>
  </si>
  <si>
    <t xml:space="preserve">Bell peppers (3)</t>
  </si>
  <si>
    <t xml:space="preserve">Broccoli</t>
  </si>
  <si>
    <t xml:space="preserve">Onions (3 lb bag)</t>
  </si>
  <si>
    <t xml:space="preserve">Tomatoes</t>
  </si>
  <si>
    <t xml:space="preserve">Produce subtotal</t>
  </si>
  <si>
    <t xml:space="preserve">MEAT &amp; SEAFOOD</t>
  </si>
  <si>
    <t xml:space="preserve">Chicken thighs (3 lb)</t>
  </si>
  <si>
    <t xml:space="preserve">Ground beef (2 lb)</t>
  </si>
  <si>
    <t xml:space="preserve">Turkey deli slices</t>
  </si>
  <si>
    <t xml:space="preserve">Tuna (4 cans)</t>
  </si>
  <si>
    <t xml:space="preserve">Meat &amp; Seafood subtotal</t>
  </si>
  <si>
    <t xml:space="preserve">DAIRY &amp; EGGS</t>
  </si>
  <si>
    <t xml:space="preserve">Milk (2 gal)</t>
  </si>
  <si>
    <t xml:space="preserve">Eggs (18 ct)</t>
  </si>
  <si>
    <t xml:space="preserve">Cheddar block</t>
  </si>
  <si>
    <t xml:space="preserve">Yogurt (large tub)</t>
  </si>
  <si>
    <t xml:space="preserve">Butter</t>
  </si>
  <si>
    <t xml:space="preserve">Dairy &amp; Eggs subtotal</t>
  </si>
  <si>
    <t xml:space="preserve">PANTRY &amp; DRY GOODS</t>
  </si>
  <si>
    <t xml:space="preserve">Oats (large canister)</t>
  </si>
  <si>
    <t xml:space="preserve">Pasta (2 boxes)</t>
  </si>
  <si>
    <t xml:space="preserve">Marinara (2 jars)</t>
  </si>
  <si>
    <t xml:space="preserve">Rice (5 lb)</t>
  </si>
  <si>
    <t xml:space="preserve">Peanut butter</t>
  </si>
  <si>
    <t xml:space="preserve">Bread (2 loaves)</t>
  </si>
  <si>
    <t xml:space="preserve">Tortillas</t>
  </si>
  <si>
    <t xml:space="preserve">Taco seasoning</t>
  </si>
  <si>
    <t xml:space="preserve">Pantry &amp; Dry Goods subtotal</t>
  </si>
  <si>
    <t xml:space="preserve">FROZEN</t>
  </si>
  <si>
    <t xml:space="preserve">Frozen veg mix (3 bags)</t>
  </si>
  <si>
    <t xml:space="preserve">Frozen berries</t>
  </si>
  <si>
    <t xml:space="preserve">Pizza dough</t>
  </si>
  <si>
    <t xml:space="preserve">Frozen subtotal</t>
  </si>
  <si>
    <t xml:space="preserve">HOUSEHOLD</t>
  </si>
  <si>
    <t xml:space="preserve">Dish soap</t>
  </si>
  <si>
    <t xml:space="preserve">Paper towels</t>
  </si>
  <si>
    <t xml:space="preserve">Trash bags</t>
  </si>
  <si>
    <t xml:space="preserve">Household subtotal</t>
  </si>
  <si>
    <t xml:space="preserve">PRICE BOOK</t>
  </si>
  <si>
    <t xml:space="preserve">The quiet money-saver: jot the price of your regular staples at up to 3 stores as you shop. In a month you'll know where each one genuinely costs less — and you'll spot a real sale instantly.</t>
  </si>
  <si>
    <t xml:space="preserve">The store names are yellow — replace them with your real stores. The cheapest price in each row lights up green.</t>
  </si>
  <si>
    <t xml:space="preserve">Size</t>
  </si>
  <si>
    <t xml:space="preserve">Store 1</t>
  </si>
  <si>
    <t xml:space="preserve">Store 2</t>
  </si>
  <si>
    <t xml:space="preserve">Store 3</t>
  </si>
  <si>
    <t xml:space="preserve">Cheapest store</t>
  </si>
  <si>
    <t xml:space="preserve">Cheapest price</t>
  </si>
  <si>
    <t xml:space="preserve">Milk (1 gal)</t>
  </si>
  <si>
    <t xml:space="preserve">1 gal</t>
  </si>
  <si>
    <t xml:space="preserve">18 ct</t>
  </si>
  <si>
    <t xml:space="preserve">Chicken breast</t>
  </si>
  <si>
    <t xml:space="preserve">per lb</t>
  </si>
  <si>
    <t xml:space="preserve">Ground beef 80/20</t>
  </si>
  <si>
    <t xml:space="preserve">Sandwich bread</t>
  </si>
  <si>
    <t xml:space="preserve">loaf</t>
  </si>
  <si>
    <t xml:space="preserve">16 oz</t>
  </si>
  <si>
    <t xml:space="preserve">Pasta</t>
  </si>
  <si>
    <t xml:space="preserve">Rice</t>
  </si>
  <si>
    <t xml:space="preserve">5 lb</t>
  </si>
  <si>
    <t xml:space="preserve">Cheddar cheese</t>
  </si>
  <si>
    <t xml:space="preserve">8 oz</t>
  </si>
  <si>
    <t xml:space="preserve">MONTHLY GROCERY BUDGET</t>
  </si>
  <si>
    <t xml:space="preserve">Monthly grocery budget:</t>
  </si>
  <si>
    <t xml:space="preserve">Last month's grocery total:</t>
  </si>
  <si>
    <t xml:space="preserve">Weekly budget = monthly budget ÷ 4 (calculated for you). Log each week's REAL total after your main shop — include the little top-up runs. Months with a 5th shopping week: log that shop into Week 4.</t>
  </si>
  <si>
    <t xml:space="preserve">Week</t>
  </si>
  <si>
    <t xml:space="preserve">Budget</t>
  </si>
  <si>
    <t xml:space="preserve">Actual spent</t>
  </si>
  <si>
    <t xml:space="preserve">Over / under</t>
  </si>
  <si>
    <t xml:space="preserve">Week 1</t>
  </si>
  <si>
    <t xml:space="preserve">Week 2</t>
  </si>
  <si>
    <t xml:space="preserve">Week 3</t>
  </si>
  <si>
    <t xml:space="preserve">Week 4</t>
  </si>
  <si>
    <t xml:space="preserve">Month total</t>
  </si>
  <si>
    <t xml:space="preserve">THE BOTTOM LINE</t>
  </si>
  <si>
    <t xml:space="preserve">Spent this month:</t>
  </si>
  <si>
    <t xml:space="preserve">Left in budget:</t>
  </si>
  <si>
    <t xml:space="preserve">% of budget used:</t>
  </si>
  <si>
    <t xml:space="preserve">vs last month (+ means you spent less):</t>
  </si>
  <si>
    <t xml:space="preserve">'vs last month' just shows the difference — when it turns green, it's usually the pantry flags, the priced list, and the Price Book doing their job.</t>
  </si>
  <si>
    <t xml:space="preserve">PANTRY INVENTORY</t>
  </si>
  <si>
    <t xml:space="preserve">Items on hand:</t>
  </si>
  <si>
    <t xml:space="preserve">Flagged use-first:</t>
  </si>
  <si>
    <t xml:space="preserve">Shop your kitchen first. Flag Use first? = Yes on anything ageing out, then plan this week's dinners around those rows — that's food you already paid for. Type Yes exactly; the counter counts that word.</t>
  </si>
  <si>
    <t xml:space="preserve">Where</t>
  </si>
  <si>
    <t xml:space="preserve">Qty on hand</t>
  </si>
  <si>
    <t xml:space="preserve">Use first?</t>
  </si>
  <si>
    <t xml:space="preserve">Chicken thighs (2 lb)</t>
  </si>
  <si>
    <t xml:space="preserve">Freezer</t>
  </si>
  <si>
    <t xml:space="preserve">2 lb</t>
  </si>
  <si>
    <t xml:space="preserve">plan a dinner around these first</t>
  </si>
  <si>
    <t xml:space="preserve">Rice (white)</t>
  </si>
  <si>
    <t xml:space="preserve">Pantry</t>
  </si>
  <si>
    <t xml:space="preserve">Black beans</t>
  </si>
  <si>
    <t xml:space="preserve">4 cans</t>
  </si>
  <si>
    <t xml:space="preserve">2 boxes</t>
  </si>
  <si>
    <t xml:space="preserve">Marinara sauce</t>
  </si>
  <si>
    <t xml:space="preserve">Fridge</t>
  </si>
  <si>
    <t xml:space="preserve">1 open jar</t>
  </si>
  <si>
    <t xml:space="preserve">open — use this week</t>
  </si>
  <si>
    <t xml:space="preserve">Oats</t>
  </si>
  <si>
    <t xml:space="preserve">1 canister</t>
  </si>
  <si>
    <t xml:space="preserve">Yogurt (tub)</t>
  </si>
  <si>
    <t xml:space="preserve">1</t>
  </si>
  <si>
    <t xml:space="preserve">expires this week</t>
  </si>
  <si>
    <t xml:space="preserve">Frozen veg mix</t>
  </si>
  <si>
    <t xml:space="preserve">3 bags</t>
  </si>
  <si>
    <t xml:space="preserve">1 pack</t>
  </si>
  <si>
    <t xml:space="preserve">Bread</t>
  </si>
  <si>
    <t xml:space="preserve">1 loaf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</si>
</sst>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7D6B"/>
        <bgColor rgb="FF008080"/>
      </patternFill>
    </fill>
    <fill>
      <patternFill patternType="solid">
        <fgColor rgb="FFF4F6F8"/>
        <bgColor rgb="FFFFFFFF"/>
      </patternFill>
    </fill>
    <fill>
      <patternFill patternType="solid">
        <fgColor rgb="FFFFF2CC"/>
        <bgColor rgb="FFF4F6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FF2CC"/>
      <rgbColor rgb="FFF4F6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2E7D6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5" min="3" style="0" width="30"/>
  </cols>
  <sheetData>
    <row r="2" customFormat="false" ht="33.75" hidden="false" customHeight="true" outlineLevel="0" collapsed="false">
      <c r="B2" s="1" t="s">
        <v>0</v>
      </c>
      <c r="C2" s="1"/>
      <c r="D2" s="1"/>
      <c r="E2" s="1"/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2" t="s">
        <v>1</v>
      </c>
    </row>
    <row r="6" customFormat="false" ht="15" hidden="false" customHeight="false" outlineLevel="0" collapsed="false">
      <c r="B6" s="2" t="s">
        <v>2</v>
      </c>
    </row>
    <row r="7" customFormat="false" ht="15" hidden="false" customHeight="false" outlineLevel="0" collapsed="false">
      <c r="B7" s="2"/>
    </row>
    <row r="8" customFormat="false" ht="19.5" hidden="false" customHeight="tru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2" t="s">
        <v>4</v>
      </c>
    </row>
    <row r="10" customFormat="false" ht="15" hidden="false" customHeight="false" outlineLevel="0" collapsed="false">
      <c r="B10" s="2" t="s">
        <v>5</v>
      </c>
    </row>
    <row r="11" customFormat="false" ht="15" hidden="false" customHeight="false" outlineLevel="0" collapsed="false">
      <c r="B11" s="2" t="s">
        <v>6</v>
      </c>
    </row>
    <row r="12" customFormat="false" ht="15" hidden="false" customHeight="false" outlineLevel="0" collapsed="false">
      <c r="B12" s="2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/>
    </row>
    <row r="16" customFormat="false" ht="19.5" hidden="false" customHeight="true" outlineLevel="0" collapsed="false">
      <c r="B16" s="3" t="s">
        <v>10</v>
      </c>
      <c r="C16" s="3"/>
      <c r="D16" s="3"/>
      <c r="E16" s="3"/>
    </row>
    <row r="17" customFormat="false" ht="15" hidden="false" customHeight="false" outlineLevel="0" collapsed="false">
      <c r="B17" s="2" t="s">
        <v>11</v>
      </c>
    </row>
    <row r="18" customFormat="false" ht="15" hidden="false" customHeight="false" outlineLevel="0" collapsed="false">
      <c r="B18" s="2" t="s">
        <v>12</v>
      </c>
    </row>
    <row r="19" customFormat="false" ht="15" hidden="false" customHeight="false" outlineLevel="0" collapsed="false">
      <c r="B19" s="2" t="s">
        <v>13</v>
      </c>
    </row>
    <row r="20" customFormat="false" ht="15" hidden="false" customHeight="false" outlineLevel="0" collapsed="false">
      <c r="B20" s="2"/>
    </row>
    <row r="21" customFormat="false" ht="19.5" hidden="false" customHeight="true" outlineLevel="0" collapsed="false">
      <c r="B21" s="3" t="s">
        <v>14</v>
      </c>
      <c r="C21" s="3"/>
      <c r="D21" s="3"/>
      <c r="E21" s="3"/>
    </row>
    <row r="22" customFormat="false" ht="15" hidden="false" customHeight="false" outlineLevel="0" collapsed="false">
      <c r="B22" s="2" t="s">
        <v>15</v>
      </c>
    </row>
    <row r="23" customFormat="false" ht="15" hidden="false" customHeight="false" outlineLevel="0" collapsed="false">
      <c r="B23" s="2" t="s">
        <v>16</v>
      </c>
    </row>
    <row r="24" customFormat="false" ht="15" hidden="false" customHeight="false" outlineLevel="0" collapsed="false">
      <c r="B24" s="2" t="s">
        <v>17</v>
      </c>
    </row>
    <row r="25" customFormat="false" ht="15" hidden="false" customHeight="false" outlineLevel="0" collapsed="false">
      <c r="B25" s="2"/>
    </row>
    <row r="26" customFormat="false" ht="19.5" hidden="false" customHeight="true" outlineLevel="0" collapsed="false">
      <c r="B26" s="3" t="s">
        <v>18</v>
      </c>
      <c r="C26" s="3"/>
      <c r="D26" s="3"/>
      <c r="E26" s="3"/>
    </row>
    <row r="27" customFormat="false" ht="15" hidden="false" customHeight="false" outlineLevel="0" collapsed="false">
      <c r="B27" s="2" t="s">
        <v>19</v>
      </c>
    </row>
    <row r="28" customFormat="false" ht="15" hidden="false" customHeight="false" outlineLevel="0" collapsed="false">
      <c r="B28" s="2" t="s">
        <v>20</v>
      </c>
    </row>
    <row r="29" customFormat="false" ht="15" hidden="false" customHeight="false" outlineLevel="0" collapsed="false">
      <c r="B29" s="2"/>
    </row>
    <row r="30" customFormat="false" ht="19.5" hidden="false" customHeight="true" outlineLevel="0" collapsed="false">
      <c r="B30" s="3" t="s">
        <v>21</v>
      </c>
      <c r="C30" s="3"/>
      <c r="D30" s="3"/>
      <c r="E30" s="3"/>
    </row>
    <row r="31" customFormat="false" ht="15" hidden="false" customHeight="false" outlineLevel="0" collapsed="false">
      <c r="B31" s="2" t="s">
        <v>22</v>
      </c>
    </row>
    <row r="32" customFormat="false" ht="15" hidden="false" customHeight="false" outlineLevel="0" collapsed="false">
      <c r="B32" s="2"/>
    </row>
    <row r="33" customFormat="false" ht="15" hidden="false" customHeight="false" outlineLevel="0" collapsed="false">
      <c r="B33" s="2" t="s">
        <v>23</v>
      </c>
    </row>
  </sheetData>
  <mergeCells count="6">
    <mergeCell ref="B2:E2"/>
    <mergeCell ref="B8:E8"/>
    <mergeCell ref="B16:E16"/>
    <mergeCell ref="B21:E21"/>
    <mergeCell ref="B26:E26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1"/>
    <col collapsed="false" customWidth="true" hidden="false" outlineLevel="0" max="9" min="3" style="0" width="17"/>
  </cols>
  <sheetData>
    <row r="2" customFormat="false" ht="30" hidden="false" customHeight="true" outlineLevel="0" collapsed="false">
      <c r="B2" s="4" t="s">
        <v>24</v>
      </c>
      <c r="C2" s="4"/>
      <c r="D2" s="4"/>
      <c r="E2" s="4"/>
      <c r="F2" s="4"/>
      <c r="G2" s="4"/>
      <c r="H2" s="4"/>
      <c r="I2" s="4"/>
    </row>
    <row r="4" customFormat="false" ht="15" hidden="false" customHeight="false" outlineLevel="0" collapsed="false">
      <c r="B4" s="5" t="s">
        <v>25</v>
      </c>
    </row>
    <row r="6" customFormat="false" ht="19.5" hidden="false" customHeight="true" outlineLevel="0" collapsed="false">
      <c r="B6" s="3" t="s">
        <v>26</v>
      </c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B7" s="6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  <c r="I7" s="6" t="s">
        <v>34</v>
      </c>
    </row>
    <row r="8" customFormat="false" ht="15" hidden="false" customHeight="false" outlineLevel="0" collapsed="false">
      <c r="B8" s="7" t="s">
        <v>35</v>
      </c>
      <c r="C8" s="8" t="s">
        <v>36</v>
      </c>
      <c r="D8" s="8" t="s">
        <v>37</v>
      </c>
      <c r="E8" s="8" t="s">
        <v>38</v>
      </c>
      <c r="F8" s="8" t="s">
        <v>36</v>
      </c>
      <c r="G8" s="8" t="s">
        <v>39</v>
      </c>
      <c r="H8" s="8" t="s">
        <v>40</v>
      </c>
      <c r="I8" s="8" t="s">
        <v>41</v>
      </c>
    </row>
    <row r="9" customFormat="false" ht="15" hidden="false" customHeight="false" outlineLevel="0" collapsed="false">
      <c r="B9" s="7" t="s">
        <v>42</v>
      </c>
      <c r="C9" s="8" t="s">
        <v>43</v>
      </c>
      <c r="D9" s="8" t="s">
        <v>44</v>
      </c>
      <c r="E9" s="8" t="s">
        <v>45</v>
      </c>
      <c r="F9" s="8" t="s">
        <v>46</v>
      </c>
      <c r="G9" s="8" t="s">
        <v>47</v>
      </c>
      <c r="H9" s="8" t="s">
        <v>48</v>
      </c>
      <c r="I9" s="8" t="s">
        <v>49</v>
      </c>
    </row>
    <row r="10" customFormat="false" ht="26.85" hidden="false" customHeight="false" outlineLevel="0" collapsed="false">
      <c r="B10" s="7" t="s">
        <v>50</v>
      </c>
      <c r="C10" s="8" t="s">
        <v>51</v>
      </c>
      <c r="D10" s="8" t="s">
        <v>52</v>
      </c>
      <c r="E10" s="8" t="s">
        <v>53</v>
      </c>
      <c r="F10" s="8" t="s">
        <v>54</v>
      </c>
      <c r="G10" s="8" t="s">
        <v>55</v>
      </c>
      <c r="H10" s="8" t="s">
        <v>56</v>
      </c>
      <c r="I10" s="8" t="s">
        <v>57</v>
      </c>
    </row>
    <row r="11" customFormat="false" ht="26.85" hidden="false" customHeight="false" outlineLevel="0" collapsed="false">
      <c r="B11" s="7" t="s">
        <v>58</v>
      </c>
      <c r="C11" s="8" t="s">
        <v>59</v>
      </c>
      <c r="D11" s="8" t="s">
        <v>60</v>
      </c>
      <c r="E11" s="8" t="s">
        <v>61</v>
      </c>
      <c r="F11" s="8" t="s">
        <v>62</v>
      </c>
      <c r="G11" s="8" t="s">
        <v>63</v>
      </c>
      <c r="H11" s="8" t="s">
        <v>64</v>
      </c>
      <c r="I11" s="8" t="s">
        <v>65</v>
      </c>
    </row>
    <row r="12" customFormat="false" ht="15" hidden="false" customHeight="false" outlineLevel="0" collapsed="false">
      <c r="B12" s="9" t="s">
        <v>66</v>
      </c>
      <c r="C12" s="6" t="n">
        <f aca="false">COUNTA(C8:I11)</f>
        <v>28</v>
      </c>
    </row>
    <row r="14" customFormat="false" ht="19.5" hidden="false" customHeight="true" outlineLevel="0" collapsed="false">
      <c r="B14" s="3" t="s">
        <v>67</v>
      </c>
      <c r="C14" s="3"/>
      <c r="D14" s="3"/>
      <c r="E14" s="3"/>
      <c r="F14" s="3"/>
      <c r="G14" s="3"/>
      <c r="H14" s="3"/>
      <c r="I14" s="3"/>
    </row>
    <row r="15" customFormat="false" ht="15" hidden="false" customHeight="false" outlineLevel="0" collapsed="false">
      <c r="B15" s="6" t="s">
        <v>27</v>
      </c>
      <c r="C15" s="6" t="s">
        <v>28</v>
      </c>
      <c r="D15" s="6" t="s">
        <v>29</v>
      </c>
      <c r="E15" s="6" t="s">
        <v>30</v>
      </c>
      <c r="F15" s="6" t="s">
        <v>31</v>
      </c>
      <c r="G15" s="6" t="s">
        <v>32</v>
      </c>
      <c r="H15" s="6" t="s">
        <v>33</v>
      </c>
      <c r="I15" s="6" t="s">
        <v>34</v>
      </c>
    </row>
    <row r="16" customFormat="false" ht="15" hidden="false" customHeight="false" outlineLevel="0" collapsed="false">
      <c r="B16" s="7" t="s">
        <v>35</v>
      </c>
      <c r="C16" s="8"/>
      <c r="D16" s="8"/>
      <c r="E16" s="8"/>
      <c r="F16" s="8"/>
      <c r="G16" s="8"/>
      <c r="H16" s="8"/>
      <c r="I16" s="8"/>
    </row>
    <row r="17" customFormat="false" ht="15" hidden="false" customHeight="false" outlineLevel="0" collapsed="false">
      <c r="B17" s="7" t="s">
        <v>42</v>
      </c>
      <c r="C17" s="8"/>
      <c r="D17" s="8"/>
      <c r="E17" s="8"/>
      <c r="F17" s="8"/>
      <c r="G17" s="8"/>
      <c r="H17" s="8"/>
      <c r="I17" s="8"/>
    </row>
    <row r="18" customFormat="false" ht="15" hidden="false" customHeight="false" outlineLevel="0" collapsed="false">
      <c r="B18" s="7" t="s">
        <v>50</v>
      </c>
      <c r="C18" s="8"/>
      <c r="D18" s="8"/>
      <c r="E18" s="8"/>
      <c r="F18" s="8"/>
      <c r="G18" s="8"/>
      <c r="H18" s="8"/>
      <c r="I18" s="8"/>
    </row>
    <row r="19" customFormat="false" ht="15" hidden="false" customHeight="false" outlineLevel="0" collapsed="false">
      <c r="B19" s="7" t="s">
        <v>58</v>
      </c>
      <c r="C19" s="8"/>
      <c r="D19" s="8"/>
      <c r="E19" s="8"/>
      <c r="F19" s="8"/>
      <c r="G19" s="8"/>
      <c r="H19" s="8"/>
      <c r="I19" s="8"/>
    </row>
    <row r="20" customFormat="false" ht="15" hidden="false" customHeight="false" outlineLevel="0" collapsed="false">
      <c r="B20" s="9" t="s">
        <v>66</v>
      </c>
      <c r="C20" s="6" t="n">
        <f aca="false">COUNTA(C16:I19)</f>
        <v>0</v>
      </c>
    </row>
    <row r="22" customFormat="false" ht="19.5" hidden="false" customHeight="true" outlineLevel="0" collapsed="false">
      <c r="B22" s="3" t="s">
        <v>68</v>
      </c>
      <c r="C22" s="3"/>
      <c r="D22" s="3"/>
      <c r="E22" s="3"/>
      <c r="F22" s="3"/>
      <c r="G22" s="3"/>
      <c r="H22" s="3"/>
      <c r="I22" s="3"/>
    </row>
    <row r="23" customFormat="false" ht="15" hidden="false" customHeight="false" outlineLevel="0" collapsed="false">
      <c r="B23" s="6" t="s">
        <v>27</v>
      </c>
      <c r="C23" s="6" t="s">
        <v>28</v>
      </c>
      <c r="D23" s="6" t="s">
        <v>29</v>
      </c>
      <c r="E23" s="6" t="s">
        <v>30</v>
      </c>
      <c r="F23" s="6" t="s">
        <v>31</v>
      </c>
      <c r="G23" s="6" t="s">
        <v>32</v>
      </c>
      <c r="H23" s="6" t="s">
        <v>33</v>
      </c>
      <c r="I23" s="6" t="s">
        <v>34</v>
      </c>
    </row>
    <row r="24" customFormat="false" ht="15" hidden="false" customHeight="false" outlineLevel="0" collapsed="false">
      <c r="B24" s="7" t="s">
        <v>35</v>
      </c>
      <c r="C24" s="8"/>
      <c r="D24" s="8"/>
      <c r="E24" s="8"/>
      <c r="F24" s="8"/>
      <c r="G24" s="8"/>
      <c r="H24" s="8"/>
      <c r="I24" s="8"/>
    </row>
    <row r="25" customFormat="false" ht="15" hidden="false" customHeight="false" outlineLevel="0" collapsed="false">
      <c r="B25" s="7" t="s">
        <v>42</v>
      </c>
      <c r="C25" s="8"/>
      <c r="D25" s="8"/>
      <c r="E25" s="8"/>
      <c r="F25" s="8"/>
      <c r="G25" s="8"/>
      <c r="H25" s="8"/>
      <c r="I25" s="8"/>
    </row>
    <row r="26" customFormat="false" ht="15" hidden="false" customHeight="false" outlineLevel="0" collapsed="false">
      <c r="B26" s="7" t="s">
        <v>50</v>
      </c>
      <c r="C26" s="8"/>
      <c r="D26" s="8"/>
      <c r="E26" s="8"/>
      <c r="F26" s="8"/>
      <c r="G26" s="8"/>
      <c r="H26" s="8"/>
      <c r="I26" s="8"/>
    </row>
    <row r="27" customFormat="false" ht="15" hidden="false" customHeight="false" outlineLevel="0" collapsed="false">
      <c r="B27" s="7" t="s">
        <v>58</v>
      </c>
      <c r="C27" s="8"/>
      <c r="D27" s="8"/>
      <c r="E27" s="8"/>
      <c r="F27" s="8"/>
      <c r="G27" s="8"/>
      <c r="H27" s="8"/>
      <c r="I27" s="8"/>
    </row>
    <row r="28" customFormat="false" ht="15" hidden="false" customHeight="false" outlineLevel="0" collapsed="false">
      <c r="B28" s="9" t="s">
        <v>66</v>
      </c>
      <c r="C28" s="6" t="n">
        <f aca="false">COUNTA(C24:I27)</f>
        <v>0</v>
      </c>
    </row>
    <row r="30" customFormat="false" ht="19.5" hidden="false" customHeight="true" outlineLevel="0" collapsed="false">
      <c r="B30" s="3" t="s">
        <v>69</v>
      </c>
      <c r="C30" s="3"/>
      <c r="D30" s="3"/>
      <c r="E30" s="3"/>
      <c r="F30" s="3"/>
      <c r="G30" s="3"/>
      <c r="H30" s="3"/>
      <c r="I30" s="3"/>
    </row>
    <row r="31" customFormat="false" ht="15" hidden="false" customHeight="false" outlineLevel="0" collapsed="false">
      <c r="B31" s="6" t="s">
        <v>27</v>
      </c>
      <c r="C31" s="6" t="s">
        <v>28</v>
      </c>
      <c r="D31" s="6" t="s">
        <v>29</v>
      </c>
      <c r="E31" s="6" t="s">
        <v>30</v>
      </c>
      <c r="F31" s="6" t="s">
        <v>31</v>
      </c>
      <c r="G31" s="6" t="s">
        <v>32</v>
      </c>
      <c r="H31" s="6" t="s">
        <v>33</v>
      </c>
      <c r="I31" s="6" t="s">
        <v>34</v>
      </c>
    </row>
    <row r="32" customFormat="false" ht="15" hidden="false" customHeight="false" outlineLevel="0" collapsed="false">
      <c r="B32" s="7" t="s">
        <v>35</v>
      </c>
      <c r="C32" s="8"/>
      <c r="D32" s="8"/>
      <c r="E32" s="8"/>
      <c r="F32" s="8"/>
      <c r="G32" s="8"/>
      <c r="H32" s="8"/>
      <c r="I32" s="8"/>
    </row>
    <row r="33" customFormat="false" ht="15" hidden="false" customHeight="false" outlineLevel="0" collapsed="false">
      <c r="B33" s="7" t="s">
        <v>42</v>
      </c>
      <c r="C33" s="8"/>
      <c r="D33" s="8"/>
      <c r="E33" s="8"/>
      <c r="F33" s="8"/>
      <c r="G33" s="8"/>
      <c r="H33" s="8"/>
      <c r="I33" s="8"/>
    </row>
    <row r="34" customFormat="false" ht="15" hidden="false" customHeight="false" outlineLevel="0" collapsed="false">
      <c r="B34" s="7" t="s">
        <v>50</v>
      </c>
      <c r="C34" s="8"/>
      <c r="D34" s="8"/>
      <c r="E34" s="8"/>
      <c r="F34" s="8"/>
      <c r="G34" s="8"/>
      <c r="H34" s="8"/>
      <c r="I34" s="8"/>
    </row>
    <row r="35" customFormat="false" ht="15" hidden="false" customHeight="false" outlineLevel="0" collapsed="false">
      <c r="B35" s="7" t="s">
        <v>58</v>
      </c>
      <c r="C35" s="8"/>
      <c r="D35" s="8"/>
      <c r="E35" s="8"/>
      <c r="F35" s="8"/>
      <c r="G35" s="8"/>
      <c r="H35" s="8"/>
      <c r="I35" s="8"/>
    </row>
    <row r="36" customFormat="false" ht="15" hidden="false" customHeight="false" outlineLevel="0" collapsed="false">
      <c r="B36" s="9" t="s">
        <v>66</v>
      </c>
      <c r="C36" s="6" t="n">
        <f aca="false">COUNTA(C32:I35)</f>
        <v>0</v>
      </c>
    </row>
  </sheetData>
  <mergeCells count="5">
    <mergeCell ref="B2:I2"/>
    <mergeCell ref="B6:I6"/>
    <mergeCell ref="B14:I14"/>
    <mergeCell ref="B22:I22"/>
    <mergeCell ref="B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28"/>
  </cols>
  <sheetData>
    <row r="2" customFormat="false" ht="30" hidden="false" customHeight="true" outlineLevel="0" collapsed="false">
      <c r="B2" s="4" t="s">
        <v>70</v>
      </c>
      <c r="C2" s="4"/>
      <c r="D2" s="4"/>
      <c r="E2" s="4"/>
    </row>
    <row r="4" customFormat="false" ht="15" hidden="false" customHeight="false" outlineLevel="0" collapsed="false">
      <c r="B4" s="9" t="s">
        <v>71</v>
      </c>
      <c r="C4" s="10" t="n">
        <v>150</v>
      </c>
    </row>
    <row r="5" customFormat="false" ht="15" hidden="false" customHeight="false" outlineLevel="0" collapsed="false">
      <c r="B5" s="5" t="s">
        <v>72</v>
      </c>
    </row>
    <row r="6" customFormat="false" ht="15" hidden="false" customHeight="false" outlineLevel="0" collapsed="false">
      <c r="B6" s="9" t="s">
        <v>73</v>
      </c>
      <c r="C6" s="11" t="n">
        <f aca="false">C20+C30+C40+C50+C60+C70</f>
        <v>134.86</v>
      </c>
    </row>
    <row r="7" customFormat="false" ht="15" hidden="false" customHeight="false" outlineLevel="0" collapsed="false">
      <c r="B7" s="9" t="s">
        <v>74</v>
      </c>
      <c r="C7" s="12" t="n">
        <f aca="false">C4-C6</f>
        <v>15.14</v>
      </c>
    </row>
    <row r="8" customFormat="false" ht="15" hidden="false" customHeight="false" outlineLevel="0" collapsed="false">
      <c r="B8" s="9" t="s">
        <v>75</v>
      </c>
      <c r="C8" s="11" t="n">
        <f aca="false">SUMIF(D12:D69,"Yes",C12:C69)</f>
        <v>22.92</v>
      </c>
    </row>
    <row r="9" customFormat="false" ht="15" hidden="false" customHeight="false" outlineLevel="0" collapsed="false">
      <c r="B9" s="5" t="s">
        <v>76</v>
      </c>
    </row>
    <row r="10" customFormat="false" ht="15" hidden="false" customHeight="false" outlineLevel="0" collapsed="false">
      <c r="B10" s="6" t="s">
        <v>77</v>
      </c>
      <c r="C10" s="6" t="s">
        <v>78</v>
      </c>
      <c r="D10" s="6" t="s">
        <v>79</v>
      </c>
      <c r="E10" s="6" t="s">
        <v>80</v>
      </c>
    </row>
    <row r="11" customFormat="false" ht="18" hidden="false" customHeight="true" outlineLevel="0" collapsed="false">
      <c r="B11" s="3" t="s">
        <v>81</v>
      </c>
      <c r="C11" s="3"/>
      <c r="D11" s="3"/>
      <c r="E11" s="3"/>
    </row>
    <row r="12" customFormat="false" ht="15" hidden="false" customHeight="false" outlineLevel="0" collapsed="false">
      <c r="B12" s="13" t="s">
        <v>63</v>
      </c>
      <c r="C12" s="10" t="n">
        <v>2.28</v>
      </c>
      <c r="D12" s="13" t="s">
        <v>82</v>
      </c>
      <c r="E12" s="13"/>
    </row>
    <row r="13" customFormat="false" ht="15" hidden="false" customHeight="false" outlineLevel="0" collapsed="false">
      <c r="B13" s="13" t="s">
        <v>83</v>
      </c>
      <c r="C13" s="10" t="n">
        <v>4.49</v>
      </c>
      <c r="D13" s="13" t="s">
        <v>82</v>
      </c>
      <c r="E13" s="13"/>
    </row>
    <row r="14" customFormat="false" ht="15" hidden="false" customHeight="false" outlineLevel="0" collapsed="false">
      <c r="B14" s="13" t="s">
        <v>84</v>
      </c>
      <c r="C14" s="10" t="n">
        <v>2.29</v>
      </c>
      <c r="D14" s="13"/>
      <c r="E14" s="13"/>
    </row>
    <row r="15" customFormat="false" ht="15" hidden="false" customHeight="false" outlineLevel="0" collapsed="false">
      <c r="B15" s="13" t="s">
        <v>85</v>
      </c>
      <c r="C15" s="10" t="n">
        <v>3.99</v>
      </c>
      <c r="D15" s="13"/>
      <c r="E15" s="13"/>
    </row>
    <row r="16" customFormat="false" ht="15" hidden="false" customHeight="false" outlineLevel="0" collapsed="false">
      <c r="B16" s="13" t="s">
        <v>86</v>
      </c>
      <c r="C16" s="10" t="n">
        <v>3.49</v>
      </c>
      <c r="D16" s="13"/>
      <c r="E16" s="13"/>
    </row>
    <row r="17" customFormat="false" ht="15" hidden="false" customHeight="false" outlineLevel="0" collapsed="false">
      <c r="B17" s="13" t="s">
        <v>87</v>
      </c>
      <c r="C17" s="10" t="n">
        <v>2.79</v>
      </c>
      <c r="D17" s="13"/>
      <c r="E17" s="13"/>
    </row>
    <row r="18" customFormat="false" ht="15" hidden="false" customHeight="false" outlineLevel="0" collapsed="false">
      <c r="B18" s="13" t="s">
        <v>88</v>
      </c>
      <c r="C18" s="10" t="n">
        <v>2.99</v>
      </c>
      <c r="D18" s="13"/>
      <c r="E18" s="13"/>
    </row>
    <row r="19" customFormat="false" ht="15" hidden="false" customHeight="false" outlineLevel="0" collapsed="false">
      <c r="B19" s="13" t="s">
        <v>89</v>
      </c>
      <c r="C19" s="10" t="n">
        <v>2.99</v>
      </c>
      <c r="D19" s="13"/>
      <c r="E19" s="13"/>
    </row>
    <row r="20" customFormat="false" ht="15" hidden="false" customHeight="false" outlineLevel="0" collapsed="false">
      <c r="B20" s="6" t="s">
        <v>90</v>
      </c>
      <c r="C20" s="11" t="n">
        <f aca="false">SUM(C12:C19)</f>
        <v>25.31</v>
      </c>
      <c r="D20" s="14"/>
      <c r="E20" s="14"/>
    </row>
    <row r="21" customFormat="false" ht="18" hidden="false" customHeight="true" outlineLevel="0" collapsed="false">
      <c r="B21" s="3" t="s">
        <v>91</v>
      </c>
      <c r="C21" s="3"/>
      <c r="D21" s="3"/>
      <c r="E21" s="3"/>
    </row>
    <row r="22" customFormat="false" ht="15" hidden="false" customHeight="false" outlineLevel="0" collapsed="false">
      <c r="B22" s="13" t="s">
        <v>92</v>
      </c>
      <c r="C22" s="10" t="n">
        <v>8.97</v>
      </c>
      <c r="D22" s="13" t="s">
        <v>82</v>
      </c>
      <c r="E22" s="13"/>
    </row>
    <row r="23" customFormat="false" ht="15" hidden="false" customHeight="false" outlineLevel="0" collapsed="false">
      <c r="B23" s="13" t="s">
        <v>93</v>
      </c>
      <c r="C23" s="10" t="n">
        <v>9.98</v>
      </c>
      <c r="D23" s="13"/>
      <c r="E23" s="13"/>
    </row>
    <row r="24" customFormat="false" ht="15" hidden="false" customHeight="false" outlineLevel="0" collapsed="false">
      <c r="B24" s="13" t="s">
        <v>94</v>
      </c>
      <c r="C24" s="10" t="n">
        <v>4.99</v>
      </c>
      <c r="D24" s="13"/>
      <c r="E24" s="13"/>
    </row>
    <row r="25" customFormat="false" ht="15" hidden="false" customHeight="false" outlineLevel="0" collapsed="false">
      <c r="B25" s="13" t="s">
        <v>95</v>
      </c>
      <c r="C25" s="10" t="n">
        <v>4.36</v>
      </c>
      <c r="D25" s="13"/>
      <c r="E25" s="13"/>
    </row>
    <row r="26" customFormat="false" ht="15" hidden="false" customHeight="false" outlineLevel="0" collapsed="false">
      <c r="B26" s="13"/>
      <c r="C26" s="10"/>
      <c r="D26" s="13"/>
      <c r="E26" s="13"/>
    </row>
    <row r="27" customFormat="false" ht="15" hidden="false" customHeight="false" outlineLevel="0" collapsed="false">
      <c r="B27" s="13"/>
      <c r="C27" s="10"/>
      <c r="D27" s="13"/>
      <c r="E27" s="13"/>
    </row>
    <row r="28" customFormat="false" ht="15" hidden="false" customHeight="false" outlineLevel="0" collapsed="false">
      <c r="B28" s="13"/>
      <c r="C28" s="10"/>
      <c r="D28" s="13"/>
      <c r="E28" s="13"/>
    </row>
    <row r="29" customFormat="false" ht="15" hidden="false" customHeight="false" outlineLevel="0" collapsed="false">
      <c r="B29" s="13"/>
      <c r="C29" s="10"/>
      <c r="D29" s="13"/>
      <c r="E29" s="13"/>
    </row>
    <row r="30" customFormat="false" ht="15" hidden="false" customHeight="false" outlineLevel="0" collapsed="false">
      <c r="B30" s="6" t="s">
        <v>96</v>
      </c>
      <c r="C30" s="11" t="n">
        <f aca="false">SUM(C22:C29)</f>
        <v>28.3</v>
      </c>
      <c r="D30" s="14"/>
      <c r="E30" s="14"/>
    </row>
    <row r="31" customFormat="false" ht="18" hidden="false" customHeight="true" outlineLevel="0" collapsed="false">
      <c r="B31" s="3" t="s">
        <v>97</v>
      </c>
      <c r="C31" s="3"/>
      <c r="D31" s="3"/>
      <c r="E31" s="3"/>
    </row>
    <row r="32" customFormat="false" ht="15" hidden="false" customHeight="false" outlineLevel="0" collapsed="false">
      <c r="B32" s="13" t="s">
        <v>98</v>
      </c>
      <c r="C32" s="10" t="n">
        <v>7.18</v>
      </c>
      <c r="D32" s="13" t="s">
        <v>82</v>
      </c>
      <c r="E32" s="13"/>
    </row>
    <row r="33" customFormat="false" ht="15" hidden="false" customHeight="false" outlineLevel="0" collapsed="false">
      <c r="B33" s="13" t="s">
        <v>99</v>
      </c>
      <c r="C33" s="10" t="n">
        <v>4.79</v>
      </c>
      <c r="D33" s="13"/>
      <c r="E33" s="13"/>
    </row>
    <row r="34" customFormat="false" ht="15" hidden="false" customHeight="false" outlineLevel="0" collapsed="false">
      <c r="B34" s="13" t="s">
        <v>100</v>
      </c>
      <c r="C34" s="10" t="n">
        <v>5.49</v>
      </c>
      <c r="D34" s="13"/>
      <c r="E34" s="13"/>
    </row>
    <row r="35" customFormat="false" ht="15" hidden="false" customHeight="false" outlineLevel="0" collapsed="false">
      <c r="B35" s="13" t="s">
        <v>101</v>
      </c>
      <c r="C35" s="10" t="n">
        <v>3.79</v>
      </c>
      <c r="D35" s="13"/>
      <c r="E35" s="13"/>
    </row>
    <row r="36" customFormat="false" ht="15" hidden="false" customHeight="false" outlineLevel="0" collapsed="false">
      <c r="B36" s="13" t="s">
        <v>102</v>
      </c>
      <c r="C36" s="10" t="n">
        <v>3.99</v>
      </c>
      <c r="D36" s="13"/>
      <c r="E36" s="13"/>
    </row>
    <row r="37" customFormat="false" ht="15" hidden="false" customHeight="false" outlineLevel="0" collapsed="false">
      <c r="B37" s="13"/>
      <c r="C37" s="10"/>
      <c r="D37" s="13"/>
      <c r="E37" s="13"/>
    </row>
    <row r="38" customFormat="false" ht="15" hidden="false" customHeight="false" outlineLevel="0" collapsed="false">
      <c r="B38" s="13"/>
      <c r="C38" s="10"/>
      <c r="D38" s="13"/>
      <c r="E38" s="13"/>
    </row>
    <row r="39" customFormat="false" ht="15" hidden="false" customHeight="false" outlineLevel="0" collapsed="false">
      <c r="B39" s="13"/>
      <c r="C39" s="10"/>
      <c r="D39" s="13"/>
      <c r="E39" s="13"/>
    </row>
    <row r="40" customFormat="false" ht="15" hidden="false" customHeight="false" outlineLevel="0" collapsed="false">
      <c r="B40" s="6" t="s">
        <v>103</v>
      </c>
      <c r="C40" s="11" t="n">
        <f aca="false">SUM(C32:C39)</f>
        <v>25.24</v>
      </c>
      <c r="D40" s="14"/>
      <c r="E40" s="14"/>
    </row>
    <row r="41" customFormat="false" ht="18" hidden="false" customHeight="true" outlineLevel="0" collapsed="false">
      <c r="B41" s="3" t="s">
        <v>104</v>
      </c>
      <c r="C41" s="3"/>
      <c r="D41" s="3"/>
      <c r="E41" s="3"/>
    </row>
    <row r="42" customFormat="false" ht="15" hidden="false" customHeight="false" outlineLevel="0" collapsed="false">
      <c r="B42" s="13" t="s">
        <v>105</v>
      </c>
      <c r="C42" s="10" t="n">
        <v>4.29</v>
      </c>
      <c r="D42" s="13"/>
      <c r="E42" s="13"/>
    </row>
    <row r="43" customFormat="false" ht="15" hidden="false" customHeight="false" outlineLevel="0" collapsed="false">
      <c r="B43" s="13" t="s">
        <v>106</v>
      </c>
      <c r="C43" s="10" t="n">
        <v>2.58</v>
      </c>
      <c r="D43" s="13"/>
      <c r="E43" s="13"/>
    </row>
    <row r="44" customFormat="false" ht="15" hidden="false" customHeight="false" outlineLevel="0" collapsed="false">
      <c r="B44" s="13" t="s">
        <v>107</v>
      </c>
      <c r="C44" s="10" t="n">
        <v>4.58</v>
      </c>
      <c r="D44" s="13"/>
      <c r="E44" s="13"/>
    </row>
    <row r="45" customFormat="false" ht="15" hidden="false" customHeight="false" outlineLevel="0" collapsed="false">
      <c r="B45" s="13" t="s">
        <v>108</v>
      </c>
      <c r="C45" s="10" t="n">
        <v>5.49</v>
      </c>
      <c r="D45" s="13"/>
      <c r="E45" s="13"/>
    </row>
    <row r="46" customFormat="false" ht="15" hidden="false" customHeight="false" outlineLevel="0" collapsed="false">
      <c r="B46" s="13" t="s">
        <v>109</v>
      </c>
      <c r="C46" s="10" t="n">
        <v>3.79</v>
      </c>
      <c r="D46" s="13"/>
      <c r="E46" s="13"/>
    </row>
    <row r="47" customFormat="false" ht="15" hidden="false" customHeight="false" outlineLevel="0" collapsed="false">
      <c r="B47" s="13" t="s">
        <v>110</v>
      </c>
      <c r="C47" s="10" t="n">
        <v>5.18</v>
      </c>
      <c r="D47" s="13"/>
      <c r="E47" s="13"/>
    </row>
    <row r="48" customFormat="false" ht="15" hidden="false" customHeight="false" outlineLevel="0" collapsed="false">
      <c r="B48" s="13" t="s">
        <v>111</v>
      </c>
      <c r="C48" s="10" t="n">
        <v>3.29</v>
      </c>
      <c r="D48" s="13"/>
      <c r="E48" s="13"/>
    </row>
    <row r="49" customFormat="false" ht="15" hidden="false" customHeight="false" outlineLevel="0" collapsed="false">
      <c r="B49" s="13" t="s">
        <v>112</v>
      </c>
      <c r="C49" s="10" t="n">
        <v>0.99</v>
      </c>
      <c r="D49" s="13"/>
      <c r="E49" s="13"/>
    </row>
    <row r="50" customFormat="false" ht="15" hidden="false" customHeight="false" outlineLevel="0" collapsed="false">
      <c r="B50" s="6" t="s">
        <v>113</v>
      </c>
      <c r="C50" s="11" t="n">
        <f aca="false">SUM(C42:C49)</f>
        <v>30.19</v>
      </c>
      <c r="D50" s="14"/>
      <c r="E50" s="14"/>
    </row>
    <row r="51" customFormat="false" ht="18" hidden="false" customHeight="true" outlineLevel="0" collapsed="false">
      <c r="B51" s="3" t="s">
        <v>114</v>
      </c>
      <c r="C51" s="3"/>
      <c r="D51" s="3"/>
      <c r="E51" s="3"/>
    </row>
    <row r="52" customFormat="false" ht="15" hidden="false" customHeight="false" outlineLevel="0" collapsed="false">
      <c r="B52" s="13" t="s">
        <v>115</v>
      </c>
      <c r="C52" s="10" t="n">
        <v>3.87</v>
      </c>
      <c r="D52" s="13"/>
      <c r="E52" s="13"/>
    </row>
    <row r="53" customFormat="false" ht="15" hidden="false" customHeight="false" outlineLevel="0" collapsed="false">
      <c r="B53" s="13" t="s">
        <v>116</v>
      </c>
      <c r="C53" s="10" t="n">
        <v>3.99</v>
      </c>
      <c r="D53" s="13"/>
      <c r="E53" s="13"/>
    </row>
    <row r="54" customFormat="false" ht="15" hidden="false" customHeight="false" outlineLevel="0" collapsed="false">
      <c r="B54" s="13" t="s">
        <v>117</v>
      </c>
      <c r="C54" s="10" t="n">
        <v>2.49</v>
      </c>
      <c r="D54" s="13"/>
      <c r="E54" s="13"/>
    </row>
    <row r="55" customFormat="false" ht="15" hidden="false" customHeight="false" outlineLevel="0" collapsed="false">
      <c r="B55" s="13"/>
      <c r="C55" s="10"/>
      <c r="D55" s="13"/>
      <c r="E55" s="13"/>
    </row>
    <row r="56" customFormat="false" ht="15" hidden="false" customHeight="false" outlineLevel="0" collapsed="false">
      <c r="B56" s="13"/>
      <c r="C56" s="10"/>
      <c r="D56" s="13"/>
      <c r="E56" s="13"/>
    </row>
    <row r="57" customFormat="false" ht="15" hidden="false" customHeight="false" outlineLevel="0" collapsed="false">
      <c r="B57" s="13"/>
      <c r="C57" s="10"/>
      <c r="D57" s="13"/>
      <c r="E57" s="13"/>
    </row>
    <row r="58" customFormat="false" ht="15" hidden="false" customHeight="false" outlineLevel="0" collapsed="false">
      <c r="B58" s="13"/>
      <c r="C58" s="10"/>
      <c r="D58" s="13"/>
      <c r="E58" s="13"/>
    </row>
    <row r="59" customFormat="false" ht="15" hidden="false" customHeight="false" outlineLevel="0" collapsed="false">
      <c r="B59" s="13"/>
      <c r="C59" s="10"/>
      <c r="D59" s="13"/>
      <c r="E59" s="13"/>
    </row>
    <row r="60" customFormat="false" ht="15" hidden="false" customHeight="false" outlineLevel="0" collapsed="false">
      <c r="B60" s="6" t="s">
        <v>118</v>
      </c>
      <c r="C60" s="11" t="n">
        <f aca="false">SUM(C52:C59)</f>
        <v>10.35</v>
      </c>
      <c r="D60" s="14"/>
      <c r="E60" s="14"/>
    </row>
    <row r="61" customFormat="false" ht="18" hidden="false" customHeight="true" outlineLevel="0" collapsed="false">
      <c r="B61" s="3" t="s">
        <v>119</v>
      </c>
      <c r="C61" s="3"/>
      <c r="D61" s="3"/>
      <c r="E61" s="3"/>
    </row>
    <row r="62" customFormat="false" ht="15" hidden="false" customHeight="false" outlineLevel="0" collapsed="false">
      <c r="B62" s="13" t="s">
        <v>120</v>
      </c>
      <c r="C62" s="10" t="n">
        <v>2.99</v>
      </c>
      <c r="D62" s="13"/>
      <c r="E62" s="13"/>
    </row>
    <row r="63" customFormat="false" ht="15" hidden="false" customHeight="false" outlineLevel="0" collapsed="false">
      <c r="B63" s="13" t="s">
        <v>121</v>
      </c>
      <c r="C63" s="10" t="n">
        <v>5.99</v>
      </c>
      <c r="D63" s="13"/>
      <c r="E63" s="13"/>
    </row>
    <row r="64" customFormat="false" ht="15" hidden="false" customHeight="false" outlineLevel="0" collapsed="false">
      <c r="B64" s="13" t="s">
        <v>122</v>
      </c>
      <c r="C64" s="10" t="n">
        <v>6.49</v>
      </c>
      <c r="D64" s="13"/>
      <c r="E64" s="13"/>
    </row>
    <row r="65" customFormat="false" ht="15" hidden="false" customHeight="false" outlineLevel="0" collapsed="false">
      <c r="B65" s="13"/>
      <c r="C65" s="10"/>
      <c r="D65" s="13"/>
      <c r="E65" s="13"/>
    </row>
    <row r="66" customFormat="false" ht="15" hidden="false" customHeight="false" outlineLevel="0" collapsed="false">
      <c r="B66" s="13"/>
      <c r="C66" s="10"/>
      <c r="D66" s="13"/>
      <c r="E66" s="13"/>
    </row>
    <row r="67" customFormat="false" ht="15" hidden="false" customHeight="false" outlineLevel="0" collapsed="false">
      <c r="B67" s="13"/>
      <c r="C67" s="10"/>
      <c r="D67" s="13"/>
      <c r="E67" s="13"/>
    </row>
    <row r="68" customFormat="false" ht="15" hidden="false" customHeight="false" outlineLevel="0" collapsed="false">
      <c r="B68" s="13"/>
      <c r="C68" s="10"/>
      <c r="D68" s="13"/>
      <c r="E68" s="13"/>
    </row>
    <row r="69" customFormat="false" ht="15" hidden="false" customHeight="false" outlineLevel="0" collapsed="false">
      <c r="B69" s="13"/>
      <c r="C69" s="10"/>
      <c r="D69" s="13"/>
      <c r="E69" s="13"/>
    </row>
    <row r="70" customFormat="false" ht="15" hidden="false" customHeight="false" outlineLevel="0" collapsed="false">
      <c r="B70" s="6" t="s">
        <v>123</v>
      </c>
      <c r="C70" s="11" t="n">
        <f aca="false">SUM(C62:C69)</f>
        <v>15.47</v>
      </c>
      <c r="D70" s="14"/>
      <c r="E70" s="14"/>
    </row>
  </sheetData>
  <mergeCells count="7">
    <mergeCell ref="B2:E2"/>
    <mergeCell ref="B11:E11"/>
    <mergeCell ref="B21:E21"/>
    <mergeCell ref="B31:E31"/>
    <mergeCell ref="B41:E41"/>
    <mergeCell ref="B51:E51"/>
    <mergeCell ref="B61:E61"/>
  </mergeCells>
  <conditionalFormatting sqref="C7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  <cfRule type="cellIs" priority="4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6" min="4" style="0" width="13"/>
    <col collapsed="false" customWidth="true" hidden="false" outlineLevel="0" max="7" min="7" style="0" width="16"/>
    <col collapsed="false" customWidth="true" hidden="false" outlineLevel="0" max="8" min="8" style="0" width="14"/>
  </cols>
  <sheetData>
    <row r="2" customFormat="false" ht="30" hidden="false" customHeight="true" outlineLevel="0" collapsed="false">
      <c r="B2" s="4" t="s">
        <v>124</v>
      </c>
      <c r="C2" s="4"/>
      <c r="D2" s="4"/>
      <c r="E2" s="4"/>
      <c r="F2" s="4"/>
      <c r="G2" s="4"/>
      <c r="H2" s="4"/>
    </row>
    <row r="4" customFormat="false" ht="15" hidden="false" customHeight="false" outlineLevel="0" collapsed="false">
      <c r="B4" s="5" t="s">
        <v>125</v>
      </c>
    </row>
    <row r="5" customFormat="false" ht="15" hidden="false" customHeight="false" outlineLevel="0" collapsed="false">
      <c r="B5" s="5" t="s">
        <v>126</v>
      </c>
    </row>
    <row r="6" customFormat="false" ht="15" hidden="false" customHeight="false" outlineLevel="0" collapsed="false">
      <c r="B6" s="6" t="s">
        <v>77</v>
      </c>
      <c r="C6" s="6" t="s">
        <v>127</v>
      </c>
      <c r="D6" s="15" t="s">
        <v>128</v>
      </c>
      <c r="E6" s="15" t="s">
        <v>129</v>
      </c>
      <c r="F6" s="15" t="s">
        <v>130</v>
      </c>
      <c r="G6" s="6" t="s">
        <v>131</v>
      </c>
      <c r="H6" s="6" t="s">
        <v>132</v>
      </c>
    </row>
    <row r="7" customFormat="false" ht="15" hidden="false" customHeight="false" outlineLevel="0" collapsed="false">
      <c r="B7" s="13" t="s">
        <v>133</v>
      </c>
      <c r="C7" s="13" t="s">
        <v>134</v>
      </c>
      <c r="D7" s="10" t="n">
        <v>3.89</v>
      </c>
      <c r="E7" s="10" t="n">
        <v>3.59</v>
      </c>
      <c r="F7" s="10" t="n">
        <v>3.29</v>
      </c>
      <c r="G7" s="16" t="str">
        <f aca="false">IF(COUNT(D7:F7)=0,"",INDEX($D$6:$F$6,MATCH(MIN(D7:F7),D7:F7,0)))</f>
        <v>Store 3</v>
      </c>
      <c r="H7" s="17" t="n">
        <f aca="false">IF(COUNT(D7:F7)=0,"",MIN(D7:F7))</f>
        <v>3.29</v>
      </c>
    </row>
    <row r="8" customFormat="false" ht="15" hidden="false" customHeight="false" outlineLevel="0" collapsed="false">
      <c r="B8" s="13" t="s">
        <v>99</v>
      </c>
      <c r="C8" s="13" t="s">
        <v>135</v>
      </c>
      <c r="D8" s="10" t="n">
        <v>4.97</v>
      </c>
      <c r="E8" s="10" t="n">
        <v>5.29</v>
      </c>
      <c r="F8" s="10" t="n">
        <v>4.39</v>
      </c>
      <c r="G8" s="16" t="str">
        <f aca="false">IF(COUNT(D8:F8)=0,"",INDEX($D$6:$F$6,MATCH(MIN(D8:F8),D8:F8,0)))</f>
        <v>Store 3</v>
      </c>
      <c r="H8" s="17" t="n">
        <f aca="false">IF(COUNT(D8:F8)=0,"",MIN(D8:F8))</f>
        <v>4.39</v>
      </c>
    </row>
    <row r="9" customFormat="false" ht="15" hidden="false" customHeight="false" outlineLevel="0" collapsed="false">
      <c r="B9" s="13" t="s">
        <v>136</v>
      </c>
      <c r="C9" s="13" t="s">
        <v>137</v>
      </c>
      <c r="D9" s="10" t="n">
        <v>3.49</v>
      </c>
      <c r="E9" s="10" t="n">
        <v>2.99</v>
      </c>
      <c r="F9" s="10" t="n">
        <v>3.19</v>
      </c>
      <c r="G9" s="16" t="str">
        <f aca="false">IF(COUNT(D9:F9)=0,"",INDEX($D$6:$F$6,MATCH(MIN(D9:F9),D9:F9,0)))</f>
        <v>Store 2</v>
      </c>
      <c r="H9" s="17" t="n">
        <f aca="false">IF(COUNT(D9:F9)=0,"",MIN(D9:F9))</f>
        <v>2.99</v>
      </c>
    </row>
    <row r="10" customFormat="false" ht="15" hidden="false" customHeight="false" outlineLevel="0" collapsed="false">
      <c r="B10" s="13" t="s">
        <v>138</v>
      </c>
      <c r="C10" s="13" t="s">
        <v>137</v>
      </c>
      <c r="D10" s="10" t="n">
        <v>4.87</v>
      </c>
      <c r="E10" s="10" t="n">
        <v>4.99</v>
      </c>
      <c r="F10" s="10" t="n">
        <v>4.49</v>
      </c>
      <c r="G10" s="16" t="str">
        <f aca="false">IF(COUNT(D10:F10)=0,"",INDEX($D$6:$F$6,MATCH(MIN(D10:F10),D10:F10,0)))</f>
        <v>Store 3</v>
      </c>
      <c r="H10" s="17" t="n">
        <f aca="false">IF(COUNT(D10:F10)=0,"",MIN(D10:F10))</f>
        <v>4.49</v>
      </c>
    </row>
    <row r="11" customFormat="false" ht="15" hidden="false" customHeight="false" outlineLevel="0" collapsed="false">
      <c r="B11" s="13" t="s">
        <v>139</v>
      </c>
      <c r="C11" s="13" t="s">
        <v>140</v>
      </c>
      <c r="D11" s="10" t="n">
        <v>2.59</v>
      </c>
      <c r="E11" s="10" t="n">
        <v>2.49</v>
      </c>
      <c r="F11" s="10" t="n">
        <v>1.99</v>
      </c>
      <c r="G11" s="16" t="str">
        <f aca="false">IF(COUNT(D11:F11)=0,"",INDEX($D$6:$F$6,MATCH(MIN(D11:F11),D11:F11,0)))</f>
        <v>Store 3</v>
      </c>
      <c r="H11" s="17" t="n">
        <f aca="false">IF(COUNT(D11:F11)=0,"",MIN(D11:F11))</f>
        <v>1.99</v>
      </c>
    </row>
    <row r="12" customFormat="false" ht="15" hidden="false" customHeight="false" outlineLevel="0" collapsed="false">
      <c r="B12" s="13" t="s">
        <v>63</v>
      </c>
      <c r="C12" s="13" t="s">
        <v>137</v>
      </c>
      <c r="D12" s="10" t="n">
        <v>0.54</v>
      </c>
      <c r="E12" s="10" t="n">
        <v>0.59</v>
      </c>
      <c r="F12" s="10" t="n">
        <v>0.44</v>
      </c>
      <c r="G12" s="16" t="str">
        <f aca="false">IF(COUNT(D12:F12)=0,"",INDEX($D$6:$F$6,MATCH(MIN(D12:F12),D12:F12,0)))</f>
        <v>Store 3</v>
      </c>
      <c r="H12" s="17" t="n">
        <f aca="false">IF(COUNT(D12:F12)=0,"",MIN(D12:F12))</f>
        <v>0.44</v>
      </c>
    </row>
    <row r="13" customFormat="false" ht="15" hidden="false" customHeight="false" outlineLevel="0" collapsed="false">
      <c r="B13" s="13" t="s">
        <v>109</v>
      </c>
      <c r="C13" s="13" t="s">
        <v>141</v>
      </c>
      <c r="D13" s="10" t="n">
        <v>2.48</v>
      </c>
      <c r="E13" s="10" t="n">
        <v>3.29</v>
      </c>
      <c r="F13" s="10" t="n">
        <v>2.79</v>
      </c>
      <c r="G13" s="16" t="str">
        <f aca="false">IF(COUNT(D13:F13)=0,"",INDEX($D$6:$F$6,MATCH(MIN(D13:F13),D13:F13,0)))</f>
        <v>Store 1</v>
      </c>
      <c r="H13" s="17" t="n">
        <f aca="false">IF(COUNT(D13:F13)=0,"",MIN(D13:F13))</f>
        <v>2.48</v>
      </c>
    </row>
    <row r="14" customFormat="false" ht="15" hidden="false" customHeight="false" outlineLevel="0" collapsed="false">
      <c r="B14" s="13" t="s">
        <v>142</v>
      </c>
      <c r="C14" s="13" t="s">
        <v>141</v>
      </c>
      <c r="D14" s="10" t="n">
        <v>1.24</v>
      </c>
      <c r="E14" s="10" t="n">
        <v>0.99</v>
      </c>
      <c r="F14" s="10" t="n">
        <v>1.09</v>
      </c>
      <c r="G14" s="16" t="str">
        <f aca="false">IF(COUNT(D14:F14)=0,"",INDEX($D$6:$F$6,MATCH(MIN(D14:F14),D14:F14,0)))</f>
        <v>Store 2</v>
      </c>
      <c r="H14" s="17" t="n">
        <f aca="false">IF(COUNT(D14:F14)=0,"",MIN(D14:F14))</f>
        <v>0.99</v>
      </c>
    </row>
    <row r="15" customFormat="false" ht="15" hidden="false" customHeight="false" outlineLevel="0" collapsed="false">
      <c r="B15" s="13" t="s">
        <v>143</v>
      </c>
      <c r="C15" s="13" t="s">
        <v>144</v>
      </c>
      <c r="D15" s="10" t="n">
        <v>4.97</v>
      </c>
      <c r="E15" s="10" t="n">
        <v>5.49</v>
      </c>
      <c r="F15" s="10" t="n">
        <v>5.29</v>
      </c>
      <c r="G15" s="16" t="str">
        <f aca="false">IF(COUNT(D15:F15)=0,"",INDEX($D$6:$F$6,MATCH(MIN(D15:F15),D15:F15,0)))</f>
        <v>Store 1</v>
      </c>
      <c r="H15" s="17" t="n">
        <f aca="false">IF(COUNT(D15:F15)=0,"",MIN(D15:F15))</f>
        <v>4.97</v>
      </c>
    </row>
    <row r="16" customFormat="false" ht="15" hidden="false" customHeight="false" outlineLevel="0" collapsed="false">
      <c r="B16" s="13" t="s">
        <v>145</v>
      </c>
      <c r="C16" s="13" t="s">
        <v>146</v>
      </c>
      <c r="D16" s="10" t="n">
        <v>2.87</v>
      </c>
      <c r="E16" s="10" t="n">
        <v>2.5</v>
      </c>
      <c r="F16" s="10" t="n">
        <v>2.29</v>
      </c>
      <c r="G16" s="16" t="str">
        <f aca="false">IF(COUNT(D16:F16)=0,"",INDEX($D$6:$F$6,MATCH(MIN(D16:F16),D16:F16,0)))</f>
        <v>Store 3</v>
      </c>
      <c r="H16" s="17" t="n">
        <f aca="false">IF(COUNT(D16:F16)=0,"",MIN(D16:F16))</f>
        <v>2.29</v>
      </c>
    </row>
    <row r="17" customFormat="false" ht="15" hidden="false" customHeight="false" outlineLevel="0" collapsed="false">
      <c r="B17" s="13"/>
      <c r="C17" s="13"/>
      <c r="D17" s="10"/>
      <c r="E17" s="10"/>
      <c r="F17" s="10"/>
      <c r="G17" s="16" t="str">
        <f aca="false">IF(COUNT(D17:F17)=0,"",INDEX($D$6:$F$6,MATCH(MIN(D17:F17),D17:F17,0)))</f>
        <v/>
      </c>
      <c r="H17" s="17" t="str">
        <f aca="false">IF(COUNT(D17:F17)=0,"",MIN(D17:F17))</f>
        <v/>
      </c>
    </row>
    <row r="18" customFormat="false" ht="15" hidden="false" customHeight="false" outlineLevel="0" collapsed="false">
      <c r="B18" s="13"/>
      <c r="C18" s="13"/>
      <c r="D18" s="10"/>
      <c r="E18" s="10"/>
      <c r="F18" s="10"/>
      <c r="G18" s="16" t="str">
        <f aca="false">IF(COUNT(D18:F18)=0,"",INDEX($D$6:$F$6,MATCH(MIN(D18:F18),D18:F18,0)))</f>
        <v/>
      </c>
      <c r="H18" s="17" t="str">
        <f aca="false">IF(COUNT(D18:F18)=0,"",MIN(D18:F18))</f>
        <v/>
      </c>
    </row>
    <row r="19" customFormat="false" ht="15" hidden="false" customHeight="false" outlineLevel="0" collapsed="false">
      <c r="B19" s="13"/>
      <c r="C19" s="13"/>
      <c r="D19" s="10"/>
      <c r="E19" s="10"/>
      <c r="F19" s="10"/>
      <c r="G19" s="16" t="str">
        <f aca="false">IF(COUNT(D19:F19)=0,"",INDEX($D$6:$F$6,MATCH(MIN(D19:F19),D19:F19,0)))</f>
        <v/>
      </c>
      <c r="H19" s="17" t="str">
        <f aca="false">IF(COUNT(D19:F19)=0,"",MIN(D19:F19))</f>
        <v/>
      </c>
    </row>
    <row r="20" customFormat="false" ht="15" hidden="false" customHeight="false" outlineLevel="0" collapsed="false">
      <c r="B20" s="13"/>
      <c r="C20" s="13"/>
      <c r="D20" s="10"/>
      <c r="E20" s="10"/>
      <c r="F20" s="10"/>
      <c r="G20" s="16" t="str">
        <f aca="false">IF(COUNT(D20:F20)=0,"",INDEX($D$6:$F$6,MATCH(MIN(D20:F20),D20:F20,0)))</f>
        <v/>
      </c>
      <c r="H20" s="17" t="str">
        <f aca="false">IF(COUNT(D20:F20)=0,"",MIN(D20:F20))</f>
        <v/>
      </c>
    </row>
    <row r="21" customFormat="false" ht="15" hidden="false" customHeight="false" outlineLevel="0" collapsed="false">
      <c r="B21" s="13"/>
      <c r="C21" s="13"/>
      <c r="D21" s="10"/>
      <c r="E21" s="10"/>
      <c r="F21" s="10"/>
      <c r="G21" s="16" t="str">
        <f aca="false">IF(COUNT(D21:F21)=0,"",INDEX($D$6:$F$6,MATCH(MIN(D21:F21),D21:F21,0)))</f>
        <v/>
      </c>
      <c r="H21" s="17" t="str">
        <f aca="false">IF(COUNT(D21:F21)=0,"",MIN(D21:F21))</f>
        <v/>
      </c>
    </row>
    <row r="22" customFormat="false" ht="15" hidden="false" customHeight="false" outlineLevel="0" collapsed="false">
      <c r="B22" s="13"/>
      <c r="C22" s="13"/>
      <c r="D22" s="10"/>
      <c r="E22" s="10"/>
      <c r="F22" s="10"/>
      <c r="G22" s="16" t="str">
        <f aca="false">IF(COUNT(D22:F22)=0,"",INDEX($D$6:$F$6,MATCH(MIN(D22:F22),D22:F22,0)))</f>
        <v/>
      </c>
      <c r="H22" s="17" t="str">
        <f aca="false">IF(COUNT(D22:F22)=0,"",MIN(D22:F22))</f>
        <v/>
      </c>
    </row>
    <row r="23" customFormat="false" ht="15" hidden="false" customHeight="false" outlineLevel="0" collapsed="false">
      <c r="B23" s="13"/>
      <c r="C23" s="13"/>
      <c r="D23" s="10"/>
      <c r="E23" s="10"/>
      <c r="F23" s="10"/>
      <c r="G23" s="16" t="str">
        <f aca="false">IF(COUNT(D23:F23)=0,"",INDEX($D$6:$F$6,MATCH(MIN(D23:F23),D23:F23,0)))</f>
        <v/>
      </c>
      <c r="H23" s="17" t="str">
        <f aca="false">IF(COUNT(D23:F23)=0,"",MIN(D23:F23))</f>
        <v/>
      </c>
    </row>
    <row r="24" customFormat="false" ht="15" hidden="false" customHeight="false" outlineLevel="0" collapsed="false">
      <c r="B24" s="13"/>
      <c r="C24" s="13"/>
      <c r="D24" s="10"/>
      <c r="E24" s="10"/>
      <c r="F24" s="10"/>
      <c r="G24" s="16" t="str">
        <f aca="false">IF(COUNT(D24:F24)=0,"",INDEX($D$6:$F$6,MATCH(MIN(D24:F24),D24:F24,0)))</f>
        <v/>
      </c>
      <c r="H24" s="17" t="str">
        <f aca="false">IF(COUNT(D24:F24)=0,"",MIN(D24:F24))</f>
        <v/>
      </c>
    </row>
    <row r="25" customFormat="false" ht="15" hidden="false" customHeight="false" outlineLevel="0" collapsed="false">
      <c r="B25" s="13"/>
      <c r="C25" s="13"/>
      <c r="D25" s="10"/>
      <c r="E25" s="10"/>
      <c r="F25" s="10"/>
      <c r="G25" s="16" t="str">
        <f aca="false">IF(COUNT(D25:F25)=0,"",INDEX($D$6:$F$6,MATCH(MIN(D25:F25),D25:F25,0)))</f>
        <v/>
      </c>
      <c r="H25" s="17" t="str">
        <f aca="false">IF(COUNT(D25:F25)=0,"",MIN(D25:F25))</f>
        <v/>
      </c>
    </row>
    <row r="26" customFormat="false" ht="15" hidden="false" customHeight="false" outlineLevel="0" collapsed="false">
      <c r="B26" s="13"/>
      <c r="C26" s="13"/>
      <c r="D26" s="10"/>
      <c r="E26" s="10"/>
      <c r="F26" s="10"/>
      <c r="G26" s="16" t="str">
        <f aca="false">IF(COUNT(D26:F26)=0,"",INDEX($D$6:$F$6,MATCH(MIN(D26:F26),D26:F26,0)))</f>
        <v/>
      </c>
      <c r="H26" s="17" t="str">
        <f aca="false">IF(COUNT(D26:F26)=0,"",MIN(D26:F26))</f>
        <v/>
      </c>
    </row>
    <row r="27" customFormat="false" ht="15" hidden="false" customHeight="false" outlineLevel="0" collapsed="false">
      <c r="B27" s="13"/>
      <c r="C27" s="13"/>
      <c r="D27" s="10"/>
      <c r="E27" s="10"/>
      <c r="F27" s="10"/>
      <c r="G27" s="16" t="str">
        <f aca="false">IF(COUNT(D27:F27)=0,"",INDEX($D$6:$F$6,MATCH(MIN(D27:F27),D27:F27,0)))</f>
        <v/>
      </c>
      <c r="H27" s="17" t="str">
        <f aca="false">IF(COUNT(D27:F27)=0,"",MIN(D27:F27))</f>
        <v/>
      </c>
    </row>
    <row r="28" customFormat="false" ht="15" hidden="false" customHeight="false" outlineLevel="0" collapsed="false">
      <c r="B28" s="13"/>
      <c r="C28" s="13"/>
      <c r="D28" s="10"/>
      <c r="E28" s="10"/>
      <c r="F28" s="10"/>
      <c r="G28" s="16" t="str">
        <f aca="false">IF(COUNT(D28:F28)=0,"",INDEX($D$6:$F$6,MATCH(MIN(D28:F28),D28:F28,0)))</f>
        <v/>
      </c>
      <c r="H28" s="17" t="str">
        <f aca="false">IF(COUNT(D28:F28)=0,"",MIN(D28:F28))</f>
        <v/>
      </c>
    </row>
    <row r="29" customFormat="false" ht="15" hidden="false" customHeight="false" outlineLevel="0" collapsed="false">
      <c r="B29" s="13"/>
      <c r="C29" s="13"/>
      <c r="D29" s="10"/>
      <c r="E29" s="10"/>
      <c r="F29" s="10"/>
      <c r="G29" s="16" t="str">
        <f aca="false">IF(COUNT(D29:F29)=0,"",INDEX($D$6:$F$6,MATCH(MIN(D29:F29),D29:F29,0)))</f>
        <v/>
      </c>
      <c r="H29" s="17" t="str">
        <f aca="false">IF(COUNT(D29:F29)=0,"",MIN(D29:F29))</f>
        <v/>
      </c>
    </row>
    <row r="30" customFormat="false" ht="15" hidden="false" customHeight="false" outlineLevel="0" collapsed="false">
      <c r="B30" s="13"/>
      <c r="C30" s="13"/>
      <c r="D30" s="10"/>
      <c r="E30" s="10"/>
      <c r="F30" s="10"/>
      <c r="G30" s="16" t="str">
        <f aca="false">IF(COUNT(D30:F30)=0,"",INDEX($D$6:$F$6,MATCH(MIN(D30:F30),D30:F30,0)))</f>
        <v/>
      </c>
      <c r="H30" s="17" t="str">
        <f aca="false">IF(COUNT(D30:F30)=0,"",MIN(D30:F30))</f>
        <v/>
      </c>
    </row>
    <row r="31" customFormat="false" ht="15" hidden="false" customHeight="false" outlineLevel="0" collapsed="false">
      <c r="B31" s="13"/>
      <c r="C31" s="13"/>
      <c r="D31" s="10"/>
      <c r="E31" s="10"/>
      <c r="F31" s="10"/>
      <c r="G31" s="16" t="str">
        <f aca="false">IF(COUNT(D31:F31)=0,"",INDEX($D$6:$F$6,MATCH(MIN(D31:F31),D31:F31,0)))</f>
        <v/>
      </c>
      <c r="H31" s="17" t="str">
        <f aca="false">IF(COUNT(D31:F31)=0,"",MIN(D31:F31))</f>
        <v/>
      </c>
    </row>
  </sheetData>
  <mergeCells count="1">
    <mergeCell ref="B2:H2"/>
  </mergeCells>
  <conditionalFormatting sqref="D7:F31">
    <cfRule type="expression" priority="2" aboveAverage="0" equalAverage="0" bottom="0" percent="0" rank="0" text="" dxfId="0">
      <formula>AND(D7&lt;&gt;"",D7=MIN($D7:$F7))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14"/>
  </cols>
  <sheetData>
    <row r="2" customFormat="false" ht="30" hidden="false" customHeight="true" outlineLevel="0" collapsed="false">
      <c r="B2" s="4" t="s">
        <v>147</v>
      </c>
      <c r="C2" s="4"/>
      <c r="D2" s="4"/>
      <c r="E2" s="4"/>
    </row>
    <row r="4" customFormat="false" ht="15" hidden="false" customHeight="false" outlineLevel="0" collapsed="false">
      <c r="B4" s="9" t="s">
        <v>148</v>
      </c>
      <c r="C4" s="10" t="n">
        <v>600</v>
      </c>
    </row>
    <row r="5" customFormat="false" ht="15" hidden="false" customHeight="false" outlineLevel="0" collapsed="false">
      <c r="B5" s="9" t="s">
        <v>149</v>
      </c>
      <c r="C5" s="10" t="n">
        <v>655</v>
      </c>
    </row>
    <row r="6" customFormat="false" ht="15" hidden="false" customHeight="false" outlineLevel="0" collapsed="false">
      <c r="B6" s="5" t="s">
        <v>150</v>
      </c>
    </row>
    <row r="8" customFormat="false" ht="15" hidden="false" customHeight="false" outlineLevel="0" collapsed="false">
      <c r="B8" s="6" t="s">
        <v>151</v>
      </c>
      <c r="C8" s="6" t="s">
        <v>152</v>
      </c>
      <c r="D8" s="6" t="s">
        <v>153</v>
      </c>
      <c r="E8" s="6" t="s">
        <v>154</v>
      </c>
    </row>
    <row r="9" customFormat="false" ht="15" hidden="false" customHeight="false" outlineLevel="0" collapsed="false">
      <c r="B9" s="16" t="s">
        <v>155</v>
      </c>
      <c r="C9" s="17" t="n">
        <f aca="false">$C$4/4</f>
        <v>150</v>
      </c>
      <c r="D9" s="10" t="n">
        <v>138.42</v>
      </c>
      <c r="E9" s="17" t="n">
        <f aca="false">C9-D9</f>
        <v>11.58</v>
      </c>
    </row>
    <row r="10" customFormat="false" ht="15" hidden="false" customHeight="false" outlineLevel="0" collapsed="false">
      <c r="B10" s="16" t="s">
        <v>156</v>
      </c>
      <c r="C10" s="17" t="n">
        <f aca="false">$C$4/4</f>
        <v>150</v>
      </c>
      <c r="D10" s="10" t="n">
        <v>161.85</v>
      </c>
      <c r="E10" s="17" t="n">
        <f aca="false">C10-D10</f>
        <v>-11.85</v>
      </c>
    </row>
    <row r="11" customFormat="false" ht="15" hidden="false" customHeight="false" outlineLevel="0" collapsed="false">
      <c r="B11" s="16" t="s">
        <v>157</v>
      </c>
      <c r="C11" s="17" t="n">
        <f aca="false">$C$4/4</f>
        <v>150</v>
      </c>
      <c r="D11" s="10" t="n">
        <v>150</v>
      </c>
      <c r="E11" s="17" t="n">
        <f aca="false">C11-D11</f>
        <v>0</v>
      </c>
    </row>
    <row r="12" customFormat="false" ht="15" hidden="false" customHeight="false" outlineLevel="0" collapsed="false">
      <c r="B12" s="16" t="s">
        <v>158</v>
      </c>
      <c r="C12" s="17" t="n">
        <f aca="false">$C$4/4</f>
        <v>150</v>
      </c>
      <c r="D12" s="10" t="n">
        <v>132.9</v>
      </c>
      <c r="E12" s="17" t="n">
        <f aca="false">C12-D12</f>
        <v>17.1</v>
      </c>
    </row>
    <row r="13" customFormat="false" ht="15" hidden="false" customHeight="false" outlineLevel="0" collapsed="false">
      <c r="B13" s="6" t="s">
        <v>159</v>
      </c>
      <c r="C13" s="11" t="n">
        <f aca="false">SUM(C9:C12)</f>
        <v>600</v>
      </c>
      <c r="D13" s="11" t="n">
        <f aca="false">SUM(D9:D12)</f>
        <v>583.17</v>
      </c>
      <c r="E13" s="11" t="n">
        <f aca="false">C13-D13</f>
        <v>16.83</v>
      </c>
    </row>
    <row r="15" customFormat="false" ht="15" hidden="false" customHeight="false" outlineLevel="0" collapsed="false">
      <c r="B15" s="18" t="s">
        <v>160</v>
      </c>
      <c r="C15" s="18"/>
      <c r="D15" s="18"/>
      <c r="E15" s="18"/>
    </row>
    <row r="16" customFormat="false" ht="15" hidden="false" customHeight="false" outlineLevel="0" collapsed="false">
      <c r="B16" s="9" t="s">
        <v>161</v>
      </c>
      <c r="C16" s="12" t="n">
        <f aca="false">D13</f>
        <v>583.17</v>
      </c>
    </row>
    <row r="17" customFormat="false" ht="15" hidden="false" customHeight="false" outlineLevel="0" collapsed="false">
      <c r="B17" s="9" t="s">
        <v>162</v>
      </c>
      <c r="C17" s="12" t="n">
        <f aca="false">C4-D13</f>
        <v>16.83</v>
      </c>
    </row>
    <row r="18" customFormat="false" ht="15" hidden="false" customHeight="false" outlineLevel="0" collapsed="false">
      <c r="B18" s="9" t="s">
        <v>163</v>
      </c>
      <c r="C18" s="19" t="n">
        <f aca="false">IF(C4=0,"",D13/C4)</f>
        <v>0.97195</v>
      </c>
    </row>
    <row r="19" customFormat="false" ht="15" hidden="false" customHeight="false" outlineLevel="0" collapsed="false">
      <c r="B19" s="9" t="s">
        <v>164</v>
      </c>
      <c r="C19" s="12" t="n">
        <f aca="false">C5-D13</f>
        <v>71.83</v>
      </c>
    </row>
    <row r="21" customFormat="false" ht="15" hidden="false" customHeight="false" outlineLevel="0" collapsed="false">
      <c r="B21" s="5" t="s">
        <v>165</v>
      </c>
    </row>
  </sheetData>
  <mergeCells count="2">
    <mergeCell ref="B2:E2"/>
    <mergeCell ref="B15:E15"/>
  </mergeCells>
  <conditionalFormatting sqref="E9:E13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  <cfRule type="cellIs" priority="4" operator="lessThan" aboveAverage="0" equalAverage="0" bottom="0" percent="0" rank="0" text="" dxfId="2">
      <formula>0</formula>
    </cfRule>
  </conditionalFormatting>
  <conditionalFormatting sqref="C17">
    <cfRule type="cellIs" priority="5" operator="greaterThan" aboveAverage="0" equalAverage="0" bottom="0" percent="0" rank="0" text="" dxfId="0">
      <formula>0</formula>
    </cfRule>
    <cfRule type="cellIs" priority="6" operator="equal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C19">
    <cfRule type="cellIs" priority="8" operator="greaterThan" aboveAverage="0" equalAverage="0" bottom="0" percent="0" rank="0" text="" dxfId="0">
      <formula>0</formula>
    </cfRule>
    <cfRule type="cellIs" priority="9" operator="equal" aboveAverage="0" equalAverage="0" bottom="0" percent="0" rank="0" text="" dxfId="1">
      <formula>0</formula>
    </cfRule>
    <cfRule type="cellIs" priority="10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34"/>
  </cols>
  <sheetData>
    <row r="2" customFormat="false" ht="30" hidden="false" customHeight="true" outlineLevel="0" collapsed="false">
      <c r="B2" s="4" t="s">
        <v>166</v>
      </c>
      <c r="C2" s="4"/>
      <c r="D2" s="4"/>
      <c r="E2" s="4"/>
      <c r="F2" s="4"/>
    </row>
    <row r="4" customFormat="false" ht="15" hidden="false" customHeight="false" outlineLevel="0" collapsed="false">
      <c r="B4" s="9" t="s">
        <v>167</v>
      </c>
      <c r="C4" s="6" t="n">
        <f aca="false">COUNTA(B9:B58)</f>
        <v>10</v>
      </c>
    </row>
    <row r="5" customFormat="false" ht="15" hidden="false" customHeight="false" outlineLevel="0" collapsed="false">
      <c r="B5" s="9" t="s">
        <v>168</v>
      </c>
      <c r="C5" s="6" t="n">
        <f aca="false">COUNTIF(E9:E58,"Yes")</f>
        <v>3</v>
      </c>
    </row>
    <row r="6" customFormat="false" ht="15" hidden="false" customHeight="false" outlineLevel="0" collapsed="false">
      <c r="B6" s="5" t="s">
        <v>169</v>
      </c>
    </row>
    <row r="8" customFormat="false" ht="15" hidden="false" customHeight="false" outlineLevel="0" collapsed="false">
      <c r="B8" s="6" t="s">
        <v>77</v>
      </c>
      <c r="C8" s="6" t="s">
        <v>170</v>
      </c>
      <c r="D8" s="6" t="s">
        <v>171</v>
      </c>
      <c r="E8" s="6" t="s">
        <v>172</v>
      </c>
      <c r="F8" s="6" t="s">
        <v>80</v>
      </c>
    </row>
    <row r="9" customFormat="false" ht="15" hidden="false" customHeight="false" outlineLevel="0" collapsed="false">
      <c r="B9" s="13" t="s">
        <v>173</v>
      </c>
      <c r="C9" s="13" t="s">
        <v>174</v>
      </c>
      <c r="D9" s="13" t="s">
        <v>175</v>
      </c>
      <c r="E9" s="13" t="s">
        <v>82</v>
      </c>
      <c r="F9" s="13" t="s">
        <v>176</v>
      </c>
    </row>
    <row r="10" customFormat="false" ht="15" hidden="false" customHeight="false" outlineLevel="0" collapsed="false">
      <c r="B10" s="13" t="s">
        <v>177</v>
      </c>
      <c r="C10" s="13" t="s">
        <v>178</v>
      </c>
      <c r="D10" s="13" t="s">
        <v>144</v>
      </c>
      <c r="E10" s="13"/>
      <c r="F10" s="13"/>
    </row>
    <row r="11" customFormat="false" ht="15" hidden="false" customHeight="false" outlineLevel="0" collapsed="false">
      <c r="B11" s="13" t="s">
        <v>179</v>
      </c>
      <c r="C11" s="13" t="s">
        <v>178</v>
      </c>
      <c r="D11" s="13" t="s">
        <v>180</v>
      </c>
      <c r="E11" s="13"/>
      <c r="F11" s="13"/>
    </row>
    <row r="12" customFormat="false" ht="15" hidden="false" customHeight="false" outlineLevel="0" collapsed="false">
      <c r="B12" s="13" t="s">
        <v>142</v>
      </c>
      <c r="C12" s="13" t="s">
        <v>178</v>
      </c>
      <c r="D12" s="13" t="s">
        <v>181</v>
      </c>
      <c r="E12" s="13"/>
      <c r="F12" s="13"/>
    </row>
    <row r="13" customFormat="false" ht="15" hidden="false" customHeight="false" outlineLevel="0" collapsed="false">
      <c r="B13" s="13" t="s">
        <v>182</v>
      </c>
      <c r="C13" s="13" t="s">
        <v>183</v>
      </c>
      <c r="D13" s="13" t="s">
        <v>184</v>
      </c>
      <c r="E13" s="13" t="s">
        <v>82</v>
      </c>
      <c r="F13" s="13" t="s">
        <v>185</v>
      </c>
    </row>
    <row r="14" customFormat="false" ht="15" hidden="false" customHeight="false" outlineLevel="0" collapsed="false">
      <c r="B14" s="13" t="s">
        <v>186</v>
      </c>
      <c r="C14" s="13" t="s">
        <v>178</v>
      </c>
      <c r="D14" s="13" t="s">
        <v>187</v>
      </c>
      <c r="E14" s="13"/>
      <c r="F14" s="13"/>
    </row>
    <row r="15" customFormat="false" ht="15" hidden="false" customHeight="false" outlineLevel="0" collapsed="false">
      <c r="B15" s="13" t="s">
        <v>188</v>
      </c>
      <c r="C15" s="13" t="s">
        <v>183</v>
      </c>
      <c r="D15" s="13" t="s">
        <v>189</v>
      </c>
      <c r="E15" s="13" t="s">
        <v>82</v>
      </c>
      <c r="F15" s="13" t="s">
        <v>190</v>
      </c>
    </row>
    <row r="16" customFormat="false" ht="15" hidden="false" customHeight="false" outlineLevel="0" collapsed="false">
      <c r="B16" s="13" t="s">
        <v>191</v>
      </c>
      <c r="C16" s="13" t="s">
        <v>174</v>
      </c>
      <c r="D16" s="13" t="s">
        <v>192</v>
      </c>
      <c r="E16" s="13"/>
      <c r="F16" s="13"/>
    </row>
    <row r="17" customFormat="false" ht="15" hidden="false" customHeight="false" outlineLevel="0" collapsed="false">
      <c r="B17" s="13" t="s">
        <v>111</v>
      </c>
      <c r="C17" s="13" t="s">
        <v>183</v>
      </c>
      <c r="D17" s="13" t="s">
        <v>193</v>
      </c>
      <c r="E17" s="13"/>
      <c r="F17" s="13"/>
    </row>
    <row r="18" customFormat="false" ht="15" hidden="false" customHeight="false" outlineLevel="0" collapsed="false">
      <c r="B18" s="13" t="s">
        <v>194</v>
      </c>
      <c r="C18" s="13" t="s">
        <v>174</v>
      </c>
      <c r="D18" s="13" t="s">
        <v>195</v>
      </c>
      <c r="E18" s="13"/>
      <c r="F18" s="13"/>
    </row>
    <row r="19" customFormat="false" ht="15" hidden="false" customHeight="false" outlineLevel="0" collapsed="false">
      <c r="B19" s="13"/>
      <c r="C19" s="13"/>
      <c r="D19" s="13"/>
      <c r="E19" s="13"/>
      <c r="F19" s="13"/>
    </row>
    <row r="20" customFormat="false" ht="15" hidden="false" customHeight="false" outlineLevel="0" collapsed="false">
      <c r="B20" s="13"/>
      <c r="C20" s="13"/>
      <c r="D20" s="13"/>
      <c r="E20" s="13"/>
      <c r="F20" s="13"/>
    </row>
    <row r="21" customFormat="false" ht="15" hidden="false" customHeight="false" outlineLevel="0" collapsed="false">
      <c r="B21" s="13"/>
      <c r="C21" s="13"/>
      <c r="D21" s="13"/>
      <c r="E21" s="13"/>
      <c r="F21" s="13"/>
    </row>
    <row r="22" customFormat="false" ht="15" hidden="false" customHeight="false" outlineLevel="0" collapsed="false">
      <c r="B22" s="13"/>
      <c r="C22" s="13"/>
      <c r="D22" s="13"/>
      <c r="E22" s="13"/>
      <c r="F22" s="13"/>
    </row>
    <row r="23" customFormat="false" ht="15" hidden="false" customHeight="false" outlineLevel="0" collapsed="false">
      <c r="B23" s="13"/>
      <c r="C23" s="13"/>
      <c r="D23" s="13"/>
      <c r="E23" s="13"/>
      <c r="F23" s="13"/>
    </row>
    <row r="24" customFormat="false" ht="15" hidden="false" customHeight="false" outlineLevel="0" collapsed="false">
      <c r="B24" s="13"/>
      <c r="C24" s="13"/>
      <c r="D24" s="13"/>
      <c r="E24" s="13"/>
      <c r="F24" s="13"/>
    </row>
    <row r="25" customFormat="false" ht="15" hidden="false" customHeight="false" outlineLevel="0" collapsed="false">
      <c r="B25" s="13"/>
      <c r="C25" s="13"/>
      <c r="D25" s="13"/>
      <c r="E25" s="13"/>
      <c r="F25" s="13"/>
    </row>
    <row r="26" customFormat="false" ht="15" hidden="false" customHeight="false" outlineLevel="0" collapsed="false">
      <c r="B26" s="13"/>
      <c r="C26" s="13"/>
      <c r="D26" s="13"/>
      <c r="E26" s="13"/>
      <c r="F26" s="13"/>
    </row>
    <row r="27" customFormat="false" ht="15" hidden="false" customHeight="false" outlineLevel="0" collapsed="false">
      <c r="B27" s="13"/>
      <c r="C27" s="13"/>
      <c r="D27" s="13"/>
      <c r="E27" s="13"/>
      <c r="F27" s="13"/>
    </row>
    <row r="28" customFormat="false" ht="15" hidden="false" customHeight="false" outlineLevel="0" collapsed="false">
      <c r="B28" s="13"/>
      <c r="C28" s="13"/>
      <c r="D28" s="13"/>
      <c r="E28" s="13"/>
      <c r="F28" s="13"/>
    </row>
    <row r="29" customFormat="false" ht="15" hidden="false" customHeight="false" outlineLevel="0" collapsed="false">
      <c r="B29" s="13"/>
      <c r="C29" s="13"/>
      <c r="D29" s="13"/>
      <c r="E29" s="13"/>
      <c r="F29" s="13"/>
    </row>
    <row r="30" customFormat="false" ht="15" hidden="false" customHeight="false" outlineLevel="0" collapsed="false">
      <c r="B30" s="13"/>
      <c r="C30" s="13"/>
      <c r="D30" s="13"/>
      <c r="E30" s="13"/>
      <c r="F30" s="13"/>
    </row>
    <row r="31" customFormat="false" ht="15" hidden="false" customHeight="false" outlineLevel="0" collapsed="false">
      <c r="B31" s="13"/>
      <c r="C31" s="13"/>
      <c r="D31" s="13"/>
      <c r="E31" s="13"/>
      <c r="F31" s="13"/>
    </row>
    <row r="32" customFormat="false" ht="15" hidden="false" customHeight="false" outlineLevel="0" collapsed="false">
      <c r="B32" s="13"/>
      <c r="C32" s="13"/>
      <c r="D32" s="13"/>
      <c r="E32" s="13"/>
      <c r="F32" s="13"/>
    </row>
    <row r="33" customFormat="false" ht="15" hidden="false" customHeight="false" outlineLevel="0" collapsed="false">
      <c r="B33" s="13"/>
      <c r="C33" s="13"/>
      <c r="D33" s="13"/>
      <c r="E33" s="13"/>
      <c r="F33" s="13"/>
    </row>
    <row r="34" customFormat="false" ht="15" hidden="false" customHeight="false" outlineLevel="0" collapsed="false">
      <c r="B34" s="13"/>
      <c r="C34" s="13"/>
      <c r="D34" s="13"/>
      <c r="E34" s="13"/>
      <c r="F34" s="13"/>
    </row>
    <row r="35" customFormat="false" ht="15" hidden="false" customHeight="false" outlineLevel="0" collapsed="false">
      <c r="B35" s="13"/>
      <c r="C35" s="13"/>
      <c r="D35" s="13"/>
      <c r="E35" s="13"/>
      <c r="F35" s="13"/>
    </row>
    <row r="36" customFormat="false" ht="15" hidden="false" customHeight="false" outlineLevel="0" collapsed="false">
      <c r="B36" s="13"/>
      <c r="C36" s="13"/>
      <c r="D36" s="13"/>
      <c r="E36" s="13"/>
      <c r="F36" s="13"/>
    </row>
    <row r="37" customFormat="false" ht="15" hidden="false" customHeight="false" outlineLevel="0" collapsed="false">
      <c r="B37" s="13"/>
      <c r="C37" s="13"/>
      <c r="D37" s="13"/>
      <c r="E37" s="13"/>
      <c r="F37" s="13"/>
    </row>
    <row r="38" customFormat="false" ht="15" hidden="false" customHeight="false" outlineLevel="0" collapsed="false">
      <c r="B38" s="13"/>
      <c r="C38" s="13"/>
      <c r="D38" s="13"/>
      <c r="E38" s="13"/>
      <c r="F38" s="13"/>
    </row>
    <row r="39" customFormat="false" ht="15" hidden="false" customHeight="false" outlineLevel="0" collapsed="false">
      <c r="B39" s="13"/>
      <c r="C39" s="13"/>
      <c r="D39" s="13"/>
      <c r="E39" s="13"/>
      <c r="F39" s="13"/>
    </row>
    <row r="40" customFormat="false" ht="15" hidden="false" customHeight="false" outlineLevel="0" collapsed="false">
      <c r="B40" s="13"/>
      <c r="C40" s="13"/>
      <c r="D40" s="13"/>
      <c r="E40" s="13"/>
      <c r="F40" s="13"/>
    </row>
    <row r="41" customFormat="false" ht="15" hidden="false" customHeight="false" outlineLevel="0" collapsed="false">
      <c r="B41" s="13"/>
      <c r="C41" s="13"/>
      <c r="D41" s="13"/>
      <c r="E41" s="13"/>
      <c r="F41" s="13"/>
    </row>
    <row r="42" customFormat="false" ht="15" hidden="false" customHeight="false" outlineLevel="0" collapsed="false">
      <c r="B42" s="13"/>
      <c r="C42" s="13"/>
      <c r="D42" s="13"/>
      <c r="E42" s="13"/>
      <c r="F42" s="13"/>
    </row>
    <row r="43" customFormat="false" ht="15" hidden="false" customHeight="false" outlineLevel="0" collapsed="false">
      <c r="B43" s="13"/>
      <c r="C43" s="13"/>
      <c r="D43" s="13"/>
      <c r="E43" s="13"/>
      <c r="F43" s="13"/>
    </row>
    <row r="44" customFormat="false" ht="15" hidden="false" customHeight="false" outlineLevel="0" collapsed="false">
      <c r="B44" s="13"/>
      <c r="C44" s="13"/>
      <c r="D44" s="13"/>
      <c r="E44" s="13"/>
      <c r="F44" s="13"/>
    </row>
    <row r="45" customFormat="false" ht="15" hidden="false" customHeight="false" outlineLevel="0" collapsed="false">
      <c r="B45" s="13"/>
      <c r="C45" s="13"/>
      <c r="D45" s="13"/>
      <c r="E45" s="13"/>
      <c r="F45" s="13"/>
    </row>
    <row r="46" customFormat="false" ht="15" hidden="false" customHeight="false" outlineLevel="0" collapsed="false">
      <c r="B46" s="13"/>
      <c r="C46" s="13"/>
      <c r="D46" s="13"/>
      <c r="E46" s="13"/>
      <c r="F46" s="13"/>
    </row>
    <row r="47" customFormat="false" ht="15" hidden="false" customHeight="false" outlineLevel="0" collapsed="false">
      <c r="B47" s="13"/>
      <c r="C47" s="13"/>
      <c r="D47" s="13"/>
      <c r="E47" s="13"/>
      <c r="F47" s="13"/>
    </row>
    <row r="48" customFormat="false" ht="15" hidden="false" customHeight="false" outlineLevel="0" collapsed="false">
      <c r="B48" s="13"/>
      <c r="C48" s="13"/>
      <c r="D48" s="13"/>
      <c r="E48" s="13"/>
      <c r="F48" s="13"/>
    </row>
    <row r="49" customFormat="false" ht="15" hidden="false" customHeight="false" outlineLevel="0" collapsed="false">
      <c r="B49" s="13"/>
      <c r="C49" s="13"/>
      <c r="D49" s="13"/>
      <c r="E49" s="13"/>
      <c r="F49" s="13"/>
    </row>
    <row r="50" customFormat="false" ht="15" hidden="false" customHeight="false" outlineLevel="0" collapsed="false">
      <c r="B50" s="13"/>
      <c r="C50" s="13"/>
      <c r="D50" s="13"/>
      <c r="E50" s="13"/>
      <c r="F50" s="13"/>
    </row>
    <row r="51" customFormat="false" ht="15" hidden="false" customHeight="false" outlineLevel="0" collapsed="false">
      <c r="B51" s="13"/>
      <c r="C51" s="13"/>
      <c r="D51" s="13"/>
      <c r="E51" s="13"/>
      <c r="F51" s="13"/>
    </row>
    <row r="52" customFormat="false" ht="15" hidden="false" customHeight="false" outlineLevel="0" collapsed="false">
      <c r="B52" s="13"/>
      <c r="C52" s="13"/>
      <c r="D52" s="13"/>
      <c r="E52" s="13"/>
      <c r="F52" s="13"/>
    </row>
    <row r="53" customFormat="false" ht="15" hidden="false" customHeight="false" outlineLevel="0" collapsed="false">
      <c r="B53" s="13"/>
      <c r="C53" s="13"/>
      <c r="D53" s="13"/>
      <c r="E53" s="13"/>
      <c r="F53" s="13"/>
    </row>
    <row r="54" customFormat="false" ht="15" hidden="false" customHeight="false" outlineLevel="0" collapsed="false">
      <c r="B54" s="13"/>
      <c r="C54" s="13"/>
      <c r="D54" s="13"/>
      <c r="E54" s="13"/>
      <c r="F54" s="13"/>
    </row>
    <row r="55" customFormat="false" ht="15" hidden="false" customHeight="false" outlineLevel="0" collapsed="false">
      <c r="B55" s="13"/>
      <c r="C55" s="13"/>
      <c r="D55" s="13"/>
      <c r="E55" s="13"/>
      <c r="F55" s="13"/>
    </row>
    <row r="56" customFormat="false" ht="15" hidden="false" customHeight="false" outlineLevel="0" collapsed="false">
      <c r="B56" s="13"/>
      <c r="C56" s="13"/>
      <c r="D56" s="13"/>
      <c r="E56" s="13"/>
      <c r="F56" s="13"/>
    </row>
    <row r="57" customFormat="false" ht="15" hidden="false" customHeight="false" outlineLevel="0" collapsed="false">
      <c r="B57" s="13"/>
      <c r="C57" s="13"/>
      <c r="D57" s="13"/>
      <c r="E57" s="13"/>
      <c r="F57" s="13"/>
    </row>
    <row r="58" customFormat="false" ht="15" hidden="false" customHeight="false" outlineLevel="0" collapsed="false">
      <c r="B58" s="13"/>
      <c r="C58" s="13"/>
      <c r="D58" s="13"/>
      <c r="E58" s="13"/>
      <c r="F58" s="13"/>
    </row>
  </sheetData>
  <mergeCells count="1">
    <mergeCell ref="B2:F2"/>
  </mergeCells>
  <conditionalFormatting sqref="E9:E58">
    <cfRule type="cellIs" priority="2" operator="equal" aboveAverage="0" equalAverage="0" bottom="0" percent="0" rank="0" text="" dxfId="1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2026-08-03T16:37:22Z</dcterms:created>
  <dc:creator>openpyxl</dc:creator>
  <dc:description/>
  <dc:language>en-US</dc:language>
  <cp:lastModifiedBy/>
  <dcterms:modified xsi:type="dcterms:W3CDTF">2026-08-03T16:37:22Z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